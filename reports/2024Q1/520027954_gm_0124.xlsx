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Hamahar hishtalmut\"/>
    </mc:Choice>
  </mc:AlternateContent>
  <xr:revisionPtr revIDLastSave="0" documentId="13_ncr:1_{5E9BD089-BD38-464D-97F4-A70322026531}" xr6:coauthVersionLast="36" xr6:coauthVersionMax="36" xr10:uidLastSave="{00000000-0000-0000-0000-000000000000}"/>
  <bookViews>
    <workbookView xWindow="-120" yWindow="-120" windowWidth="29040" windowHeight="15720" tabRatio="840" firstSheet="17" activeTab="19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2" l="1"/>
  <c r="B32" i="2"/>
  <c r="C30" i="2"/>
  <c r="D29" i="2"/>
  <c r="B29" i="2"/>
  <c r="D28" i="2"/>
  <c r="B28" i="2"/>
  <c r="B27" i="2"/>
  <c r="D27" i="2" s="1"/>
  <c r="B26" i="2"/>
  <c r="D26" i="2" s="1"/>
  <c r="D25" i="2"/>
  <c r="B25" i="2"/>
  <c r="D24" i="2"/>
  <c r="B24" i="2"/>
  <c r="B23" i="2"/>
  <c r="D23" i="2" s="1"/>
  <c r="B22" i="2"/>
  <c r="D22" i="2" s="1"/>
  <c r="D21" i="2"/>
  <c r="B21" i="2"/>
  <c r="B20" i="2"/>
  <c r="D20" i="2" s="1"/>
  <c r="B19" i="2"/>
  <c r="D19" i="2" s="1"/>
  <c r="B18" i="2"/>
  <c r="D18" i="2" s="1"/>
  <c r="D17" i="2"/>
  <c r="B17" i="2"/>
  <c r="B16" i="2"/>
  <c r="D16" i="2" s="1"/>
  <c r="B15" i="2"/>
  <c r="D15" i="2" s="1"/>
  <c r="B14" i="2"/>
  <c r="D14" i="2" s="1"/>
  <c r="D13" i="2"/>
  <c r="B13" i="2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D13" i="38"/>
  <c r="D15" i="38" s="1"/>
  <c r="B30" i="2" l="1"/>
  <c r="E28" i="2" s="1"/>
  <c r="E20" i="2"/>
  <c r="E8" i="2"/>
  <c r="E4" i="2"/>
  <c r="E29" i="2"/>
  <c r="E25" i="2"/>
  <c r="E21" i="2"/>
  <c r="E17" i="2"/>
  <c r="E13" i="2"/>
  <c r="E9" i="2"/>
  <c r="E5" i="2"/>
  <c r="E18" i="2"/>
  <c r="E14" i="2"/>
  <c r="E10" i="2"/>
  <c r="E6" i="2"/>
  <c r="E7" i="2"/>
  <c r="E26" i="2"/>
  <c r="E22" i="2"/>
  <c r="E3" i="2"/>
  <c r="E27" i="2"/>
  <c r="E23" i="2"/>
  <c r="E19" i="2"/>
  <c r="E15" i="2"/>
  <c r="E11" i="2"/>
  <c r="D3" i="2"/>
  <c r="D30" i="2" s="1"/>
  <c r="E12" i="2" l="1"/>
  <c r="E16" i="2"/>
  <c r="E24" i="2"/>
  <c r="E30" i="2" s="1"/>
</calcChain>
</file>

<file path=xl/sharedStrings.xml><?xml version="1.0" encoding="utf-8"?>
<sst xmlns="http://schemas.openxmlformats.org/spreadsheetml/2006/main" count="17188" uniqueCount="2832">
  <si>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</si>
  <si>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</si>
  <si>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</si>
  <si>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</si>
  <si>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</si>
  <si>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</si>
  <si>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</si>
  <si>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</si>
  <si>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</si>
  <si>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</si>
  <si>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</si>
  <si>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</si>
  <si>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</si>
  <si>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</si>
  <si>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</si>
  <si>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</si>
  <si>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</si>
  <si>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</si>
  <si>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</si>
  <si>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</si>
  <si>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</si>
  <si>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</si>
  <si>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</si>
  <si>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</si>
  <si>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</si>
  <si>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</si>
  <si>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288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</si>
  <si>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</si>
  <si>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</si>
  <si>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</si>
  <si>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</si>
  <si>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</si>
  <si>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</si>
  <si>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</si>
  <si>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</si>
  <si>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</si>
  <si>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</si>
  <si>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</si>
  <si>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מלווה קצר מועד 1114</t>
  </si>
  <si>
    <t>IL0082411195</t>
  </si>
  <si>
    <t>TASE</t>
  </si>
  <si>
    <t>06/11/2024</t>
  </si>
  <si>
    <t>מלווה קצר מועד 125</t>
  </si>
  <si>
    <t>IL0082501284</t>
  </si>
  <si>
    <t>08/01/2025</t>
  </si>
  <si>
    <t>מלווה קצר מועד 814</t>
  </si>
  <si>
    <t>IL0082408142</t>
  </si>
  <si>
    <t>07/08/2024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</si>
  <si>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</si>
  <si>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</si>
  <si>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</si>
  <si>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</si>
  <si>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</si>
  <si>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</si>
  <si>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</si>
  <si>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</si>
  <si>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</si>
  <si>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</si>
  <si>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</si>
  <si>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</si>
  <si>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</si>
  <si>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</si>
  <si>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</si>
  <si>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</si>
  <si>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</si>
  <si>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</si>
  <si>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</si>
  <si>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</si>
  <si>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</si>
  <si>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</si>
  <si>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</si>
  <si>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</si>
  <si>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</si>
  <si>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</si>
  <si>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</si>
  <si>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</si>
  <si>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</si>
  <si>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</si>
  <si>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</si>
  <si>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</si>
  <si>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</si>
  <si>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</si>
  <si>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0.4% 10/24</t>
  </si>
  <si>
    <t>IL0011757775</t>
  </si>
  <si>
    <t>31/10/2024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</si>
  <si>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</si>
  <si>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</si>
  <si>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</si>
  <si>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</si>
  <si>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</si>
  <si>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</si>
  <si>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614</t>
  </si>
  <si>
    <t>IL0082406161</t>
  </si>
  <si>
    <t>05/06/2024</t>
  </si>
  <si>
    <t>מדינת ישראל</t>
  </si>
  <si>
    <t>ISRAEL 5 3/8 03/12/29</t>
  </si>
  <si>
    <t>US46514BRN90</t>
  </si>
  <si>
    <t>צמוד מט"ח בריבית קבועה</t>
  </si>
  <si>
    <t>A2</t>
  </si>
  <si>
    <t>S&amp;P</t>
  </si>
  <si>
    <t>USD</t>
  </si>
  <si>
    <t>12/03/2029</t>
  </si>
  <si>
    <t>מלווה קצר מועד 1214</t>
  </si>
  <si>
    <t>IL0082412185</t>
  </si>
  <si>
    <t>04/12/2024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</si>
  <si>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</si>
  <si>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</si>
  <si>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</si>
  <si>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</si>
  <si>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</si>
  <si>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</si>
  <si>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</si>
  <si>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</si>
  <si>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</si>
  <si>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ממשלתי שקלי  1026</t>
  </si>
  <si>
    <t>IL0010994569</t>
  </si>
  <si>
    <t>30/10/2026</t>
  </si>
  <si>
    <t>ISRELE</t>
  </si>
  <si>
    <t>ISRAEL 6 1/2 11/06/31</t>
  </si>
  <si>
    <t>XS2715285230</t>
  </si>
  <si>
    <t>חו"ל</t>
  </si>
  <si>
    <t>אחר</t>
  </si>
  <si>
    <t>Moodys</t>
  </si>
  <si>
    <t>06/11/2031</t>
  </si>
  <si>
    <t>T</t>
  </si>
  <si>
    <t>T 3 1/4 06/30/29</t>
  </si>
  <si>
    <t>US91282CEV90</t>
  </si>
  <si>
    <t>ארה"ב</t>
  </si>
  <si>
    <t>Aaa</t>
  </si>
  <si>
    <t>30/06/2029</t>
  </si>
  <si>
    <t>US TREASURY N/B</t>
  </si>
  <si>
    <t>T-3 3/8 15/05/33</t>
  </si>
  <si>
    <t>US91282CHC82</t>
  </si>
  <si>
    <t>NYSE </t>
  </si>
  <si>
    <t>15/05/2033</t>
  </si>
  <si>
    <t>מלווה קצר מועד 714</t>
  </si>
  <si>
    <t>IL0082407151</t>
  </si>
  <si>
    <t>03/07/2024</t>
  </si>
  <si>
    <t>ממשל שקלית 0226</t>
  </si>
  <si>
    <t>IL0011746976</t>
  </si>
  <si>
    <t>27/02/2026</t>
  </si>
  <si>
    <t>מלווה קצר מועד 914</t>
  </si>
  <si>
    <t>IL0082409132</t>
  </si>
  <si>
    <t>04/09/2024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</si>
  <si>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</si>
  <si>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</si>
  <si>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</si>
  <si>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</si>
  <si>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</si>
  <si>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</si>
  <si>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</si>
  <si>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</si>
  <si>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</si>
  <si>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</si>
  <si>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</si>
  <si>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</si>
  <si>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</si>
  <si>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</si>
  <si>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</si>
  <si>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</si>
  <si>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</si>
  <si>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</si>
  <si>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</si>
  <si>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</si>
  <si>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</si>
  <si>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</si>
  <si>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</si>
  <si>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</si>
  <si>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</si>
  <si>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</si>
  <si>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</si>
  <si>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</si>
  <si>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</si>
  <si>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</si>
  <si>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</si>
  <si>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</si>
  <si>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</si>
  <si>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</si>
  <si>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</si>
  <si>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</si>
  <si>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</si>
  <si>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</si>
  <si>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</si>
  <si>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</si>
  <si>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</si>
  <si>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</si>
  <si>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</si>
  <si>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</si>
  <si>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</si>
  <si>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</si>
  <si>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</si>
  <si>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</si>
  <si>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</si>
  <si>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</si>
  <si>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</si>
  <si>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</si>
  <si>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</si>
  <si>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</si>
  <si>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</si>
  <si>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</si>
  <si>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</si>
  <si>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</si>
  <si>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</si>
  <si>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</si>
  <si>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</si>
  <si>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</si>
  <si>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</si>
  <si>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</si>
  <si>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</si>
  <si>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</si>
  <si>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</si>
  <si>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</si>
  <si>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</si>
  <si>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</si>
  <si>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</si>
  <si>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</si>
  <si>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</si>
  <si>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</si>
  <si>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</si>
  <si>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</si>
  <si>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</si>
  <si>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</si>
  <si>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</si>
  <si>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</si>
  <si>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</si>
  <si>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</si>
  <si>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</si>
  <si>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</si>
  <si>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</si>
  <si>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</si>
  <si>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</si>
  <si>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</si>
  <si>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</si>
  <si>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</si>
  <si>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</si>
  <si>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</si>
  <si>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</si>
  <si>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</si>
  <si>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</si>
  <si>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</si>
  <si>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</si>
  <si>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</si>
  <si>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</si>
  <si>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</si>
  <si>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</si>
  <si>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</si>
  <si>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</si>
  <si>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</si>
  <si>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</si>
  <si>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</si>
  <si>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</si>
  <si>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</si>
  <si>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</si>
  <si>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</si>
  <si>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</si>
  <si>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</si>
  <si>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</si>
  <si>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</si>
  <si>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</si>
  <si>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</si>
  <si>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</si>
  <si>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</si>
  <si>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</si>
  <si>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</si>
  <si>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</si>
  <si>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</si>
  <si>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</si>
  <si>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</si>
  <si>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</si>
  <si>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</si>
  <si>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</si>
  <si>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</si>
  <si>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</si>
  <si>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</si>
  <si>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</si>
  <si>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</si>
  <si>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</si>
  <si>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</si>
  <si>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</si>
  <si>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</si>
  <si>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</si>
  <si>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</si>
  <si>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</si>
  <si>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</si>
  <si>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</si>
  <si>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</si>
  <si>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</si>
  <si>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</si>
  <si>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</si>
  <si>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</si>
  <si>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</si>
  <si>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</si>
  <si>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</si>
  <si>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</si>
  <si>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</si>
  <si>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</si>
  <si>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</si>
  <si>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</si>
  <si>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</si>
  <si>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</si>
  <si>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</si>
  <si>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</si>
  <si>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</si>
  <si>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</si>
  <si>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</si>
  <si>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</si>
  <si>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</si>
  <si>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</si>
  <si>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</si>
  <si>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</si>
  <si>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</si>
  <si>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</si>
  <si>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</si>
  <si>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</si>
  <si>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</si>
  <si>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</si>
  <si>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</si>
  <si>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</si>
  <si>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</si>
  <si>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</si>
  <si>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</si>
  <si>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</si>
  <si>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</si>
  <si>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</si>
  <si>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</si>
  <si>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</si>
  <si>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</si>
  <si>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</si>
  <si>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</si>
  <si>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</si>
  <si>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</si>
  <si>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</si>
  <si>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</si>
  <si>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</si>
  <si>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</si>
  <si>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</si>
  <si>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</si>
  <si>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</si>
  <si>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</si>
  <si>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</si>
  <si>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</si>
  <si>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</si>
  <si>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</si>
  <si>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</si>
  <si>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</si>
  <si>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</si>
  <si>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</si>
  <si>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</si>
  <si>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</si>
  <si>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</si>
  <si>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</si>
  <si>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</si>
  <si>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</si>
  <si>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</si>
  <si>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</si>
  <si>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</si>
  <si>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</si>
  <si>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</si>
  <si>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</si>
  <si>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</si>
  <si>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</si>
  <si>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</si>
  <si>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</si>
  <si>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</si>
  <si>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</si>
  <si>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</si>
  <si>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</si>
  <si>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</si>
  <si>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</si>
  <si>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</si>
  <si>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</si>
  <si>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</si>
  <si>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</si>
  <si>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</si>
  <si>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</si>
  <si>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</si>
  <si>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</si>
  <si>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</si>
  <si>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</si>
  <si>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</si>
  <si>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</si>
  <si>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</si>
  <si>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</si>
  <si>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</si>
  <si>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</si>
  <si>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</si>
  <si>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</si>
  <si>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</si>
  <si>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</si>
  <si>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</si>
  <si>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</si>
  <si>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</si>
  <si>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</si>
  <si>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</si>
  <si>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</si>
  <si>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</si>
  <si>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</si>
  <si>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</si>
  <si>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</si>
  <si>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</si>
  <si>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</si>
  <si>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</si>
  <si>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</si>
  <si>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</si>
  <si>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</si>
  <si>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</si>
  <si>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</si>
  <si>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</si>
  <si>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</si>
  <si>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</si>
  <si>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</si>
  <si>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</si>
  <si>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</si>
  <si>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</si>
  <si>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</si>
  <si>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</si>
  <si>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</si>
  <si>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</si>
  <si>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</si>
  <si>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</si>
  <si>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</si>
  <si>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</si>
  <si>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</si>
  <si>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</si>
  <si>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</si>
  <si>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</si>
  <si>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</si>
  <si>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</si>
  <si>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</si>
  <si>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</si>
  <si>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</si>
  <si>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</si>
  <si>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</si>
  <si>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</si>
  <si>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</si>
  <si>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</si>
  <si>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</si>
  <si>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</si>
  <si>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</si>
  <si>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</si>
  <si>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</si>
  <si>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</si>
  <si>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</si>
  <si>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</si>
  <si>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</si>
  <si>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</si>
  <si>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</si>
  <si>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</si>
  <si>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</si>
  <si>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</si>
  <si>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</si>
  <si>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</si>
  <si>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</si>
  <si>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</si>
  <si>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</si>
  <si>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</si>
  <si>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</si>
  <si>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</si>
  <si>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</si>
  <si>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</si>
  <si>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</si>
  <si>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</si>
  <si>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</si>
  <si>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</si>
  <si>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</si>
  <si>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</si>
  <si>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</si>
  <si>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</si>
  <si>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</si>
  <si>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</si>
  <si>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</si>
  <si>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</si>
  <si>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</si>
  <si>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</si>
  <si>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</si>
  <si>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</si>
  <si>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</si>
  <si>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</si>
  <si>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</si>
  <si>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</si>
  <si>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</si>
  <si>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</si>
  <si>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</si>
  <si>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</si>
  <si>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</si>
  <si>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</si>
  <si>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</si>
  <si>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</si>
  <si>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</si>
  <si>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</si>
  <si>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</si>
  <si>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</si>
  <si>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</si>
  <si>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</si>
  <si>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</si>
  <si>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</si>
  <si>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</si>
  <si>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</si>
  <si>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</si>
  <si>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</si>
  <si>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</si>
  <si>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</si>
  <si>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</si>
  <si>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</si>
  <si>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</si>
  <si>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</si>
  <si>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</si>
  <si>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</si>
  <si>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</si>
  <si>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</si>
  <si>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</si>
  <si>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</si>
  <si>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</si>
  <si>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</si>
  <si>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</si>
  <si>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</si>
  <si>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</si>
  <si>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</si>
  <si>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</si>
  <si>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</si>
  <si>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</si>
  <si>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</si>
  <si>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</si>
  <si>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</si>
  <si>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</si>
  <si>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</si>
  <si>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</si>
  <si>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</si>
  <si>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</si>
  <si>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</si>
  <si>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</si>
  <si>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</si>
  <si>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</si>
  <si>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</si>
  <si>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</si>
  <si>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</si>
  <si>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</si>
  <si>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</si>
  <si>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</si>
  <si>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</si>
  <si>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</si>
  <si>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</si>
  <si>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</si>
  <si>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</si>
  <si>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</si>
  <si>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</si>
  <si>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</si>
  <si>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</si>
  <si>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</si>
  <si>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</si>
  <si>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</si>
  <si>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</si>
  <si>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</si>
  <si>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</si>
  <si>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</si>
  <si>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</si>
  <si>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</si>
  <si>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</si>
  <si>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</si>
  <si>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</si>
  <si>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</si>
  <si>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</si>
  <si>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</si>
  <si>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</si>
  <si>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</si>
  <si>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</si>
  <si>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</si>
  <si>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</si>
  <si>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</si>
  <si>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</si>
  <si>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</si>
  <si>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</si>
  <si>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</si>
  <si>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</si>
  <si>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</si>
  <si>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</si>
  <si>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</si>
  <si>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</si>
  <si>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</si>
  <si>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</si>
  <si>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</si>
  <si>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</si>
  <si>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</si>
  <si>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</si>
  <si>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</si>
  <si>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</si>
  <si>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</si>
  <si>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</si>
  <si>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</si>
  <si>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</si>
  <si>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</si>
  <si>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</si>
  <si>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</si>
  <si>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</si>
  <si>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</si>
  <si>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</si>
  <si>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</si>
  <si>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</si>
  <si>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</si>
  <si>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</si>
  <si>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</si>
  <si>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</si>
  <si>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</si>
  <si>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</si>
  <si>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</si>
  <si>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</si>
  <si>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</si>
  <si>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</si>
  <si>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</si>
  <si>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</si>
  <si>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</si>
  <si>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</si>
  <si>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</si>
  <si>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</si>
  <si>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</si>
  <si>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</si>
  <si>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</si>
  <si>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</si>
  <si>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</si>
  <si>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</si>
  <si>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</si>
  <si>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</si>
  <si>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</si>
  <si>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</si>
  <si>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</si>
  <si>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</si>
  <si>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</si>
  <si>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</si>
  <si>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</si>
  <si>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</si>
  <si>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</si>
  <si>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</si>
  <si>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</si>
  <si>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</si>
  <si>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</si>
  <si>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</si>
  <si>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</si>
  <si>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</si>
  <si>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</si>
  <si>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</si>
  <si>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</si>
  <si>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</si>
  <si>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</si>
  <si>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</si>
  <si>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</si>
  <si>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</si>
  <si>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</si>
  <si>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</si>
  <si>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</si>
  <si>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</si>
  <si>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</si>
  <si>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</si>
  <si>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</si>
  <si>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</si>
  <si>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</si>
  <si>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</si>
  <si>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</si>
  <si>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</si>
  <si>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</si>
  <si>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</si>
  <si>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</si>
  <si>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</si>
  <si>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</si>
  <si>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</si>
  <si>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</si>
  <si>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</si>
  <si>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</si>
  <si>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</si>
  <si>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</si>
  <si>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</si>
  <si>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</si>
  <si>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</si>
  <si>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</si>
  <si>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</si>
  <si>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</si>
  <si>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</si>
  <si>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</si>
  <si>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</si>
  <si>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</si>
  <si>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</si>
  <si>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</si>
  <si>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</si>
  <si>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</si>
  <si>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</si>
  <si>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</si>
  <si>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</si>
  <si>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</si>
  <si>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</si>
  <si>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</si>
  <si>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</si>
  <si>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</si>
  <si>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</si>
  <si>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</si>
  <si>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</si>
  <si>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</si>
  <si>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</si>
  <si>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</si>
  <si>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</si>
  <si>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</si>
  <si>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</si>
  <si>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</si>
  <si>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</si>
  <si>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</si>
  <si>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</si>
  <si>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</si>
  <si>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</si>
  <si>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</si>
  <si>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</si>
  <si>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</si>
  <si>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</si>
  <si>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</si>
  <si>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</si>
  <si>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</si>
  <si>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</si>
  <si>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</si>
  <si>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</si>
  <si>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</si>
  <si>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</si>
  <si>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</si>
  <si>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</si>
  <si>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</si>
  <si>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</si>
  <si>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</si>
  <si>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</si>
  <si>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</si>
  <si>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</si>
  <si>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</si>
  <si>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</si>
  <si>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</si>
  <si>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</si>
  <si>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</si>
  <si>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</si>
  <si>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</si>
  <si>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</si>
  <si>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</si>
  <si>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</si>
  <si>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</si>
  <si>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</si>
  <si>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</si>
  <si>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</si>
  <si>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</si>
  <si>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</si>
  <si>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</si>
  <si>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</si>
  <si>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</si>
  <si>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</si>
  <si>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</si>
  <si>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</si>
  <si>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</si>
  <si>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</si>
  <si>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</si>
  <si>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</si>
  <si>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</si>
  <si>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</si>
  <si>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</si>
  <si>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</si>
  <si>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</si>
  <si>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</si>
  <si>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</si>
  <si>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</si>
  <si>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</si>
  <si>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</si>
  <si>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</si>
  <si>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</si>
  <si>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</si>
  <si>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</si>
  <si>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</si>
  <si>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</si>
  <si>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</si>
  <si>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</si>
  <si>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</si>
  <si>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</si>
  <si>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</si>
  <si>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</si>
  <si>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</si>
  <si>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</si>
  <si>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</si>
  <si>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</si>
  <si>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</si>
  <si>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</si>
  <si>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</si>
  <si>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</si>
  <si>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</si>
  <si>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</si>
  <si>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</si>
  <si>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</si>
  <si>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</si>
  <si>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</si>
  <si>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</si>
  <si>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</si>
  <si>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</si>
  <si>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</si>
  <si>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</si>
  <si>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</si>
  <si>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</si>
  <si>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</si>
  <si>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</si>
  <si>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</si>
  <si>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</si>
  <si>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</si>
  <si>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</si>
  <si>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</si>
  <si>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</si>
  <si>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</si>
  <si>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</si>
  <si>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</si>
  <si>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</si>
  <si>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</si>
  <si>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</si>
  <si>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</si>
  <si>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</si>
  <si>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</si>
  <si>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</si>
  <si>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</si>
  <si>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</si>
  <si>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</si>
  <si>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</si>
  <si>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</si>
  <si>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</si>
  <si>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</si>
  <si>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</si>
  <si>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</si>
  <si>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</si>
  <si>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</si>
  <si>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</si>
  <si>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</si>
  <si>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</si>
  <si>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</si>
  <si>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</si>
  <si>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</si>
  <si>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</si>
  <si>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</si>
  <si>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</si>
  <si>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</si>
  <si>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</si>
  <si>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</si>
  <si>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</si>
  <si>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</si>
  <si>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</si>
  <si>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</si>
  <si>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</si>
  <si>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</si>
  <si>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</si>
  <si>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</si>
  <si>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</si>
  <si>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</si>
  <si>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</si>
  <si>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</si>
  <si>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</si>
  <si>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</si>
  <si>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</si>
  <si>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</si>
  <si>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</si>
  <si>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</si>
  <si>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</si>
  <si>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</si>
  <si>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</si>
  <si>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</si>
  <si>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</si>
  <si>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</si>
  <si>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</si>
  <si>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</si>
  <si>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</si>
  <si>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</si>
  <si>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</si>
  <si>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</si>
  <si>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</si>
  <si>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</si>
  <si>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</si>
  <si>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</si>
  <si>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</si>
  <si>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</si>
  <si>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</si>
  <si>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</si>
  <si>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</si>
  <si>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</si>
  <si>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</si>
  <si>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</si>
  <si>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</si>
  <si>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</si>
  <si>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</si>
  <si>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</si>
  <si>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</si>
  <si>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</si>
  <si>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</si>
  <si>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</si>
  <si>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</si>
  <si>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</si>
  <si>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</si>
  <si>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</si>
  <si>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</si>
  <si>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</si>
  <si>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</si>
  <si>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</si>
  <si>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</si>
  <si>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</si>
  <si>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</si>
  <si>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</si>
  <si>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</si>
  <si>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</si>
  <si>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</si>
  <si>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</si>
  <si>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</si>
  <si>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</si>
  <si>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</si>
  <si>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</si>
  <si>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</si>
  <si>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</si>
  <si>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</si>
  <si>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</si>
  <si>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</si>
  <si>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</si>
  <si>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</si>
  <si>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</si>
  <si>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</si>
  <si>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</si>
  <si>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</si>
  <si>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</si>
  <si>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</si>
  <si>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</si>
  <si>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</si>
  <si>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</si>
  <si>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</si>
  <si>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</si>
  <si>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</si>
  <si>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</si>
  <si>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</si>
  <si>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</si>
  <si>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</si>
  <si>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</si>
  <si>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</si>
  <si>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</si>
  <si>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</si>
  <si>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</si>
  <si>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</si>
  <si>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</si>
  <si>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</si>
  <si>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</si>
  <si>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</si>
  <si>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</si>
  <si>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</si>
  <si>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</si>
  <si>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</si>
  <si>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</si>
  <si>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</si>
  <si>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</si>
  <si>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</si>
  <si>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</si>
  <si>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</si>
  <si>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</si>
  <si>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</si>
  <si>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</si>
  <si>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</si>
  <si>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</si>
  <si>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</si>
  <si>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</si>
  <si>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</si>
  <si>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</si>
  <si>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</si>
  <si>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</si>
  <si>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</si>
  <si>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</si>
  <si>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</si>
  <si>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</si>
  <si>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</si>
  <si>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</si>
  <si>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</si>
  <si>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</si>
  <si>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</si>
  <si>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</si>
  <si>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</si>
  <si>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</si>
  <si>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</si>
  <si>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</si>
  <si>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</si>
  <si>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</si>
  <si>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</si>
  <si>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</si>
  <si>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</si>
  <si>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</si>
  <si>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</si>
  <si>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</si>
  <si>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</si>
  <si>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</si>
  <si>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</si>
  <si>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</si>
  <si>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</si>
  <si>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</si>
  <si>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</si>
  <si>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</si>
  <si>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</si>
  <si>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</si>
  <si>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</si>
  <si>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</si>
  <si>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</si>
  <si>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</si>
  <si>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</si>
  <si>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</si>
  <si>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</si>
  <si>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</si>
  <si>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</si>
  <si>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</si>
  <si>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</si>
  <si>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</si>
  <si>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</si>
  <si>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</si>
  <si>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</si>
  <si>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</si>
  <si>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</si>
  <si>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</si>
  <si>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</si>
  <si>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</si>
  <si>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</si>
  <si>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</si>
  <si>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</si>
  <si>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</si>
  <si>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</si>
  <si>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</si>
  <si>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</si>
  <si>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</si>
  <si>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</si>
  <si>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</si>
  <si>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</si>
  <si>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</si>
  <si>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</si>
  <si>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</si>
  <si>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</si>
  <si>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</si>
  <si>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</si>
  <si>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</si>
  <si>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</si>
  <si>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</si>
  <si>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</si>
  <si>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</si>
  <si>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</si>
  <si>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</si>
  <si>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</si>
  <si>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</si>
  <si>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</si>
  <si>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</si>
  <si>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</si>
  <si>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</si>
  <si>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</si>
  <si>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</si>
  <si>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</si>
  <si>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</si>
  <si>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</si>
  <si>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</si>
  <si>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</si>
  <si>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</si>
  <si>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</si>
  <si>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</si>
  <si>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</si>
  <si>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</si>
  <si>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</si>
  <si>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</si>
  <si>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</si>
  <si>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</si>
  <si>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</si>
  <si>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</si>
  <si>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</si>
  <si>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</si>
  <si>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</si>
  <si>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</si>
  <si>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</si>
  <si>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</si>
  <si>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</si>
  <si>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</si>
  <si>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</si>
  <si>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</si>
  <si>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</si>
  <si>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</si>
  <si>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</si>
  <si>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</si>
  <si>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</si>
  <si>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</si>
  <si>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</si>
  <si>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</si>
  <si>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</si>
  <si>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</si>
  <si>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</si>
  <si>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</si>
  <si>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</si>
  <si>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</si>
  <si>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</si>
  <si>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</si>
  <si>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</si>
  <si>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</si>
  <si>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</si>
  <si>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</si>
  <si>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</si>
  <si>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</si>
  <si>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</si>
  <si>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</si>
  <si>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</si>
  <si>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</si>
  <si>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</si>
  <si>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</si>
  <si>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</si>
  <si>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</si>
  <si>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</si>
  <si>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</si>
  <si>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</si>
  <si>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</si>
  <si>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</si>
  <si>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</si>
  <si>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</si>
  <si>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</si>
  <si>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</si>
  <si>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</si>
  <si>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</si>
  <si>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</si>
  <si>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</si>
  <si>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</si>
  <si>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</si>
  <si>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</si>
  <si>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</si>
  <si>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</si>
  <si>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</si>
  <si>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</si>
  <si>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</si>
  <si>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</si>
  <si>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</si>
  <si>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</si>
  <si>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</si>
  <si>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</si>
  <si>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</si>
  <si>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</si>
  <si>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</si>
  <si>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</si>
  <si>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</si>
  <si>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</si>
  <si>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</si>
  <si>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</si>
  <si>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</si>
  <si>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</si>
  <si>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</si>
  <si>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</si>
  <si>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</si>
  <si>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</si>
  <si>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</si>
  <si>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</si>
  <si>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</si>
  <si>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</si>
  <si>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</si>
  <si>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</si>
  <si>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</si>
  <si>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</si>
  <si>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</si>
  <si>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</si>
  <si>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</si>
  <si>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</si>
  <si>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</si>
  <si>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</si>
  <si>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</si>
  <si>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</si>
  <si>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</si>
  <si>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</si>
  <si>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</si>
  <si>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</si>
  <si>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</si>
  <si>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</si>
  <si>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</si>
  <si>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</si>
  <si>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</si>
  <si>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</si>
  <si>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</si>
  <si>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</si>
  <si>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</si>
  <si>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</si>
  <si>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</si>
  <si>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</si>
  <si>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</si>
  <si>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</si>
  <si>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</si>
  <si>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</si>
  <si>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</si>
  <si>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</si>
  <si>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</si>
  <si>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</si>
  <si>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</si>
  <si>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</si>
  <si>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</si>
  <si>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</si>
  <si>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</si>
  <si>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</si>
  <si>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</si>
  <si>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</si>
  <si>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</si>
  <si>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</si>
  <si>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</si>
  <si>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</si>
  <si>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</si>
  <si>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</si>
  <si>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</si>
  <si>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</si>
  <si>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</si>
  <si>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</si>
  <si>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</si>
  <si>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</si>
  <si>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</si>
  <si>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</si>
  <si>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</si>
  <si>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גמול פועלים סהר</t>
  </si>
  <si>
    <t>33-414</t>
  </si>
  <si>
    <t>AUD</t>
  </si>
  <si>
    <t>HKD</t>
  </si>
  <si>
    <t>SGD</t>
  </si>
  <si>
    <t>EUR</t>
  </si>
  <si>
    <t>JPY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</si>
  <si>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</si>
  <si>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</si>
  <si>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</si>
  <si>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</si>
  <si>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</si>
  <si>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</si>
  <si>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</si>
  <si>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</si>
  <si>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</si>
  <si>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</si>
  <si>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</si>
  <si>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</si>
  <si>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</si>
  <si>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</si>
  <si>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</si>
  <si>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</si>
  <si>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</si>
  <si>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</si>
  <si>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</si>
  <si>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</si>
  <si>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</si>
  <si>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</si>
  <si>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</si>
  <si>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</si>
  <si>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</si>
  <si>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</si>
  <si>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</si>
  <si>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</si>
  <si>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</si>
  <si>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</si>
  <si>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</si>
  <si>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</si>
  <si>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</si>
  <si>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</si>
  <si>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</si>
  <si>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</si>
  <si>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</si>
  <si>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</si>
  <si>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</si>
  <si>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</si>
  <si>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</si>
  <si>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</si>
  <si>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</si>
  <si>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</si>
  <si>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</si>
  <si>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</si>
  <si>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</si>
  <si>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</si>
  <si>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</si>
  <si>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</si>
  <si>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</si>
  <si>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</si>
  <si>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</si>
  <si>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</si>
  <si>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</si>
  <si>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</si>
  <si>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</si>
  <si>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</si>
  <si>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</si>
  <si>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</si>
  <si>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</si>
  <si>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</si>
  <si>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</si>
  <si>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</si>
  <si>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</si>
  <si>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</si>
  <si>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</si>
  <si>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</si>
  <si>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</si>
  <si>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</si>
  <si>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</si>
  <si>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</si>
  <si>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</si>
  <si>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</si>
  <si>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</si>
  <si>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</si>
  <si>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</si>
  <si>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</si>
  <si>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</si>
  <si>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</si>
  <si>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</si>
  <si>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</si>
  <si>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</si>
  <si>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</si>
  <si>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</si>
  <si>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</si>
  <si>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</si>
  <si>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</si>
  <si>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</si>
  <si>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</si>
  <si>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</si>
  <si>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</si>
  <si>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</si>
  <si>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</si>
  <si>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</si>
  <si>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</si>
  <si>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</si>
  <si>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</si>
  <si>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</si>
  <si>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</si>
  <si>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</si>
  <si>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</si>
  <si>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</si>
  <si>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</si>
  <si>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</si>
  <si>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</si>
  <si>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</si>
  <si>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</si>
  <si>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</si>
  <si>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</si>
  <si>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</si>
  <si>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</si>
  <si>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</si>
  <si>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</si>
  <si>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</si>
  <si>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9929102</t>
  </si>
  <si>
    <t>delivery</t>
  </si>
  <si>
    <t>POALILIT</t>
  </si>
  <si>
    <t>9929105</t>
  </si>
  <si>
    <t>9929109</t>
  </si>
  <si>
    <t>1452</t>
  </si>
  <si>
    <t>520027954</t>
  </si>
  <si>
    <t>הלוואות עמיתים ל.צ</t>
  </si>
  <si>
    <t>300202086</t>
  </si>
  <si>
    <t xml:space="preserve">תשתיות (שלב הבניה)  - </t>
  </si>
  <si>
    <t>אנשים פרטיים </t>
  </si>
  <si>
    <t>30/10/2017</t>
  </si>
  <si>
    <t>N/R</t>
  </si>
  <si>
    <t>קבועה</t>
  </si>
  <si>
    <t>other</t>
  </si>
  <si>
    <t>הלוואה לעמית</t>
  </si>
  <si>
    <t>מערכת פריים</t>
  </si>
  <si>
    <t>אי תלות</t>
  </si>
  <si>
    <t>31/03/2024</t>
  </si>
  <si>
    <t>31/03/2024 00:00:00</t>
  </si>
  <si>
    <t>שגריר רכב</t>
  </si>
  <si>
    <t>515158665</t>
  </si>
  <si>
    <t>ח.פ</t>
  </si>
  <si>
    <t>שגריר כתב אופציה חסום</t>
  </si>
  <si>
    <t>IL0011383796</t>
  </si>
  <si>
    <t>08/06/2025</t>
  </si>
  <si>
    <t>29/06/2022</t>
  </si>
  <si>
    <t>Scoutcam LTD</t>
  </si>
  <si>
    <t>549300FBP1ANSJE5TE25</t>
  </si>
  <si>
    <t>SCOUTCAM OP</t>
  </si>
  <si>
    <t>299942610</t>
  </si>
  <si>
    <t>31/03/2026</t>
  </si>
  <si>
    <t>30/04/2023</t>
  </si>
  <si>
    <t>שווי הוגן (בש"ח)</t>
  </si>
  <si>
    <t>הראל קרנות נאמנות בע"מ</t>
  </si>
  <si>
    <t>511776783</t>
  </si>
  <si>
    <t>3 i   Corps Liquid)י0A) הראל</t>
  </si>
  <si>
    <t>IL0051297708</t>
  </si>
  <si>
    <t>מניות בישראל</t>
  </si>
  <si>
    <t>מגדל קרנות נאמנות בע"מ</t>
  </si>
  <si>
    <t>511303661</t>
  </si>
  <si>
    <t>MTF מחקה IBOX $ מנוטרלת מטח</t>
  </si>
  <si>
    <t>IL0051212079</t>
  </si>
  <si>
    <t>פסגות קרנות נאמנות בע"מ</t>
  </si>
  <si>
    <t>513765339</t>
  </si>
  <si>
    <t>PTFי )4A( ת"א 35</t>
  </si>
  <si>
    <t>IL0051306871</t>
  </si>
  <si>
    <t>PTFי )4A( ת"א 90</t>
  </si>
  <si>
    <t>IL0051309198</t>
  </si>
  <si>
    <t>הראל Htfי )4A( ת"א 90</t>
  </si>
  <si>
    <t>IL0051306384</t>
  </si>
  <si>
    <t>מנגנון מרווח AA PTF</t>
  </si>
  <si>
    <t>IL0051307036</t>
  </si>
  <si>
    <t xml:space="preserve">אג"ח בישראל - חברות והמרה  </t>
  </si>
  <si>
    <t>CIFC Senior Secured Corporate</t>
  </si>
  <si>
    <t>3912000TN89ESDWHS93</t>
  </si>
  <si>
    <t>CIFC SEN SEC CORP LN ISRLP</t>
  </si>
  <si>
    <t>XD1119644098</t>
  </si>
  <si>
    <t>CREDIT SUISSE</t>
  </si>
  <si>
    <t>EXD7DEVFDH4HOFFQ7349</t>
  </si>
  <si>
    <t>CSNGSMU LX Equity</t>
  </si>
  <si>
    <t>LU0635707705</t>
  </si>
  <si>
    <t>Fidelity Fund Management</t>
  </si>
  <si>
    <t>213800LUFXVT8CKW5113</t>
  </si>
  <si>
    <t>Fidelity Funds - US High Yield Fund</t>
  </si>
  <si>
    <t>LU0891474172</t>
  </si>
  <si>
    <t>Invesco investment management limited</t>
  </si>
  <si>
    <t>635400KFAN415FMIGG54</t>
  </si>
  <si>
    <t>IUSSENG LX Equity</t>
  </si>
  <si>
    <t>LU0564079282</t>
  </si>
  <si>
    <t>ISE </t>
  </si>
  <si>
    <t>Nomura asset management</t>
  </si>
  <si>
    <t>3538009CP3K8R7U9HD97</t>
  </si>
  <si>
    <t>NOMURA-US HIGH YLD BD-I USD</t>
  </si>
  <si>
    <t>IE00B3RW8498</t>
  </si>
  <si>
    <t>Straffan Asset Management Ltd</t>
  </si>
  <si>
    <t>28068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</si>
  <si>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</si>
  <si>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</si>
  <si>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</si>
  <si>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</si>
  <si>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</si>
  <si>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</si>
  <si>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מניות בחו"ל חשופות מט"ח</t>
  </si>
  <si>
    <t>מיטב קרנות נאמנות בע"מ</t>
  </si>
  <si>
    <t>513534974</t>
  </si>
  <si>
    <t>תכלית 500 SP</t>
  </si>
  <si>
    <t>IL0051139983</t>
  </si>
  <si>
    <t>MTF מחקה (S&amp;P 500 (4D</t>
  </si>
  <si>
    <t>IL0051226277</t>
  </si>
  <si>
    <t>SP 500 PTF פסגות</t>
  </si>
  <si>
    <t>IL0051274699</t>
  </si>
  <si>
    <t>ISHARES USD CROP BOND UCITS ET</t>
  </si>
  <si>
    <t>549300QQR5SNTQVNFC45</t>
  </si>
  <si>
    <t>ITB US</t>
  </si>
  <si>
    <t>US4642887529</t>
  </si>
  <si>
    <t>קסם קרנות נאמנות בע"מ</t>
  </si>
  <si>
    <t>510938608</t>
  </si>
  <si>
    <t>KSM.CSI300 (4D) ETF</t>
  </si>
  <si>
    <t>IL0011627838</t>
  </si>
  <si>
    <t>MTF סל תא 90</t>
  </si>
  <si>
    <t>IL0011502593</t>
  </si>
  <si>
    <t>הראל סל NDX 100</t>
  </si>
  <si>
    <t>IL0011490385</t>
  </si>
  <si>
    <t>הראל סל SP500</t>
  </si>
  <si>
    <t>IL0011490203</t>
  </si>
  <si>
    <t>הראל קרן סל תא 125</t>
  </si>
  <si>
    <t>IL0011488991</t>
  </si>
  <si>
    <t>מור ניהול קרנות נאמנות בע"מ</t>
  </si>
  <si>
    <t>514884485</t>
  </si>
  <si>
    <t>מור סל )4D(י NASDAQ 100</t>
  </si>
  <si>
    <t>IL0011658361</t>
  </si>
  <si>
    <t>קסם קרן סל תא 125</t>
  </si>
  <si>
    <t>IL0011463564</t>
  </si>
  <si>
    <t>קסם תא נדלן</t>
  </si>
  <si>
    <t>IL0011465478</t>
  </si>
  <si>
    <t>קסם.תלבונד ש 50</t>
  </si>
  <si>
    <t>IL0011507626</t>
  </si>
  <si>
    <t>תכלית סל תל בונד שקלי 50</t>
  </si>
  <si>
    <t>IL0011693335</t>
  </si>
  <si>
    <t>MTF סל‏ צריכה בסיס SP ממ</t>
  </si>
  <si>
    <t>IL0011506891</t>
  </si>
  <si>
    <t xml:space="preserve">מניות בחו"ל משולבת </t>
  </si>
  <si>
    <t>MTF&amp;SPUSA</t>
  </si>
  <si>
    <t>IL0011505646</t>
  </si>
  <si>
    <t>MTF2000RUSS ממ</t>
  </si>
  <si>
    <t>IL0011505497</t>
  </si>
  <si>
    <t>MTF600STX ממ</t>
  </si>
  <si>
    <t>IL0011506149</t>
  </si>
  <si>
    <t>SP ENERGY סל MTF</t>
  </si>
  <si>
    <t>IL 0011507212</t>
  </si>
  <si>
    <t>הראל סל SP EX TEC SFTR</t>
  </si>
  <si>
    <t>IL0011840928</t>
  </si>
  <si>
    <t>הראל סל פיננסים ארהב P IXM&amp;S PR</t>
  </si>
  <si>
    <t>IL0011498974</t>
  </si>
  <si>
    <t>הראל סל תא 90</t>
  </si>
  <si>
    <t>IL0011489312</t>
  </si>
  <si>
    <t>הראל סל תלבונד ש 50</t>
  </si>
  <si>
    <t>IL0011507139</t>
  </si>
  <si>
    <t>מור סל )4A(י NASDAQ 100 מנוטרל</t>
  </si>
  <si>
    <t>IL0011658445</t>
  </si>
  <si>
    <t>פסגות סל מנוטרלת P HEALTH CARES</t>
  </si>
  <si>
    <t>IL0011482127</t>
  </si>
  <si>
    <t>תכ.SPMIDCA400ממ</t>
  </si>
  <si>
    <t>IL0011449555</t>
  </si>
  <si>
    <t>תכלית סל (40) ת"א נפט וגז</t>
  </si>
  <si>
    <t>IL0011448078</t>
  </si>
  <si>
    <t>תכלית סל (HANGSENG '(4A מנוטרלת מט"ח</t>
  </si>
  <si>
    <t>IL0011437428</t>
  </si>
  <si>
    <t>תכלית סל NDX BIO</t>
  </si>
  <si>
    <t>IL0011448649</t>
  </si>
  <si>
    <t>תכלית סל פוטסי 100 מנוטרלת</t>
  </si>
  <si>
    <t>IL0011451270</t>
  </si>
  <si>
    <t>תכלית תל בונד 60</t>
  </si>
  <si>
    <t>IL0011451015</t>
  </si>
  <si>
    <t>Amundi Asset Management</t>
  </si>
  <si>
    <t>549300W6M26WPJCWRV83</t>
  </si>
  <si>
    <t>AMUNDI S&amp;P 500 UCITS ETF</t>
  </si>
  <si>
    <t>LU1681049018</t>
  </si>
  <si>
    <t xml:space="preserve">BlackRock  Asset Managment </t>
  </si>
  <si>
    <t>549300IJBBIPXKWNXJ28</t>
  </si>
  <si>
    <t>ISHARES EURO STOXX 50 DE</t>
  </si>
  <si>
    <t>DE0005933956</t>
  </si>
  <si>
    <t>IE00BYXYYJ35</t>
  </si>
  <si>
    <t>IVV US iShares S&amp;P 500 Index F</t>
  </si>
  <si>
    <t>US4642872000</t>
  </si>
  <si>
    <t>KraneShares CSI China Internet</t>
  </si>
  <si>
    <t>635400ATNLD34P5YXA50</t>
  </si>
  <si>
    <t>KRANESHARES CSI CHINA INTERNET</t>
  </si>
  <si>
    <t>IE00BFXR7892</t>
  </si>
  <si>
    <t>KRANESHARES</t>
  </si>
  <si>
    <t>5493005Q82TVCXGCDA70</t>
  </si>
  <si>
    <t>KRANESHARES Csi China Internet Etf</t>
  </si>
  <si>
    <t>US5007673065</t>
  </si>
  <si>
    <t>LYXOR ETF</t>
  </si>
  <si>
    <t>549300D36R80ZKQLJ385</t>
  </si>
  <si>
    <t>LYXOR MSCI CHINA UCITS EFT</t>
  </si>
  <si>
    <t>LU1841731745</t>
  </si>
  <si>
    <t>Lyxor S&amp;P 500 Ucits Etf - c-eu</t>
  </si>
  <si>
    <t>LU1135865084</t>
  </si>
  <si>
    <t>NEXT FUNDS TOPIX EXCHANGE TRAD</t>
  </si>
  <si>
    <t>353800U3TPEO41XXQE39</t>
  </si>
  <si>
    <t>JP3027630007</t>
  </si>
  <si>
    <t>Powershares  QQQ NAS1</t>
  </si>
  <si>
    <t>US46090E1038</t>
  </si>
  <si>
    <t>SOURCE S&amp;P 500 UCITS EFT</t>
  </si>
  <si>
    <t>IE00B3YCGJ38</t>
  </si>
  <si>
    <t>Real Estate Credit Investments Pcc ltd</t>
  </si>
  <si>
    <t>549300D9O5F5P2DTYB19</t>
  </si>
  <si>
    <t>SPDR BLOOMBERG SASB US CORPORA</t>
  </si>
  <si>
    <t>IE00BLF7VX27</t>
  </si>
  <si>
    <t>State Street Corp</t>
  </si>
  <si>
    <t>549300E2D1JKWI3P9D54</t>
  </si>
  <si>
    <t>SPDR PORTFOLIO S&amp;P 500 ETF</t>
  </si>
  <si>
    <t>US78464A8541</t>
  </si>
  <si>
    <t>S&amp;P 500</t>
  </si>
  <si>
    <t>Y6X4K52KMJMZE7I7MY94</t>
  </si>
  <si>
    <t>SPDR S&amp;P 500 UCITS EFT</t>
  </si>
  <si>
    <t>IE000XZSV718</t>
  </si>
  <si>
    <t>SXLE LN</t>
  </si>
  <si>
    <t>549300M0AUGU3NFNF319</t>
  </si>
  <si>
    <t>SPDR S&amp;P U.S. ENERGY SELECT SE</t>
  </si>
  <si>
    <t>IE00BWBXM492</t>
  </si>
  <si>
    <t>SPDR S&amp;P U.S. FINANCIALS SELEC</t>
  </si>
  <si>
    <t>IE00BWBXM500</t>
  </si>
  <si>
    <t>Van Eck ETF</t>
  </si>
  <si>
    <t>549300WSDUDKDJCJOV22</t>
  </si>
  <si>
    <t>VANECK VECTORS SEMICONDUCTOR</t>
  </si>
  <si>
    <t>US92189F6768</t>
  </si>
  <si>
    <t>Vanguard Group</t>
  </si>
  <si>
    <t>QS6WHLCJOJSYY4PYNF72</t>
  </si>
  <si>
    <t>VANGUARD FTSE BMERGING  MARKETS</t>
  </si>
  <si>
    <t>IE00B3VVMM84</t>
  </si>
  <si>
    <t>שווקים מתעוררים</t>
  </si>
  <si>
    <t>VANGUARD FTSE EMERGING MARKETS</t>
  </si>
  <si>
    <t>VANGUARD S&amp;P 50</t>
  </si>
  <si>
    <t>us9229083632</t>
  </si>
  <si>
    <t>VANGUARD USD CORPORATE BOND UC</t>
  </si>
  <si>
    <t>IE00BGYWFK87</t>
  </si>
  <si>
    <t>WisdomTree Europe ltd</t>
  </si>
  <si>
    <t>549300R6SLTQ0LZOHH17</t>
  </si>
  <si>
    <t>WISDOMTREE JAPAN EQUITY UCITS</t>
  </si>
  <si>
    <t>IE00BYQCZD50</t>
  </si>
  <si>
    <t>WisdomTree Japan Hedged</t>
  </si>
  <si>
    <t>US97717W8516</t>
  </si>
  <si>
    <t>.UTILITIES SELECT S</t>
  </si>
  <si>
    <t>US81369Y8865</t>
  </si>
  <si>
    <t>Industrail select</t>
  </si>
  <si>
    <t>US81369Y7040</t>
  </si>
  <si>
    <t>INVESCO S&amp;P 500 EQUAL WEIGHT</t>
  </si>
  <si>
    <t>US46137V2824</t>
  </si>
  <si>
    <t>ISHARES M. SOUTH KO EWY</t>
  </si>
  <si>
    <t>US4642867729</t>
  </si>
  <si>
    <t>ISHARES MSCI EMERGING MARKETS</t>
  </si>
  <si>
    <t>US46434G7640</t>
  </si>
  <si>
    <t>ISHARES MSCI INDIA ETF</t>
  </si>
  <si>
    <t>US46429B5984</t>
  </si>
  <si>
    <t>Ishares Msci Japan Index Fund</t>
  </si>
  <si>
    <t>US46434G8226</t>
  </si>
  <si>
    <t>ISHARES MSFI TAIWAN ETF</t>
  </si>
  <si>
    <t>US46434G7723</t>
  </si>
  <si>
    <t>ISHARES RUSSEL MIDCAP GRWTH</t>
  </si>
  <si>
    <t>US4642874816</t>
  </si>
  <si>
    <t>ISHARES US TREASURY BOND EFT</t>
  </si>
  <si>
    <t>US464298676</t>
  </si>
  <si>
    <t>ISHARES USD SHORT DURATION COR</t>
  </si>
  <si>
    <t>IE00BYXYYP94</t>
  </si>
  <si>
    <t>Oil&amp; gas exploration&amp;spdr s</t>
  </si>
  <si>
    <t>US78464A7303</t>
  </si>
  <si>
    <t>Real Estate Select Sector SPDR</t>
  </si>
  <si>
    <t>US81369Y8600</t>
  </si>
  <si>
    <t>SPDR MSCI EUROPE HEALTH CARE U</t>
  </si>
  <si>
    <t>IE00BKWQ0H23</t>
  </si>
  <si>
    <t>Spdr s&amp;p homebuilders etf</t>
  </si>
  <si>
    <t>US78464A8889</t>
  </si>
  <si>
    <t>VANECK VECTORS MORNINGSTAR WID</t>
  </si>
  <si>
    <t>US92189F6438</t>
  </si>
  <si>
    <t>Vanguard Russel 2000l</t>
  </si>
  <si>
    <t>US92206C6646</t>
  </si>
  <si>
    <t>VANGUARD S&amp;P MID-CAP 400 ETF</t>
  </si>
  <si>
    <t>US9219328856</t>
  </si>
  <si>
    <t>קסם קרן סל תל בונד 60</t>
  </si>
  <si>
    <t>IL0011462327</t>
  </si>
  <si>
    <t>INVESCO KBW BANK ETF</t>
  </si>
  <si>
    <t>US46138E6288</t>
  </si>
  <si>
    <t>SPDR S&amp;P US TECHNOLOGY SELECT</t>
  </si>
  <si>
    <t>IE00BWBXM948</t>
  </si>
  <si>
    <t>מור סל S&amp;P 500 ממ</t>
  </si>
  <si>
    <t>IL0011658288</t>
  </si>
  <si>
    <t>MTF סל (S&amp;P 500 (4D</t>
  </si>
  <si>
    <t>IL0011503336</t>
  </si>
  <si>
    <t>מור סל )4D(י S&amp;P 500</t>
  </si>
  <si>
    <t>IL0011658106</t>
  </si>
  <si>
    <t>פסגות קרן סל SP500</t>
  </si>
  <si>
    <t>IL0011481624</t>
  </si>
  <si>
    <t>תכלית 500 PR P&amp;S</t>
  </si>
  <si>
    <t>IL0011443855</t>
  </si>
  <si>
    <t>SPDR S&amp;P 500 ETF TRUST</t>
  </si>
  <si>
    <t>US78462F1030</t>
  </si>
  <si>
    <t>נובה מכשירי מדידה בע"מ</t>
  </si>
  <si>
    <t>511812463</t>
  </si>
  <si>
    <t>Nova measuring inst</t>
  </si>
  <si>
    <t>IL0010845571</t>
  </si>
  <si>
    <t>אי.טי.גי. איי גרופ בע"מ</t>
  </si>
  <si>
    <t>513764399</t>
  </si>
  <si>
    <t>אי. טי. ג'י. איי</t>
  </si>
  <si>
    <t>IL0011761140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</si>
  <si>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</si>
  <si>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</si>
  <si>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</si>
  <si>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</si>
  <si>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</si>
  <si>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</si>
  <si>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</si>
  <si>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</si>
  <si>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</si>
  <si>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</si>
  <si>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</si>
  <si>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</si>
  <si>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</si>
  <si>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</si>
  <si>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</si>
  <si>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</si>
  <si>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</si>
  <si>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</si>
  <si>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</si>
  <si>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</si>
  <si>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</si>
  <si>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</si>
  <si>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</si>
  <si>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</si>
  <si>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</si>
  <si>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</si>
  <si>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</si>
  <si>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</si>
  <si>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</si>
  <si>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</si>
  <si>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</si>
  <si>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</si>
  <si>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</si>
  <si>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</si>
  <si>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</si>
  <si>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</si>
  <si>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</si>
  <si>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</si>
  <si>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</si>
  <si>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</si>
  <si>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</si>
  <si>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</si>
  <si>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</si>
  <si>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</si>
  <si>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</si>
  <si>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</si>
  <si>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</si>
  <si>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</si>
  <si>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</si>
  <si>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</si>
  <si>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</si>
  <si>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</si>
  <si>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</si>
  <si>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</si>
  <si>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</si>
  <si>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</si>
  <si>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</si>
  <si>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</si>
  <si>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</si>
  <si>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</si>
  <si>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</si>
  <si>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</si>
  <si>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</si>
  <si>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</si>
  <si>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</si>
  <si>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</si>
  <si>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</si>
  <si>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</si>
  <si>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</si>
  <si>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</si>
  <si>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</si>
  <si>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</si>
  <si>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</si>
  <si>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</si>
  <si>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</si>
  <si>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</si>
  <si>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</si>
  <si>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</si>
  <si>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</si>
  <si>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</si>
  <si>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</si>
  <si>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</si>
  <si>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</si>
  <si>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</si>
  <si>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</si>
  <si>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</si>
  <si>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</si>
  <si>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</si>
  <si>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</si>
  <si>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</si>
  <si>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</si>
  <si>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</si>
  <si>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</si>
  <si>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</si>
  <si>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</si>
  <si>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</si>
  <si>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</si>
  <si>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</si>
  <si>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</si>
  <si>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</si>
  <si>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ריט 1 בע"מ</t>
  </si>
  <si>
    <t>513821488</t>
  </si>
  <si>
    <t>ריט 1</t>
  </si>
  <si>
    <t>IL0010989205</t>
  </si>
  <si>
    <t>רציו חיפושי נפט (1992) - שותפות מוגבלת</t>
  </si>
  <si>
    <t>550012777</t>
  </si>
  <si>
    <t>רציו יהש</t>
  </si>
  <si>
    <t>IL0003940157</t>
  </si>
  <si>
    <t>תדיראן גרופ בע"מ</t>
  </si>
  <si>
    <t>520036732</t>
  </si>
  <si>
    <t>תדיראן גרופ</t>
  </si>
  <si>
    <t>IL0002580129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</si>
  <si>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</si>
  <si>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</si>
  <si>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</si>
  <si>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</si>
  <si>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</si>
  <si>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</si>
  <si>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</si>
  <si>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</si>
  <si>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איירפורט סיטי בע"מ</t>
  </si>
  <si>
    <t>511659401</t>
  </si>
  <si>
    <t>אירפורט סיטי</t>
  </si>
  <si>
    <t>IL0010958358</t>
  </si>
  <si>
    <t xml:space="preserve">אלמור חשמל התקנות ושירותים (1986) בע"מ </t>
  </si>
  <si>
    <t>511164907</t>
  </si>
  <si>
    <t>אלמור חשמל</t>
  </si>
  <si>
    <t>IL0011424541</t>
  </si>
  <si>
    <t>Energean plc</t>
  </si>
  <si>
    <t>549300RVMKU0CYUZBB05</t>
  </si>
  <si>
    <t>אנרג'יאן</t>
  </si>
  <si>
    <t>GB00BG12Y042</t>
  </si>
  <si>
    <t>בתי זקוק לנפט בע"מ</t>
  </si>
  <si>
    <t>520036658</t>
  </si>
  <si>
    <t>בזן</t>
  </si>
  <si>
    <t>IL0025902482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</si>
  <si>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</si>
  <si>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</si>
  <si>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</si>
  <si>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</si>
  <si>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</si>
  <si>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</si>
  <si>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</si>
  <si>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</si>
  <si>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קבוצת דלק בע"מ</t>
  </si>
  <si>
    <t>520044322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</si>
  <si>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</si>
  <si>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</si>
  <si>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</si>
  <si>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</si>
  <si>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</si>
  <si>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</si>
  <si>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</si>
  <si>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</si>
  <si>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</si>
  <si>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</si>
  <si>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</si>
  <si>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</si>
  <si>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</si>
  <si>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</si>
  <si>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</si>
  <si>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</si>
  <si>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</si>
  <si>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</si>
  <si>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לסיכו בע"מ</t>
  </si>
  <si>
    <t>510512056</t>
  </si>
  <si>
    <t>לסיכו</t>
  </si>
  <si>
    <t>IL0011409468</t>
  </si>
  <si>
    <t>מבנה נדל"ן (כ.ד)  בע"מ</t>
  </si>
  <si>
    <t>520024126</t>
  </si>
  <si>
    <t>מבנה</t>
  </si>
  <si>
    <t>IL0002260193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</si>
  <si>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</si>
  <si>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</si>
  <si>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</si>
  <si>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</si>
  <si>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</si>
  <si>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</si>
  <si>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</si>
  <si>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</si>
  <si>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</si>
  <si>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</si>
  <si>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</si>
  <si>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</si>
  <si>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</si>
  <si>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</si>
  <si>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</si>
  <si>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</si>
  <si>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Advanced Micro Devices inc</t>
  </si>
  <si>
    <t>R2I72C950HOYXII45366</t>
  </si>
  <si>
    <t>ADVANCED MICRO DEVICES INC</t>
  </si>
  <si>
    <t>US0079031078</t>
  </si>
  <si>
    <t>amazon.com</t>
  </si>
  <si>
    <t>549300LQHH5G4WPME241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</si>
  <si>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</si>
  <si>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</si>
  <si>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</si>
  <si>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</si>
  <si>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</si>
  <si>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</si>
  <si>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ATERIAN INC</t>
  </si>
  <si>
    <t>11303</t>
  </si>
  <si>
    <t>US02156U2006</t>
  </si>
  <si>
    <t>Broadcom Inc</t>
  </si>
  <si>
    <t>549300GR48KUO03W2V88</t>
  </si>
  <si>
    <t>BROADCOM LTD</t>
  </si>
  <si>
    <t>US11135F1012</t>
  </si>
  <si>
    <t>CAMTEK LTDQ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</si>
  <si>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</si>
  <si>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</si>
  <si>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</si>
  <si>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</si>
  <si>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</si>
  <si>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7ZW8QJWVPR4P1J1KQY45</t>
  </si>
  <si>
    <t>Google Inc</t>
  </si>
  <si>
    <t>US38259P5089</t>
  </si>
  <si>
    <t>Google Us Class c</t>
  </si>
  <si>
    <t>US02079K1079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</si>
  <si>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</si>
  <si>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</si>
  <si>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</si>
  <si>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</si>
  <si>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</si>
  <si>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</si>
  <si>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</si>
  <si>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</si>
  <si>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</si>
  <si>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</si>
  <si>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</si>
  <si>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</si>
  <si>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</si>
  <si>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LTD</t>
  </si>
  <si>
    <t>254900YTY4EF5Z4W0A51</t>
  </si>
  <si>
    <t>NICE SYS ADR</t>
  </si>
  <si>
    <t>US6536561086</t>
  </si>
  <si>
    <t>Nutrien Ltd</t>
  </si>
  <si>
    <t>5493002QQ7GD21OWF963</t>
  </si>
  <si>
    <t>NUTRIEN LTD</t>
  </si>
  <si>
    <t>CA67077M1086</t>
  </si>
  <si>
    <t>NVIDIA CORP</t>
  </si>
  <si>
    <t>549300S4KLFTLO7GSQ80</t>
  </si>
  <si>
    <t>Nvidia corp</t>
  </si>
  <si>
    <t>US67066G1040</t>
  </si>
  <si>
    <t>Ormat Technologies</t>
  </si>
  <si>
    <t>Paypal Holdings inc</t>
  </si>
  <si>
    <t>5493005X2GO78EFZ3E94</t>
  </si>
  <si>
    <t>Paypal Holdings</t>
  </si>
  <si>
    <t>US70450Y1038</t>
  </si>
  <si>
    <t>Samsung Electronics co ltd</t>
  </si>
  <si>
    <t>9884007ER46L6N7EI764</t>
  </si>
  <si>
    <t>Samsung Electronics Co Lt</t>
  </si>
  <si>
    <t>US7960508882</t>
  </si>
  <si>
    <t>SCOUTCAM מניה פיקטיבית</t>
  </si>
  <si>
    <t>us81063v1052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</si>
  <si>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</si>
  <si>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</si>
  <si>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</si>
  <si>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</si>
  <si>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</si>
  <si>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</si>
  <si>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</si>
  <si>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</si>
  <si>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</si>
  <si>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</si>
  <si>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</si>
  <si>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Adobe Inc</t>
  </si>
  <si>
    <t>FU4LY2G4933NH2E1CP29</t>
  </si>
  <si>
    <t>ADOBE INC</t>
  </si>
  <si>
    <t>US00724F1012</t>
  </si>
  <si>
    <t>APPLE COMPUTER INC</t>
  </si>
  <si>
    <t>HWUPKR0MPOU8FGXBT394</t>
  </si>
  <si>
    <t>APPLE INC</t>
  </si>
  <si>
    <t>US0378331005</t>
  </si>
  <si>
    <t>BERKSHIRE HATHAWAY FIN</t>
  </si>
  <si>
    <t>5493000C01ZX7D35SD85</t>
  </si>
  <si>
    <t>BERKSHIRE HATHAWAY INC</t>
  </si>
  <si>
    <t>US0846702076</t>
  </si>
  <si>
    <t>BOEING CO</t>
  </si>
  <si>
    <t>549300U5Y5EL6PHYLF13</t>
  </si>
  <si>
    <t>Boeing Co</t>
  </si>
  <si>
    <t>US0970231058</t>
  </si>
  <si>
    <t>Delta Air Lines, Inc</t>
  </si>
  <si>
    <t>Q2CCMS6R0AS67HJMBN42</t>
  </si>
  <si>
    <t>DELTA AIR LINES INC</t>
  </si>
  <si>
    <t>US2473617023</t>
  </si>
  <si>
    <t>EXXON MOBIL CORP</t>
  </si>
  <si>
    <t>J3WHBG0MTS7O8ZVMDC91</t>
  </si>
  <si>
    <t>US30231G1022</t>
  </si>
  <si>
    <t>Meta Platforms Inc</t>
  </si>
  <si>
    <t>BQ4BKCS1HXDV9HN80Z93</t>
  </si>
  <si>
    <t>Facebook Inc</t>
  </si>
  <si>
    <t>US30303M1027</t>
  </si>
  <si>
    <t>Freeport- McmoRan Copper &amp; Gold Inc</t>
  </si>
  <si>
    <t>549300IRDTHJQ1PVET45</t>
  </si>
  <si>
    <t>FREEPORT MCMORAN INC</t>
  </si>
  <si>
    <t>US35671D8570</t>
  </si>
  <si>
    <t>GENERAL ELEC CAP</t>
  </si>
  <si>
    <t>P0H32NFVTA51I1N8SJ31</t>
  </si>
  <si>
    <t>GENERAL ELECTRIC CO</t>
  </si>
  <si>
    <t>US3696043013</t>
  </si>
  <si>
    <t>Ibi Lion SA Sociedad</t>
  </si>
  <si>
    <t>959800EJ2LEQTV090B71</t>
  </si>
  <si>
    <t>IBI lion SASoc</t>
  </si>
  <si>
    <t>ES0105633004</t>
  </si>
  <si>
    <t>INTUIT INC</t>
  </si>
  <si>
    <t>VI90HBPH7XSFMB9E4M29</t>
  </si>
  <si>
    <t>US4612021034</t>
  </si>
  <si>
    <t>TechnoloHardwa,Storage&amp;Periph</t>
  </si>
  <si>
    <t>JPMORGAN CHASE</t>
  </si>
  <si>
    <t>8I5DZWZKVSZI1NUHU748</t>
  </si>
  <si>
    <t>JPMORGAN CHASE &amp; CO</t>
  </si>
  <si>
    <t>US46625H1005</t>
  </si>
  <si>
    <t>MCKESSON CORP</t>
  </si>
  <si>
    <t>549300WZWOM80UCFSF54</t>
  </si>
  <si>
    <t>US58155Q1031</t>
  </si>
  <si>
    <t>NIKE INC</t>
  </si>
  <si>
    <t>787RXPR0UX0O0XUXPZ81</t>
  </si>
  <si>
    <t>US6541061031</t>
  </si>
  <si>
    <t>Palo alto networks inc</t>
  </si>
  <si>
    <t>549300QXR2YVZV231H43</t>
  </si>
  <si>
    <t>PALO ALTO NETWORKS INC</t>
  </si>
  <si>
    <t>US6974351057</t>
  </si>
  <si>
    <t>SHELL INTERNATIONAL FIN</t>
  </si>
  <si>
    <t>213800ITMMKU4Z7I4F78</t>
  </si>
  <si>
    <t>SHELL PLC</t>
  </si>
  <si>
    <t>GB00BP6MXD84</t>
  </si>
  <si>
    <t>TAIWAN Semiconductor</t>
  </si>
  <si>
    <t>549300KB6NK5SBD14S87</t>
  </si>
  <si>
    <t>TAIWAN SEMICON ADR</t>
  </si>
  <si>
    <t>US8740391003</t>
  </si>
  <si>
    <t>UBER TECHNOLOGIE</t>
  </si>
  <si>
    <t>549300B2FTG34FILDR98</t>
  </si>
  <si>
    <t>UBER TECHNOLOGIES INC</t>
  </si>
  <si>
    <t>US90353T1007</t>
  </si>
  <si>
    <t>UNITEDHEALTH GROUP</t>
  </si>
  <si>
    <t>549300GHBMY8T5GXDE41</t>
  </si>
  <si>
    <t>UNITEDHEALTH GROUP INC</t>
  </si>
  <si>
    <t>US91324P1021</t>
  </si>
  <si>
    <t>Walt Disney Company</t>
  </si>
  <si>
    <t>549300GZKULIZ0WOW665</t>
  </si>
  <si>
    <t>WALT DISNEY CO</t>
  </si>
  <si>
    <t>US2546871060</t>
  </si>
  <si>
    <t>WELLS FARGO COMPANY</t>
  </si>
  <si>
    <t>PBLD0EJDB5FWOLXP3B76</t>
  </si>
  <si>
    <t>WELLS FARGO &amp; CO</t>
  </si>
  <si>
    <t>us9497461015</t>
  </si>
  <si>
    <t>ישראמקו נגב 2 שותפות מוגבלת</t>
  </si>
  <si>
    <t>550010003</t>
  </si>
  <si>
    <t>ישראמקו יהש</t>
  </si>
  <si>
    <t>IL0002320179</t>
  </si>
  <si>
    <t>JOHNSON &amp; JOHNSON</t>
  </si>
  <si>
    <t>549300R22LSX6OHWEN64</t>
  </si>
  <si>
    <t>US4781601046</t>
  </si>
  <si>
    <t>DELL INC</t>
  </si>
  <si>
    <t>3E70L4WYANTIWWIPHC81</t>
  </si>
  <si>
    <t>DELL 5 1/4 02/01/28</t>
  </si>
  <si>
    <t>US24703DBJ90</t>
  </si>
  <si>
    <t>BBB</t>
  </si>
  <si>
    <t>01/02/2028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</si>
  <si>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</si>
  <si>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</si>
  <si>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</si>
  <si>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</si>
  <si>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</si>
  <si>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</si>
  <si>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</si>
  <si>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</si>
  <si>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</si>
  <si>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</si>
  <si>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</si>
  <si>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</si>
  <si>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 xml:space="preserve">אול-יר  הולדינגס לימיטד </t>
  </si>
  <si>
    <t>1841580</t>
  </si>
  <si>
    <t>אול-יר אג"ח ה' חסום 2040720</t>
  </si>
  <si>
    <t>IL001433047</t>
  </si>
  <si>
    <t>A3</t>
  </si>
  <si>
    <t>31/07/2024</t>
  </si>
  <si>
    <t>איירפורט אגח ה</t>
  </si>
  <si>
    <t>IL0011334872</t>
  </si>
  <si>
    <t>AA</t>
  </si>
  <si>
    <t>איירפורט אגח י</t>
  </si>
  <si>
    <t>IL0011959819</t>
  </si>
  <si>
    <t>30/04/2029</t>
  </si>
  <si>
    <t>אלבר שירותי מימונית בע"מ</t>
  </si>
  <si>
    <t>512025891</t>
  </si>
  <si>
    <t>אלבר אגח טז 062024</t>
  </si>
  <si>
    <t>IL0011398232</t>
  </si>
  <si>
    <t>20/06/2024</t>
  </si>
  <si>
    <t>אלדן תחבורה בע"מ</t>
  </si>
  <si>
    <t>510454333</t>
  </si>
  <si>
    <t>אלדן תחבורה אגח ח</t>
  </si>
  <si>
    <t>IL0011924425</t>
  </si>
  <si>
    <t>30/09/2029</t>
  </si>
  <si>
    <t>אלוני חץ  אגח ט</t>
  </si>
  <si>
    <t>IL0039003541</t>
  </si>
  <si>
    <t>28/02/2027</t>
  </si>
  <si>
    <t>אלוני חץ אגח טו</t>
  </si>
  <si>
    <t>IL0011894149</t>
  </si>
  <si>
    <t>Aa3</t>
  </si>
  <si>
    <t>28/02/2037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</si>
  <si>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</si>
  <si>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</si>
  <si>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</si>
  <si>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</si>
  <si>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</si>
  <si>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</si>
  <si>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</si>
  <si>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</si>
  <si>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</si>
  <si>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</si>
  <si>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Aa2</t>
  </si>
  <si>
    <t>02/07/2028</t>
  </si>
  <si>
    <t>אמות אגח ח</t>
  </si>
  <si>
    <t>IL0011727828</t>
  </si>
  <si>
    <t>05/01/2032</t>
  </si>
  <si>
    <t>אנלייט אנר אגח ו</t>
  </si>
  <si>
    <t>IL0072001733</t>
  </si>
  <si>
    <t>01/09/2026</t>
  </si>
  <si>
    <t>אנרג'יקס אגח א</t>
  </si>
  <si>
    <t>IL0011617516</t>
  </si>
  <si>
    <t>01/08/2030</t>
  </si>
  <si>
    <t>בזן  אגח ט</t>
  </si>
  <si>
    <t>IL0025904611</t>
  </si>
  <si>
    <t>30/09/2025</t>
  </si>
  <si>
    <t>בזן אגח יב</t>
  </si>
  <si>
    <t>IL0025905782</t>
  </si>
  <si>
    <t>25/09/2029</t>
  </si>
  <si>
    <t>בזק אגח 9</t>
  </si>
  <si>
    <t>IL0023001766</t>
  </si>
  <si>
    <t>01/12/2025</t>
  </si>
  <si>
    <t>ביג אגח ז</t>
  </si>
  <si>
    <t>IL0011360844</t>
  </si>
  <si>
    <t>11/05/2025</t>
  </si>
  <si>
    <t>ביג אגח טו</t>
  </si>
  <si>
    <t>IL0011622219</t>
  </si>
  <si>
    <t>31/01/2030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</si>
  <si>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</si>
  <si>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</si>
  <si>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</si>
  <si>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</si>
  <si>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</si>
  <si>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</si>
  <si>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</si>
  <si>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</si>
  <si>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בינל הנפק אגח יא</t>
  </si>
  <si>
    <t>IL0011670481</t>
  </si>
  <si>
    <t>23/06/2024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</si>
  <si>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</si>
  <si>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</si>
  <si>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</si>
  <si>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</si>
  <si>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</si>
  <si>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</si>
  <si>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ט</t>
  </si>
  <si>
    <t>IL0075902192</t>
  </si>
  <si>
    <t>30/06/2033</t>
  </si>
  <si>
    <t>גב ים סד' ו'</t>
  </si>
  <si>
    <t>IL0075901285</t>
  </si>
  <si>
    <t>ג'י סיטי בע"מ</t>
  </si>
  <si>
    <t>520033234</t>
  </si>
  <si>
    <t>ג'י סיטי  אגח יא</t>
  </si>
  <si>
    <t>IL0012605460</t>
  </si>
  <si>
    <t>30/09/2024</t>
  </si>
  <si>
    <t>ג'י סיטי אגח יב</t>
  </si>
  <si>
    <t>IL0012606039</t>
  </si>
  <si>
    <t>30/06/2027</t>
  </si>
  <si>
    <t>דור אלון אנרגיה בישראל (1988) בע"מ</t>
  </si>
  <si>
    <t>520043878</t>
  </si>
  <si>
    <t>דור אלון אגח ז</t>
  </si>
  <si>
    <t>IL0011577009</t>
  </si>
  <si>
    <t>30/09/2027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</si>
  <si>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</si>
  <si>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</si>
  <si>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</si>
  <si>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</si>
  <si>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</si>
  <si>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</si>
  <si>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</si>
  <si>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</si>
  <si>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דלתא אגח א</t>
  </si>
  <si>
    <t>IL0062701441</t>
  </si>
  <si>
    <t>31/08/2028</t>
  </si>
  <si>
    <t>חברת הכשרת הישוב בישראל בע"מ</t>
  </si>
  <si>
    <t>520020116</t>
  </si>
  <si>
    <t>הכשרת ישוב אגח 21</t>
  </si>
  <si>
    <t>IL0061202243</t>
  </si>
  <si>
    <t>A</t>
  </si>
  <si>
    <t>31/12/2027</t>
  </si>
  <si>
    <t>הכשרת ישוב אגח 22</t>
  </si>
  <si>
    <t>IL0061202409</t>
  </si>
  <si>
    <t>A-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</si>
  <si>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</si>
  <si>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</si>
  <si>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</si>
  <si>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</si>
  <si>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</si>
  <si>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</si>
  <si>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</si>
  <si>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</si>
  <si>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הנפק אגח ז</t>
  </si>
  <si>
    <t>IL0011260770</t>
  </si>
  <si>
    <t>31/05/2024</t>
  </si>
  <si>
    <t>הראל הנפקות אגח יט</t>
  </si>
  <si>
    <t>IL0011927725</t>
  </si>
  <si>
    <t>31/12/2029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</si>
  <si>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</si>
  <si>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</si>
  <si>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</si>
  <si>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</si>
  <si>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</si>
  <si>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אג"ח 11</t>
  </si>
  <si>
    <t>IL0057602448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</si>
  <si>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</si>
  <si>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</si>
  <si>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</si>
  <si>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</si>
  <si>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</si>
  <si>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</si>
  <si>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</si>
  <si>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Aa1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</si>
  <si>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</si>
  <si>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</si>
  <si>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</si>
  <si>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</si>
  <si>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</si>
  <si>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</si>
  <si>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</si>
  <si>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</si>
  <si>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</si>
  <si>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</si>
  <si>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</si>
  <si>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</si>
  <si>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12/06/2033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</si>
  <si>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</si>
  <si>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</si>
  <si>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</si>
  <si>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</si>
  <si>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</si>
  <si>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</si>
  <si>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</si>
  <si>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</si>
  <si>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</si>
  <si>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</si>
  <si>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</si>
  <si>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</si>
  <si>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</si>
  <si>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</si>
  <si>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</si>
  <si>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לאומי   אגח 179</t>
  </si>
  <si>
    <t>IL0060403727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</si>
  <si>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</si>
  <si>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</si>
  <si>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</si>
  <si>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</si>
  <si>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</si>
  <si>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</si>
  <si>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</si>
  <si>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</si>
  <si>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</si>
  <si>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מבני תעש אגח כג</t>
  </si>
  <si>
    <t>IL0022605450</t>
  </si>
  <si>
    <t>30/09/2026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</si>
  <si>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</si>
  <si>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</si>
  <si>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</si>
  <si>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</si>
  <si>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</si>
  <si>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</si>
  <si>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הון  אגח ו</t>
  </si>
  <si>
    <t>IL0011427858</t>
  </si>
  <si>
    <t>A1</t>
  </si>
  <si>
    <t>מגדל הון אגח ט</t>
  </si>
  <si>
    <t>IL0011856288</t>
  </si>
  <si>
    <t>31/03/2028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</si>
  <si>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</si>
  <si>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</si>
  <si>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</si>
  <si>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</si>
  <si>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</si>
  <si>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</si>
  <si>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</si>
  <si>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</si>
  <si>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</si>
  <si>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</si>
  <si>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</si>
  <si>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</si>
  <si>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</si>
  <si>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</si>
  <si>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</si>
  <si>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</si>
  <si>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</si>
  <si>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</si>
  <si>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 אגח60</t>
  </si>
  <si>
    <t>IL0023104560</t>
  </si>
  <si>
    <t>05/09/2024</t>
  </si>
  <si>
    <t>מז טפ הנפ אגח61</t>
  </si>
  <si>
    <t>IL0023104644</t>
  </si>
  <si>
    <t>04/12/2026</t>
  </si>
  <si>
    <t>מז טפחות הנפ אגח57</t>
  </si>
  <si>
    <t>IL0023104230</t>
  </si>
  <si>
    <t>01/03/2025</t>
  </si>
  <si>
    <t>מזרחי הנפקות 40</t>
  </si>
  <si>
    <t>IL0023101673</t>
  </si>
  <si>
    <t>מזרחי טפחות הנ אגח 66</t>
  </si>
  <si>
    <t>IL0011916678</t>
  </si>
  <si>
    <t>08/12/2031</t>
  </si>
  <si>
    <t>מזרחי טפחות הנפ 9/24</t>
  </si>
  <si>
    <t>IL0023102176</t>
  </si>
  <si>
    <t>29/09/2024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</si>
  <si>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</si>
  <si>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</si>
  <si>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</si>
  <si>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</si>
  <si>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</si>
  <si>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</si>
  <si>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</si>
  <si>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אגח ו  חסום עד 13.9.2025</t>
  </si>
  <si>
    <t>IL0011916595</t>
  </si>
  <si>
    <t>מימון ישיר אגח ו חסום עד 23.01.25</t>
  </si>
  <si>
    <t>מימון ישיר ד</t>
  </si>
  <si>
    <t>IL0011756603</t>
  </si>
  <si>
    <t>01/02/2026</t>
  </si>
  <si>
    <t>מליסרון  אגח יח</t>
  </si>
  <si>
    <t>IL0032303724</t>
  </si>
  <si>
    <t>מליסרון  אגח כא</t>
  </si>
  <si>
    <t>IL0011946386</t>
  </si>
  <si>
    <t>01/01/2037</t>
  </si>
  <si>
    <t>מליסרון אגח י'</t>
  </si>
  <si>
    <t>IL0032301900</t>
  </si>
  <si>
    <t>10/07/2025</t>
  </si>
  <si>
    <t>מליסרון אגח יא</t>
  </si>
  <si>
    <t>IL0032302080</t>
  </si>
  <si>
    <t>מנורה מבטחים החזקות בע"מ</t>
  </si>
  <si>
    <t>520007469</t>
  </si>
  <si>
    <t>מנורה מב  אגח ג</t>
  </si>
  <si>
    <t>IL0056600633</t>
  </si>
  <si>
    <t>חברה לנכסים ולבנין בע"מ</t>
  </si>
  <si>
    <t>520025438</t>
  </si>
  <si>
    <t>נכסים ובנין אגח י</t>
  </si>
  <si>
    <t>IL0011936304</t>
  </si>
  <si>
    <t>01/07/2029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</si>
  <si>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</si>
  <si>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</si>
  <si>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</si>
  <si>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</si>
  <si>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</si>
  <si>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</si>
  <si>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</si>
  <si>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</si>
  <si>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</t>
  </si>
  <si>
    <t>IL0011392458</t>
  </si>
  <si>
    <t>05/07/2026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</si>
  <si>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</si>
  <si>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</si>
  <si>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</si>
  <si>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</si>
  <si>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</si>
  <si>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</si>
  <si>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</si>
  <si>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AA+</t>
  </si>
  <si>
    <t>02/07/2036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</si>
  <si>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</si>
  <si>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</si>
  <si>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</si>
  <si>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</si>
  <si>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</si>
  <si>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</si>
  <si>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</si>
  <si>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</si>
  <si>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</si>
  <si>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</si>
  <si>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</si>
  <si>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</si>
  <si>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</si>
  <si>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</si>
  <si>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פז חברת הנפט בע"מ</t>
  </si>
  <si>
    <t>510216054</t>
  </si>
  <si>
    <t>פז נפט  ו</t>
  </si>
  <si>
    <t>IL0011395428</t>
  </si>
  <si>
    <t>30/11/2028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</si>
  <si>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</si>
  <si>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</si>
  <si>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</si>
  <si>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</si>
  <si>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</si>
  <si>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יא</t>
  </si>
  <si>
    <t>IL0011593592</t>
  </si>
  <si>
    <t>פתאל נכסים(אירופה)בע"מ</t>
  </si>
  <si>
    <t>515328250</t>
  </si>
  <si>
    <t>פתאל אירו אגח א</t>
  </si>
  <si>
    <t>IL0011375123</t>
  </si>
  <si>
    <t>15/08/2025</t>
  </si>
  <si>
    <t>קרסו מוטורס בע"מ</t>
  </si>
  <si>
    <t>514065283</t>
  </si>
  <si>
    <t>קרסו מוטורס   אגח ג</t>
  </si>
  <si>
    <t>IL0011418295</t>
  </si>
  <si>
    <t>01/09/2027</t>
  </si>
  <si>
    <t>רבוע נדלן אגח ו</t>
  </si>
  <si>
    <t>IL0011406076</t>
  </si>
  <si>
    <t>30/11/2026</t>
  </si>
  <si>
    <t>רבוע נדלן אגח ז</t>
  </si>
  <si>
    <t>IL0011406159</t>
  </si>
  <si>
    <t>ריט 1 אגח ד</t>
  </si>
  <si>
    <t>IL0011298994</t>
  </si>
  <si>
    <t>20/09/2024</t>
  </si>
  <si>
    <t>ריט 1 סד ה</t>
  </si>
  <si>
    <t>IL0011367534</t>
  </si>
  <si>
    <t>20/09/2028</t>
  </si>
  <si>
    <t>שופר-סל בע"מ</t>
  </si>
  <si>
    <t>520022732</t>
  </si>
  <si>
    <t>שופרסל אגח ד</t>
  </si>
  <si>
    <t>IL0077701915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</si>
  <si>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</si>
  <si>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</si>
  <si>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</si>
  <si>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</si>
  <si>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</si>
  <si>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</si>
  <si>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</si>
  <si>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</si>
  <si>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</si>
  <si>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</si>
  <si>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</si>
  <si>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</si>
  <si>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</si>
  <si>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יט</t>
  </si>
  <si>
    <t>IL0011927311</t>
  </si>
  <si>
    <t>21/12/2031</t>
  </si>
  <si>
    <t>תמר פטרוליום בעמ</t>
  </si>
  <si>
    <t>515334662</t>
  </si>
  <si>
    <t>תמר פטרוליום אגח א</t>
  </si>
  <si>
    <t>IL0011413320</t>
  </si>
  <si>
    <t>30/08/2028</t>
  </si>
  <si>
    <t>לוויתן בונד בע"מ</t>
  </si>
  <si>
    <t>516223864</t>
  </si>
  <si>
    <t>LVIATH 6.75  06/30/30</t>
  </si>
  <si>
    <t>IL0011677908</t>
  </si>
  <si>
    <t>BB-</t>
  </si>
  <si>
    <t>אלביט מערכות ב' 1.08%</t>
  </si>
  <si>
    <t>IL0011782351</t>
  </si>
  <si>
    <t>אלבר אג"ח יח</t>
  </si>
  <si>
    <t>IL0011587404</t>
  </si>
  <si>
    <t>13/01/2027</t>
  </si>
  <si>
    <t>אלון רבוע כחול ישראל בעמ</t>
  </si>
  <si>
    <t>520042847</t>
  </si>
  <si>
    <t>אלון רבוע כחול אגח ו</t>
  </si>
  <si>
    <t>IL0011691271</t>
  </si>
  <si>
    <t>אלרוב נדל"ן ומלונאות בע"מ</t>
  </si>
  <si>
    <t>520038894</t>
  </si>
  <si>
    <t>אלרוב נדלן אג"ח ו</t>
  </si>
  <si>
    <t>IL0038701855</t>
  </si>
  <si>
    <t>01/10/2027</t>
  </si>
  <si>
    <t>אמות אגח ו</t>
  </si>
  <si>
    <t>IL0011586091</t>
  </si>
  <si>
    <t>03/10/2029</t>
  </si>
  <si>
    <t>אמות אגח ז</t>
  </si>
  <si>
    <t>IL0011628661</t>
  </si>
  <si>
    <t>אפי נכסים בע"מ</t>
  </si>
  <si>
    <t>510560188</t>
  </si>
  <si>
    <t>אפי נכסים אגח 8</t>
  </si>
  <si>
    <t>IL0011422313</t>
  </si>
  <si>
    <t>15/10/2026</t>
  </si>
  <si>
    <t>בזק אגח 11</t>
  </si>
  <si>
    <t>IL0023002343</t>
  </si>
  <si>
    <t>02/06/2030</t>
  </si>
  <si>
    <t>בזק אגח 12</t>
  </si>
  <si>
    <t>IL0023002426</t>
  </si>
  <si>
    <t>בי קומיוניקיישנס בע"מ לשעבר סמייל 012</t>
  </si>
  <si>
    <t>512832742</t>
  </si>
  <si>
    <t>בי קומיוניקיישנס אגח ו</t>
  </si>
  <si>
    <t>IL0011781510</t>
  </si>
  <si>
    <t>ביג אג"ח כ"א</t>
  </si>
  <si>
    <t>IL0012022179</t>
  </si>
  <si>
    <t>03/07/2030</t>
  </si>
  <si>
    <t>ביג אגח יד</t>
  </si>
  <si>
    <t>IL0011615122</t>
  </si>
  <si>
    <t>30/11/2025</t>
  </si>
  <si>
    <t>גב ים אגח ח</t>
  </si>
  <si>
    <t>IL0075901517</t>
  </si>
  <si>
    <t>ג'נריישן קפיטל בע"מ</t>
  </si>
  <si>
    <t>515846558</t>
  </si>
  <si>
    <t>ג'נריישן קפיטל אגח ב</t>
  </si>
  <si>
    <t>IL0011775264</t>
  </si>
  <si>
    <t>30/06/2031</t>
  </si>
  <si>
    <t>דיסקונט אגח יד</t>
  </si>
  <si>
    <t>IL0074801635</t>
  </si>
  <si>
    <t>05/12/2030</t>
  </si>
  <si>
    <t>חשמל אגח 35</t>
  </si>
  <si>
    <t>IL0011967994</t>
  </si>
  <si>
    <t>12/06/2037</t>
  </si>
  <si>
    <t>ישרס אגח טז</t>
  </si>
  <si>
    <t>IL0061302233</t>
  </si>
  <si>
    <t>30/07/2031</t>
  </si>
  <si>
    <t>כלל מימון אגח יב</t>
  </si>
  <si>
    <t>IL0011799280</t>
  </si>
  <si>
    <t>31/03/2032</t>
  </si>
  <si>
    <t>לאומי אגח 184</t>
  </si>
  <si>
    <t>IL0060406043</t>
  </si>
  <si>
    <t>05/05/2030</t>
  </si>
  <si>
    <t>מבנה אגח כה</t>
  </si>
  <si>
    <t>IL0022606367</t>
  </si>
  <si>
    <t>30/09/2033</t>
  </si>
  <si>
    <t>מבני תעשיה  אגח כ</t>
  </si>
  <si>
    <t>IL0022604958</t>
  </si>
  <si>
    <t>מגדל הון אגח ז</t>
  </si>
  <si>
    <t>IL0011560419</t>
  </si>
  <si>
    <t>31/12/2026</t>
  </si>
  <si>
    <t>מזרחי טפחות הנפק אגח 64</t>
  </si>
  <si>
    <t>IL0023105559</t>
  </si>
  <si>
    <t>13/04/2031</t>
  </si>
  <si>
    <t>מימון ישיר אגח ו</t>
  </si>
  <si>
    <t>מליסרון אגח יז</t>
  </si>
  <si>
    <t>IL0032302734</t>
  </si>
  <si>
    <t>01/01/2032</t>
  </si>
  <si>
    <t>מקורות חברת מים בע"מ</t>
  </si>
  <si>
    <t>520010869</t>
  </si>
  <si>
    <t>מקורות אגח 11</t>
  </si>
  <si>
    <t>IL0011584765</t>
  </si>
  <si>
    <t>31/12/2053</t>
  </si>
  <si>
    <t>סלקום אגח יב</t>
  </si>
  <si>
    <t>IL0011430803</t>
  </si>
  <si>
    <t>05/01/2028</t>
  </si>
  <si>
    <t>עזריאלי אגח ו</t>
  </si>
  <si>
    <t>IL0011566119</t>
  </si>
  <si>
    <t>31/12/2032</t>
  </si>
  <si>
    <t>פז נפט  אגח ח</t>
  </si>
  <si>
    <t>IL0011628174</t>
  </si>
  <si>
    <t>פז נפט אגח ז</t>
  </si>
  <si>
    <t>IL0011425951</t>
  </si>
  <si>
    <t>01/12/2030</t>
  </si>
  <si>
    <t>פסיפיק אוק אסאואר(בי וי איי) הולדינגס</t>
  </si>
  <si>
    <t>1900288</t>
  </si>
  <si>
    <t>פסיפיק אגח ג</t>
  </si>
  <si>
    <t>IL0011976805</t>
  </si>
  <si>
    <t>קיסטון ריט בע"מ</t>
  </si>
  <si>
    <t>515983476</t>
  </si>
  <si>
    <t>קיסטון ריט אגח א</t>
  </si>
  <si>
    <t>IL0011821878</t>
  </si>
  <si>
    <t>31/12/2031</t>
  </si>
  <si>
    <t>שופרסל אגח ז</t>
  </si>
  <si>
    <t>IL0077702582</t>
  </si>
  <si>
    <t>20/08/2030</t>
  </si>
  <si>
    <t>שטראוס גרופ בע"מ</t>
  </si>
  <si>
    <t>520003781</t>
  </si>
  <si>
    <t>שטראוס אגח ו</t>
  </si>
  <si>
    <t>IL0074604211</t>
  </si>
  <si>
    <t>30/06/2037</t>
  </si>
  <si>
    <t>שיכון ובינוי בע"מ</t>
  </si>
  <si>
    <t>520036104</t>
  </si>
  <si>
    <t>שיכון ובינוי אגח 10</t>
  </si>
  <si>
    <t>IL0011751323</t>
  </si>
  <si>
    <t>30/04/2030</t>
  </si>
  <si>
    <t>שיכון ובינוי אגח 8</t>
  </si>
  <si>
    <t>IL0011358889</t>
  </si>
  <si>
    <t>01/05/2029</t>
  </si>
  <si>
    <t>BA 2.196 02/04/26</t>
  </si>
  <si>
    <t>US097023DG73</t>
  </si>
  <si>
    <t>BBB-</t>
  </si>
  <si>
    <t>04/02/2026</t>
  </si>
  <si>
    <t>ENOGLN 6.5% 30/4/27</t>
  </si>
  <si>
    <t>USG3044DAA49</t>
  </si>
  <si>
    <t>B+</t>
  </si>
  <si>
    <t>30/04/2027</t>
  </si>
  <si>
    <t>GENERAL MOTORS CORP</t>
  </si>
  <si>
    <t>2YD5STGSJNMUB7H76907</t>
  </si>
  <si>
    <t>GM 4.35 04/09/25</t>
  </si>
  <si>
    <t>US37045XCK00</t>
  </si>
  <si>
    <t>09/04/2025</t>
  </si>
  <si>
    <t>Vodafone Group</t>
  </si>
  <si>
    <t>213800TB53ELEUKM7Q61</t>
  </si>
  <si>
    <t>VOD 6 1/4 10/03</t>
  </si>
  <si>
    <t>XS1888180640</t>
  </si>
  <si>
    <t>Ba1</t>
  </si>
  <si>
    <t>03/10/2078</t>
  </si>
  <si>
    <t>Bank of America</t>
  </si>
  <si>
    <t>5493006QMFDDMYWIAM13</t>
  </si>
  <si>
    <t>BAC 2.884 10/22/30</t>
  </si>
  <si>
    <t>US06051GHX07</t>
  </si>
  <si>
    <t>22/10/2030</t>
  </si>
  <si>
    <t>IDBILI 5 3/8 01/26/28</t>
  </si>
  <si>
    <t>IL0011920878</t>
  </si>
  <si>
    <t>26/01/2028</t>
  </si>
  <si>
    <t>JPM 4.493 03/24/31</t>
  </si>
  <si>
    <t>US48647PBJ49</t>
  </si>
  <si>
    <t>24/03/2030</t>
  </si>
  <si>
    <t>SWISS RE FINANCE LUX</t>
  </si>
  <si>
    <t>549300PD69T87IGZG395</t>
  </si>
  <si>
    <t>SRENVX 4 1/4 PERP</t>
  </si>
  <si>
    <t>XS2049422343</t>
  </si>
  <si>
    <t>אלוני חץ אגח יג</t>
  </si>
  <si>
    <t>IL0011894065</t>
  </si>
  <si>
    <t>01/03/2037</t>
  </si>
  <si>
    <t>ביג אגח טז</t>
  </si>
  <si>
    <t>IL0011684425</t>
  </si>
  <si>
    <t>28/08/2028</t>
  </si>
  <si>
    <t>וילאר אינטרנשיונל בע"מ</t>
  </si>
  <si>
    <t>520038910</t>
  </si>
  <si>
    <t>וילאר אינטרנ' ח'</t>
  </si>
  <si>
    <t>IL0041601563</t>
  </si>
  <si>
    <t>27/06/2025</t>
  </si>
  <si>
    <t>חברה לישראל אגח 12</t>
  </si>
  <si>
    <t>IL0057602513</t>
  </si>
  <si>
    <t>ישראמקו אגח ג</t>
  </si>
  <si>
    <t>IL0023202323</t>
  </si>
  <si>
    <t>10/10/2030</t>
  </si>
  <si>
    <t>מגדל הון  אגח ח</t>
  </si>
  <si>
    <t>IL0011829558</t>
  </si>
  <si>
    <t>מיטב דש השקעות בע"מ</t>
  </si>
  <si>
    <t>520043795</t>
  </si>
  <si>
    <t>מיטב דש אגח ד</t>
  </si>
  <si>
    <t>IL0011613713</t>
  </si>
  <si>
    <t>10/12/2029</t>
  </si>
  <si>
    <t>מיטב השקעות אג3</t>
  </si>
  <si>
    <t>IL0011217630</t>
  </si>
  <si>
    <t>10/12/2025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</si>
  <si>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</si>
  <si>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</si>
  <si>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</si>
  <si>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</si>
  <si>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</si>
  <si>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התחייבות ו'2030</t>
  </si>
  <si>
    <t>IL0011602419</t>
  </si>
  <si>
    <t>עזריאלי קבוצה אגח ב סחיר</t>
  </si>
  <si>
    <t>IL0011344368</t>
  </si>
  <si>
    <t>01/04/2025</t>
  </si>
  <si>
    <t>פניקס הון אגח יג</t>
  </si>
  <si>
    <t>IL0011881351</t>
  </si>
  <si>
    <t>פתאל החזקות 1998 בע"מ</t>
  </si>
  <si>
    <t>512607888</t>
  </si>
  <si>
    <t>פתאל החז  אגח ב</t>
  </si>
  <si>
    <t>IL0011508129</t>
  </si>
  <si>
    <t>פתאל החזקות אגח ג</t>
  </si>
  <si>
    <t>IL0011617854</t>
  </si>
  <si>
    <t>31/08/2031</t>
  </si>
  <si>
    <t>שופרסל אגח ו</t>
  </si>
  <si>
    <t>IL0077702178</t>
  </si>
  <si>
    <t>08/10/2028</t>
  </si>
  <si>
    <t>תמר פטרו אגח ב</t>
  </si>
  <si>
    <t>IL0011435935</t>
  </si>
  <si>
    <t>חוזים עתידיים בחול</t>
  </si>
  <si>
    <t>10527</t>
  </si>
  <si>
    <t>ESM4_S&amp;P 500 EMINI FUT JUN24</t>
  </si>
  <si>
    <t>ESM4</t>
  </si>
  <si>
    <t>NASDAQD </t>
  </si>
  <si>
    <t>בית בכפר בע"מ</t>
  </si>
  <si>
    <t>511605719</t>
  </si>
  <si>
    <t>בית בכפר   אר 1</t>
  </si>
  <si>
    <t>IL0011836645</t>
  </si>
  <si>
    <t>30/01/2025</t>
  </si>
  <si>
    <t>דמרי אופ 3</t>
  </si>
  <si>
    <t>IL0012028374</t>
  </si>
  <si>
    <t>04/08/2024</t>
  </si>
  <si>
    <t>זוז פאוור בע"מ</t>
  </si>
  <si>
    <t>514881564</t>
  </si>
  <si>
    <t>זוז פאוור אופ 3</t>
  </si>
  <si>
    <t>IL0011853210</t>
  </si>
  <si>
    <t>20/03/2025</t>
  </si>
  <si>
    <t>פיימנט טכנולוגיות</t>
  </si>
  <si>
    <t>515166544</t>
  </si>
  <si>
    <t>פיימנט אפ 1</t>
  </si>
  <si>
    <t>IL0011808842</t>
  </si>
  <si>
    <t>15/10/2024</t>
  </si>
  <si>
    <t>איידנטי הלת'קייר בע"מ</t>
  </si>
  <si>
    <t>515679405</t>
  </si>
  <si>
    <t>איידנטי אופ' 2</t>
  </si>
  <si>
    <t>IL0011774762</t>
  </si>
  <si>
    <t>16/06/2024</t>
  </si>
  <si>
    <t>ביונ תלת מימד בע"מ</t>
  </si>
  <si>
    <t>514669506</t>
  </si>
  <si>
    <t>ביונ תלת מימד אופציה 2</t>
  </si>
  <si>
    <t>IL0011755878</t>
  </si>
  <si>
    <t>סקודיקס בע"מ</t>
  </si>
  <si>
    <t>513973297</t>
  </si>
  <si>
    <t>סקודיקס    אפ</t>
  </si>
  <si>
    <t>IL0011785081</t>
  </si>
  <si>
    <t>שמיים אימפרוב בע"מ</t>
  </si>
  <si>
    <t>515181014</t>
  </si>
  <si>
    <t>שמיים אופ 1</t>
  </si>
  <si>
    <t>IL0011762478</t>
  </si>
  <si>
    <t>01/06/2025</t>
  </si>
  <si>
    <t>קונטיניואל בע"מ</t>
  </si>
  <si>
    <t>514949973</t>
  </si>
  <si>
    <t>קונטיניואל אופ</t>
  </si>
  <si>
    <t>IL0011822785</t>
  </si>
  <si>
    <t>12/12/2024</t>
  </si>
  <si>
    <t>NAV
(במטבע הדיווח של קרן ההשקעה)</t>
  </si>
  <si>
    <t>Klirmark</t>
  </si>
  <si>
    <t>CO-101523</t>
  </si>
  <si>
    <t>Klirmark Fund IV</t>
  </si>
  <si>
    <t>כתובת: ז'בוטינסקי 2 , רמת גן , ישראל</t>
  </si>
  <si>
    <t>19/04/2023</t>
  </si>
  <si>
    <t>28/03/2024</t>
  </si>
  <si>
    <t>אביב קרן הון סיכון</t>
  </si>
  <si>
    <t>513592659</t>
  </si>
  <si>
    <t>11/07/2001</t>
  </si>
  <si>
    <t>25/06/2020</t>
  </si>
  <si>
    <t>יסודות נדלן</t>
  </si>
  <si>
    <t>550257125</t>
  </si>
  <si>
    <t>יסודות נדל"ן ג' פיתוח ושותפות</t>
  </si>
  <si>
    <t>כתובת: בר כוכבא 23, בני ברק, ישראל</t>
  </si>
  <si>
    <t>02/12/2019</t>
  </si>
  <si>
    <t>MEDICA 2</t>
  </si>
  <si>
    <t>27366</t>
  </si>
  <si>
    <t>מדיקה ק.הון 2</t>
  </si>
  <si>
    <t>31/12/2013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</si>
  <si>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</si>
  <si>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</si>
  <si>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</si>
  <si>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</si>
  <si>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</si>
  <si>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</si>
  <si>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</si>
  <si>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כתובת: אבא אבן 10 , הרצליה</t>
  </si>
  <si>
    <t>25/05/2017</t>
  </si>
  <si>
    <t>נוקד</t>
  </si>
  <si>
    <t>515419356</t>
  </si>
  <si>
    <t>קרן גידור נוקד שותפות מוגבלת</t>
  </si>
  <si>
    <t>כתובת:  הארבעה 30 תל אביב</t>
  </si>
  <si>
    <t>27/06/2018</t>
  </si>
  <si>
    <t>14/03/2024</t>
  </si>
  <si>
    <t>קרן נוקד אגח</t>
  </si>
  <si>
    <t>31/10/2023</t>
  </si>
  <si>
    <t>תש"י</t>
  </si>
  <si>
    <t>550243026</t>
  </si>
  <si>
    <t>תשתיות ישראל  4-אקדמאים</t>
  </si>
  <si>
    <t>כתובת:  השלושה 2 ת, תל אביב</t>
  </si>
  <si>
    <t>30/11/2021</t>
  </si>
  <si>
    <t>Ares Capital Europe</t>
  </si>
  <si>
    <t>11273</t>
  </si>
  <si>
    <t>ARES CAPITAL EUROPE VI</t>
  </si>
  <si>
    <t>דלאוור</t>
  </si>
  <si>
    <t>Address: 14-16 Avenue Pasteur, Luxembourg L-2310</t>
  </si>
  <si>
    <t>08/11/2023</t>
  </si>
  <si>
    <t>Electra</t>
  </si>
  <si>
    <t>89410</t>
  </si>
  <si>
    <t>ELECTRA CAPITAL PM FEEDER 3</t>
  </si>
  <si>
    <t>Address: 4890 West Kennedy blvd. Tampa, FL 33609 USA</t>
  </si>
  <si>
    <t>08/05/2023</t>
  </si>
  <si>
    <t>520039967</t>
  </si>
  <si>
    <t>ELECTRA MULTI FAMILY NADLAN 2 NEW</t>
  </si>
  <si>
    <t>Address: 1331 South Killian Drive, Suite A, Lake Park, FL 33403</t>
  </si>
  <si>
    <t>28/05/2019</t>
  </si>
  <si>
    <t>GZYUYYBVN9JCLNYWZ615</t>
  </si>
  <si>
    <t>Electra UK Fund I</t>
  </si>
  <si>
    <t>Address: 1331 South Killian Drive, Suite A, Lake Park, FL 33403
Grand Cayman, KY1-1001</t>
  </si>
  <si>
    <t>15/03/2024</t>
  </si>
  <si>
    <t>Faro Point</t>
  </si>
  <si>
    <t>86-2034928</t>
  </si>
  <si>
    <t>Faro Point FIVF III (F-5)</t>
  </si>
  <si>
    <t>Address: 5 Marine View Plz. , Hoboken, NJ 07030, USA</t>
  </si>
  <si>
    <t>19/10/2022</t>
  </si>
  <si>
    <t>פורמה</t>
  </si>
  <si>
    <t>530278654</t>
  </si>
  <si>
    <t>FORMA FUND</t>
  </si>
  <si>
    <t>Address: 20 Raul Valenberg , Tel Aviv, Israel</t>
  </si>
  <si>
    <t>16/06/2017</t>
  </si>
  <si>
    <t>22/02/2024</t>
  </si>
  <si>
    <t>Hamilton</t>
  </si>
  <si>
    <t xml:space="preserve">98-1588386 </t>
  </si>
  <si>
    <t>HAMILTON LANE STRATEGIC OPPOTUNITI</t>
  </si>
  <si>
    <t>Address: 610 Fifth Avenue , New York , NY 10020</t>
  </si>
  <si>
    <t>HAMILTON STRATEGIC OPP 2020 VI</t>
  </si>
  <si>
    <t>24/03/2021</t>
  </si>
  <si>
    <t>HAMILTON TON LANE</t>
  </si>
  <si>
    <t>06/08/2018</t>
  </si>
  <si>
    <t>HarbourVest</t>
  </si>
  <si>
    <t>27330</t>
  </si>
  <si>
    <t>Harbourvest 2018 Global Fund L.P</t>
  </si>
  <si>
    <t>Address: One Financial Center, Boston, Massachusetts 02111</t>
  </si>
  <si>
    <t>20/05/2020</t>
  </si>
  <si>
    <t>26/12/2023</t>
  </si>
  <si>
    <t>LLCP</t>
  </si>
  <si>
    <t>820734071</t>
  </si>
  <si>
    <t>LLCP VI</t>
  </si>
  <si>
    <t>Address: 345 N Maple Dr. Ste. 300 Beverly Hills, CA 90210</t>
  </si>
  <si>
    <t>12/09/2018</t>
  </si>
  <si>
    <t>MV Credit</t>
  </si>
  <si>
    <t>2016 2429 508</t>
  </si>
  <si>
    <t>MV CREDIT SENIOR II</t>
  </si>
  <si>
    <t>לוקסמבורג</t>
  </si>
  <si>
    <t>Address: 8 rue lou Hemmer, L-1748 senningerberg, Luxembourg</t>
  </si>
  <si>
    <t>26/07/2021</t>
  </si>
  <si>
    <t>07/03/2024</t>
  </si>
  <si>
    <t>Starlight Bond</t>
  </si>
  <si>
    <t>90109</t>
  </si>
  <si>
    <t>Starlight Bond FP I LP</t>
  </si>
  <si>
    <t>Address: 1400-3280 Bloor Street West, Centre Tower Toronto, Ontario</t>
  </si>
  <si>
    <t>24/01/2023</t>
  </si>
  <si>
    <t>Vestar</t>
  </si>
  <si>
    <t>549300DYMC8BGZZC8844</t>
  </si>
  <si>
    <t>VESTAR VII A</t>
  </si>
  <si>
    <t>Address: 245 Park Avenue, New York, NY  10167</t>
  </si>
  <si>
    <t>11/03/2020</t>
  </si>
  <si>
    <t>ויולה</t>
  </si>
  <si>
    <t>12169</t>
  </si>
  <si>
    <t>VIOLA CREDIT ALF II</t>
  </si>
  <si>
    <t>Address: 12 Aba Even, Herzelia Pituach, Israel</t>
  </si>
  <si>
    <t>19/01/2022</t>
  </si>
  <si>
    <t>19/02/2024</t>
  </si>
  <si>
    <t>אי.בי.אי שותפויות נדל"ן בע"מ</t>
  </si>
  <si>
    <t>550270045</t>
  </si>
  <si>
    <t>IBI PILLAR</t>
  </si>
  <si>
    <t>22/07/2021</t>
  </si>
  <si>
    <t>13/03/2024</t>
  </si>
  <si>
    <t>נוקד אקוויטי השקעות בע"מ</t>
  </si>
  <si>
    <t>קרן גידור - נוקד</t>
  </si>
  <si>
    <t>31/08/2017</t>
  </si>
  <si>
    <t>אדאקום טכנולוגיות בע"מ</t>
  </si>
  <si>
    <t>520036419</t>
  </si>
  <si>
    <t>אדאקום</t>
  </si>
  <si>
    <t>IL0002390123</t>
  </si>
  <si>
    <t>אפאר</t>
  </si>
  <si>
    <t>516072931</t>
  </si>
  <si>
    <t>IL0002940174</t>
  </si>
  <si>
    <t>19/10/2021</t>
  </si>
  <si>
    <t>ג'נריישן ניהול בע"מ</t>
  </si>
  <si>
    <t>515785012</t>
  </si>
  <si>
    <t>ג'נריישן ניהול בע"מ (מחר השתלמות)</t>
  </si>
  <si>
    <t>560930</t>
  </si>
  <si>
    <t>18/04/2021</t>
  </si>
  <si>
    <t>29/11/2023</t>
  </si>
  <si>
    <t>אלון חברת הדלק לישראל בע"מ</t>
  </si>
  <si>
    <t>520041690</t>
  </si>
  <si>
    <t>מניות לא סחירות אלון דלק</t>
  </si>
  <si>
    <t>44867</t>
  </si>
  <si>
    <t>06/11/2017</t>
  </si>
  <si>
    <t>18/08/2019</t>
  </si>
  <si>
    <t>רייכרט תעשיות בע"מ</t>
  </si>
  <si>
    <t>520039652</t>
  </si>
  <si>
    <t>רייכרט</t>
  </si>
  <si>
    <t>4760101</t>
  </si>
  <si>
    <t>27/02/2014</t>
  </si>
  <si>
    <t>30/09/2015</t>
  </si>
  <si>
    <t>LUSIX</t>
  </si>
  <si>
    <t>89830</t>
  </si>
  <si>
    <t>62020318</t>
  </si>
  <si>
    <t>13/03/2022</t>
  </si>
  <si>
    <t>אפיקס פראם מ"ר</t>
  </si>
  <si>
    <t>10956</t>
  </si>
  <si>
    <t>98251</t>
  </si>
  <si>
    <t>05/02/2021</t>
  </si>
  <si>
    <t>וואסט פייר</t>
  </si>
  <si>
    <t>10959</t>
  </si>
  <si>
    <t>98244</t>
  </si>
  <si>
    <t>27/01/2023</t>
  </si>
  <si>
    <t>אדאקום הנפקה פרטית</t>
  </si>
  <si>
    <t>2390318</t>
  </si>
  <si>
    <t>30/06/2004</t>
  </si>
  <si>
    <t>אינטרנט גולד - קווי זהב בע"מ</t>
  </si>
  <si>
    <t>520044264</t>
  </si>
  <si>
    <t>אינטרנט זהב אגח ד</t>
  </si>
  <si>
    <t>IL0011316143</t>
  </si>
  <si>
    <t>02/03/2017</t>
  </si>
  <si>
    <t>15/09/2022</t>
  </si>
  <si>
    <t>02/02/2021</t>
  </si>
  <si>
    <t>אלון חברת הדלק אגח סד' א</t>
  </si>
  <si>
    <t>IL0011015679</t>
  </si>
  <si>
    <t>31/05/2016</t>
  </si>
  <si>
    <t>31/08/2023</t>
  </si>
  <si>
    <t>תעשיות אלקטרוכימיות (1952) בע"מ</t>
  </si>
  <si>
    <t>520019423</t>
  </si>
  <si>
    <t>אלקטרוכימיות תעשיות 6.5% 99/2004</t>
  </si>
  <si>
    <t>7505019</t>
  </si>
  <si>
    <t>D</t>
  </si>
  <si>
    <t>25/06/2004</t>
  </si>
  <si>
    <t>וי.אי.די. התפלת מי אשקלון</t>
  </si>
  <si>
    <t>513102384</t>
  </si>
  <si>
    <t>וי.אי.די. אג"ח מאוחד 0706</t>
  </si>
  <si>
    <t>IL0010979974</t>
  </si>
  <si>
    <t>22/10/2025</t>
  </si>
  <si>
    <t>כלל תעשיות בע"מ</t>
  </si>
  <si>
    <t>520021874</t>
  </si>
  <si>
    <t>כלל תעש אגח טז-רמ</t>
  </si>
  <si>
    <t>IL0060802381</t>
  </si>
  <si>
    <t>29/12/2019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</si>
  <si>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</si>
  <si>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</si>
  <si>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</si>
  <si>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</si>
  <si>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</si>
  <si>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</si>
  <si>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</si>
  <si>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</si>
  <si>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מקורות אגח 8 רמ</t>
  </si>
  <si>
    <t>IL0011243461</t>
  </si>
  <si>
    <t>22/09/2016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</si>
  <si>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</si>
  <si>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</si>
  <si>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</si>
  <si>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</si>
  <si>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</si>
  <si>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</si>
  <si>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</si>
  <si>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קאר אנד גו 4.95% 2009</t>
  </si>
  <si>
    <t>1088210</t>
  </si>
  <si>
    <t>01/11/2011</t>
  </si>
  <si>
    <t>אגד חברה לתחבורה בע"מ</t>
  </si>
  <si>
    <t>570012377</t>
  </si>
  <si>
    <t>אגד אגח 1-רמ</t>
  </si>
  <si>
    <t>IL0011987877</t>
  </si>
  <si>
    <t>16/08/2023</t>
  </si>
  <si>
    <t xml:space="preserve">גדות מסופים כימיקלים (1985) בע"מ </t>
  </si>
  <si>
    <t>520040775</t>
  </si>
  <si>
    <t>גדות מספ אגח א רמ</t>
  </si>
  <si>
    <t>IL0011623209</t>
  </si>
  <si>
    <t>16/01/2020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</si>
  <si>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</si>
  <si>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</si>
  <si>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</si>
  <si>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</si>
  <si>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</si>
  <si>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</si>
  <si>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27/10/2021</t>
  </si>
  <si>
    <t>אלה פקדונות בע"מ</t>
  </si>
  <si>
    <t>515666881</t>
  </si>
  <si>
    <t>אלה פקדון אגח ה</t>
  </si>
  <si>
    <t>IL0011625774</t>
  </si>
  <si>
    <t>דרור יעקובסון</t>
  </si>
  <si>
    <t>drorja@gmail.com</t>
  </si>
  <si>
    <t>23-2962336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</si>
</sst>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7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2" fillId="0" borderId="0" xfId="4" applyNumberFormat="1" applyFont="1" applyFill="1" applyBorder="1"/>
    <xf numFmtId="10" fontId="9" fillId="0" borderId="0" xfId="4" applyNumberFormat="1"/>
    <xf numFmtId="166" fontId="9" fillId="0" borderId="0" xfId="4" applyNumberFormat="1"/>
    <xf numFmtId="14" fontId="0" fillId="0" borderId="0" xfId="0" applyNumberFormat="1" applyFont="1" applyFill="1" applyBorder="1" applyAlignment="1">
      <alignment horizontal="center"/>
    </xf>
    <xf numFmtId="43" fontId="9" fillId="0" borderId="0" xfId="1"/>
    <xf numFmtId="14" fontId="2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1" sqref="D31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197</v>
      </c>
      <c r="B1" s="36"/>
      <c r="C1" s="36"/>
      <c r="D1" s="36"/>
    </row>
    <row r="3" spans="1:8">
      <c r="A3" t="s">
        <v>198</v>
      </c>
      <c r="D3" s="104" t="s">
        <v>199</v>
      </c>
    </row>
    <row r="5" spans="1:8">
      <c r="A5" t="s">
        <v>200</v>
      </c>
      <c r="D5" s="104" t="s">
        <v>1225</v>
      </c>
    </row>
    <row r="7" spans="1:8">
      <c r="A7" t="s">
        <v>201</v>
      </c>
      <c r="D7" s="104" t="s">
        <v>1229</v>
      </c>
    </row>
    <row r="8" spans="1:8">
      <c r="D8" s="34"/>
      <c r="E8" s="34"/>
      <c r="F8" s="34"/>
      <c r="G8" s="34"/>
      <c r="H8" s="34"/>
    </row>
    <row r="9" spans="1:8">
      <c r="A9" t="s">
        <v>202</v>
      </c>
      <c r="D9" s="104">
        <v>2024</v>
      </c>
    </row>
    <row r="11" spans="1:8">
      <c r="A11" t="s">
        <v>203</v>
      </c>
      <c r="D11" s="104" t="s">
        <v>1257</v>
      </c>
    </row>
    <row r="13" spans="1:8">
      <c r="A13" t="s">
        <v>204</v>
      </c>
      <c r="D13" s="105">
        <f>IFERROR(VLOOKUP(D11,'File Name Info'!A35:B121,2,0),"תא מחושב")</f>
        <v>520027954</v>
      </c>
    </row>
    <row r="15" spans="1:8" ht="15">
      <c r="A15" s="20" t="s">
        <v>205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520027954_gm_0124.xlxs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206</v>
      </c>
      <c r="B17" s="18" t="s">
        <v>207</v>
      </c>
      <c r="C17" s="18"/>
      <c r="D17" s="106" t="s">
        <v>2829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208</v>
      </c>
      <c r="C19" s="18"/>
      <c r="D19" s="106">
        <v>505321699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209</v>
      </c>
      <c r="C21" s="18"/>
      <c r="D21" s="106" t="s">
        <v>2830</v>
      </c>
    </row>
    <row r="22" spans="1:8">
      <c r="A22" s="16"/>
      <c r="B22" s="17"/>
      <c r="C22" s="17"/>
    </row>
    <row r="23" spans="1:8" ht="15">
      <c r="A23" s="20" t="s">
        <v>210</v>
      </c>
      <c r="D23" t="s">
        <v>211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9" sqref="A39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6"/>
      <c r="C1" s="107" t="s">
        <v>1196</v>
      </c>
      <c r="D1" s="140"/>
      <c r="E1" s="141"/>
    </row>
    <row r="2" spans="1:5" ht="39.75" customHeight="1">
      <c r="A2" s="47"/>
      <c r="B2" s="136" t="s">
        <v>37</v>
      </c>
      <c r="C2" s="48" t="s">
        <v>920</v>
      </c>
      <c r="D2" s="136" t="s">
        <v>22</v>
      </c>
      <c r="E2" s="141" t="s">
        <v>1197</v>
      </c>
    </row>
    <row r="3" spans="1:5">
      <c r="A3" s="50" t="s">
        <v>973</v>
      </c>
      <c r="B3" s="137">
        <f>SUM('מזומנים ושווי מזומנים'!O:O)</f>
        <v>87242.339999999982</v>
      </c>
      <c r="C3" s="51"/>
      <c r="D3" s="137">
        <f>B3+C3</f>
        <v>87242.339999999982</v>
      </c>
      <c r="E3" s="142">
        <f>SUM('מזומנים ושווי מזומנים'!O:O)/B30</f>
        <v>3.4894780061187847E-2</v>
      </c>
    </row>
    <row r="4" spans="1:5">
      <c r="A4" s="50" t="s">
        <v>983</v>
      </c>
      <c r="B4" s="137">
        <f>SUM('איגרות חוב ממשלתיות'!U:U)</f>
        <v>540007.82500000007</v>
      </c>
      <c r="C4" s="51"/>
      <c r="D4" s="137">
        <f t="shared" ref="D4:D29" si="0">B4+C4</f>
        <v>540007.82500000007</v>
      </c>
      <c r="E4" s="142">
        <f>SUM('איגרות חוב ממשלתיות'!U:U)/B30</f>
        <v>0.21598978528883364</v>
      </c>
    </row>
    <row r="5" spans="1:5">
      <c r="A5" s="50" t="s">
        <v>988</v>
      </c>
      <c r="B5" s="137">
        <f>SUM('ניירות ערך מסחריים'!AD:AD)</f>
        <v>0</v>
      </c>
      <c r="C5" s="51"/>
      <c r="D5" s="137">
        <f t="shared" si="0"/>
        <v>0</v>
      </c>
      <c r="E5" s="142">
        <f>SUM('ניירות ערך מסחריים'!AD:AD)/B30</f>
        <v>0</v>
      </c>
    </row>
    <row r="6" spans="1:5">
      <c r="A6" s="50" t="s">
        <v>989</v>
      </c>
      <c r="B6" s="137">
        <f>SUM('איגרות חוב'!AD:AD)</f>
        <v>427802.68199999991</v>
      </c>
      <c r="C6" s="51"/>
      <c r="D6" s="137">
        <f t="shared" si="0"/>
        <v>427802.68199999991</v>
      </c>
      <c r="E6" s="142">
        <f>SUM('איגרות חוב'!AD:AD)/B30</f>
        <v>0.1711105009101806</v>
      </c>
    </row>
    <row r="7" spans="1:5">
      <c r="A7" s="50" t="s">
        <v>996</v>
      </c>
      <c r="B7" s="137">
        <f>SUM('מניות מבכ ויהש'!U:U)</f>
        <v>403184.99799999996</v>
      </c>
      <c r="C7" s="51"/>
      <c r="D7" s="137">
        <f t="shared" si="0"/>
        <v>403184.99799999996</v>
      </c>
      <c r="E7" s="142">
        <f>SUM('מניות מבכ ויהש'!U:U)/B30</f>
        <v>0.1612640356641106</v>
      </c>
    </row>
    <row r="8" spans="1:5">
      <c r="A8" s="50" t="s">
        <v>493</v>
      </c>
      <c r="B8" s="137">
        <f>SUM('קרנות סל'!T:T)</f>
        <v>771640.14500000002</v>
      </c>
      <c r="C8" s="51"/>
      <c r="D8" s="137">
        <f t="shared" si="0"/>
        <v>771640.14500000002</v>
      </c>
      <c r="E8" s="142">
        <f>SUM('קרנות סל'!T:T)/B30</f>
        <v>0.30863698917472993</v>
      </c>
    </row>
    <row r="9" spans="1:5">
      <c r="A9" s="50" t="s">
        <v>1009</v>
      </c>
      <c r="B9" s="137">
        <f>SUM('קרנות נאמנות'!T:T)</f>
        <v>87425.744999999995</v>
      </c>
      <c r="C9" s="51"/>
      <c r="D9" s="137">
        <f t="shared" si="0"/>
        <v>87425.744999999995</v>
      </c>
      <c r="E9" s="142">
        <f>SUM('קרנות נאמנות'!T:T)/B30</f>
        <v>3.4968137528870659E-2</v>
      </c>
    </row>
    <row r="10" spans="1:5">
      <c r="A10" s="50" t="s">
        <v>1141</v>
      </c>
      <c r="B10" s="137">
        <f>SUM('כתבי אופציה'!W:W)</f>
        <v>447.90100000000001</v>
      </c>
      <c r="C10" s="51"/>
      <c r="D10" s="137">
        <f t="shared" si="0"/>
        <v>447.90100000000001</v>
      </c>
      <c r="E10" s="142">
        <f>SUM('כתבי אופציה'!W:W)/B30</f>
        <v>1.7914933143913954E-4</v>
      </c>
    </row>
    <row r="11" spans="1:5">
      <c r="A11" s="50" t="s">
        <v>1012</v>
      </c>
      <c r="B11" s="137">
        <f>SUM(אופציות!V:V)</f>
        <v>0</v>
      </c>
      <c r="C11" s="51"/>
      <c r="D11" s="137">
        <f t="shared" si="0"/>
        <v>0</v>
      </c>
      <c r="E11" s="142">
        <f>SUM(אופציות!V:V)/B30</f>
        <v>0</v>
      </c>
    </row>
    <row r="12" spans="1:5">
      <c r="A12" s="50" t="s">
        <v>1146</v>
      </c>
      <c r="B12" s="137">
        <f>SUM('חוזים עתידיים'!R:R)</f>
        <v>180.66300000000001</v>
      </c>
      <c r="C12" s="51"/>
      <c r="D12" s="137">
        <f t="shared" si="0"/>
        <v>180.66300000000001</v>
      </c>
      <c r="E12" s="142">
        <f>SUM('חוזים עתידיים'!R:R)/B30</f>
        <v>7.2260735443299457E-5</v>
      </c>
    </row>
    <row r="13" spans="1:5">
      <c r="A13" s="50" t="s">
        <v>1017</v>
      </c>
      <c r="B13" s="137">
        <f>SUM('מוצרים מובנים'!Z:Z)</f>
        <v>1410.384</v>
      </c>
      <c r="C13" s="51"/>
      <c r="D13" s="137">
        <f t="shared" si="0"/>
        <v>1410.384</v>
      </c>
      <c r="E13" s="142">
        <f>SUM('מוצרים מובנים'!Z:Z)/B30</f>
        <v>5.6411874649187966E-4</v>
      </c>
    </row>
    <row r="14" spans="1:5">
      <c r="A14" s="50" t="s">
        <v>1024</v>
      </c>
      <c r="B14" s="137">
        <f>SUM('לא סחיר איגרות חוב ממשלתיות'!U:U)</f>
        <v>0</v>
      </c>
      <c r="C14" s="51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50" t="s">
        <v>1025</v>
      </c>
      <c r="B15" s="137">
        <f>SUM('לא סחיר איגרות חוב מיועדות'!N:N)</f>
        <v>0</v>
      </c>
      <c r="C15" s="51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50" t="s">
        <v>1031</v>
      </c>
      <c r="B16" s="137">
        <f>SUM('אפיק השקעה מובטח תשואה'!F:F)</f>
        <v>0</v>
      </c>
      <c r="C16" s="51"/>
      <c r="D16" s="137">
        <f t="shared" si="0"/>
        <v>0</v>
      </c>
      <c r="E16" s="142">
        <f>SUM('אפיק השקעה מובטח תשואה'!F:F)/B30</f>
        <v>0</v>
      </c>
    </row>
    <row r="17" spans="1:5">
      <c r="A17" s="50" t="s">
        <v>1035</v>
      </c>
      <c r="B17" s="137">
        <f>SUM('לא סחיר ניירות ערך מסחריים'!AI:AI)</f>
        <v>0</v>
      </c>
      <c r="C17" s="51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50" t="s">
        <v>1037</v>
      </c>
      <c r="B18" s="137">
        <f>SUM('לא סחיר איגרות חוב'!AG:AG)</f>
        <v>12047.17</v>
      </c>
      <c r="C18" s="51"/>
      <c r="D18" s="137">
        <f t="shared" si="0"/>
        <v>12047.17</v>
      </c>
      <c r="E18" s="142">
        <f>SUM('לא סחיר איגרות חוב'!AG:AG)/B30</f>
        <v>4.8185702894917824E-3</v>
      </c>
    </row>
    <row r="19" spans="1:5">
      <c r="A19" s="50" t="s">
        <v>1040</v>
      </c>
      <c r="B19" s="137">
        <f>SUM('לא סחיר מניות מבכ ויהש'!X:X)</f>
        <v>8037.5079999999998</v>
      </c>
      <c r="C19" s="51"/>
      <c r="D19" s="137">
        <f t="shared" si="0"/>
        <v>8037.5079999999998</v>
      </c>
      <c r="E19" s="142">
        <f>SUM('לא סחיר מניות מבכ ויהש'!X:X)/B30</f>
        <v>3.2148045765397612E-3</v>
      </c>
    </row>
    <row r="20" spans="1:5">
      <c r="A20" s="50" t="s">
        <v>797</v>
      </c>
      <c r="B20" s="137">
        <f>SUM('קרנות השקעה'!W:W)</f>
        <v>125003.531</v>
      </c>
      <c r="C20" s="51"/>
      <c r="D20" s="137">
        <f t="shared" si="0"/>
        <v>125003.531</v>
      </c>
      <c r="E20" s="142">
        <f>SUM('קרנות השקעה'!W:W)/B30</f>
        <v>4.9998323303992967E-2</v>
      </c>
    </row>
    <row r="21" spans="1:5">
      <c r="A21" s="50" t="s">
        <v>1157</v>
      </c>
      <c r="B21" s="137">
        <f>SUM('לא סחיר כתבי אופציה'!Z:Z)</f>
        <v>101.39999999999999</v>
      </c>
      <c r="C21" s="51"/>
      <c r="D21" s="137">
        <f t="shared" si="0"/>
        <v>101.39999999999999</v>
      </c>
      <c r="E21" s="142">
        <f>SUM('לא סחיר כתבי אופציה'!Z:Z)/B30</f>
        <v>4.0557494196103038E-5</v>
      </c>
    </row>
    <row r="22" spans="1:5">
      <c r="A22" s="50" t="s">
        <v>1055</v>
      </c>
      <c r="B22" s="137">
        <f>SUM('לא סחיר אופציות'!Z:Z)</f>
        <v>0</v>
      </c>
      <c r="C22" s="51"/>
      <c r="D22" s="137">
        <f t="shared" si="0"/>
        <v>0</v>
      </c>
      <c r="E22" s="142">
        <f>SUM('לא סחיר אופציות'!Z:Z)/B30</f>
        <v>0</v>
      </c>
    </row>
    <row r="23" spans="1:5">
      <c r="A23" s="50" t="s">
        <v>1064</v>
      </c>
      <c r="B23" s="137">
        <f>SUM('לא סחיר נגזרים אחרים'!R:R)</f>
        <v>-1410.4736</v>
      </c>
      <c r="C23" s="51"/>
      <c r="D23" s="137">
        <f t="shared" si="0"/>
        <v>-1410.4736</v>
      </c>
      <c r="E23" s="142">
        <f>SUM('לא סחיר נגזרים אחרים'!R:R)/B30</f>
        <v>-5.6415458427767819E-4</v>
      </c>
    </row>
    <row r="24" spans="1:5">
      <c r="A24" s="50" t="s">
        <v>1057</v>
      </c>
      <c r="B24" s="137">
        <f>SUM(הלוואות!AT:AT)</f>
        <v>37728.178999999996</v>
      </c>
      <c r="C24" s="51"/>
      <c r="D24" s="137">
        <f t="shared" si="0"/>
        <v>37728.178999999996</v>
      </c>
      <c r="E24" s="142">
        <f>SUM(הלוואות!AT:AT)/B30</f>
        <v>1.5090339258599966E-2</v>
      </c>
    </row>
    <row r="25" spans="1:5">
      <c r="A25" s="50" t="s">
        <v>1076</v>
      </c>
      <c r="B25" s="137">
        <f>SUM('לא סחיר מוצרים מובנים'!AB:AB)</f>
        <v>0</v>
      </c>
      <c r="C25" s="51"/>
      <c r="D25" s="137">
        <f t="shared" si="0"/>
        <v>0</v>
      </c>
      <c r="E25" s="142">
        <f>SUM('לא סחיר מוצרים מובנים'!AB:AB)/B30</f>
        <v>0</v>
      </c>
    </row>
    <row r="26" spans="1:5">
      <c r="A26" s="50" t="s">
        <v>1081</v>
      </c>
      <c r="B26" s="137">
        <f>SUM('פיקדונות מעל 3 חודשים'!T:T)</f>
        <v>0</v>
      </c>
      <c r="C26" s="51"/>
      <c r="D26" s="137">
        <f t="shared" si="0"/>
        <v>0</v>
      </c>
      <c r="E26" s="142">
        <f>SUM('פיקדונות מעל 3 חודשים'!T:T)/B30</f>
        <v>0</v>
      </c>
    </row>
    <row r="27" spans="1:5">
      <c r="A27" s="50" t="s">
        <v>1084</v>
      </c>
      <c r="B27" s="137">
        <f>SUM('זכויות מקרקעין'!S:S)</f>
        <v>0</v>
      </c>
      <c r="C27" s="51"/>
      <c r="D27" s="137">
        <f t="shared" si="0"/>
        <v>0</v>
      </c>
      <c r="E27" s="142">
        <f>SUM('זכויות מקרקעין'!S:S)/B30</f>
        <v>0</v>
      </c>
    </row>
    <row r="28" spans="1:5">
      <c r="A28" s="50" t="s">
        <v>1119</v>
      </c>
      <c r="B28" s="137">
        <f>SUM('השקעה בחברות מוחזקות'!U:U)</f>
        <v>0</v>
      </c>
      <c r="C28" s="51"/>
      <c r="D28" s="137">
        <f t="shared" si="0"/>
        <v>0</v>
      </c>
      <c r="E28" s="142">
        <f>SUM('השקעה בחברות מוחזקות'!U:U)/B30</f>
        <v>0</v>
      </c>
    </row>
    <row r="29" spans="1:5">
      <c r="A29" s="50" t="s">
        <v>1087</v>
      </c>
      <c r="B29" s="137">
        <f>SUM('נכסים אחרים'!N:N)</f>
        <v>-695.53741999999795</v>
      </c>
      <c r="C29" s="51"/>
      <c r="D29" s="137">
        <f t="shared" si="0"/>
        <v>-695.53741999999795</v>
      </c>
      <c r="E29" s="142">
        <f>SUM('נכסים אחרים'!N:N)/B30</f>
        <v>-2.7819777983059565E-4</v>
      </c>
    </row>
    <row r="30" spans="1:5">
      <c r="A30" s="49" t="s">
        <v>1198</v>
      </c>
      <c r="B30" s="138">
        <f>IF(SUM(B3:B29)=0,0.0001,SUM(B3:B29))</f>
        <v>2500154.4599800003</v>
      </c>
      <c r="C30" s="52">
        <f t="shared" ref="C30:E30" si="1">SUM(C3:C29)</f>
        <v>0</v>
      </c>
      <c r="D30" s="138">
        <f t="shared" si="1"/>
        <v>2500154.4599800003</v>
      </c>
      <c r="E30" s="143">
        <f t="shared" si="1"/>
        <v>0.99999999999999967</v>
      </c>
    </row>
    <row r="31" spans="1:5">
      <c r="A31" s="50" t="s">
        <v>1195</v>
      </c>
      <c r="B31" s="137"/>
      <c r="C31" s="51"/>
      <c r="D31" s="137"/>
      <c r="E31" s="142"/>
    </row>
    <row r="32" spans="1:5">
      <c r="A32" s="50" t="s">
        <v>1199</v>
      </c>
      <c r="B32" s="137">
        <f>SUM('יתרות התחייבות להשקעה'!O:O)</f>
        <v>57863.891349454992</v>
      </c>
      <c r="C32" s="51"/>
      <c r="D32" s="137">
        <f>C32+B32</f>
        <v>57863.891349454992</v>
      </c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2"/>
  <sheetViews>
    <sheetView rightToLeft="1" zoomScale="70" zoomScaleNormal="70" workbookViewId="0">
      <selection activeCell="E43" sqref="E43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189</v>
      </c>
      <c r="D1" s="22" t="s">
        <v>190</v>
      </c>
      <c r="E1" s="22" t="s">
        <v>191</v>
      </c>
      <c r="F1" s="22" t="s">
        <v>5</v>
      </c>
      <c r="G1" s="22" t="s">
        <v>6</v>
      </c>
      <c r="H1" s="22" t="s">
        <v>149</v>
      </c>
      <c r="I1" s="22" t="s">
        <v>193</v>
      </c>
      <c r="J1" s="22" t="s">
        <v>10</v>
      </c>
      <c r="K1" s="22" t="s">
        <v>11</v>
      </c>
      <c r="L1" s="22" t="s">
        <v>159</v>
      </c>
      <c r="M1" s="22" t="s">
        <v>18</v>
      </c>
      <c r="N1" s="160" t="s">
        <v>14</v>
      </c>
      <c r="O1" s="22" t="s">
        <v>20</v>
      </c>
      <c r="P1" s="164" t="s">
        <v>24</v>
      </c>
      <c r="Q1" s="164" t="s">
        <v>25</v>
      </c>
    </row>
    <row r="2" spans="1:17">
      <c r="A2" s="2" t="s">
        <v>26</v>
      </c>
      <c r="B2" s="2">
        <v>288</v>
      </c>
      <c r="C2" s="2" t="s">
        <v>1200</v>
      </c>
      <c r="D2" s="2" t="s">
        <v>1201</v>
      </c>
      <c r="E2" s="4" t="s">
        <v>336</v>
      </c>
      <c r="F2" s="2" t="s">
        <v>974</v>
      </c>
      <c r="G2" s="2" t="s">
        <v>31</v>
      </c>
      <c r="H2" s="2" t="s">
        <v>163</v>
      </c>
      <c r="I2" s="2" t="s">
        <v>1202</v>
      </c>
      <c r="J2" s="2" t="s">
        <v>435</v>
      </c>
      <c r="K2" s="2" t="s">
        <v>35</v>
      </c>
      <c r="L2" s="151">
        <v>0</v>
      </c>
      <c r="M2" s="152">
        <v>1</v>
      </c>
      <c r="N2" s="161">
        <v>0</v>
      </c>
      <c r="O2" s="152">
        <v>14841.977000000001</v>
      </c>
      <c r="P2" s="165">
        <v>0.18374099152829501</v>
      </c>
      <c r="Q2" s="165">
        <v>6.1984705404389403E-3</v>
      </c>
    </row>
    <row r="3" spans="1:17">
      <c r="A3" s="2" t="s">
        <v>26</v>
      </c>
      <c r="B3" s="2">
        <v>288</v>
      </c>
      <c r="C3" s="2" t="s">
        <v>1203</v>
      </c>
      <c r="D3" s="2" t="s">
        <v>1204</v>
      </c>
      <c r="E3" s="21" t="s">
        <v>336</v>
      </c>
      <c r="F3" s="2" t="s">
        <v>976</v>
      </c>
      <c r="G3" s="2" t="s">
        <v>31</v>
      </c>
      <c r="H3" s="2" t="s">
        <v>163</v>
      </c>
      <c r="I3" s="2" t="s">
        <v>1202</v>
      </c>
      <c r="J3" s="2" t="s">
        <v>435</v>
      </c>
      <c r="K3" s="2" t="s">
        <v>1205</v>
      </c>
      <c r="L3" s="152">
        <v>1E-3</v>
      </c>
      <c r="M3" s="152">
        <v>2.3959999999999999</v>
      </c>
      <c r="N3" s="162">
        <v>0</v>
      </c>
      <c r="O3" s="152">
        <v>2E-3</v>
      </c>
      <c r="P3" s="165">
        <v>2.1358457076661801E-8</v>
      </c>
      <c r="Q3" s="165">
        <v>7.2052385196000301E-10</v>
      </c>
    </row>
    <row r="4" spans="1:17">
      <c r="A4" s="2" t="s">
        <v>26</v>
      </c>
      <c r="B4" s="2">
        <v>288</v>
      </c>
      <c r="C4" s="2" t="s">
        <v>1203</v>
      </c>
      <c r="D4" s="2" t="s">
        <v>1204</v>
      </c>
      <c r="E4" s="21" t="s">
        <v>336</v>
      </c>
      <c r="F4" s="2" t="s">
        <v>976</v>
      </c>
      <c r="G4" s="2" t="s">
        <v>31</v>
      </c>
      <c r="H4" s="2" t="s">
        <v>163</v>
      </c>
      <c r="I4" s="2" t="s">
        <v>1202</v>
      </c>
      <c r="J4" s="2" t="s">
        <v>435</v>
      </c>
      <c r="K4" s="2" t="s">
        <v>100</v>
      </c>
      <c r="L4" s="152">
        <v>6963.9009999999998</v>
      </c>
      <c r="M4" s="152">
        <v>3.681</v>
      </c>
      <c r="N4" s="162">
        <v>3.61E-2</v>
      </c>
      <c r="O4" s="152">
        <v>25634.118999999999</v>
      </c>
      <c r="P4" s="165">
        <v>0.31734577000861403</v>
      </c>
      <c r="Q4" s="165">
        <v>1.07056046131567E-2</v>
      </c>
    </row>
    <row r="5" spans="1:17">
      <c r="A5" s="2" t="s">
        <v>26</v>
      </c>
      <c r="B5" s="2">
        <v>288</v>
      </c>
      <c r="C5" s="2" t="s">
        <v>1203</v>
      </c>
      <c r="D5" s="2" t="s">
        <v>1204</v>
      </c>
      <c r="E5" s="21" t="s">
        <v>336</v>
      </c>
      <c r="F5" s="2" t="s">
        <v>976</v>
      </c>
      <c r="G5" s="2" t="s">
        <v>31</v>
      </c>
      <c r="H5" s="2" t="s">
        <v>163</v>
      </c>
      <c r="I5" s="2" t="s">
        <v>1202</v>
      </c>
      <c r="J5" s="2" t="s">
        <v>435</v>
      </c>
      <c r="K5" s="2" t="s">
        <v>1206</v>
      </c>
      <c r="L5" s="152">
        <v>9.6389999999999993</v>
      </c>
      <c r="M5" s="152">
        <v>0.47</v>
      </c>
      <c r="N5" s="162">
        <v>0</v>
      </c>
      <c r="O5" s="152">
        <v>4.5339999999999998</v>
      </c>
      <c r="P5" s="165">
        <v>5.6132632684589998E-5</v>
      </c>
      <c r="Q5" s="165">
        <v>1.89362464607757E-6</v>
      </c>
    </row>
    <row r="6" spans="1:17">
      <c r="A6" s="2" t="s">
        <v>26</v>
      </c>
      <c r="B6" s="2">
        <v>288</v>
      </c>
      <c r="C6" s="2" t="s">
        <v>1203</v>
      </c>
      <c r="D6" s="2" t="s">
        <v>1204</v>
      </c>
      <c r="E6" s="21" t="s">
        <v>336</v>
      </c>
      <c r="F6" s="2" t="s">
        <v>976</v>
      </c>
      <c r="G6" s="2" t="s">
        <v>31</v>
      </c>
      <c r="H6" s="2" t="s">
        <v>163</v>
      </c>
      <c r="I6" s="2" t="s">
        <v>1202</v>
      </c>
      <c r="J6" s="2" t="s">
        <v>435</v>
      </c>
      <c r="K6" s="2" t="s">
        <v>1207</v>
      </c>
      <c r="L6" s="152">
        <v>16.574999999999999</v>
      </c>
      <c r="M6" s="152">
        <v>2.7280000000000002</v>
      </c>
      <c r="N6" s="162">
        <v>0</v>
      </c>
      <c r="O6" s="152">
        <v>45.216000000000001</v>
      </c>
      <c r="P6" s="165">
        <v>5.5975984191649697E-4</v>
      </c>
      <c r="Q6" s="165">
        <v>1.8883401362868199E-5</v>
      </c>
    </row>
    <row r="7" spans="1:17">
      <c r="A7" s="2" t="s">
        <v>26</v>
      </c>
      <c r="B7" s="2">
        <v>288</v>
      </c>
      <c r="C7" s="2" t="s">
        <v>1203</v>
      </c>
      <c r="D7" s="2" t="s">
        <v>1204</v>
      </c>
      <c r="E7" s="21" t="s">
        <v>336</v>
      </c>
      <c r="F7" s="2" t="s">
        <v>976</v>
      </c>
      <c r="G7" s="2" t="s">
        <v>31</v>
      </c>
      <c r="H7" s="2" t="s">
        <v>163</v>
      </c>
      <c r="I7" s="2" t="s">
        <v>1202</v>
      </c>
      <c r="J7" s="2" t="s">
        <v>435</v>
      </c>
      <c r="K7" s="2" t="s">
        <v>1208</v>
      </c>
      <c r="L7" s="152">
        <v>199.34100000000001</v>
      </c>
      <c r="M7" s="152">
        <v>3.9790000000000001</v>
      </c>
      <c r="N7" s="162">
        <v>0</v>
      </c>
      <c r="O7" s="152">
        <v>793.197</v>
      </c>
      <c r="P7" s="165">
        <v>9.8196369611815108E-3</v>
      </c>
      <c r="Q7" s="165">
        <v>3.3126375293515101E-4</v>
      </c>
    </row>
    <row r="8" spans="1:17">
      <c r="A8" s="2" t="s">
        <v>26</v>
      </c>
      <c r="B8" s="2">
        <v>288</v>
      </c>
      <c r="C8" s="2" t="s">
        <v>1203</v>
      </c>
      <c r="D8" s="2" t="s">
        <v>1204</v>
      </c>
      <c r="E8" s="21" t="s">
        <v>336</v>
      </c>
      <c r="F8" s="2" t="s">
        <v>976</v>
      </c>
      <c r="G8" s="2" t="s">
        <v>31</v>
      </c>
      <c r="H8" s="2" t="s">
        <v>163</v>
      </c>
      <c r="I8" s="2" t="s">
        <v>1202</v>
      </c>
      <c r="J8" s="2" t="s">
        <v>435</v>
      </c>
      <c r="K8" s="2" t="s">
        <v>1209</v>
      </c>
      <c r="L8" s="152">
        <v>5351.8630000000003</v>
      </c>
      <c r="M8" s="152">
        <v>2.4329999999999998</v>
      </c>
      <c r="N8" s="162">
        <v>0</v>
      </c>
      <c r="O8" s="152">
        <v>130.232</v>
      </c>
      <c r="P8" s="165">
        <v>1.6122516951274099E-3</v>
      </c>
      <c r="Q8" s="165">
        <v>5.4389031826254499E-5</v>
      </c>
    </row>
    <row r="9" spans="1:17">
      <c r="A9" s="2" t="s">
        <v>26</v>
      </c>
      <c r="B9" s="2">
        <v>288</v>
      </c>
      <c r="C9" s="2" t="s">
        <v>1203</v>
      </c>
      <c r="D9" s="2" t="s">
        <v>1204</v>
      </c>
      <c r="E9" s="21" t="s">
        <v>336</v>
      </c>
      <c r="F9" s="2" t="s">
        <v>976</v>
      </c>
      <c r="G9" s="2" t="s">
        <v>31</v>
      </c>
      <c r="H9" s="2" t="s">
        <v>163</v>
      </c>
      <c r="I9" s="2" t="s">
        <v>1202</v>
      </c>
      <c r="J9" s="2" t="s">
        <v>435</v>
      </c>
      <c r="K9" s="2" t="s">
        <v>1210</v>
      </c>
      <c r="L9" s="152">
        <v>56.369</v>
      </c>
      <c r="M9" s="152">
        <v>4.6539999999999999</v>
      </c>
      <c r="N9" s="162">
        <v>0</v>
      </c>
      <c r="O9" s="152">
        <v>262.31099999999998</v>
      </c>
      <c r="P9" s="165">
        <v>3.2473657497196101E-3</v>
      </c>
      <c r="Q9" s="165">
        <v>1.0954932139118099E-4</v>
      </c>
    </row>
    <row r="10" spans="1:17">
      <c r="A10" s="2" t="s">
        <v>26</v>
      </c>
      <c r="B10" s="2">
        <v>288</v>
      </c>
      <c r="C10" s="2" t="s">
        <v>1203</v>
      </c>
      <c r="D10" s="2" t="s">
        <v>1204</v>
      </c>
      <c r="E10" s="21" t="s">
        <v>336</v>
      </c>
      <c r="F10" s="2" t="s">
        <v>977</v>
      </c>
      <c r="G10" s="2" t="s">
        <v>31</v>
      </c>
      <c r="H10" s="2" t="s">
        <v>163</v>
      </c>
      <c r="I10" s="2" t="s">
        <v>1202</v>
      </c>
      <c r="J10" s="2" t="s">
        <v>435</v>
      </c>
      <c r="K10" s="2" t="s">
        <v>35</v>
      </c>
      <c r="L10" s="152">
        <v>0</v>
      </c>
      <c r="M10" s="152">
        <v>1</v>
      </c>
      <c r="N10" s="162">
        <v>4.0300000000000002E-2</v>
      </c>
      <c r="O10" s="152">
        <v>31293.319</v>
      </c>
      <c r="P10" s="165">
        <v>0.38740564702038899</v>
      </c>
      <c r="Q10" s="165">
        <v>1.3069062435563101E-2</v>
      </c>
    </row>
    <row r="11" spans="1:17">
      <c r="A11" s="2" t="s">
        <v>26</v>
      </c>
      <c r="B11" s="2">
        <v>288</v>
      </c>
      <c r="C11" s="2" t="s">
        <v>1203</v>
      </c>
      <c r="D11" s="2" t="s">
        <v>1204</v>
      </c>
      <c r="E11" s="21" t="s">
        <v>336</v>
      </c>
      <c r="F11" s="2" t="s">
        <v>976</v>
      </c>
      <c r="G11" s="2" t="s">
        <v>31</v>
      </c>
      <c r="H11" s="2" t="s">
        <v>163</v>
      </c>
      <c r="I11" s="2" t="s">
        <v>1202</v>
      </c>
      <c r="J11" s="2" t="s">
        <v>435</v>
      </c>
      <c r="K11" s="2" t="s">
        <v>1211</v>
      </c>
      <c r="L11" s="152">
        <v>0</v>
      </c>
      <c r="M11" s="152">
        <v>4.0739999999999998</v>
      </c>
      <c r="N11" s="162">
        <v>0</v>
      </c>
      <c r="O11" s="152">
        <v>1E-3</v>
      </c>
      <c r="P11" s="165">
        <v>9.5827231570129704E-9</v>
      </c>
      <c r="Q11" s="165">
        <v>3.23271506765434E-10</v>
      </c>
    </row>
    <row r="12" spans="1:17">
      <c r="A12" s="2" t="s">
        <v>26</v>
      </c>
      <c r="B12" s="2">
        <v>288</v>
      </c>
      <c r="C12" s="2" t="s">
        <v>1203</v>
      </c>
      <c r="D12" s="2" t="s">
        <v>1204</v>
      </c>
      <c r="E12" s="21" t="s">
        <v>336</v>
      </c>
      <c r="F12" s="2" t="s">
        <v>976</v>
      </c>
      <c r="G12" s="2" t="s">
        <v>31</v>
      </c>
      <c r="H12" s="2" t="s">
        <v>163</v>
      </c>
      <c r="I12" s="2" t="s">
        <v>1202</v>
      </c>
      <c r="J12" s="2" t="s">
        <v>435</v>
      </c>
      <c r="K12" s="2" t="s">
        <v>100</v>
      </c>
      <c r="L12" s="152">
        <v>275.96899999999999</v>
      </c>
      <c r="M12" s="152">
        <v>3.681</v>
      </c>
      <c r="N12" s="162">
        <v>3.61E-2</v>
      </c>
      <c r="O12" s="152">
        <v>1015.842</v>
      </c>
      <c r="P12" s="165">
        <v>1.25759425144877E-2</v>
      </c>
      <c r="Q12" s="165">
        <v>4.2424724361140502E-4</v>
      </c>
    </row>
    <row r="13" spans="1:17">
      <c r="A13" s="2" t="s">
        <v>26</v>
      </c>
      <c r="B13" s="2">
        <v>288</v>
      </c>
      <c r="C13" s="2" t="s">
        <v>1203</v>
      </c>
      <c r="D13" s="2" t="s">
        <v>1204</v>
      </c>
      <c r="E13" s="21" t="s">
        <v>336</v>
      </c>
      <c r="F13" s="2" t="s">
        <v>976</v>
      </c>
      <c r="G13" s="2" t="s">
        <v>31</v>
      </c>
      <c r="H13" s="2" t="s">
        <v>163</v>
      </c>
      <c r="I13" s="2" t="s">
        <v>1202</v>
      </c>
      <c r="J13" s="2" t="s">
        <v>435</v>
      </c>
      <c r="K13" s="2" t="s">
        <v>1208</v>
      </c>
      <c r="L13" s="152">
        <v>334.495</v>
      </c>
      <c r="M13" s="152">
        <v>3.9790000000000001</v>
      </c>
      <c r="N13" s="162">
        <v>0</v>
      </c>
      <c r="O13" s="152">
        <v>1330.991</v>
      </c>
      <c r="P13" s="165">
        <v>1.64774275323313E-2</v>
      </c>
      <c r="Q13" s="165">
        <v>5.5586316527330196E-4</v>
      </c>
    </row>
    <row r="14" spans="1:17">
      <c r="A14" s="2" t="s">
        <v>26</v>
      </c>
      <c r="B14" s="2">
        <v>288</v>
      </c>
      <c r="C14" s="2" t="s">
        <v>1203</v>
      </c>
      <c r="D14" s="2" t="s">
        <v>1204</v>
      </c>
      <c r="E14" s="21" t="s">
        <v>336</v>
      </c>
      <c r="F14" s="2" t="s">
        <v>976</v>
      </c>
      <c r="G14" s="2" t="s">
        <v>31</v>
      </c>
      <c r="H14" s="2" t="s">
        <v>163</v>
      </c>
      <c r="I14" s="2" t="s">
        <v>1202</v>
      </c>
      <c r="J14" s="2" t="s">
        <v>435</v>
      </c>
      <c r="K14" s="2" t="s">
        <v>1210</v>
      </c>
      <c r="L14" s="152">
        <v>255.72200000000001</v>
      </c>
      <c r="M14" s="152">
        <v>4.6539999999999999</v>
      </c>
      <c r="N14" s="162">
        <v>0</v>
      </c>
      <c r="O14" s="152">
        <v>1190</v>
      </c>
      <c r="P14" s="165">
        <v>1.4731986475344501E-2</v>
      </c>
      <c r="Q14" s="165">
        <v>4.9698101338212003E-4</v>
      </c>
    </row>
    <row r="15" spans="1:17">
      <c r="A15" s="2" t="s">
        <v>26</v>
      </c>
      <c r="B15" s="2">
        <v>288</v>
      </c>
      <c r="C15" s="2" t="s">
        <v>1203</v>
      </c>
      <c r="D15" s="2" t="s">
        <v>1204</v>
      </c>
      <c r="E15" s="21" t="s">
        <v>336</v>
      </c>
      <c r="F15" s="2" t="s">
        <v>977</v>
      </c>
      <c r="G15" s="2" t="s">
        <v>31</v>
      </c>
      <c r="H15" s="2" t="s">
        <v>163</v>
      </c>
      <c r="I15" s="2" t="s">
        <v>1202</v>
      </c>
      <c r="J15" s="2" t="s">
        <v>435</v>
      </c>
      <c r="K15" s="2" t="s">
        <v>35</v>
      </c>
      <c r="L15" s="152">
        <v>0</v>
      </c>
      <c r="M15" s="152">
        <v>1</v>
      </c>
      <c r="N15" s="162">
        <v>4.0300000000000002E-2</v>
      </c>
      <c r="O15" s="152">
        <v>4234.8810000000003</v>
      </c>
      <c r="P15" s="165">
        <v>5.2427058212911999E-2</v>
      </c>
      <c r="Q15" s="165">
        <v>1.7686177327750499E-3</v>
      </c>
    </row>
    <row r="16" spans="1:17">
      <c r="A16" s="2" t="s">
        <v>26</v>
      </c>
      <c r="B16" s="2">
        <v>1451</v>
      </c>
      <c r="C16" s="2" t="s">
        <v>1200</v>
      </c>
      <c r="D16" s="2" t="s">
        <v>1201</v>
      </c>
      <c r="E16" s="21" t="s">
        <v>336</v>
      </c>
      <c r="F16" s="2" t="s">
        <v>974</v>
      </c>
      <c r="G16" s="2" t="s">
        <v>31</v>
      </c>
      <c r="H16" s="2" t="s">
        <v>163</v>
      </c>
      <c r="I16" s="2" t="s">
        <v>1202</v>
      </c>
      <c r="J16" s="2" t="s">
        <v>435</v>
      </c>
      <c r="K16" s="2" t="s">
        <v>35</v>
      </c>
      <c r="L16" s="152">
        <v>0</v>
      </c>
      <c r="M16" s="152">
        <v>1</v>
      </c>
      <c r="N16" s="162">
        <v>0</v>
      </c>
      <c r="O16" s="152">
        <v>541.572</v>
      </c>
      <c r="P16" s="165">
        <v>0.16213070823864001</v>
      </c>
      <c r="Q16" s="165">
        <v>9.5812037530979902E-3</v>
      </c>
    </row>
    <row r="17" spans="1:17">
      <c r="A17" s="2" t="s">
        <v>26</v>
      </c>
      <c r="B17" s="2">
        <v>1451</v>
      </c>
      <c r="C17" s="2" t="s">
        <v>1203</v>
      </c>
      <c r="D17" s="2" t="s">
        <v>1204</v>
      </c>
      <c r="E17" s="21" t="s">
        <v>336</v>
      </c>
      <c r="F17" s="2" t="s">
        <v>976</v>
      </c>
      <c r="G17" s="2" t="s">
        <v>31</v>
      </c>
      <c r="H17" s="2" t="s">
        <v>163</v>
      </c>
      <c r="I17" s="2" t="s">
        <v>1202</v>
      </c>
      <c r="J17" s="2" t="s">
        <v>435</v>
      </c>
      <c r="K17" s="2" t="s">
        <v>100</v>
      </c>
      <c r="L17" s="152">
        <v>216.69800000000001</v>
      </c>
      <c r="M17" s="152">
        <v>3.681</v>
      </c>
      <c r="N17" s="162">
        <v>3.61E-2</v>
      </c>
      <c r="O17" s="152">
        <v>797.66600000000005</v>
      </c>
      <c r="P17" s="165">
        <v>0.23879786468992101</v>
      </c>
      <c r="Q17" s="165">
        <v>1.4111891709195501E-2</v>
      </c>
    </row>
    <row r="18" spans="1:17">
      <c r="A18" s="2" t="s">
        <v>26</v>
      </c>
      <c r="B18" s="2">
        <v>1451</v>
      </c>
      <c r="C18" s="2" t="s">
        <v>1203</v>
      </c>
      <c r="D18" s="2" t="s">
        <v>1204</v>
      </c>
      <c r="E18" s="21" t="s">
        <v>336</v>
      </c>
      <c r="F18" s="2" t="s">
        <v>976</v>
      </c>
      <c r="G18" s="2" t="s">
        <v>31</v>
      </c>
      <c r="H18" s="2" t="s">
        <v>163</v>
      </c>
      <c r="I18" s="2" t="s">
        <v>1202</v>
      </c>
      <c r="J18" s="2" t="s">
        <v>435</v>
      </c>
      <c r="K18" s="2" t="s">
        <v>1208</v>
      </c>
      <c r="L18" s="152">
        <v>0</v>
      </c>
      <c r="M18" s="152">
        <v>3.9790000000000001</v>
      </c>
      <c r="N18" s="162">
        <v>0</v>
      </c>
      <c r="O18" s="152">
        <v>2E-3</v>
      </c>
      <c r="P18" s="165">
        <v>4.52665762516833E-7</v>
      </c>
      <c r="Q18" s="165">
        <v>2.67505332570403E-8</v>
      </c>
    </row>
    <row r="19" spans="1:17">
      <c r="A19" s="2" t="s">
        <v>26</v>
      </c>
      <c r="B19" s="2">
        <v>1451</v>
      </c>
      <c r="C19" s="2" t="s">
        <v>1203</v>
      </c>
      <c r="D19" s="2" t="s">
        <v>1204</v>
      </c>
      <c r="E19" s="21" t="s">
        <v>336</v>
      </c>
      <c r="F19" s="2" t="s">
        <v>977</v>
      </c>
      <c r="G19" s="2" t="s">
        <v>31</v>
      </c>
      <c r="H19" s="2" t="s">
        <v>163</v>
      </c>
      <c r="I19" s="2" t="s">
        <v>1202</v>
      </c>
      <c r="J19" s="2" t="s">
        <v>435</v>
      </c>
      <c r="K19" s="2" t="s">
        <v>35</v>
      </c>
      <c r="L19" s="152">
        <v>0</v>
      </c>
      <c r="M19" s="152">
        <v>1</v>
      </c>
      <c r="N19" s="162">
        <v>4.0300000000000002E-2</v>
      </c>
      <c r="O19" s="152">
        <v>2001.1010000000001</v>
      </c>
      <c r="P19" s="165">
        <v>0.59907097440567603</v>
      </c>
      <c r="Q19" s="165">
        <v>3.5402430117675798E-2</v>
      </c>
    </row>
    <row r="20" spans="1:17">
      <c r="A20" s="2" t="s">
        <v>26</v>
      </c>
      <c r="B20" s="2">
        <v>1452</v>
      </c>
      <c r="C20" s="2" t="s">
        <v>1200</v>
      </c>
      <c r="D20" s="2" t="s">
        <v>1201</v>
      </c>
      <c r="E20" s="21" t="s">
        <v>336</v>
      </c>
      <c r="F20" s="2" t="s">
        <v>974</v>
      </c>
      <c r="G20" s="2" t="s">
        <v>31</v>
      </c>
      <c r="H20" s="2" t="s">
        <v>163</v>
      </c>
      <c r="I20" s="2" t="s">
        <v>1202</v>
      </c>
      <c r="J20" s="2" t="s">
        <v>435</v>
      </c>
      <c r="K20" s="2" t="s">
        <v>35</v>
      </c>
      <c r="L20" s="152">
        <v>0</v>
      </c>
      <c r="M20" s="152">
        <v>1</v>
      </c>
      <c r="N20" s="162">
        <v>0</v>
      </c>
      <c r="O20" s="152">
        <v>-64.188999999999993</v>
      </c>
      <c r="P20" s="165">
        <v>-2.0622393072129899E-2</v>
      </c>
      <c r="Q20" s="165">
        <v>-1.2943875978548599E-3</v>
      </c>
    </row>
    <row r="21" spans="1:17">
      <c r="A21" s="2" t="s">
        <v>26</v>
      </c>
      <c r="B21" s="2">
        <v>1452</v>
      </c>
      <c r="C21" s="2" t="s">
        <v>1203</v>
      </c>
      <c r="D21" s="2" t="s">
        <v>1204</v>
      </c>
      <c r="E21" s="4" t="s">
        <v>336</v>
      </c>
      <c r="F21" s="2" t="s">
        <v>976</v>
      </c>
      <c r="G21" s="2" t="s">
        <v>31</v>
      </c>
      <c r="H21" s="2" t="s">
        <v>163</v>
      </c>
      <c r="I21" s="2" t="s">
        <v>1202</v>
      </c>
      <c r="J21" s="2" t="s">
        <v>435</v>
      </c>
      <c r="K21" s="2" t="s">
        <v>100</v>
      </c>
      <c r="L21" s="152">
        <v>436.95299999999997</v>
      </c>
      <c r="M21" s="152">
        <v>3.681</v>
      </c>
      <c r="N21" s="163">
        <v>3.61E-2</v>
      </c>
      <c r="O21" s="152">
        <v>1608.425</v>
      </c>
      <c r="P21" s="165">
        <v>0.51674545916677395</v>
      </c>
      <c r="Q21" s="165">
        <v>3.24341074895537E-2</v>
      </c>
    </row>
    <row r="22" spans="1:17">
      <c r="A22" s="2" t="s">
        <v>26</v>
      </c>
      <c r="B22" s="2">
        <v>1452</v>
      </c>
      <c r="C22" s="2" t="s">
        <v>1203</v>
      </c>
      <c r="D22" s="2" t="s">
        <v>1204</v>
      </c>
      <c r="E22" s="4" t="s">
        <v>336</v>
      </c>
      <c r="F22" s="2" t="s">
        <v>976</v>
      </c>
      <c r="G22" s="2" t="s">
        <v>31</v>
      </c>
      <c r="H22" s="2" t="s">
        <v>163</v>
      </c>
      <c r="I22" s="2" t="s">
        <v>1202</v>
      </c>
      <c r="J22" s="2" t="s">
        <v>435</v>
      </c>
      <c r="K22" s="2" t="s">
        <v>1206</v>
      </c>
      <c r="L22" s="152">
        <v>9.5760000000000005</v>
      </c>
      <c r="M22" s="152">
        <v>0.47</v>
      </c>
      <c r="N22" s="163">
        <v>0</v>
      </c>
      <c r="O22" s="152">
        <v>4.5049999999999999</v>
      </c>
      <c r="P22" s="165">
        <v>1.44726868846659E-3</v>
      </c>
      <c r="Q22" s="165">
        <v>9.08394401446324E-5</v>
      </c>
    </row>
    <row r="23" spans="1:17">
      <c r="A23" s="2" t="s">
        <v>26</v>
      </c>
      <c r="B23" s="2">
        <v>1452</v>
      </c>
      <c r="C23" s="2" t="s">
        <v>1203</v>
      </c>
      <c r="D23" s="2" t="s">
        <v>1204</v>
      </c>
      <c r="E23" s="4" t="s">
        <v>336</v>
      </c>
      <c r="F23" s="2" t="s">
        <v>976</v>
      </c>
      <c r="G23" s="2" t="s">
        <v>31</v>
      </c>
      <c r="H23" s="2" t="s">
        <v>163</v>
      </c>
      <c r="I23" s="2" t="s">
        <v>1202</v>
      </c>
      <c r="J23" s="2" t="s">
        <v>435</v>
      </c>
      <c r="L23" s="152">
        <v>1.2</v>
      </c>
      <c r="M23" s="152">
        <v>0.51</v>
      </c>
      <c r="N23" s="163">
        <v>0</v>
      </c>
      <c r="O23" s="152">
        <v>0.61199999999999999</v>
      </c>
      <c r="P23" s="165">
        <v>1.9646564238703199E-4</v>
      </c>
      <c r="Q23" s="165">
        <v>1.23313860821536E-5</v>
      </c>
    </row>
    <row r="24" spans="1:17">
      <c r="A24" s="2" t="s">
        <v>26</v>
      </c>
      <c r="B24" s="2">
        <v>1452</v>
      </c>
      <c r="C24" s="2" t="s">
        <v>1203</v>
      </c>
      <c r="D24" s="2" t="s">
        <v>1204</v>
      </c>
      <c r="E24" s="4" t="s">
        <v>336</v>
      </c>
      <c r="F24" s="2" t="s">
        <v>976</v>
      </c>
      <c r="G24" s="2" t="s">
        <v>31</v>
      </c>
      <c r="H24" s="2" t="s">
        <v>163</v>
      </c>
      <c r="I24" s="2" t="s">
        <v>1202</v>
      </c>
      <c r="J24" s="2" t="s">
        <v>435</v>
      </c>
      <c r="K24" s="2" t="s">
        <v>1208</v>
      </c>
      <c r="L24" s="152">
        <v>21.370999999999999</v>
      </c>
      <c r="M24" s="152">
        <v>3.9790000000000001</v>
      </c>
      <c r="N24" s="163">
        <v>0</v>
      </c>
      <c r="O24" s="152">
        <v>85.036000000000001</v>
      </c>
      <c r="P24" s="165">
        <v>2.7319736129689898E-2</v>
      </c>
      <c r="Q24" s="165">
        <v>1.7147538357577101E-3</v>
      </c>
    </row>
    <row r="25" spans="1:17">
      <c r="A25" s="2" t="s">
        <v>26</v>
      </c>
      <c r="B25" s="2">
        <v>1452</v>
      </c>
      <c r="C25" s="2" t="s">
        <v>1203</v>
      </c>
      <c r="D25" s="2" t="s">
        <v>1204</v>
      </c>
      <c r="E25" s="4" t="s">
        <v>336</v>
      </c>
      <c r="F25" s="2" t="s">
        <v>976</v>
      </c>
      <c r="G25" s="2" t="s">
        <v>31</v>
      </c>
      <c r="H25" s="2" t="s">
        <v>163</v>
      </c>
      <c r="I25" s="2" t="s">
        <v>1202</v>
      </c>
      <c r="J25" s="2" t="s">
        <v>435</v>
      </c>
      <c r="K25" s="2" t="s">
        <v>1209</v>
      </c>
      <c r="L25" s="152">
        <v>72.418000000000006</v>
      </c>
      <c r="M25" s="152">
        <v>2.4329999999999998</v>
      </c>
      <c r="N25" s="163">
        <v>0</v>
      </c>
      <c r="O25" s="152">
        <v>1.762</v>
      </c>
      <c r="P25" s="165">
        <v>5.6615801072931499E-4</v>
      </c>
      <c r="Q25" s="165">
        <v>3.5535541629481599E-5</v>
      </c>
    </row>
    <row r="26" spans="1:17">
      <c r="A26" s="2" t="s">
        <v>26</v>
      </c>
      <c r="B26" s="2">
        <v>1452</v>
      </c>
      <c r="C26" s="2" t="s">
        <v>1203</v>
      </c>
      <c r="D26" s="2" t="s">
        <v>1204</v>
      </c>
      <c r="E26" s="4" t="s">
        <v>336</v>
      </c>
      <c r="F26" s="2" t="s">
        <v>976</v>
      </c>
      <c r="G26" s="2" t="s">
        <v>31</v>
      </c>
      <c r="H26" s="2" t="s">
        <v>163</v>
      </c>
      <c r="I26" s="2" t="s">
        <v>1202</v>
      </c>
      <c r="J26" s="2" t="s">
        <v>435</v>
      </c>
      <c r="K26" s="2" t="s">
        <v>1210</v>
      </c>
      <c r="L26" s="152">
        <v>0.99199999999999999</v>
      </c>
      <c r="M26" s="152">
        <v>4.6539999999999999</v>
      </c>
      <c r="N26" s="163">
        <v>0</v>
      </c>
      <c r="O26" s="152">
        <v>4.617</v>
      </c>
      <c r="P26" s="165">
        <v>1.4832987299101101E-3</v>
      </c>
      <c r="Q26" s="165">
        <v>9.3100906048786602E-5</v>
      </c>
    </row>
    <row r="27" spans="1:17">
      <c r="A27" s="2" t="s">
        <v>26</v>
      </c>
      <c r="B27" s="2">
        <v>1452</v>
      </c>
      <c r="C27" s="2" t="s">
        <v>1203</v>
      </c>
      <c r="D27" s="2" t="s">
        <v>1204</v>
      </c>
      <c r="E27" s="4" t="s">
        <v>336</v>
      </c>
      <c r="F27" s="2" t="s">
        <v>974</v>
      </c>
      <c r="G27" s="2" t="s">
        <v>31</v>
      </c>
      <c r="H27" s="2" t="s">
        <v>163</v>
      </c>
      <c r="I27" s="2" t="s">
        <v>1202</v>
      </c>
      <c r="J27" s="2" t="s">
        <v>435</v>
      </c>
      <c r="K27" s="2" t="s">
        <v>35</v>
      </c>
      <c r="L27" s="152">
        <v>0</v>
      </c>
      <c r="M27" s="152">
        <v>1</v>
      </c>
      <c r="N27" s="163">
        <v>0</v>
      </c>
      <c r="O27" s="152">
        <v>1.3140000000000001</v>
      </c>
      <c r="P27" s="165">
        <v>4.22135116035481E-4</v>
      </c>
      <c r="Q27" s="165">
        <v>2.64957833411579E-5</v>
      </c>
    </row>
    <row r="28" spans="1:17">
      <c r="A28" s="2" t="s">
        <v>26</v>
      </c>
      <c r="B28" s="2">
        <v>1452</v>
      </c>
      <c r="C28" s="2" t="s">
        <v>1203</v>
      </c>
      <c r="D28" s="2" t="s">
        <v>1204</v>
      </c>
      <c r="E28" s="4" t="s">
        <v>336</v>
      </c>
      <c r="F28" s="2" t="s">
        <v>977</v>
      </c>
      <c r="G28" s="2" t="s">
        <v>31</v>
      </c>
      <c r="H28" s="2" t="s">
        <v>163</v>
      </c>
      <c r="I28" s="2" t="s">
        <v>1202</v>
      </c>
      <c r="J28" s="2" t="s">
        <v>435</v>
      </c>
      <c r="K28" s="2" t="s">
        <v>35</v>
      </c>
      <c r="L28" s="152">
        <v>0</v>
      </c>
      <c r="M28" s="152">
        <v>1</v>
      </c>
      <c r="N28" s="163">
        <v>4.0300000000000002E-2</v>
      </c>
      <c r="O28" s="152">
        <v>1470.5219999999999</v>
      </c>
      <c r="P28" s="165">
        <v>0.47244091611202899</v>
      </c>
      <c r="Q28" s="165">
        <v>2.96532832244886E-2</v>
      </c>
    </row>
    <row r="29" spans="1:17">
      <c r="A29" s="2" t="s">
        <v>26</v>
      </c>
      <c r="B29" s="2">
        <v>1452</v>
      </c>
      <c r="C29" s="2" t="s">
        <v>1203</v>
      </c>
      <c r="D29" s="2" t="s">
        <v>1204</v>
      </c>
      <c r="E29" s="4" t="s">
        <v>336</v>
      </c>
      <c r="F29" s="2" t="s">
        <v>976</v>
      </c>
      <c r="G29" s="2" t="s">
        <v>31</v>
      </c>
      <c r="H29" s="2" t="s">
        <v>163</v>
      </c>
      <c r="I29" s="2" t="s">
        <v>1202</v>
      </c>
      <c r="J29" s="2" t="s">
        <v>435</v>
      </c>
      <c r="K29" s="2" t="s">
        <v>1211</v>
      </c>
      <c r="L29" s="152">
        <v>1E-3</v>
      </c>
      <c r="M29" s="152">
        <v>4.0739999999999998</v>
      </c>
      <c r="N29" s="163">
        <v>0</v>
      </c>
      <c r="O29" s="152">
        <v>3.0000000000000001E-3</v>
      </c>
      <c r="P29" s="165">
        <v>9.554761083396809E-7</v>
      </c>
      <c r="Q29" s="165">
        <v>5.9971528054759301E-8</v>
      </c>
    </row>
    <row r="30" spans="1:17">
      <c r="A30" s="2" t="s">
        <v>26</v>
      </c>
      <c r="B30" s="2">
        <v>15046</v>
      </c>
      <c r="C30" s="2" t="s">
        <v>1200</v>
      </c>
      <c r="D30" s="2" t="s">
        <v>1201</v>
      </c>
      <c r="E30" s="4" t="s">
        <v>336</v>
      </c>
      <c r="F30" s="2" t="s">
        <v>974</v>
      </c>
      <c r="G30" s="2" t="s">
        <v>31</v>
      </c>
      <c r="H30" s="2" t="s">
        <v>163</v>
      </c>
      <c r="I30" s="2" t="s">
        <v>1202</v>
      </c>
      <c r="J30" s="2" t="s">
        <v>435</v>
      </c>
      <c r="K30" s="2" t="s">
        <v>35</v>
      </c>
      <c r="L30" s="152">
        <v>0</v>
      </c>
      <c r="M30" s="152">
        <v>1</v>
      </c>
      <c r="N30" s="163">
        <v>0</v>
      </c>
      <c r="O30" s="152">
        <v>0.63400000000000001</v>
      </c>
      <c r="P30" s="165">
        <v>4.96239938226248E-2</v>
      </c>
      <c r="Q30" s="165">
        <v>6.3401110805244001E-4</v>
      </c>
    </row>
    <row r="31" spans="1:17">
      <c r="A31" s="2" t="s">
        <v>26</v>
      </c>
      <c r="B31" s="2">
        <v>15046</v>
      </c>
      <c r="C31" s="2" t="s">
        <v>1203</v>
      </c>
      <c r="D31" s="2" t="s">
        <v>1204</v>
      </c>
      <c r="E31" s="4" t="s">
        <v>336</v>
      </c>
      <c r="F31" s="2" t="s">
        <v>976</v>
      </c>
      <c r="G31" s="2" t="s">
        <v>31</v>
      </c>
      <c r="H31" s="2" t="s">
        <v>163</v>
      </c>
      <c r="I31" s="2" t="s">
        <v>1202</v>
      </c>
      <c r="J31" s="2" t="s">
        <v>435</v>
      </c>
      <c r="K31" s="2" t="s">
        <v>100</v>
      </c>
      <c r="L31" s="152">
        <v>0.10100000000000001</v>
      </c>
      <c r="M31" s="152">
        <v>3.681</v>
      </c>
      <c r="N31" s="163">
        <v>3.61E-2</v>
      </c>
      <c r="O31" s="152">
        <v>0.37</v>
      </c>
      <c r="P31" s="165">
        <v>2.9004016091668101E-2</v>
      </c>
      <c r="Q31" s="165">
        <v>3.70564055081462E-4</v>
      </c>
    </row>
    <row r="32" spans="1:17">
      <c r="A32" s="2" t="s">
        <v>26</v>
      </c>
      <c r="B32" s="2">
        <v>15046</v>
      </c>
      <c r="C32" s="2" t="s">
        <v>1203</v>
      </c>
      <c r="D32" s="2" t="s">
        <v>1204</v>
      </c>
      <c r="E32" s="4" t="s">
        <v>336</v>
      </c>
      <c r="F32" s="2" t="s">
        <v>977</v>
      </c>
      <c r="G32" s="2" t="s">
        <v>31</v>
      </c>
      <c r="H32" s="2" t="s">
        <v>163</v>
      </c>
      <c r="I32" s="2" t="s">
        <v>1202</v>
      </c>
      <c r="J32" s="2" t="s">
        <v>435</v>
      </c>
      <c r="K32" s="2" t="s">
        <v>35</v>
      </c>
      <c r="L32" s="152">
        <v>0</v>
      </c>
      <c r="M32" s="152">
        <v>1</v>
      </c>
      <c r="N32" s="163">
        <v>4.0300000000000002E-2</v>
      </c>
      <c r="O32" s="152">
        <v>11.766</v>
      </c>
      <c r="P32" s="165">
        <v>0.92137199008570703</v>
      </c>
      <c r="Q32" s="165">
        <v>1.17717263638782E-2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32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5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0" t="s">
        <v>14</v>
      </c>
      <c r="P1" s="164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4" t="s">
        <v>23</v>
      </c>
      <c r="Y1" s="164" t="s">
        <v>24</v>
      </c>
      <c r="Z1" s="164" t="s">
        <v>25</v>
      </c>
    </row>
    <row r="2" spans="1:26">
      <c r="A2" s="21" t="s">
        <v>26</v>
      </c>
      <c r="B2" s="21">
        <v>288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3">
        <v>0.94</v>
      </c>
      <c r="N2" s="4" t="s">
        <v>36</v>
      </c>
      <c r="O2" s="162">
        <v>0</v>
      </c>
      <c r="P2" s="167">
        <v>4.0960000000000003E-2</v>
      </c>
      <c r="R2" s="153">
        <v>12500000</v>
      </c>
      <c r="S2" s="153">
        <v>1</v>
      </c>
      <c r="T2" s="153">
        <v>96.38</v>
      </c>
      <c r="U2" s="153">
        <v>12047.5</v>
      </c>
      <c r="W2" s="21" t="s">
        <v>37</v>
      </c>
      <c r="X2" s="167">
        <v>0</v>
      </c>
      <c r="Y2" s="167">
        <v>2.3950899909991202E-2</v>
      </c>
      <c r="Z2" s="167">
        <v>5.03141032705032E-3</v>
      </c>
    </row>
    <row r="3" spans="1:26">
      <c r="A3" s="21" t="s">
        <v>26</v>
      </c>
      <c r="B3" s="21">
        <v>288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40</v>
      </c>
      <c r="J3" s="21" t="s">
        <v>33</v>
      </c>
      <c r="K3" s="21" t="s">
        <v>34</v>
      </c>
      <c r="L3" s="4" t="s">
        <v>35</v>
      </c>
      <c r="M3" s="153">
        <v>0.6</v>
      </c>
      <c r="N3" s="4" t="s">
        <v>41</v>
      </c>
      <c r="O3" s="162">
        <v>0</v>
      </c>
      <c r="P3" s="167">
        <v>4.274E-2</v>
      </c>
      <c r="R3" s="153">
        <v>3900000</v>
      </c>
      <c r="S3" s="153">
        <v>1</v>
      </c>
      <c r="T3" s="153">
        <v>97.52</v>
      </c>
      <c r="U3" s="153">
        <v>3803.28</v>
      </c>
      <c r="W3" s="21" t="s">
        <v>37</v>
      </c>
      <c r="X3" s="167">
        <v>0</v>
      </c>
      <c r="Y3" s="167">
        <v>7.5610689860694099E-3</v>
      </c>
      <c r="Z3" s="167">
        <v>1.58836789945333E-3</v>
      </c>
    </row>
    <row r="4" spans="1:26">
      <c r="A4" s="21" t="s">
        <v>26</v>
      </c>
      <c r="B4" s="21">
        <v>288</v>
      </c>
      <c r="C4" s="21" t="s">
        <v>27</v>
      </c>
      <c r="D4" s="21" t="s">
        <v>42</v>
      </c>
      <c r="E4" s="21" t="s">
        <v>43</v>
      </c>
      <c r="F4" s="21" t="s">
        <v>30</v>
      </c>
      <c r="G4" s="21" t="s">
        <v>31</v>
      </c>
      <c r="H4" s="21" t="s">
        <v>31</v>
      </c>
      <c r="I4" s="21" t="s">
        <v>40</v>
      </c>
      <c r="J4" s="21" t="s">
        <v>33</v>
      </c>
      <c r="K4" s="21" t="s">
        <v>34</v>
      </c>
      <c r="L4" s="4" t="s">
        <v>35</v>
      </c>
      <c r="M4" s="153">
        <v>0.78</v>
      </c>
      <c r="N4" s="4" t="s">
        <v>44</v>
      </c>
      <c r="O4" s="162">
        <v>0</v>
      </c>
      <c r="P4" s="167">
        <v>4.1869999999999997E-2</v>
      </c>
      <c r="R4" s="153">
        <v>31000000</v>
      </c>
      <c r="S4" s="153">
        <v>1</v>
      </c>
      <c r="T4" s="153">
        <v>96.9</v>
      </c>
      <c r="U4" s="153">
        <v>30039</v>
      </c>
      <c r="W4" s="21" t="s">
        <v>37</v>
      </c>
      <c r="X4" s="167">
        <v>0</v>
      </c>
      <c r="Y4" s="167">
        <v>5.9718703664347297E-2</v>
      </c>
      <c r="Z4" s="167">
        <v>1.2545219739718999E-2</v>
      </c>
    </row>
    <row r="5" spans="1:26">
      <c r="A5" s="21" t="s">
        <v>26</v>
      </c>
      <c r="B5" s="21">
        <v>288</v>
      </c>
      <c r="C5" s="21" t="s">
        <v>27</v>
      </c>
      <c r="D5" s="21" t="s">
        <v>45</v>
      </c>
      <c r="E5" s="21" t="s">
        <v>46</v>
      </c>
      <c r="F5" s="21" t="s">
        <v>30</v>
      </c>
      <c r="G5" s="21" t="s">
        <v>31</v>
      </c>
      <c r="H5" s="21" t="s">
        <v>31</v>
      </c>
      <c r="I5" s="21" t="s">
        <v>40</v>
      </c>
      <c r="J5" s="21" t="s">
        <v>33</v>
      </c>
      <c r="K5" s="21" t="s">
        <v>34</v>
      </c>
      <c r="L5" s="4" t="s">
        <v>35</v>
      </c>
      <c r="M5" s="153">
        <v>0.35099999999999998</v>
      </c>
      <c r="N5" s="4" t="s">
        <v>47</v>
      </c>
      <c r="O5" s="162">
        <v>0</v>
      </c>
      <c r="P5" s="167">
        <v>4.283E-2</v>
      </c>
      <c r="R5" s="153">
        <v>8000000</v>
      </c>
      <c r="S5" s="153">
        <v>1</v>
      </c>
      <c r="T5" s="153">
        <v>98.55</v>
      </c>
      <c r="U5" s="153">
        <v>7884</v>
      </c>
      <c r="W5" s="21" t="s">
        <v>37</v>
      </c>
      <c r="X5" s="167">
        <v>4.44E-4</v>
      </c>
      <c r="Y5" s="167">
        <v>1.56736995136228E-2</v>
      </c>
      <c r="Z5" s="167">
        <v>3.29260336322596E-3</v>
      </c>
    </row>
    <row r="6" spans="1:26">
      <c r="A6" s="21" t="s">
        <v>26</v>
      </c>
      <c r="B6" s="21">
        <v>288</v>
      </c>
      <c r="C6" s="21" t="s">
        <v>48</v>
      </c>
      <c r="D6" s="21" t="s">
        <v>49</v>
      </c>
      <c r="E6" s="21" t="s">
        <v>50</v>
      </c>
      <c r="F6" s="21" t="s">
        <v>51</v>
      </c>
      <c r="G6" s="21" t="s">
        <v>31</v>
      </c>
      <c r="H6" s="21" t="s">
        <v>31</v>
      </c>
      <c r="I6" s="21" t="s">
        <v>40</v>
      </c>
      <c r="J6" s="21" t="s">
        <v>33</v>
      </c>
      <c r="K6" s="21" t="s">
        <v>34</v>
      </c>
      <c r="L6" s="4" t="s">
        <v>35</v>
      </c>
      <c r="M6" s="153">
        <v>3.1190000000000002</v>
      </c>
      <c r="N6" s="4" t="s">
        <v>52</v>
      </c>
      <c r="O6" s="162">
        <v>7.4999999999999997E-3</v>
      </c>
      <c r="P6" s="167">
        <v>1.1520000000000001E-2</v>
      </c>
      <c r="R6" s="153">
        <v>21400000</v>
      </c>
      <c r="S6" s="153">
        <v>1</v>
      </c>
      <c r="T6" s="153">
        <v>111.88</v>
      </c>
      <c r="U6" s="153">
        <v>23942.32</v>
      </c>
      <c r="W6" s="21" t="s">
        <v>37</v>
      </c>
      <c r="X6" s="167">
        <v>1.0219999999999999E-3</v>
      </c>
      <c r="Y6" s="167">
        <v>4.7598266024733701E-2</v>
      </c>
      <c r="Z6" s="167">
        <v>9.9990567421907803E-3</v>
      </c>
    </row>
    <row r="7" spans="1:26">
      <c r="A7" s="21" t="s">
        <v>26</v>
      </c>
      <c r="B7" s="21">
        <v>288</v>
      </c>
      <c r="C7" s="21" t="s">
        <v>48</v>
      </c>
      <c r="D7" s="21" t="s">
        <v>53</v>
      </c>
      <c r="E7" s="21" t="s">
        <v>54</v>
      </c>
      <c r="F7" s="21" t="s">
        <v>51</v>
      </c>
      <c r="G7" s="21" t="s">
        <v>31</v>
      </c>
      <c r="H7" s="21" t="s">
        <v>31</v>
      </c>
      <c r="I7" s="21" t="s">
        <v>40</v>
      </c>
      <c r="J7" s="21" t="s">
        <v>33</v>
      </c>
      <c r="K7" s="21" t="s">
        <v>34</v>
      </c>
      <c r="L7" s="4" t="s">
        <v>35</v>
      </c>
      <c r="M7" s="153">
        <v>1.5760000000000001</v>
      </c>
      <c r="N7" s="4" t="s">
        <v>55</v>
      </c>
      <c r="O7" s="162">
        <v>7.4999999999999997E-3</v>
      </c>
      <c r="P7" s="167">
        <v>7.9699999999999997E-3</v>
      </c>
      <c r="R7" s="153">
        <v>11420269</v>
      </c>
      <c r="S7" s="153">
        <v>1</v>
      </c>
      <c r="T7" s="153">
        <v>112.14</v>
      </c>
      <c r="U7" s="153">
        <v>12806.69</v>
      </c>
      <c r="W7" s="21" t="s">
        <v>37</v>
      </c>
      <c r="X7" s="167">
        <v>5.2599999999999999E-4</v>
      </c>
      <c r="Y7" s="167">
        <v>2.54601985593314E-2</v>
      </c>
      <c r="Z7" s="167">
        <v>5.3484715163764898E-3</v>
      </c>
    </row>
    <row r="8" spans="1:26">
      <c r="A8" s="21" t="s">
        <v>26</v>
      </c>
      <c r="B8" s="21">
        <v>288</v>
      </c>
      <c r="C8" s="21" t="s">
        <v>48</v>
      </c>
      <c r="D8" s="21" t="s">
        <v>56</v>
      </c>
      <c r="E8" s="21" t="s">
        <v>57</v>
      </c>
      <c r="F8" s="21" t="s">
        <v>51</v>
      </c>
      <c r="G8" s="21" t="s">
        <v>31</v>
      </c>
      <c r="H8" s="21" t="s">
        <v>31</v>
      </c>
      <c r="I8" s="21" t="s">
        <v>40</v>
      </c>
      <c r="J8" s="21" t="s">
        <v>33</v>
      </c>
      <c r="K8" s="21" t="s">
        <v>34</v>
      </c>
      <c r="L8" s="4" t="s">
        <v>35</v>
      </c>
      <c r="M8" s="153">
        <v>7.6379999999999999</v>
      </c>
      <c r="N8" s="4" t="s">
        <v>58</v>
      </c>
      <c r="O8" s="162">
        <v>1E-3</v>
      </c>
      <c r="P8" s="167">
        <v>1.5559999999999999E-2</v>
      </c>
      <c r="R8" s="153">
        <v>23915000</v>
      </c>
      <c r="S8" s="153">
        <v>1</v>
      </c>
      <c r="T8" s="153">
        <v>99.81</v>
      </c>
      <c r="U8" s="153">
        <v>23869.561000000002</v>
      </c>
      <c r="W8" s="21" t="s">
        <v>37</v>
      </c>
      <c r="X8" s="167">
        <v>9.2699999999999998E-4</v>
      </c>
      <c r="Y8" s="167">
        <v>4.7453619288805003E-2</v>
      </c>
      <c r="Z8" s="167">
        <v>9.9686705319163901E-3</v>
      </c>
    </row>
    <row r="9" spans="1:26">
      <c r="A9" s="21" t="s">
        <v>26</v>
      </c>
      <c r="B9" s="21">
        <v>288</v>
      </c>
      <c r="C9" s="21" t="s">
        <v>59</v>
      </c>
      <c r="D9" s="21" t="s">
        <v>60</v>
      </c>
      <c r="E9" s="21" t="s">
        <v>61</v>
      </c>
      <c r="F9" s="21" t="s">
        <v>62</v>
      </c>
      <c r="G9" s="21" t="s">
        <v>31</v>
      </c>
      <c r="H9" s="21" t="s">
        <v>31</v>
      </c>
      <c r="I9" s="21" t="s">
        <v>40</v>
      </c>
      <c r="J9" s="21" t="s">
        <v>33</v>
      </c>
      <c r="K9" s="21" t="s">
        <v>34</v>
      </c>
      <c r="L9" s="4" t="s">
        <v>35</v>
      </c>
      <c r="M9" s="153">
        <v>4.2690000000000001</v>
      </c>
      <c r="N9" s="4" t="s">
        <v>63</v>
      </c>
      <c r="O9" s="162">
        <v>2.2499999999999999E-2</v>
      </c>
      <c r="P9" s="167">
        <v>4.0719999999999999E-2</v>
      </c>
      <c r="R9" s="153">
        <v>15302561</v>
      </c>
      <c r="S9" s="153">
        <v>1</v>
      </c>
      <c r="T9" s="153">
        <v>93.79</v>
      </c>
      <c r="U9" s="153">
        <v>14352.272000000001</v>
      </c>
      <c r="W9" s="21" t="s">
        <v>37</v>
      </c>
      <c r="X9" s="167">
        <v>5.6599999999999999E-4</v>
      </c>
      <c r="Y9" s="167">
        <v>2.8532876467353301E-2</v>
      </c>
      <c r="Z9" s="167">
        <v>5.9939547097521001E-3</v>
      </c>
    </row>
    <row r="10" spans="1:26">
      <c r="A10" s="21" t="s">
        <v>26</v>
      </c>
      <c r="B10" s="21">
        <v>288</v>
      </c>
      <c r="C10" s="21" t="s">
        <v>59</v>
      </c>
      <c r="D10" s="21" t="s">
        <v>64</v>
      </c>
      <c r="E10" s="21" t="s">
        <v>65</v>
      </c>
      <c r="F10" s="21" t="s">
        <v>62</v>
      </c>
      <c r="G10" s="21" t="s">
        <v>31</v>
      </c>
      <c r="H10" s="21" t="s">
        <v>31</v>
      </c>
      <c r="I10" s="21" t="s">
        <v>40</v>
      </c>
      <c r="J10" s="21" t="s">
        <v>33</v>
      </c>
      <c r="K10" s="21" t="s">
        <v>34</v>
      </c>
      <c r="L10" s="4" t="s">
        <v>35</v>
      </c>
      <c r="M10" s="153">
        <v>15.141</v>
      </c>
      <c r="N10" s="4" t="s">
        <v>66</v>
      </c>
      <c r="O10" s="162">
        <v>3.7499999999999999E-2</v>
      </c>
      <c r="P10" s="167">
        <v>4.8259999999999997E-2</v>
      </c>
      <c r="R10" s="153">
        <v>11296884</v>
      </c>
      <c r="S10" s="153">
        <v>1</v>
      </c>
      <c r="T10" s="153">
        <v>85.26</v>
      </c>
      <c r="U10" s="153">
        <v>9631.723</v>
      </c>
      <c r="W10" s="21" t="s">
        <v>37</v>
      </c>
      <c r="X10" s="167">
        <v>4.4799999999999999E-4</v>
      </c>
      <c r="Y10" s="167">
        <v>1.9148241600390799E-2</v>
      </c>
      <c r="Z10" s="167">
        <v>4.0225069160291296E-3</v>
      </c>
    </row>
    <row r="11" spans="1:26">
      <c r="A11" s="21" t="s">
        <v>26</v>
      </c>
      <c r="B11" s="21">
        <v>288</v>
      </c>
      <c r="C11" s="21" t="s">
        <v>59</v>
      </c>
      <c r="D11" s="21" t="s">
        <v>67</v>
      </c>
      <c r="E11" s="21" t="s">
        <v>68</v>
      </c>
      <c r="F11" s="21" t="s">
        <v>62</v>
      </c>
      <c r="G11" s="21" t="s">
        <v>31</v>
      </c>
      <c r="H11" s="21" t="s">
        <v>31</v>
      </c>
      <c r="I11" s="21" t="s">
        <v>40</v>
      </c>
      <c r="J11" s="21" t="s">
        <v>33</v>
      </c>
      <c r="K11" s="21" t="s">
        <v>34</v>
      </c>
      <c r="L11" s="4" t="s">
        <v>35</v>
      </c>
      <c r="M11" s="153">
        <v>1.399</v>
      </c>
      <c r="N11" s="4" t="s">
        <v>69</v>
      </c>
      <c r="O11" s="162">
        <v>1.7500000000000002E-2</v>
      </c>
      <c r="P11" s="167">
        <v>4.0219999999999999E-2</v>
      </c>
      <c r="R11" s="153">
        <v>8882353</v>
      </c>
      <c r="S11" s="153">
        <v>1</v>
      </c>
      <c r="T11" s="153">
        <v>97.96</v>
      </c>
      <c r="U11" s="153">
        <v>8701.1530000000002</v>
      </c>
      <c r="W11" s="21" t="s">
        <v>37</v>
      </c>
      <c r="X11" s="167">
        <v>3.7399999999999998E-4</v>
      </c>
      <c r="Y11" s="167">
        <v>1.7298231548103601E-2</v>
      </c>
      <c r="Z11" s="167">
        <v>3.6338718452298998E-3</v>
      </c>
    </row>
    <row r="12" spans="1:26">
      <c r="A12" s="21" t="s">
        <v>26</v>
      </c>
      <c r="B12" s="21">
        <v>288</v>
      </c>
      <c r="C12" s="21" t="s">
        <v>59</v>
      </c>
      <c r="D12" s="21" t="s">
        <v>70</v>
      </c>
      <c r="E12" s="21" t="s">
        <v>71</v>
      </c>
      <c r="F12" s="21" t="s">
        <v>62</v>
      </c>
      <c r="G12" s="21" t="s">
        <v>31</v>
      </c>
      <c r="H12" s="21" t="s">
        <v>31</v>
      </c>
      <c r="I12" s="21" t="s">
        <v>40</v>
      </c>
      <c r="J12" s="21" t="s">
        <v>33</v>
      </c>
      <c r="K12" s="21" t="s">
        <v>34</v>
      </c>
      <c r="L12" s="4" t="s">
        <v>35</v>
      </c>
      <c r="M12" s="153">
        <v>11.997999999999999</v>
      </c>
      <c r="N12" s="4" t="s">
        <v>72</v>
      </c>
      <c r="O12" s="162">
        <v>5.5E-2</v>
      </c>
      <c r="P12" s="167">
        <v>4.7149999999999997E-2</v>
      </c>
      <c r="R12" s="153">
        <v>11755811</v>
      </c>
      <c r="S12" s="153">
        <v>1</v>
      </c>
      <c r="T12" s="153">
        <v>110.25</v>
      </c>
      <c r="U12" s="153">
        <v>12960.781999999999</v>
      </c>
      <c r="W12" s="21" t="s">
        <v>37</v>
      </c>
      <c r="X12" s="167">
        <v>6.2E-4</v>
      </c>
      <c r="Y12" s="167">
        <v>2.57665394078028E-2</v>
      </c>
      <c r="Z12" s="167">
        <v>5.4128251112054403E-3</v>
      </c>
    </row>
    <row r="13" spans="1:26">
      <c r="A13" s="21" t="s">
        <v>26</v>
      </c>
      <c r="B13" s="21">
        <v>288</v>
      </c>
      <c r="C13" s="21" t="s">
        <v>48</v>
      </c>
      <c r="D13" s="21" t="s">
        <v>73</v>
      </c>
      <c r="E13" s="21" t="s">
        <v>74</v>
      </c>
      <c r="F13" s="21" t="s">
        <v>51</v>
      </c>
      <c r="G13" s="21" t="s">
        <v>31</v>
      </c>
      <c r="H13" s="21" t="s">
        <v>31</v>
      </c>
      <c r="I13" s="21" t="s">
        <v>40</v>
      </c>
      <c r="J13" s="21" t="s">
        <v>33</v>
      </c>
      <c r="K13" s="21" t="s">
        <v>34</v>
      </c>
      <c r="L13" s="4" t="s">
        <v>35</v>
      </c>
      <c r="M13" s="153">
        <v>5.0910000000000002</v>
      </c>
      <c r="N13" s="4" t="s">
        <v>75</v>
      </c>
      <c r="O13" s="162">
        <v>5.0000000000000001E-3</v>
      </c>
      <c r="P13" s="167">
        <v>1.34E-2</v>
      </c>
      <c r="R13" s="153">
        <v>6650000</v>
      </c>
      <c r="S13" s="153">
        <v>1</v>
      </c>
      <c r="T13" s="153">
        <v>107.2</v>
      </c>
      <c r="U13" s="153">
        <v>7128.8</v>
      </c>
      <c r="W13" s="21" t="s">
        <v>37</v>
      </c>
      <c r="X13" s="167">
        <v>3.2699999999999998E-4</v>
      </c>
      <c r="Y13" s="167">
        <v>1.4172332457218899E-2</v>
      </c>
      <c r="Z13" s="167">
        <v>2.9772083784583001E-3</v>
      </c>
    </row>
    <row r="14" spans="1:26">
      <c r="A14" s="21" t="s">
        <v>26</v>
      </c>
      <c r="B14" s="21">
        <v>288</v>
      </c>
      <c r="C14" s="21" t="s">
        <v>48</v>
      </c>
      <c r="D14" s="21" t="s">
        <v>76</v>
      </c>
      <c r="E14" s="21" t="s">
        <v>77</v>
      </c>
      <c r="F14" s="21" t="s">
        <v>51</v>
      </c>
      <c r="G14" s="21" t="s">
        <v>31</v>
      </c>
      <c r="H14" s="21" t="s">
        <v>31</v>
      </c>
      <c r="I14" s="21" t="s">
        <v>40</v>
      </c>
      <c r="J14" s="21" t="s">
        <v>33</v>
      </c>
      <c r="K14" s="21" t="s">
        <v>34</v>
      </c>
      <c r="L14" s="4" t="s">
        <v>35</v>
      </c>
      <c r="M14" s="153">
        <v>2.3279999999999998</v>
      </c>
      <c r="N14" s="4" t="s">
        <v>78</v>
      </c>
      <c r="O14" s="162">
        <v>1E-3</v>
      </c>
      <c r="P14" s="167">
        <v>1.0410000000000001E-2</v>
      </c>
      <c r="R14" s="153">
        <v>23674056</v>
      </c>
      <c r="S14" s="153">
        <v>1</v>
      </c>
      <c r="T14" s="153">
        <v>109.23</v>
      </c>
      <c r="U14" s="153">
        <v>25859.170999999998</v>
      </c>
      <c r="W14" s="21" t="s">
        <v>37</v>
      </c>
      <c r="X14" s="167">
        <v>1.1800000000000001E-3</v>
      </c>
      <c r="Y14" s="167">
        <v>5.1409041312258798E-2</v>
      </c>
      <c r="Z14" s="167">
        <v>1.07995934321597E-2</v>
      </c>
    </row>
    <row r="15" spans="1:26">
      <c r="A15" s="21" t="s">
        <v>26</v>
      </c>
      <c r="B15" s="21">
        <v>288</v>
      </c>
      <c r="C15" s="21" t="s">
        <v>48</v>
      </c>
      <c r="D15" s="21" t="s">
        <v>79</v>
      </c>
      <c r="E15" s="21" t="s">
        <v>80</v>
      </c>
      <c r="F15" s="21" t="s">
        <v>51</v>
      </c>
      <c r="G15" s="21" t="s">
        <v>31</v>
      </c>
      <c r="H15" s="21" t="s">
        <v>31</v>
      </c>
      <c r="I15" s="21" t="s">
        <v>40</v>
      </c>
      <c r="J15" s="21" t="s">
        <v>33</v>
      </c>
      <c r="K15" s="21" t="s">
        <v>34</v>
      </c>
      <c r="L15" s="4" t="s">
        <v>35</v>
      </c>
      <c r="M15" s="153">
        <v>4.4779999999999998</v>
      </c>
      <c r="N15" s="4" t="s">
        <v>81</v>
      </c>
      <c r="O15" s="162">
        <v>1.0999999999999999E-2</v>
      </c>
      <c r="P15" s="167">
        <v>1.302E-2</v>
      </c>
      <c r="R15" s="153">
        <v>17700000</v>
      </c>
      <c r="S15" s="153">
        <v>1</v>
      </c>
      <c r="T15" s="153">
        <v>100.29</v>
      </c>
      <c r="U15" s="153">
        <v>17751.330000000002</v>
      </c>
      <c r="W15" s="21" t="s">
        <v>37</v>
      </c>
      <c r="X15" s="167">
        <v>0</v>
      </c>
      <c r="Y15" s="167">
        <v>3.5290336426580103E-2</v>
      </c>
      <c r="Z15" s="167">
        <v>7.4135069583629899E-3</v>
      </c>
    </row>
    <row r="16" spans="1:26">
      <c r="A16" s="21" t="s">
        <v>26</v>
      </c>
      <c r="B16" s="21">
        <v>288</v>
      </c>
      <c r="C16" s="21" t="s">
        <v>59</v>
      </c>
      <c r="D16" s="21" t="s">
        <v>82</v>
      </c>
      <c r="E16" s="21" t="s">
        <v>83</v>
      </c>
      <c r="F16" s="21" t="s">
        <v>62</v>
      </c>
      <c r="G16" s="21" t="s">
        <v>31</v>
      </c>
      <c r="H16" s="21" t="s">
        <v>31</v>
      </c>
      <c r="I16" s="21" t="s">
        <v>40</v>
      </c>
      <c r="J16" s="21" t="s">
        <v>33</v>
      </c>
      <c r="K16" s="21" t="s">
        <v>34</v>
      </c>
      <c r="L16" s="4" t="s">
        <v>35</v>
      </c>
      <c r="M16" s="153">
        <v>0.58399999999999996</v>
      </c>
      <c r="N16" s="4" t="s">
        <v>84</v>
      </c>
      <c r="O16" s="162">
        <v>4.0000000000000001E-3</v>
      </c>
      <c r="P16" s="167">
        <v>3.7089999999999998E-2</v>
      </c>
      <c r="R16" s="153">
        <v>16522323</v>
      </c>
      <c r="S16" s="153">
        <v>1</v>
      </c>
      <c r="T16" s="153">
        <v>98.32</v>
      </c>
      <c r="U16" s="153">
        <v>16244.748</v>
      </c>
      <c r="W16" s="21" t="s">
        <v>37</v>
      </c>
      <c r="X16" s="167">
        <v>9.7000000000000005E-4</v>
      </c>
      <c r="Y16" s="167">
        <v>3.2295192594208398E-2</v>
      </c>
      <c r="Z16" s="167">
        <v>6.7843114932310197E-3</v>
      </c>
    </row>
    <row r="17" spans="1:26">
      <c r="A17" s="21" t="s">
        <v>26</v>
      </c>
      <c r="B17" s="21">
        <v>288</v>
      </c>
      <c r="C17" s="21" t="s">
        <v>59</v>
      </c>
      <c r="D17" s="21" t="s">
        <v>85</v>
      </c>
      <c r="E17" s="21" t="s">
        <v>86</v>
      </c>
      <c r="F17" s="21" t="s">
        <v>62</v>
      </c>
      <c r="G17" s="21" t="s">
        <v>31</v>
      </c>
      <c r="H17" s="21" t="s">
        <v>31</v>
      </c>
      <c r="I17" s="21" t="s">
        <v>40</v>
      </c>
      <c r="J17" s="21" t="s">
        <v>33</v>
      </c>
      <c r="K17" s="21" t="s">
        <v>34</v>
      </c>
      <c r="L17" s="4" t="s">
        <v>35</v>
      </c>
      <c r="M17" s="153">
        <v>5.8360000000000003</v>
      </c>
      <c r="N17" s="4" t="s">
        <v>87</v>
      </c>
      <c r="O17" s="162">
        <v>0.01</v>
      </c>
      <c r="P17" s="167">
        <v>4.1730000000000003E-2</v>
      </c>
      <c r="R17" s="153">
        <v>56500000</v>
      </c>
      <c r="S17" s="153">
        <v>1</v>
      </c>
      <c r="T17" s="153">
        <v>83.47</v>
      </c>
      <c r="U17" s="153">
        <v>47160.55</v>
      </c>
      <c r="W17" s="21" t="s">
        <v>37</v>
      </c>
      <c r="X17" s="167">
        <v>1.4959999999999999E-3</v>
      </c>
      <c r="Y17" s="167">
        <v>9.3757012886502095E-2</v>
      </c>
      <c r="Z17" s="167">
        <v>1.9695711002230599E-2</v>
      </c>
    </row>
    <row r="18" spans="1:26">
      <c r="A18" s="21" t="s">
        <v>26</v>
      </c>
      <c r="B18" s="21">
        <v>288</v>
      </c>
      <c r="C18" s="21" t="s">
        <v>59</v>
      </c>
      <c r="D18" s="21" t="s">
        <v>88</v>
      </c>
      <c r="E18" s="21" t="s">
        <v>89</v>
      </c>
      <c r="F18" s="21" t="s">
        <v>62</v>
      </c>
      <c r="G18" s="21" t="s">
        <v>31</v>
      </c>
      <c r="H18" s="21" t="s">
        <v>31</v>
      </c>
      <c r="I18" s="21" t="s">
        <v>40</v>
      </c>
      <c r="J18" s="21" t="s">
        <v>33</v>
      </c>
      <c r="K18" s="21" t="s">
        <v>34</v>
      </c>
      <c r="L18" s="4" t="s">
        <v>35</v>
      </c>
      <c r="M18" s="153">
        <v>7.56</v>
      </c>
      <c r="N18" s="4" t="s">
        <v>90</v>
      </c>
      <c r="O18" s="162">
        <v>1.2999999999999999E-2</v>
      </c>
      <c r="P18" s="167">
        <v>4.3119999999999999E-2</v>
      </c>
      <c r="R18" s="153">
        <v>43033000</v>
      </c>
      <c r="S18" s="153">
        <v>1</v>
      </c>
      <c r="T18" s="153">
        <v>81.010000000000005</v>
      </c>
      <c r="U18" s="153">
        <v>34861.033000000003</v>
      </c>
      <c r="W18" s="21" t="s">
        <v>37</v>
      </c>
      <c r="X18" s="167">
        <v>1.9980000000000002E-3</v>
      </c>
      <c r="Y18" s="167">
        <v>6.9305093947057E-2</v>
      </c>
      <c r="Z18" s="167">
        <v>1.4559050670866601E-2</v>
      </c>
    </row>
    <row r="19" spans="1:26">
      <c r="A19" s="21" t="s">
        <v>26</v>
      </c>
      <c r="B19" s="21">
        <v>288</v>
      </c>
      <c r="C19" s="21" t="s">
        <v>27</v>
      </c>
      <c r="D19" s="21" t="s">
        <v>91</v>
      </c>
      <c r="E19" s="21" t="s">
        <v>92</v>
      </c>
      <c r="F19" s="21" t="s">
        <v>30</v>
      </c>
      <c r="G19" s="21" t="s">
        <v>31</v>
      </c>
      <c r="H19" s="21" t="s">
        <v>31</v>
      </c>
      <c r="I19" s="21" t="s">
        <v>40</v>
      </c>
      <c r="J19" s="21" t="s">
        <v>33</v>
      </c>
      <c r="K19" s="21" t="s">
        <v>34</v>
      </c>
      <c r="L19" s="4" t="s">
        <v>35</v>
      </c>
      <c r="M19" s="153">
        <v>0.17799999999999999</v>
      </c>
      <c r="N19" s="4" t="s">
        <v>93</v>
      </c>
      <c r="O19" s="162">
        <v>0</v>
      </c>
      <c r="P19" s="167">
        <v>4.3180000000000003E-2</v>
      </c>
      <c r="R19" s="153">
        <v>9050000</v>
      </c>
      <c r="S19" s="153">
        <v>1</v>
      </c>
      <c r="T19" s="153">
        <v>99.26</v>
      </c>
      <c r="U19" s="153">
        <v>8983.0300000000007</v>
      </c>
      <c r="W19" s="21" t="s">
        <v>37</v>
      </c>
      <c r="X19" s="167">
        <v>5.0299999999999997E-4</v>
      </c>
      <c r="Y19" s="167">
        <v>1.7858614021037399E-2</v>
      </c>
      <c r="Z19" s="167">
        <v>3.7515924391120798E-3</v>
      </c>
    </row>
    <row r="20" spans="1:26">
      <c r="A20" s="4" t="s">
        <v>26</v>
      </c>
      <c r="B20" s="4">
        <v>288</v>
      </c>
      <c r="C20" s="4" t="s">
        <v>94</v>
      </c>
      <c r="D20" s="4" t="s">
        <v>95</v>
      </c>
      <c r="E20" s="4" t="s">
        <v>96</v>
      </c>
      <c r="F20" s="21" t="s">
        <v>97</v>
      </c>
      <c r="G20" s="21" t="s">
        <v>31</v>
      </c>
      <c r="H20" s="21" t="s">
        <v>31</v>
      </c>
      <c r="I20" s="21" t="s">
        <v>32</v>
      </c>
      <c r="J20" s="4" t="s">
        <v>98</v>
      </c>
      <c r="K20" s="21" t="s">
        <v>99</v>
      </c>
      <c r="L20" s="4" t="s">
        <v>100</v>
      </c>
      <c r="M20" s="153">
        <v>4.26</v>
      </c>
      <c r="N20" s="4" t="s">
        <v>101</v>
      </c>
      <c r="O20" s="162">
        <v>5.3749999999999999E-2</v>
      </c>
      <c r="P20" s="167">
        <v>5.4960000000000002E-2</v>
      </c>
      <c r="R20" s="153">
        <v>400000</v>
      </c>
      <c r="S20" s="153">
        <v>3.681</v>
      </c>
      <c r="T20" s="153">
        <v>100.61499999999999</v>
      </c>
      <c r="U20" s="153">
        <v>1481.4490000000001</v>
      </c>
      <c r="W20" s="21" t="s">
        <v>37</v>
      </c>
      <c r="X20" s="167">
        <v>0</v>
      </c>
      <c r="Y20" s="167">
        <v>2.94517913195018E-3</v>
      </c>
      <c r="Z20" s="167">
        <v>6.1869928709132598E-4</v>
      </c>
    </row>
    <row r="21" spans="1:26">
      <c r="A21" s="4" t="s">
        <v>26</v>
      </c>
      <c r="B21" s="4">
        <v>288</v>
      </c>
      <c r="C21" s="4" t="s">
        <v>27</v>
      </c>
      <c r="D21" s="4" t="s">
        <v>28</v>
      </c>
      <c r="E21" s="4" t="s">
        <v>29</v>
      </c>
      <c r="F21" s="4" t="s">
        <v>30</v>
      </c>
      <c r="G21" s="4" t="s">
        <v>31</v>
      </c>
      <c r="H21" s="4" t="s">
        <v>31</v>
      </c>
      <c r="I21" s="4" t="s">
        <v>32</v>
      </c>
      <c r="J21" s="4" t="s">
        <v>33</v>
      </c>
      <c r="K21" s="4" t="s">
        <v>34</v>
      </c>
      <c r="L21" s="21" t="s">
        <v>35</v>
      </c>
      <c r="M21" s="153">
        <v>0.94</v>
      </c>
      <c r="N21" s="4" t="s">
        <v>36</v>
      </c>
      <c r="O21" s="166">
        <v>0</v>
      </c>
      <c r="P21" s="167">
        <v>4.0960000000000003E-2</v>
      </c>
      <c r="R21" s="153">
        <v>10000000</v>
      </c>
      <c r="S21" s="153">
        <v>1</v>
      </c>
      <c r="T21" s="153">
        <v>96.38</v>
      </c>
      <c r="U21" s="153">
        <v>9638</v>
      </c>
      <c r="W21" s="4" t="s">
        <v>37</v>
      </c>
      <c r="X21" s="167">
        <v>0</v>
      </c>
      <c r="Y21" s="167">
        <v>1.9160719927992901E-2</v>
      </c>
      <c r="Z21" s="167">
        <v>4.02512826164026E-3</v>
      </c>
    </row>
    <row r="22" spans="1:26">
      <c r="A22" s="4" t="s">
        <v>26</v>
      </c>
      <c r="B22" s="4">
        <v>288</v>
      </c>
      <c r="C22" s="4" t="s">
        <v>27</v>
      </c>
      <c r="D22" s="4" t="s">
        <v>102</v>
      </c>
      <c r="E22" s="4" t="s">
        <v>103</v>
      </c>
      <c r="F22" s="4" t="s">
        <v>30</v>
      </c>
      <c r="G22" s="4" t="s">
        <v>31</v>
      </c>
      <c r="H22" s="4" t="s">
        <v>31</v>
      </c>
      <c r="I22" s="4" t="s">
        <v>40</v>
      </c>
      <c r="J22" s="4" t="s">
        <v>33</v>
      </c>
      <c r="K22" s="4" t="s">
        <v>34</v>
      </c>
      <c r="L22" s="21" t="s">
        <v>35</v>
      </c>
      <c r="M22" s="153">
        <v>0.67700000000000005</v>
      </c>
      <c r="N22" s="4" t="s">
        <v>104</v>
      </c>
      <c r="O22" s="166">
        <v>0</v>
      </c>
      <c r="P22" s="167">
        <v>4.2380000000000001E-2</v>
      </c>
      <c r="R22" s="153">
        <v>7300000</v>
      </c>
      <c r="S22" s="153">
        <v>1</v>
      </c>
      <c r="T22" s="153">
        <v>97.22</v>
      </c>
      <c r="U22" s="153">
        <v>7097.06</v>
      </c>
      <c r="W22" s="4" t="s">
        <v>37</v>
      </c>
      <c r="X22" s="167">
        <v>5.2099999999999998E-4</v>
      </c>
      <c r="Y22" s="167">
        <v>1.4109232099207499E-2</v>
      </c>
      <c r="Z22" s="167">
        <v>2.9639527682669199E-3</v>
      </c>
    </row>
    <row r="23" spans="1:26">
      <c r="A23" s="4" t="s">
        <v>26</v>
      </c>
      <c r="B23" s="4">
        <v>288</v>
      </c>
      <c r="C23" s="4" t="s">
        <v>48</v>
      </c>
      <c r="D23" s="4" t="s">
        <v>49</v>
      </c>
      <c r="E23" s="4" t="s">
        <v>50</v>
      </c>
      <c r="F23" s="4" t="s">
        <v>51</v>
      </c>
      <c r="G23" s="4" t="s">
        <v>31</v>
      </c>
      <c r="H23" s="4" t="s">
        <v>31</v>
      </c>
      <c r="I23" s="4" t="s">
        <v>40</v>
      </c>
      <c r="J23" s="4" t="s">
        <v>33</v>
      </c>
      <c r="K23" s="4" t="s">
        <v>34</v>
      </c>
      <c r="L23" s="21" t="s">
        <v>35</v>
      </c>
      <c r="M23" s="153">
        <v>3.1190000000000002</v>
      </c>
      <c r="N23" s="4" t="s">
        <v>52</v>
      </c>
      <c r="O23" s="166">
        <v>7.4999999999999997E-3</v>
      </c>
      <c r="P23" s="167">
        <v>1.1520000000000001E-2</v>
      </c>
      <c r="R23" s="153">
        <v>25406095</v>
      </c>
      <c r="S23" s="153">
        <v>1</v>
      </c>
      <c r="T23" s="153">
        <v>111.88</v>
      </c>
      <c r="U23" s="153">
        <v>28424.339</v>
      </c>
      <c r="W23" s="4" t="s">
        <v>37</v>
      </c>
      <c r="X23" s="167">
        <v>1.2130000000000001E-3</v>
      </c>
      <c r="Y23" s="167">
        <v>5.65086947878344E-2</v>
      </c>
      <c r="Z23" s="167">
        <v>1.1870887173013499E-2</v>
      </c>
    </row>
    <row r="24" spans="1:26">
      <c r="A24" s="4" t="s">
        <v>26</v>
      </c>
      <c r="B24" s="4">
        <v>288</v>
      </c>
      <c r="C24" s="4" t="s">
        <v>48</v>
      </c>
      <c r="D24" s="4" t="s">
        <v>53</v>
      </c>
      <c r="E24" s="4" t="s">
        <v>54</v>
      </c>
      <c r="F24" s="4" t="s">
        <v>51</v>
      </c>
      <c r="G24" s="4" t="s">
        <v>31</v>
      </c>
      <c r="H24" s="4" t="s">
        <v>31</v>
      </c>
      <c r="I24" s="4" t="s">
        <v>40</v>
      </c>
      <c r="J24" s="4" t="s">
        <v>33</v>
      </c>
      <c r="K24" s="4" t="s">
        <v>34</v>
      </c>
      <c r="L24" s="21" t="s">
        <v>35</v>
      </c>
      <c r="M24" s="153">
        <v>1.5760000000000001</v>
      </c>
      <c r="N24" s="4" t="s">
        <v>55</v>
      </c>
      <c r="O24" s="166">
        <v>7.4999999999999997E-3</v>
      </c>
      <c r="P24" s="167">
        <v>7.9699999999999997E-3</v>
      </c>
      <c r="R24" s="153">
        <v>5500000</v>
      </c>
      <c r="S24" s="153">
        <v>1</v>
      </c>
      <c r="T24" s="153">
        <v>112.14</v>
      </c>
      <c r="U24" s="153">
        <v>6167.7</v>
      </c>
      <c r="W24" s="4" t="s">
        <v>37</v>
      </c>
      <c r="X24" s="167">
        <v>2.5300000000000002E-4</v>
      </c>
      <c r="Y24" s="167">
        <v>1.2261628169732501E-2</v>
      </c>
      <c r="Z24" s="167">
        <v>2.5758231561857901E-3</v>
      </c>
    </row>
    <row r="25" spans="1:26">
      <c r="A25" s="4" t="s">
        <v>26</v>
      </c>
      <c r="B25" s="4">
        <v>288</v>
      </c>
      <c r="C25" s="4" t="s">
        <v>48</v>
      </c>
      <c r="D25" s="4" t="s">
        <v>56</v>
      </c>
      <c r="E25" s="4" t="s">
        <v>57</v>
      </c>
      <c r="F25" s="4" t="s">
        <v>51</v>
      </c>
      <c r="G25" s="4" t="s">
        <v>31</v>
      </c>
      <c r="H25" s="4" t="s">
        <v>31</v>
      </c>
      <c r="I25" s="4" t="s">
        <v>40</v>
      </c>
      <c r="J25" s="4" t="s">
        <v>33</v>
      </c>
      <c r="K25" s="4" t="s">
        <v>34</v>
      </c>
      <c r="L25" s="21" t="s">
        <v>35</v>
      </c>
      <c r="M25" s="153">
        <v>7.6379999999999999</v>
      </c>
      <c r="N25" s="4" t="s">
        <v>58</v>
      </c>
      <c r="O25" s="166">
        <v>1E-3</v>
      </c>
      <c r="P25" s="167">
        <v>1.5559999999999999E-2</v>
      </c>
      <c r="R25" s="153">
        <v>5000000</v>
      </c>
      <c r="S25" s="153">
        <v>1</v>
      </c>
      <c r="T25" s="153">
        <v>99.81</v>
      </c>
      <c r="U25" s="153">
        <v>4990.5</v>
      </c>
      <c r="W25" s="4" t="s">
        <v>37</v>
      </c>
      <c r="X25" s="167">
        <v>1.94E-4</v>
      </c>
      <c r="Y25" s="167">
        <v>9.9213086533148694E-3</v>
      </c>
      <c r="Z25" s="167">
        <v>2.0841878594849198E-3</v>
      </c>
    </row>
    <row r="26" spans="1:26">
      <c r="A26" s="4" t="s">
        <v>26</v>
      </c>
      <c r="B26" s="4">
        <v>288</v>
      </c>
      <c r="C26" s="4" t="s">
        <v>59</v>
      </c>
      <c r="D26" s="4" t="s">
        <v>60</v>
      </c>
      <c r="E26" s="4" t="s">
        <v>61</v>
      </c>
      <c r="F26" s="4" t="s">
        <v>62</v>
      </c>
      <c r="G26" s="4" t="s">
        <v>31</v>
      </c>
      <c r="H26" s="4" t="s">
        <v>31</v>
      </c>
      <c r="I26" s="4" t="s">
        <v>40</v>
      </c>
      <c r="J26" s="4" t="s">
        <v>33</v>
      </c>
      <c r="K26" s="4" t="s">
        <v>34</v>
      </c>
      <c r="L26" s="21" t="s">
        <v>35</v>
      </c>
      <c r="M26" s="153">
        <v>4.2690000000000001</v>
      </c>
      <c r="N26" s="4" t="s">
        <v>63</v>
      </c>
      <c r="O26" s="166">
        <v>2.2499999999999999E-2</v>
      </c>
      <c r="P26" s="167">
        <v>4.0719999999999999E-2</v>
      </c>
      <c r="R26" s="153">
        <v>17045000</v>
      </c>
      <c r="S26" s="153">
        <v>1</v>
      </c>
      <c r="T26" s="153">
        <v>93.79</v>
      </c>
      <c r="U26" s="153">
        <v>15986.505999999999</v>
      </c>
      <c r="W26" s="4" t="s">
        <v>37</v>
      </c>
      <c r="X26" s="167">
        <v>6.3000000000000003E-4</v>
      </c>
      <c r="Y26" s="167">
        <v>3.1781796484002797E-2</v>
      </c>
      <c r="Z26" s="167">
        <v>6.6764614124213903E-3</v>
      </c>
    </row>
    <row r="27" spans="1:26">
      <c r="A27" s="4" t="s">
        <v>26</v>
      </c>
      <c r="B27" s="4">
        <v>288</v>
      </c>
      <c r="C27" s="4" t="s">
        <v>59</v>
      </c>
      <c r="D27" s="4" t="s">
        <v>105</v>
      </c>
      <c r="E27" s="4" t="s">
        <v>106</v>
      </c>
      <c r="F27" s="4" t="s">
        <v>62</v>
      </c>
      <c r="G27" s="4" t="s">
        <v>31</v>
      </c>
      <c r="H27" s="4" t="s">
        <v>31</v>
      </c>
      <c r="I27" s="4" t="s">
        <v>40</v>
      </c>
      <c r="J27" s="4" t="s">
        <v>33</v>
      </c>
      <c r="K27" s="4" t="s">
        <v>34</v>
      </c>
      <c r="L27" s="4" t="s">
        <v>35</v>
      </c>
      <c r="M27" s="153">
        <v>4.5629999999999997</v>
      </c>
      <c r="N27" s="4" t="s">
        <v>107</v>
      </c>
      <c r="O27" s="166">
        <v>3.7499999999999999E-2</v>
      </c>
      <c r="P27" s="167">
        <v>4.0939999999999997E-2</v>
      </c>
      <c r="R27" s="153">
        <v>6450000</v>
      </c>
      <c r="S27" s="153">
        <v>1</v>
      </c>
      <c r="T27" s="153">
        <v>98.83</v>
      </c>
      <c r="U27" s="153">
        <v>6374.5349999999999</v>
      </c>
      <c r="W27" s="4" t="s">
        <v>37</v>
      </c>
      <c r="X27" s="167">
        <v>5.04E-4</v>
      </c>
      <c r="Y27" s="167">
        <v>1.26728242172845E-2</v>
      </c>
      <c r="Z27" s="167">
        <v>2.66220387874195E-3</v>
      </c>
    </row>
    <row r="28" spans="1:26">
      <c r="A28" s="4" t="s">
        <v>26</v>
      </c>
      <c r="B28" s="4">
        <v>288</v>
      </c>
      <c r="C28" s="4" t="s">
        <v>59</v>
      </c>
      <c r="D28" s="4" t="s">
        <v>108</v>
      </c>
      <c r="E28" s="4" t="s">
        <v>109</v>
      </c>
      <c r="F28" s="4" t="s">
        <v>62</v>
      </c>
      <c r="G28" s="4" t="s">
        <v>31</v>
      </c>
      <c r="H28" s="4" t="s">
        <v>31</v>
      </c>
      <c r="I28" s="4" t="s">
        <v>40</v>
      </c>
      <c r="J28" s="4" t="s">
        <v>33</v>
      </c>
      <c r="K28" s="4" t="s">
        <v>34</v>
      </c>
      <c r="L28" s="4" t="s">
        <v>35</v>
      </c>
      <c r="M28" s="153">
        <v>2.9369999999999998</v>
      </c>
      <c r="N28" s="4" t="s">
        <v>110</v>
      </c>
      <c r="O28" s="166">
        <v>0.02</v>
      </c>
      <c r="P28" s="167">
        <v>4.0149999999999998E-2</v>
      </c>
      <c r="R28" s="153">
        <v>11800000</v>
      </c>
      <c r="S28" s="153">
        <v>1</v>
      </c>
      <c r="T28" s="153">
        <v>94.43</v>
      </c>
      <c r="U28" s="153">
        <v>11142.74</v>
      </c>
      <c r="W28" s="4" t="s">
        <v>37</v>
      </c>
      <c r="X28" s="167">
        <v>5.4299999999999997E-4</v>
      </c>
      <c r="Y28" s="167">
        <v>2.21522017400336E-2</v>
      </c>
      <c r="Z28" s="167">
        <v>4.6535544393140997E-3</v>
      </c>
    </row>
    <row r="29" spans="1:26">
      <c r="A29" s="4" t="s">
        <v>26</v>
      </c>
      <c r="B29" s="4">
        <v>288</v>
      </c>
      <c r="C29" s="4" t="s">
        <v>59</v>
      </c>
      <c r="D29" s="4" t="s">
        <v>111</v>
      </c>
      <c r="E29" s="4" t="s">
        <v>112</v>
      </c>
      <c r="F29" s="4" t="s">
        <v>62</v>
      </c>
      <c r="G29" s="4" t="s">
        <v>31</v>
      </c>
      <c r="H29" s="4" t="s">
        <v>31</v>
      </c>
      <c r="I29" s="4" t="s">
        <v>40</v>
      </c>
      <c r="J29" s="4" t="s">
        <v>33</v>
      </c>
      <c r="K29" s="4" t="s">
        <v>34</v>
      </c>
      <c r="L29" s="4" t="s">
        <v>35</v>
      </c>
      <c r="M29" s="153">
        <v>9.08</v>
      </c>
      <c r="N29" s="4" t="s">
        <v>113</v>
      </c>
      <c r="O29" s="166">
        <v>0.04</v>
      </c>
      <c r="P29" s="167">
        <v>4.4549999999999999E-2</v>
      </c>
      <c r="R29" s="153">
        <v>5200000</v>
      </c>
      <c r="S29" s="153">
        <v>1</v>
      </c>
      <c r="T29" s="153">
        <v>96.13</v>
      </c>
      <c r="U29" s="153">
        <v>4998.76</v>
      </c>
      <c r="W29" s="4" t="s">
        <v>37</v>
      </c>
      <c r="X29" s="167">
        <v>9.4549999999999999E-3</v>
      </c>
      <c r="Y29" s="167">
        <v>9.9377298554942893E-3</v>
      </c>
      <c r="Z29" s="167">
        <v>2.0876374921308199E-3</v>
      </c>
    </row>
    <row r="30" spans="1:26">
      <c r="A30" s="4" t="s">
        <v>26</v>
      </c>
      <c r="B30" s="4">
        <v>288</v>
      </c>
      <c r="C30" s="4" t="s">
        <v>59</v>
      </c>
      <c r="D30" s="4" t="s">
        <v>114</v>
      </c>
      <c r="E30" s="4" t="s">
        <v>115</v>
      </c>
      <c r="F30" s="4" t="s">
        <v>62</v>
      </c>
      <c r="G30" s="4" t="s">
        <v>31</v>
      </c>
      <c r="H30" s="4" t="s">
        <v>31</v>
      </c>
      <c r="I30" s="4" t="s">
        <v>40</v>
      </c>
      <c r="J30" s="4" t="s">
        <v>33</v>
      </c>
      <c r="K30" s="4" t="s">
        <v>34</v>
      </c>
      <c r="L30" s="4" t="s">
        <v>35</v>
      </c>
      <c r="M30" s="153">
        <v>2.4129999999999998</v>
      </c>
      <c r="N30" s="4" t="s">
        <v>116</v>
      </c>
      <c r="O30" s="166">
        <v>6.25E-2</v>
      </c>
      <c r="P30" s="167">
        <v>3.9949999999999999E-2</v>
      </c>
      <c r="R30" s="153">
        <v>7200000</v>
      </c>
      <c r="S30" s="153">
        <v>1</v>
      </c>
      <c r="T30" s="153">
        <v>108.03</v>
      </c>
      <c r="U30" s="153">
        <v>7778.16</v>
      </c>
      <c r="W30" s="4" t="s">
        <v>37</v>
      </c>
      <c r="X30" s="167">
        <v>4.8299999999999998E-4</v>
      </c>
      <c r="Y30" s="167">
        <v>1.5463285465357701E-2</v>
      </c>
      <c r="Z30" s="167">
        <v>3.24840129067854E-3</v>
      </c>
    </row>
    <row r="31" spans="1:26">
      <c r="A31" s="4" t="s">
        <v>26</v>
      </c>
      <c r="B31" s="4">
        <v>288</v>
      </c>
      <c r="C31" s="4" t="s">
        <v>48</v>
      </c>
      <c r="D31" s="4" t="s">
        <v>73</v>
      </c>
      <c r="E31" s="4" t="s">
        <v>74</v>
      </c>
      <c r="F31" s="4" t="s">
        <v>51</v>
      </c>
      <c r="G31" s="4" t="s">
        <v>31</v>
      </c>
      <c r="H31" s="4" t="s">
        <v>31</v>
      </c>
      <c r="I31" s="4" t="s">
        <v>40</v>
      </c>
      <c r="J31" s="4" t="s">
        <v>33</v>
      </c>
      <c r="K31" s="4" t="s">
        <v>34</v>
      </c>
      <c r="L31" s="4" t="s">
        <v>35</v>
      </c>
      <c r="M31" s="153">
        <v>5.0910000000000002</v>
      </c>
      <c r="N31" s="4" t="s">
        <v>75</v>
      </c>
      <c r="O31" s="166">
        <v>5.0000000000000001E-3</v>
      </c>
      <c r="P31" s="167">
        <v>1.34E-2</v>
      </c>
      <c r="R31" s="153">
        <v>10700000</v>
      </c>
      <c r="S31" s="153">
        <v>1</v>
      </c>
      <c r="T31" s="153">
        <v>107.2</v>
      </c>
      <c r="U31" s="153">
        <v>11470.4</v>
      </c>
      <c r="W31" s="4" t="s">
        <v>37</v>
      </c>
      <c r="X31" s="167">
        <v>5.2599999999999999E-4</v>
      </c>
      <c r="Y31" s="167">
        <v>2.2803602600337199E-2</v>
      </c>
      <c r="Z31" s="167">
        <v>4.7903954360155997E-3</v>
      </c>
    </row>
    <row r="32" spans="1:26">
      <c r="A32" s="4" t="s">
        <v>26</v>
      </c>
      <c r="B32" s="4">
        <v>288</v>
      </c>
      <c r="C32" s="4" t="s">
        <v>48</v>
      </c>
      <c r="D32" s="4" t="s">
        <v>76</v>
      </c>
      <c r="E32" s="4" t="s">
        <v>77</v>
      </c>
      <c r="F32" s="4" t="s">
        <v>51</v>
      </c>
      <c r="G32" s="4" t="s">
        <v>31</v>
      </c>
      <c r="H32" s="4" t="s">
        <v>31</v>
      </c>
      <c r="I32" s="4" t="s">
        <v>40</v>
      </c>
      <c r="J32" s="4" t="s">
        <v>33</v>
      </c>
      <c r="K32" s="4" t="s">
        <v>34</v>
      </c>
      <c r="L32" s="4" t="s">
        <v>35</v>
      </c>
      <c r="M32" s="153">
        <v>2.3279999999999998</v>
      </c>
      <c r="N32" s="4" t="s">
        <v>78</v>
      </c>
      <c r="O32" s="166">
        <v>1E-3</v>
      </c>
      <c r="P32" s="167">
        <v>1.0410000000000001E-2</v>
      </c>
      <c r="R32" s="153">
        <v>15635000</v>
      </c>
      <c r="S32" s="153">
        <v>1</v>
      </c>
      <c r="T32" s="153">
        <v>109.23</v>
      </c>
      <c r="U32" s="153">
        <v>17078.11</v>
      </c>
      <c r="W32" s="4" t="s">
        <v>37</v>
      </c>
      <c r="X32" s="167">
        <v>7.7899999999999996E-4</v>
      </c>
      <c r="Y32" s="167">
        <v>3.3951949801806901E-2</v>
      </c>
      <c r="Z32" s="167">
        <v>7.1323495776058499E-3</v>
      </c>
    </row>
    <row r="33" spans="1:26">
      <c r="A33" s="4" t="s">
        <v>26</v>
      </c>
      <c r="B33" s="4">
        <v>288</v>
      </c>
      <c r="C33" s="4" t="s">
        <v>48</v>
      </c>
      <c r="D33" s="4" t="s">
        <v>79</v>
      </c>
      <c r="E33" s="4" t="s">
        <v>80</v>
      </c>
      <c r="F33" s="4" t="s">
        <v>51</v>
      </c>
      <c r="G33" s="4" t="s">
        <v>31</v>
      </c>
      <c r="H33" s="4" t="s">
        <v>31</v>
      </c>
      <c r="I33" s="4" t="s">
        <v>40</v>
      </c>
      <c r="J33" s="4" t="s">
        <v>33</v>
      </c>
      <c r="K33" s="4" t="s">
        <v>34</v>
      </c>
      <c r="L33" s="4" t="s">
        <v>35</v>
      </c>
      <c r="M33" s="153">
        <v>4.4779999999999998</v>
      </c>
      <c r="N33" s="4" t="s">
        <v>81</v>
      </c>
      <c r="O33" s="166">
        <v>1.0999999999999999E-2</v>
      </c>
      <c r="P33" s="167">
        <v>1.302E-2</v>
      </c>
      <c r="R33" s="153">
        <v>5000000</v>
      </c>
      <c r="S33" s="153">
        <v>1</v>
      </c>
      <c r="T33" s="153">
        <v>100.29</v>
      </c>
      <c r="U33" s="153">
        <v>5014.5</v>
      </c>
      <c r="W33" s="4" t="s">
        <v>37</v>
      </c>
      <c r="X33" s="167">
        <v>0</v>
      </c>
      <c r="Y33" s="167">
        <v>9.9690215894293992E-3</v>
      </c>
      <c r="Z33" s="167">
        <v>2.0942110051872902E-3</v>
      </c>
    </row>
    <row r="34" spans="1:26">
      <c r="A34" s="4" t="s">
        <v>26</v>
      </c>
      <c r="B34" s="4">
        <v>288</v>
      </c>
      <c r="C34" s="4" t="s">
        <v>59</v>
      </c>
      <c r="D34" s="4" t="s">
        <v>85</v>
      </c>
      <c r="E34" s="4" t="s">
        <v>86</v>
      </c>
      <c r="F34" s="4" t="s">
        <v>62</v>
      </c>
      <c r="G34" s="4" t="s">
        <v>31</v>
      </c>
      <c r="H34" s="4" t="s">
        <v>31</v>
      </c>
      <c r="I34" s="4" t="s">
        <v>40</v>
      </c>
      <c r="J34" s="4" t="s">
        <v>33</v>
      </c>
      <c r="K34" s="4" t="s">
        <v>34</v>
      </c>
      <c r="L34" s="4" t="s">
        <v>35</v>
      </c>
      <c r="M34" s="153">
        <v>5.8360000000000003</v>
      </c>
      <c r="N34" s="4" t="s">
        <v>87</v>
      </c>
      <c r="O34" s="166">
        <v>0.01</v>
      </c>
      <c r="P34" s="167">
        <v>4.1730000000000003E-2</v>
      </c>
      <c r="R34" s="153">
        <v>19949768</v>
      </c>
      <c r="S34" s="153">
        <v>1</v>
      </c>
      <c r="T34" s="153">
        <v>83.47</v>
      </c>
      <c r="U34" s="153">
        <v>16652.071</v>
      </c>
      <c r="W34" s="4" t="s">
        <v>37</v>
      </c>
      <c r="X34" s="167">
        <v>5.2800000000000004E-4</v>
      </c>
      <c r="Y34" s="167">
        <v>3.3104967353251802E-2</v>
      </c>
      <c r="Z34" s="167">
        <v>6.9544223909654397E-3</v>
      </c>
    </row>
    <row r="35" spans="1:26">
      <c r="A35" s="4" t="s">
        <v>26</v>
      </c>
      <c r="B35" s="4">
        <v>288</v>
      </c>
      <c r="C35" s="4" t="s">
        <v>59</v>
      </c>
      <c r="D35" s="4" t="s">
        <v>88</v>
      </c>
      <c r="E35" s="4" t="s">
        <v>89</v>
      </c>
      <c r="F35" s="4" t="s">
        <v>62</v>
      </c>
      <c r="G35" s="4" t="s">
        <v>31</v>
      </c>
      <c r="H35" s="4" t="s">
        <v>31</v>
      </c>
      <c r="I35" s="4" t="s">
        <v>40</v>
      </c>
      <c r="J35" s="4" t="s">
        <v>33</v>
      </c>
      <c r="K35" s="4" t="s">
        <v>34</v>
      </c>
      <c r="L35" s="4" t="s">
        <v>35</v>
      </c>
      <c r="M35" s="153">
        <v>7.56</v>
      </c>
      <c r="N35" s="4" t="s">
        <v>90</v>
      </c>
      <c r="O35" s="166">
        <v>1.2999999999999999E-2</v>
      </c>
      <c r="P35" s="167">
        <v>4.3119999999999999E-2</v>
      </c>
      <c r="R35" s="153">
        <v>31065000</v>
      </c>
      <c r="S35" s="153">
        <v>1</v>
      </c>
      <c r="T35" s="153">
        <v>81.010000000000005</v>
      </c>
      <c r="U35" s="153">
        <v>25165.756000000001</v>
      </c>
      <c r="W35" s="4" t="s">
        <v>37</v>
      </c>
      <c r="X35" s="167">
        <v>1.4430000000000001E-3</v>
      </c>
      <c r="Y35" s="167">
        <v>5.0030505506595498E-2</v>
      </c>
      <c r="Z35" s="167">
        <v>1.0510001837902801E-2</v>
      </c>
    </row>
    <row r="36" spans="1:26">
      <c r="A36" s="4" t="s">
        <v>26</v>
      </c>
      <c r="B36" s="4">
        <v>288</v>
      </c>
      <c r="C36" s="4" t="s">
        <v>117</v>
      </c>
      <c r="D36" s="4" t="s">
        <v>118</v>
      </c>
      <c r="E36" s="4" t="s">
        <v>119</v>
      </c>
      <c r="F36" s="4" t="s">
        <v>97</v>
      </c>
      <c r="G36" s="4" t="s">
        <v>120</v>
      </c>
      <c r="H36" s="4" t="s">
        <v>31</v>
      </c>
      <c r="I36" s="4" t="s">
        <v>121</v>
      </c>
      <c r="J36" s="4" t="s">
        <v>98</v>
      </c>
      <c r="K36" s="4" t="s">
        <v>122</v>
      </c>
      <c r="L36" s="4" t="s">
        <v>100</v>
      </c>
      <c r="M36" s="153">
        <v>0</v>
      </c>
      <c r="N36" s="4" t="s">
        <v>123</v>
      </c>
      <c r="O36" s="166">
        <v>3.2500000000000001E-2</v>
      </c>
      <c r="P36" s="167">
        <v>0</v>
      </c>
      <c r="R36" s="153">
        <v>500000</v>
      </c>
      <c r="S36" s="153">
        <v>3.681</v>
      </c>
      <c r="T36" s="153">
        <v>108.71599999999999</v>
      </c>
      <c r="U36" s="153">
        <v>2000.9110000000001</v>
      </c>
      <c r="W36" s="4" t="s">
        <v>37</v>
      </c>
      <c r="X36" s="167">
        <v>0</v>
      </c>
      <c r="Y36" s="167">
        <v>3.9778883536465302E-3</v>
      </c>
      <c r="Z36" s="167">
        <v>8.3564244423405996E-4</v>
      </c>
    </row>
    <row r="37" spans="1:26">
      <c r="A37" s="4" t="s">
        <v>26</v>
      </c>
      <c r="B37" s="4">
        <v>288</v>
      </c>
      <c r="C37" s="4" t="s">
        <v>124</v>
      </c>
      <c r="D37" s="4" t="s">
        <v>125</v>
      </c>
      <c r="E37" s="4" t="s">
        <v>126</v>
      </c>
      <c r="F37" s="4" t="s">
        <v>97</v>
      </c>
      <c r="G37" s="4" t="s">
        <v>120</v>
      </c>
      <c r="H37" s="4" t="s">
        <v>127</v>
      </c>
      <c r="I37" s="4" t="s">
        <v>121</v>
      </c>
      <c r="J37" s="4" t="s">
        <v>128</v>
      </c>
      <c r="K37" s="4" t="s">
        <v>122</v>
      </c>
      <c r="L37" s="4" t="s">
        <v>100</v>
      </c>
      <c r="M37" s="153">
        <v>4.6900000000000004</v>
      </c>
      <c r="N37" s="4" t="s">
        <v>129</v>
      </c>
      <c r="O37" s="166">
        <v>3.2500000000000001E-2</v>
      </c>
      <c r="P37" s="167">
        <v>4.4159999999999998E-2</v>
      </c>
      <c r="R37" s="153">
        <v>500000</v>
      </c>
      <c r="S37" s="153">
        <v>3.681</v>
      </c>
      <c r="T37" s="153">
        <v>96.227999999999994</v>
      </c>
      <c r="U37" s="153">
        <v>1771.069</v>
      </c>
      <c r="W37" s="4" t="s">
        <v>37</v>
      </c>
      <c r="X37" s="167">
        <v>0</v>
      </c>
      <c r="Y37" s="167">
        <v>3.5209542084057499E-3</v>
      </c>
      <c r="Z37" s="167">
        <v>7.3965343397614902E-4</v>
      </c>
    </row>
    <row r="38" spans="1:26">
      <c r="A38" s="4" t="s">
        <v>26</v>
      </c>
      <c r="B38" s="4">
        <v>288</v>
      </c>
      <c r="C38" s="4" t="s">
        <v>130</v>
      </c>
      <c r="D38" s="4" t="s">
        <v>131</v>
      </c>
      <c r="E38" s="4" t="s">
        <v>132</v>
      </c>
      <c r="F38" s="4" t="s">
        <v>97</v>
      </c>
      <c r="G38" s="4" t="s">
        <v>120</v>
      </c>
      <c r="H38" s="4" t="s">
        <v>127</v>
      </c>
      <c r="I38" s="4" t="s">
        <v>133</v>
      </c>
      <c r="J38" s="4" t="s">
        <v>128</v>
      </c>
      <c r="K38" s="4" t="s">
        <v>122</v>
      </c>
      <c r="L38" s="4" t="s">
        <v>100</v>
      </c>
      <c r="M38" s="153">
        <v>7.57</v>
      </c>
      <c r="N38" s="4" t="s">
        <v>134</v>
      </c>
      <c r="O38" s="166">
        <v>3.3750000000000002E-2</v>
      </c>
      <c r="P38" s="167">
        <v>4.4089999999999997E-2</v>
      </c>
      <c r="R38" s="153">
        <v>500000</v>
      </c>
      <c r="S38" s="153">
        <v>3.681</v>
      </c>
      <c r="T38" s="153">
        <v>95.013999999999996</v>
      </c>
      <c r="U38" s="153">
        <v>1748.729</v>
      </c>
      <c r="W38" s="4" t="s">
        <v>37</v>
      </c>
      <c r="X38" s="167">
        <v>5.0000000000000004E-6</v>
      </c>
      <c r="Y38" s="167">
        <v>3.4765414389075801E-3</v>
      </c>
      <c r="Z38" s="167">
        <v>7.3032356044547503E-4</v>
      </c>
    </row>
    <row r="39" spans="1:26">
      <c r="A39" s="4" t="s">
        <v>26</v>
      </c>
      <c r="B39" s="4">
        <v>1451</v>
      </c>
      <c r="C39" s="4" t="s">
        <v>27</v>
      </c>
      <c r="D39" s="4" t="s">
        <v>38</v>
      </c>
      <c r="E39" s="4" t="s">
        <v>39</v>
      </c>
      <c r="F39" s="4" t="s">
        <v>30</v>
      </c>
      <c r="G39" s="4" t="s">
        <v>31</v>
      </c>
      <c r="H39" s="4" t="s">
        <v>31</v>
      </c>
      <c r="I39" s="4" t="s">
        <v>40</v>
      </c>
      <c r="J39" s="4" t="s">
        <v>33</v>
      </c>
      <c r="K39" s="4" t="s">
        <v>34</v>
      </c>
      <c r="L39" s="4" t="s">
        <v>35</v>
      </c>
      <c r="M39" s="153">
        <v>0.6</v>
      </c>
      <c r="N39" s="4" t="s">
        <v>41</v>
      </c>
      <c r="O39" s="166">
        <v>0</v>
      </c>
      <c r="P39" s="167">
        <v>4.274E-2</v>
      </c>
      <c r="R39" s="153">
        <v>150000</v>
      </c>
      <c r="S39" s="153">
        <v>1</v>
      </c>
      <c r="T39" s="153">
        <v>97.52</v>
      </c>
      <c r="U39" s="153">
        <v>146.28</v>
      </c>
      <c r="W39" s="4" t="s">
        <v>37</v>
      </c>
      <c r="X39" s="167">
        <v>0</v>
      </c>
      <c r="Y39" s="167">
        <v>4.6240324979592001E-3</v>
      </c>
      <c r="Z39" s="167">
        <v>2.5879086680800998E-3</v>
      </c>
    </row>
    <row r="40" spans="1:26">
      <c r="A40" s="4" t="s">
        <v>26</v>
      </c>
      <c r="B40" s="4">
        <v>1451</v>
      </c>
      <c r="C40" s="4" t="s">
        <v>27</v>
      </c>
      <c r="D40" s="4" t="s">
        <v>42</v>
      </c>
      <c r="E40" s="4" t="s">
        <v>43</v>
      </c>
      <c r="F40" s="4" t="s">
        <v>30</v>
      </c>
      <c r="G40" s="4" t="s">
        <v>31</v>
      </c>
      <c r="H40" s="4" t="s">
        <v>31</v>
      </c>
      <c r="I40" s="4" t="s">
        <v>40</v>
      </c>
      <c r="J40" s="4" t="s">
        <v>33</v>
      </c>
      <c r="K40" s="4" t="s">
        <v>34</v>
      </c>
      <c r="L40" s="4" t="s">
        <v>35</v>
      </c>
      <c r="M40" s="153">
        <v>0.78</v>
      </c>
      <c r="N40" s="4" t="s">
        <v>44</v>
      </c>
      <c r="O40" s="166">
        <v>0</v>
      </c>
      <c r="P40" s="167">
        <v>4.1869999999999997E-2</v>
      </c>
      <c r="R40" s="153">
        <v>450000</v>
      </c>
      <c r="S40" s="153">
        <v>1</v>
      </c>
      <c r="T40" s="153">
        <v>96.9</v>
      </c>
      <c r="U40" s="153">
        <v>436.05</v>
      </c>
      <c r="W40" s="4" t="s">
        <v>37</v>
      </c>
      <c r="X40" s="167">
        <v>0</v>
      </c>
      <c r="Y40" s="167">
        <v>1.37839032727311E-2</v>
      </c>
      <c r="Z40" s="167">
        <v>7.7143667946153001E-3</v>
      </c>
    </row>
    <row r="41" spans="1:26">
      <c r="A41" s="4" t="s">
        <v>26</v>
      </c>
      <c r="B41" s="4">
        <v>1451</v>
      </c>
      <c r="C41" s="4" t="s">
        <v>27</v>
      </c>
      <c r="D41" s="4" t="s">
        <v>135</v>
      </c>
      <c r="E41" s="4" t="s">
        <v>136</v>
      </c>
      <c r="F41" s="4" t="s">
        <v>30</v>
      </c>
      <c r="G41" s="4" t="s">
        <v>31</v>
      </c>
      <c r="H41" s="4" t="s">
        <v>31</v>
      </c>
      <c r="I41" s="4" t="s">
        <v>40</v>
      </c>
      <c r="J41" s="4" t="s">
        <v>33</v>
      </c>
      <c r="K41" s="4" t="s">
        <v>34</v>
      </c>
      <c r="L41" s="4" t="s">
        <v>35</v>
      </c>
      <c r="M41" s="153">
        <v>0.255</v>
      </c>
      <c r="N41" s="4" t="s">
        <v>137</v>
      </c>
      <c r="O41" s="166">
        <v>0</v>
      </c>
      <c r="P41" s="167">
        <v>4.3119999999999999E-2</v>
      </c>
      <c r="R41" s="153">
        <v>1200000</v>
      </c>
      <c r="S41" s="153">
        <v>1</v>
      </c>
      <c r="T41" s="153">
        <v>98.95</v>
      </c>
      <c r="U41" s="153">
        <v>1187.4000000000001</v>
      </c>
      <c r="W41" s="4" t="s">
        <v>37</v>
      </c>
      <c r="X41" s="167">
        <v>6.7000000000000002E-5</v>
      </c>
      <c r="Y41" s="167">
        <v>3.7534701859972402E-2</v>
      </c>
      <c r="Z41" s="167">
        <v>2.1006855021043901E-2</v>
      </c>
    </row>
    <row r="42" spans="1:26">
      <c r="A42" s="4" t="s">
        <v>26</v>
      </c>
      <c r="B42" s="4">
        <v>1451</v>
      </c>
      <c r="C42" s="4" t="s">
        <v>27</v>
      </c>
      <c r="D42" s="4" t="s">
        <v>45</v>
      </c>
      <c r="E42" s="4" t="s">
        <v>46</v>
      </c>
      <c r="F42" s="4" t="s">
        <v>30</v>
      </c>
      <c r="G42" s="4" t="s">
        <v>31</v>
      </c>
      <c r="H42" s="4" t="s">
        <v>31</v>
      </c>
      <c r="I42" s="4" t="s">
        <v>40</v>
      </c>
      <c r="J42" s="4" t="s">
        <v>33</v>
      </c>
      <c r="K42" s="4" t="s">
        <v>34</v>
      </c>
      <c r="L42" s="4" t="s">
        <v>35</v>
      </c>
      <c r="M42" s="153">
        <v>0.35099999999999998</v>
      </c>
      <c r="N42" s="4" t="s">
        <v>47</v>
      </c>
      <c r="O42" s="166">
        <v>0</v>
      </c>
      <c r="P42" s="167">
        <v>4.283E-2</v>
      </c>
      <c r="R42" s="153">
        <v>700000</v>
      </c>
      <c r="S42" s="153">
        <v>1</v>
      </c>
      <c r="T42" s="153">
        <v>98.55</v>
      </c>
      <c r="U42" s="153">
        <v>689.85</v>
      </c>
      <c r="W42" s="4" t="s">
        <v>37</v>
      </c>
      <c r="X42" s="167">
        <v>3.8999999999999999E-5</v>
      </c>
      <c r="Y42" s="167">
        <v>2.1806732422184501E-2</v>
      </c>
      <c r="Z42" s="167">
        <v>1.2204462637920801E-2</v>
      </c>
    </row>
    <row r="43" spans="1:26">
      <c r="A43" s="4" t="s">
        <v>26</v>
      </c>
      <c r="B43" s="4">
        <v>1451</v>
      </c>
      <c r="C43" s="4" t="s">
        <v>48</v>
      </c>
      <c r="D43" s="4" t="s">
        <v>49</v>
      </c>
      <c r="E43" s="4" t="s">
        <v>50</v>
      </c>
      <c r="F43" s="4" t="s">
        <v>51</v>
      </c>
      <c r="G43" s="4" t="s">
        <v>31</v>
      </c>
      <c r="H43" s="4" t="s">
        <v>31</v>
      </c>
      <c r="I43" s="4" t="s">
        <v>40</v>
      </c>
      <c r="J43" s="4" t="s">
        <v>33</v>
      </c>
      <c r="K43" s="4" t="s">
        <v>34</v>
      </c>
      <c r="L43" s="4" t="s">
        <v>35</v>
      </c>
      <c r="M43" s="153">
        <v>3.1190000000000002</v>
      </c>
      <c r="N43" s="4" t="s">
        <v>52</v>
      </c>
      <c r="O43" s="166">
        <v>7.4999999999999997E-3</v>
      </c>
      <c r="P43" s="167">
        <v>1.1520000000000001E-2</v>
      </c>
      <c r="R43" s="153">
        <v>130000</v>
      </c>
      <c r="S43" s="153">
        <v>1</v>
      </c>
      <c r="T43" s="153">
        <v>111.88</v>
      </c>
      <c r="U43" s="153">
        <v>145.44399999999999</v>
      </c>
      <c r="W43" s="4" t="s">
        <v>37</v>
      </c>
      <c r="X43" s="167">
        <v>6.0000000000000002E-6</v>
      </c>
      <c r="Y43" s="167">
        <v>4.5976058424472104E-3</v>
      </c>
      <c r="Z43" s="167">
        <v>2.5731185966655799E-3</v>
      </c>
    </row>
    <row r="44" spans="1:26">
      <c r="A44" s="4" t="s">
        <v>26</v>
      </c>
      <c r="B44" s="4">
        <v>1451</v>
      </c>
      <c r="C44" s="4" t="s">
        <v>48</v>
      </c>
      <c r="D44" s="4" t="s">
        <v>53</v>
      </c>
      <c r="E44" s="4" t="s">
        <v>54</v>
      </c>
      <c r="F44" s="4" t="s">
        <v>51</v>
      </c>
      <c r="G44" s="4" t="s">
        <v>31</v>
      </c>
      <c r="H44" s="4" t="s">
        <v>31</v>
      </c>
      <c r="I44" s="4" t="s">
        <v>40</v>
      </c>
      <c r="J44" s="4" t="s">
        <v>33</v>
      </c>
      <c r="K44" s="4" t="s">
        <v>34</v>
      </c>
      <c r="L44" s="4" t="s">
        <v>35</v>
      </c>
      <c r="M44" s="153">
        <v>1.5760000000000001</v>
      </c>
      <c r="N44" s="4" t="s">
        <v>55</v>
      </c>
      <c r="O44" s="166">
        <v>7.4999999999999997E-3</v>
      </c>
      <c r="P44" s="167">
        <v>7.9699999999999997E-3</v>
      </c>
      <c r="R44" s="153">
        <v>4578848</v>
      </c>
      <c r="S44" s="153">
        <v>1</v>
      </c>
      <c r="T44" s="153">
        <v>112.14</v>
      </c>
      <c r="U44" s="153">
        <v>5134.72</v>
      </c>
      <c r="W44" s="4" t="s">
        <v>37</v>
      </c>
      <c r="X44" s="167">
        <v>2.1100000000000001E-4</v>
      </c>
      <c r="Y44" s="167">
        <v>0.16231277569441199</v>
      </c>
      <c r="Z44" s="167">
        <v>9.0840762763907595E-2</v>
      </c>
    </row>
    <row r="45" spans="1:26">
      <c r="A45" s="4" t="s">
        <v>26</v>
      </c>
      <c r="B45" s="4">
        <v>1451</v>
      </c>
      <c r="C45" s="4" t="s">
        <v>48</v>
      </c>
      <c r="D45" s="4" t="s">
        <v>56</v>
      </c>
      <c r="E45" s="4" t="s">
        <v>57</v>
      </c>
      <c r="F45" s="4" t="s">
        <v>51</v>
      </c>
      <c r="G45" s="4" t="s">
        <v>31</v>
      </c>
      <c r="H45" s="4" t="s">
        <v>31</v>
      </c>
      <c r="I45" s="4" t="s">
        <v>40</v>
      </c>
      <c r="J45" s="4" t="s">
        <v>33</v>
      </c>
      <c r="K45" s="4" t="s">
        <v>34</v>
      </c>
      <c r="L45" s="4" t="s">
        <v>35</v>
      </c>
      <c r="M45" s="153">
        <v>7.6379999999999999</v>
      </c>
      <c r="N45" s="4" t="s">
        <v>58</v>
      </c>
      <c r="O45" s="166">
        <v>1E-3</v>
      </c>
      <c r="P45" s="167">
        <v>1.5559999999999999E-2</v>
      </c>
      <c r="R45" s="153">
        <v>275000</v>
      </c>
      <c r="S45" s="153">
        <v>1</v>
      </c>
      <c r="T45" s="153">
        <v>99.81</v>
      </c>
      <c r="U45" s="153">
        <v>274.47800000000001</v>
      </c>
      <c r="W45" s="4" t="s">
        <v>37</v>
      </c>
      <c r="X45" s="167">
        <v>1.1E-5</v>
      </c>
      <c r="Y45" s="167">
        <v>8.6764621271438105E-3</v>
      </c>
      <c r="Z45" s="167">
        <v>4.85591127592942E-3</v>
      </c>
    </row>
    <row r="46" spans="1:26">
      <c r="A46" s="4" t="s">
        <v>26</v>
      </c>
      <c r="B46" s="4">
        <v>1451</v>
      </c>
      <c r="C46" s="4" t="s">
        <v>59</v>
      </c>
      <c r="D46" s="4" t="s">
        <v>60</v>
      </c>
      <c r="E46" s="4" t="s">
        <v>61</v>
      </c>
      <c r="F46" s="4" t="s">
        <v>62</v>
      </c>
      <c r="G46" s="4" t="s">
        <v>31</v>
      </c>
      <c r="H46" s="4" t="s">
        <v>31</v>
      </c>
      <c r="I46" s="4" t="s">
        <v>40</v>
      </c>
      <c r="J46" s="4" t="s">
        <v>33</v>
      </c>
      <c r="K46" s="4" t="s">
        <v>34</v>
      </c>
      <c r="L46" s="4" t="s">
        <v>35</v>
      </c>
      <c r="M46" s="153">
        <v>4.2690000000000001</v>
      </c>
      <c r="N46" s="4" t="s">
        <v>63</v>
      </c>
      <c r="O46" s="166">
        <v>2.2499999999999999E-2</v>
      </c>
      <c r="P46" s="167">
        <v>4.0719999999999999E-2</v>
      </c>
      <c r="R46" s="153">
        <v>810000</v>
      </c>
      <c r="S46" s="153">
        <v>1</v>
      </c>
      <c r="T46" s="153">
        <v>93.79</v>
      </c>
      <c r="U46" s="153">
        <v>759.69899999999996</v>
      </c>
      <c r="W46" s="4" t="s">
        <v>37</v>
      </c>
      <c r="X46" s="167">
        <v>3.0000000000000001E-5</v>
      </c>
      <c r="Y46" s="167">
        <v>2.4014717423209601E-2</v>
      </c>
      <c r="Z46" s="167">
        <v>1.34401943343709E-2</v>
      </c>
    </row>
    <row r="47" spans="1:26">
      <c r="A47" s="4" t="s">
        <v>26</v>
      </c>
      <c r="B47" s="4">
        <v>1451</v>
      </c>
      <c r="C47" s="4" t="s">
        <v>59</v>
      </c>
      <c r="D47" s="4" t="s">
        <v>138</v>
      </c>
      <c r="E47" s="4" t="s">
        <v>139</v>
      </c>
      <c r="F47" s="4" t="s">
        <v>62</v>
      </c>
      <c r="G47" s="4" t="s">
        <v>31</v>
      </c>
      <c r="H47" s="4" t="s">
        <v>31</v>
      </c>
      <c r="I47" s="4" t="s">
        <v>40</v>
      </c>
      <c r="J47" s="4" t="s">
        <v>33</v>
      </c>
      <c r="K47" s="4" t="s">
        <v>34</v>
      </c>
      <c r="L47" s="4" t="s">
        <v>35</v>
      </c>
      <c r="M47" s="153">
        <v>1.9039999999999999</v>
      </c>
      <c r="N47" s="4" t="s">
        <v>140</v>
      </c>
      <c r="O47" s="166">
        <v>5.0000000000000001E-3</v>
      </c>
      <c r="P47" s="167">
        <v>4.0289999999999999E-2</v>
      </c>
      <c r="R47" s="153">
        <v>2593685</v>
      </c>
      <c r="S47" s="153">
        <v>1</v>
      </c>
      <c r="T47" s="153">
        <v>93.69</v>
      </c>
      <c r="U47" s="153">
        <v>2430.0230000000001</v>
      </c>
      <c r="W47" s="4" t="s">
        <v>37</v>
      </c>
      <c r="X47" s="167">
        <v>1.2300000000000001E-4</v>
      </c>
      <c r="Y47" s="167">
        <v>7.6815063755399204E-2</v>
      </c>
      <c r="Z47" s="167">
        <v>4.2990694684662899E-2</v>
      </c>
    </row>
    <row r="48" spans="1:26">
      <c r="A48" s="4" t="s">
        <v>26</v>
      </c>
      <c r="B48" s="4">
        <v>1451</v>
      </c>
      <c r="C48" s="4" t="s">
        <v>59</v>
      </c>
      <c r="D48" s="4" t="s">
        <v>64</v>
      </c>
      <c r="E48" s="4" t="s">
        <v>65</v>
      </c>
      <c r="F48" s="4" t="s">
        <v>62</v>
      </c>
      <c r="G48" s="4" t="s">
        <v>31</v>
      </c>
      <c r="H48" s="4" t="s">
        <v>31</v>
      </c>
      <c r="I48" s="4" t="s">
        <v>40</v>
      </c>
      <c r="J48" s="4" t="s">
        <v>33</v>
      </c>
      <c r="K48" s="4" t="s">
        <v>34</v>
      </c>
      <c r="L48" s="4" t="s">
        <v>35</v>
      </c>
      <c r="M48" s="153">
        <v>15.141</v>
      </c>
      <c r="N48" s="4" t="s">
        <v>66</v>
      </c>
      <c r="O48" s="166">
        <v>3.7499999999999999E-2</v>
      </c>
      <c r="P48" s="167">
        <v>4.8259999999999997E-2</v>
      </c>
      <c r="R48" s="153">
        <v>650810</v>
      </c>
      <c r="S48" s="153">
        <v>1</v>
      </c>
      <c r="T48" s="153">
        <v>85.26</v>
      </c>
      <c r="U48" s="153">
        <v>554.88099999999997</v>
      </c>
      <c r="W48" s="4" t="s">
        <v>37</v>
      </c>
      <c r="X48" s="167">
        <v>2.5999999999999998E-5</v>
      </c>
      <c r="Y48" s="167">
        <v>1.75402375897682E-2</v>
      </c>
      <c r="Z48" s="167">
        <v>9.8166552503208705E-3</v>
      </c>
    </row>
    <row r="49" spans="1:26">
      <c r="A49" s="4" t="s">
        <v>26</v>
      </c>
      <c r="B49" s="4">
        <v>1451</v>
      </c>
      <c r="C49" s="4" t="s">
        <v>59</v>
      </c>
      <c r="D49" s="4" t="s">
        <v>67</v>
      </c>
      <c r="E49" s="4" t="s">
        <v>68</v>
      </c>
      <c r="F49" s="4" t="s">
        <v>62</v>
      </c>
      <c r="G49" s="4" t="s">
        <v>31</v>
      </c>
      <c r="H49" s="4" t="s">
        <v>31</v>
      </c>
      <c r="I49" s="4" t="s">
        <v>40</v>
      </c>
      <c r="J49" s="4" t="s">
        <v>33</v>
      </c>
      <c r="K49" s="4" t="s">
        <v>34</v>
      </c>
      <c r="L49" s="4" t="s">
        <v>35</v>
      </c>
      <c r="M49" s="153">
        <v>1.399</v>
      </c>
      <c r="N49" s="4" t="s">
        <v>69</v>
      </c>
      <c r="O49" s="166">
        <v>1.7500000000000002E-2</v>
      </c>
      <c r="P49" s="167">
        <v>4.0219999999999999E-2</v>
      </c>
      <c r="R49" s="153">
        <v>1077647</v>
      </c>
      <c r="S49" s="153">
        <v>1</v>
      </c>
      <c r="T49" s="153">
        <v>97.96</v>
      </c>
      <c r="U49" s="153">
        <v>1055.663</v>
      </c>
      <c r="W49" s="4" t="s">
        <v>37</v>
      </c>
      <c r="X49" s="167">
        <v>4.5000000000000003E-5</v>
      </c>
      <c r="Y49" s="167">
        <v>3.3370385729026099E-2</v>
      </c>
      <c r="Z49" s="167">
        <v>1.8676233465798001E-2</v>
      </c>
    </row>
    <row r="50" spans="1:26">
      <c r="A50" s="4" t="s">
        <v>26</v>
      </c>
      <c r="B50" s="4">
        <v>1451</v>
      </c>
      <c r="C50" s="4" t="s">
        <v>59</v>
      </c>
      <c r="D50" s="4" t="s">
        <v>70</v>
      </c>
      <c r="E50" s="4" t="s">
        <v>71</v>
      </c>
      <c r="F50" s="4" t="s">
        <v>62</v>
      </c>
      <c r="G50" s="4" t="s">
        <v>31</v>
      </c>
      <c r="H50" s="4" t="s">
        <v>31</v>
      </c>
      <c r="I50" s="4" t="s">
        <v>40</v>
      </c>
      <c r="J50" s="4" t="s">
        <v>33</v>
      </c>
      <c r="K50" s="4" t="s">
        <v>34</v>
      </c>
      <c r="L50" s="4" t="s">
        <v>35</v>
      </c>
      <c r="M50" s="153">
        <v>11.997999999999999</v>
      </c>
      <c r="N50" s="4" t="s">
        <v>72</v>
      </c>
      <c r="O50" s="166">
        <v>5.5E-2</v>
      </c>
      <c r="P50" s="167">
        <v>4.7149999999999997E-2</v>
      </c>
      <c r="R50" s="153">
        <v>344183</v>
      </c>
      <c r="S50" s="153">
        <v>1</v>
      </c>
      <c r="T50" s="153">
        <v>110.25</v>
      </c>
      <c r="U50" s="153">
        <v>379.46199999999999</v>
      </c>
      <c r="W50" s="4" t="s">
        <v>37</v>
      </c>
      <c r="X50" s="167">
        <v>1.8E-5</v>
      </c>
      <c r="Y50" s="167">
        <v>1.19951018485966E-2</v>
      </c>
      <c r="Z50" s="167">
        <v>6.7132374312220298E-3</v>
      </c>
    </row>
    <row r="51" spans="1:26">
      <c r="A51" s="4" t="s">
        <v>26</v>
      </c>
      <c r="B51" s="4">
        <v>1451</v>
      </c>
      <c r="C51" s="4" t="s">
        <v>48</v>
      </c>
      <c r="D51" s="4" t="s">
        <v>73</v>
      </c>
      <c r="E51" s="4" t="s">
        <v>74</v>
      </c>
      <c r="F51" s="4" t="s">
        <v>51</v>
      </c>
      <c r="G51" s="4" t="s">
        <v>31</v>
      </c>
      <c r="H51" s="4" t="s">
        <v>31</v>
      </c>
      <c r="I51" s="4" t="s">
        <v>40</v>
      </c>
      <c r="J51" s="4" t="s">
        <v>33</v>
      </c>
      <c r="K51" s="4" t="s">
        <v>34</v>
      </c>
      <c r="L51" s="4" t="s">
        <v>35</v>
      </c>
      <c r="M51" s="153">
        <v>5.0910000000000002</v>
      </c>
      <c r="N51" s="4" t="s">
        <v>75</v>
      </c>
      <c r="O51" s="166">
        <v>5.0000000000000001E-3</v>
      </c>
      <c r="P51" s="167">
        <v>1.34E-2</v>
      </c>
      <c r="R51" s="153">
        <v>3148000</v>
      </c>
      <c r="S51" s="153">
        <v>1</v>
      </c>
      <c r="T51" s="153">
        <v>107.2</v>
      </c>
      <c r="U51" s="153">
        <v>3374.6559999999999</v>
      </c>
      <c r="W51" s="4" t="s">
        <v>37</v>
      </c>
      <c r="X51" s="167">
        <v>1.55E-4</v>
      </c>
      <c r="Y51" s="167">
        <v>0.106675683712285</v>
      </c>
      <c r="Z51" s="167">
        <v>5.9702635453845403E-2</v>
      </c>
    </row>
    <row r="52" spans="1:26">
      <c r="A52" s="4" t="s">
        <v>26</v>
      </c>
      <c r="B52" s="4">
        <v>1451</v>
      </c>
      <c r="C52" s="4" t="s">
        <v>48</v>
      </c>
      <c r="D52" s="4" t="s">
        <v>76</v>
      </c>
      <c r="E52" s="4" t="s">
        <v>77</v>
      </c>
      <c r="F52" s="4" t="s">
        <v>51</v>
      </c>
      <c r="G52" s="4" t="s">
        <v>31</v>
      </c>
      <c r="H52" s="4" t="s">
        <v>31</v>
      </c>
      <c r="I52" s="4" t="s">
        <v>40</v>
      </c>
      <c r="J52" s="4" t="s">
        <v>33</v>
      </c>
      <c r="K52" s="4" t="s">
        <v>34</v>
      </c>
      <c r="L52" s="4" t="s">
        <v>35</v>
      </c>
      <c r="M52" s="153">
        <v>2.3279999999999998</v>
      </c>
      <c r="N52" s="4" t="s">
        <v>78</v>
      </c>
      <c r="O52" s="166">
        <v>1E-3</v>
      </c>
      <c r="P52" s="167">
        <v>1.0410000000000001E-2</v>
      </c>
      <c r="R52" s="153">
        <v>4121081</v>
      </c>
      <c r="S52" s="153">
        <v>1</v>
      </c>
      <c r="T52" s="153">
        <v>109.23</v>
      </c>
      <c r="U52" s="153">
        <v>4501.4570000000003</v>
      </c>
      <c r="W52" s="4" t="s">
        <v>37</v>
      </c>
      <c r="X52" s="167">
        <v>2.05E-4</v>
      </c>
      <c r="Y52" s="167">
        <v>0.14229479369544601</v>
      </c>
      <c r="Z52" s="167">
        <v>7.9637400945957504E-2</v>
      </c>
    </row>
    <row r="53" spans="1:26">
      <c r="A53" s="4" t="s">
        <v>26</v>
      </c>
      <c r="B53" s="4">
        <v>1451</v>
      </c>
      <c r="C53" s="4" t="s">
        <v>48</v>
      </c>
      <c r="D53" s="4" t="s">
        <v>79</v>
      </c>
      <c r="E53" s="4" t="s">
        <v>80</v>
      </c>
      <c r="F53" s="4" t="s">
        <v>51</v>
      </c>
      <c r="G53" s="4" t="s">
        <v>31</v>
      </c>
      <c r="H53" s="4" t="s">
        <v>31</v>
      </c>
      <c r="I53" s="4" t="s">
        <v>40</v>
      </c>
      <c r="J53" s="4" t="s">
        <v>33</v>
      </c>
      <c r="K53" s="4" t="s">
        <v>34</v>
      </c>
      <c r="L53" s="4" t="s">
        <v>35</v>
      </c>
      <c r="M53" s="153">
        <v>4.4779999999999998</v>
      </c>
      <c r="N53" s="4" t="s">
        <v>81</v>
      </c>
      <c r="O53" s="166">
        <v>1.0999999999999999E-2</v>
      </c>
      <c r="P53" s="167">
        <v>1.302E-2</v>
      </c>
      <c r="R53" s="153">
        <v>630000</v>
      </c>
      <c r="S53" s="153">
        <v>1</v>
      </c>
      <c r="T53" s="153">
        <v>100.29</v>
      </c>
      <c r="U53" s="153">
        <v>631.827</v>
      </c>
      <c r="W53" s="4" t="s">
        <v>37</v>
      </c>
      <c r="X53" s="167">
        <v>0</v>
      </c>
      <c r="Y53" s="167">
        <v>1.9972577119825499E-2</v>
      </c>
      <c r="Z53" s="167">
        <v>1.11779503009779E-2</v>
      </c>
    </row>
    <row r="54" spans="1:26">
      <c r="A54" s="4" t="s">
        <v>26</v>
      </c>
      <c r="B54" s="4">
        <v>1451</v>
      </c>
      <c r="C54" s="4" t="s">
        <v>59</v>
      </c>
      <c r="D54" s="4" t="s">
        <v>85</v>
      </c>
      <c r="E54" s="4" t="s">
        <v>86</v>
      </c>
      <c r="F54" s="4" t="s">
        <v>62</v>
      </c>
      <c r="G54" s="4" t="s">
        <v>31</v>
      </c>
      <c r="H54" s="4" t="s">
        <v>31</v>
      </c>
      <c r="I54" s="4" t="s">
        <v>40</v>
      </c>
      <c r="J54" s="4" t="s">
        <v>33</v>
      </c>
      <c r="K54" s="4" t="s">
        <v>34</v>
      </c>
      <c r="L54" s="4" t="s">
        <v>35</v>
      </c>
      <c r="M54" s="153">
        <v>5.8360000000000003</v>
      </c>
      <c r="N54" s="4" t="s">
        <v>87</v>
      </c>
      <c r="O54" s="166">
        <v>0.01</v>
      </c>
      <c r="P54" s="167">
        <v>4.1730000000000003E-2</v>
      </c>
      <c r="R54" s="153">
        <v>8850000</v>
      </c>
      <c r="S54" s="153">
        <v>1</v>
      </c>
      <c r="T54" s="153">
        <v>83.47</v>
      </c>
      <c r="U54" s="153">
        <v>7387.0950000000003</v>
      </c>
      <c r="W54" s="4" t="s">
        <v>37</v>
      </c>
      <c r="X54" s="167">
        <v>2.34E-4</v>
      </c>
      <c r="Y54" s="167">
        <v>0.233512218659502</v>
      </c>
      <c r="Z54" s="167">
        <v>0.130688591621761</v>
      </c>
    </row>
    <row r="55" spans="1:26">
      <c r="A55" s="4" t="s">
        <v>26</v>
      </c>
      <c r="B55" s="4">
        <v>1451</v>
      </c>
      <c r="C55" s="4" t="s">
        <v>59</v>
      </c>
      <c r="D55" s="4" t="s">
        <v>88</v>
      </c>
      <c r="E55" s="4" t="s">
        <v>89</v>
      </c>
      <c r="F55" s="4" t="s">
        <v>62</v>
      </c>
      <c r="G55" s="4" t="s">
        <v>31</v>
      </c>
      <c r="H55" s="4" t="s">
        <v>31</v>
      </c>
      <c r="I55" s="4" t="s">
        <v>40</v>
      </c>
      <c r="J55" s="4" t="s">
        <v>33</v>
      </c>
      <c r="K55" s="4" t="s">
        <v>34</v>
      </c>
      <c r="L55" s="4" t="s">
        <v>35</v>
      </c>
      <c r="M55" s="153">
        <v>7.56</v>
      </c>
      <c r="N55" s="4" t="s">
        <v>90</v>
      </c>
      <c r="O55" s="166">
        <v>1.2999999999999999E-2</v>
      </c>
      <c r="P55" s="167">
        <v>4.3119999999999999E-2</v>
      </c>
      <c r="R55" s="153">
        <v>2585000</v>
      </c>
      <c r="S55" s="153">
        <v>1</v>
      </c>
      <c r="T55" s="153">
        <v>81.010000000000005</v>
      </c>
      <c r="U55" s="153">
        <v>2094.1089999999999</v>
      </c>
      <c r="W55" s="4" t="s">
        <v>37</v>
      </c>
      <c r="X55" s="167">
        <v>1.2E-4</v>
      </c>
      <c r="Y55" s="167">
        <v>6.6196511883050299E-2</v>
      </c>
      <c r="Z55" s="167">
        <v>3.7047863953036698E-2</v>
      </c>
    </row>
    <row r="56" spans="1:26">
      <c r="A56" s="4" t="s">
        <v>26</v>
      </c>
      <c r="B56" s="4">
        <v>1451</v>
      </c>
      <c r="C56" s="4" t="s">
        <v>27</v>
      </c>
      <c r="D56" s="4" t="s">
        <v>91</v>
      </c>
      <c r="E56" s="4" t="s">
        <v>92</v>
      </c>
      <c r="F56" s="4" t="s">
        <v>30</v>
      </c>
      <c r="G56" s="4" t="s">
        <v>31</v>
      </c>
      <c r="H56" s="4" t="s">
        <v>31</v>
      </c>
      <c r="I56" s="4" t="s">
        <v>40</v>
      </c>
      <c r="J56" s="4" t="s">
        <v>33</v>
      </c>
      <c r="K56" s="4" t="s">
        <v>34</v>
      </c>
      <c r="L56" s="4" t="s">
        <v>35</v>
      </c>
      <c r="M56" s="153">
        <v>0.17799999999999999</v>
      </c>
      <c r="N56" s="4" t="s">
        <v>93</v>
      </c>
      <c r="O56" s="166">
        <v>0</v>
      </c>
      <c r="P56" s="167">
        <v>4.3180000000000003E-2</v>
      </c>
      <c r="R56" s="153">
        <v>455000</v>
      </c>
      <c r="S56" s="153">
        <v>1</v>
      </c>
      <c r="T56" s="153">
        <v>99.26</v>
      </c>
      <c r="U56" s="153">
        <v>451.63299999999998</v>
      </c>
      <c r="W56" s="4" t="s">
        <v>37</v>
      </c>
      <c r="X56" s="167">
        <v>2.5000000000000001E-5</v>
      </c>
      <c r="Y56" s="167">
        <v>1.4276494867041301E-2</v>
      </c>
      <c r="Z56" s="167">
        <v>7.9900530181228994E-3</v>
      </c>
    </row>
    <row r="57" spans="1:26">
      <c r="A57" s="4" t="s">
        <v>26</v>
      </c>
      <c r="B57" s="4">
        <v>1452</v>
      </c>
      <c r="C57" s="4" t="s">
        <v>27</v>
      </c>
      <c r="D57" s="4" t="s">
        <v>102</v>
      </c>
      <c r="E57" s="4" t="s">
        <v>103</v>
      </c>
      <c r="F57" s="4" t="s">
        <v>30</v>
      </c>
      <c r="G57" s="4" t="s">
        <v>31</v>
      </c>
      <c r="H57" s="4" t="s">
        <v>31</v>
      </c>
      <c r="I57" s="4" t="s">
        <v>40</v>
      </c>
      <c r="J57" s="4" t="s">
        <v>33</v>
      </c>
      <c r="K57" s="4" t="s">
        <v>34</v>
      </c>
      <c r="L57" s="4" t="s">
        <v>35</v>
      </c>
      <c r="M57" s="153">
        <v>0.67700000000000005</v>
      </c>
      <c r="N57" s="4" t="s">
        <v>104</v>
      </c>
      <c r="O57" s="166">
        <v>0</v>
      </c>
      <c r="P57" s="167">
        <v>4.2380000000000001E-2</v>
      </c>
      <c r="R57" s="153">
        <v>900000</v>
      </c>
      <c r="S57" s="153">
        <v>1</v>
      </c>
      <c r="T57" s="153">
        <v>97.22</v>
      </c>
      <c r="U57" s="153">
        <v>874.98</v>
      </c>
      <c r="W57" s="4" t="s">
        <v>37</v>
      </c>
      <c r="X57" s="167">
        <v>6.3999999999999997E-5</v>
      </c>
      <c r="Y57" s="167">
        <v>0.16309465671052001</v>
      </c>
      <c r="Z57" s="167">
        <v>1.7644093724101799E-2</v>
      </c>
    </row>
    <row r="58" spans="1:26">
      <c r="A58" s="4" t="s">
        <v>26</v>
      </c>
      <c r="B58" s="4">
        <v>1452</v>
      </c>
      <c r="C58" s="4" t="s">
        <v>27</v>
      </c>
      <c r="D58" s="4" t="s">
        <v>42</v>
      </c>
      <c r="E58" s="4" t="s">
        <v>43</v>
      </c>
      <c r="F58" s="4" t="s">
        <v>30</v>
      </c>
      <c r="G58" s="4" t="s">
        <v>31</v>
      </c>
      <c r="H58" s="4" t="s">
        <v>31</v>
      </c>
      <c r="I58" s="4" t="s">
        <v>40</v>
      </c>
      <c r="J58" s="4" t="s">
        <v>33</v>
      </c>
      <c r="K58" s="4" t="s">
        <v>34</v>
      </c>
      <c r="L58" s="4" t="s">
        <v>35</v>
      </c>
      <c r="M58" s="153">
        <v>0.78</v>
      </c>
      <c r="N58" s="4" t="s">
        <v>44</v>
      </c>
      <c r="O58" s="166">
        <v>0</v>
      </c>
      <c r="P58" s="167">
        <v>4.1869999999999997E-2</v>
      </c>
      <c r="R58" s="153">
        <v>3620000</v>
      </c>
      <c r="S58" s="153">
        <v>1</v>
      </c>
      <c r="T58" s="153">
        <v>96.9</v>
      </c>
      <c r="U58" s="153">
        <v>3507.78</v>
      </c>
      <c r="W58" s="4" t="s">
        <v>37</v>
      </c>
      <c r="X58" s="167">
        <v>0</v>
      </c>
      <c r="Y58" s="167">
        <v>0.65384371633183402</v>
      </c>
      <c r="Z58" s="167">
        <v>7.0734872892557393E-2</v>
      </c>
    </row>
    <row r="59" spans="1:26">
      <c r="A59" s="4" t="s">
        <v>26</v>
      </c>
      <c r="B59" s="4">
        <v>1452</v>
      </c>
      <c r="C59" s="4" t="s">
        <v>27</v>
      </c>
      <c r="D59" s="4" t="s">
        <v>141</v>
      </c>
      <c r="E59" s="4" t="s">
        <v>142</v>
      </c>
      <c r="F59" s="4" t="s">
        <v>30</v>
      </c>
      <c r="G59" s="4" t="s">
        <v>31</v>
      </c>
      <c r="H59" s="4" t="s">
        <v>31</v>
      </c>
      <c r="I59" s="4" t="s">
        <v>40</v>
      </c>
      <c r="J59" s="4" t="s">
        <v>33</v>
      </c>
      <c r="K59" s="4" t="s">
        <v>34</v>
      </c>
      <c r="L59" s="4" t="s">
        <v>35</v>
      </c>
      <c r="M59" s="153">
        <v>0.42699999999999999</v>
      </c>
      <c r="N59" s="4" t="s">
        <v>143</v>
      </c>
      <c r="O59" s="166">
        <v>0</v>
      </c>
      <c r="P59" s="167">
        <v>4.317E-2</v>
      </c>
      <c r="R59" s="153">
        <v>1000000</v>
      </c>
      <c r="S59" s="153">
        <v>1</v>
      </c>
      <c r="T59" s="153">
        <v>98.21</v>
      </c>
      <c r="U59" s="153">
        <v>982.1</v>
      </c>
      <c r="W59" s="4" t="s">
        <v>37</v>
      </c>
      <c r="X59" s="167">
        <v>5.5999999999999999E-5</v>
      </c>
      <c r="Y59" s="167">
        <v>0.18306162695764699</v>
      </c>
      <c r="Z59" s="167">
        <v>1.9804183462982499E-2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172</v>
      </c>
      <c r="N1" s="22" t="s">
        <v>149</v>
      </c>
      <c r="O1" s="22" t="s">
        <v>9</v>
      </c>
      <c r="P1" s="22" t="s">
        <v>10</v>
      </c>
      <c r="Q1" s="22" t="s">
        <v>196</v>
      </c>
      <c r="R1" s="22" t="s">
        <v>11</v>
      </c>
      <c r="S1" s="22" t="s">
        <v>12</v>
      </c>
      <c r="T1" s="22" t="s">
        <v>932</v>
      </c>
      <c r="U1" s="22" t="s">
        <v>13</v>
      </c>
      <c r="V1" s="145" t="s">
        <v>14</v>
      </c>
      <c r="W1" s="22" t="s">
        <v>15</v>
      </c>
      <c r="X1" s="22" t="s">
        <v>432</v>
      </c>
      <c r="Y1" s="22" t="s">
        <v>853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188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73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347</v>
      </c>
      <c r="M1" s="22" t="s">
        <v>8</v>
      </c>
      <c r="N1" s="22" t="s">
        <v>172</v>
      </c>
      <c r="O1" s="22" t="s">
        <v>149</v>
      </c>
      <c r="P1" s="22" t="s">
        <v>9</v>
      </c>
      <c r="Q1" s="22" t="s">
        <v>10</v>
      </c>
      <c r="R1" s="22" t="s">
        <v>196</v>
      </c>
      <c r="S1" s="22" t="s">
        <v>11</v>
      </c>
      <c r="T1" s="22" t="s">
        <v>12</v>
      </c>
      <c r="U1" s="22" t="s">
        <v>13</v>
      </c>
      <c r="V1" s="160" t="s">
        <v>14</v>
      </c>
      <c r="W1" s="164" t="s">
        <v>15</v>
      </c>
      <c r="X1" s="22" t="s">
        <v>432</v>
      </c>
      <c r="Y1" s="22" t="s">
        <v>853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188</v>
      </c>
      <c r="AG1" s="22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2" t="s">
        <v>26</v>
      </c>
      <c r="B2" s="23">
        <v>288</v>
      </c>
      <c r="C2" s="23" t="s">
        <v>1965</v>
      </c>
      <c r="D2" s="23" t="s">
        <v>1966</v>
      </c>
      <c r="E2" s="21" t="s">
        <v>335</v>
      </c>
      <c r="F2" s="23" t="s">
        <v>1967</v>
      </c>
      <c r="G2" s="23" t="s">
        <v>1968</v>
      </c>
      <c r="H2" s="21" t="s">
        <v>342</v>
      </c>
      <c r="I2" s="30" t="s">
        <v>778</v>
      </c>
      <c r="J2" s="21" t="s">
        <v>120</v>
      </c>
      <c r="K2" s="21" t="s">
        <v>127</v>
      </c>
      <c r="L2" s="23" t="s">
        <v>348</v>
      </c>
      <c r="M2" s="21" t="s">
        <v>365</v>
      </c>
      <c r="N2" s="23" t="s">
        <v>565</v>
      </c>
      <c r="O2" s="23" t="s">
        <v>163</v>
      </c>
      <c r="P2" s="23" t="s">
        <v>1969</v>
      </c>
      <c r="Q2" s="23" t="s">
        <v>99</v>
      </c>
      <c r="R2" s="23" t="s">
        <v>428</v>
      </c>
      <c r="S2" s="21" t="s">
        <v>100</v>
      </c>
      <c r="T2" s="154">
        <v>3.32</v>
      </c>
      <c r="U2" s="23" t="s">
        <v>1970</v>
      </c>
      <c r="V2" s="168">
        <v>5.2499999999999998E-2</v>
      </c>
      <c r="W2" s="169">
        <v>5.0319999999999997E-2</v>
      </c>
      <c r="X2" s="21" t="s">
        <v>434</v>
      </c>
      <c r="Y2" s="21" t="s">
        <v>163</v>
      </c>
      <c r="Z2" s="154">
        <v>877000</v>
      </c>
      <c r="AA2" s="154">
        <v>3.681</v>
      </c>
      <c r="AB2" s="154">
        <v>101.288</v>
      </c>
      <c r="AC2" s="23"/>
      <c r="AD2" s="154">
        <v>3297.5929999999998</v>
      </c>
      <c r="AE2" s="23"/>
      <c r="AF2" s="30"/>
      <c r="AG2" s="21" t="s">
        <v>37</v>
      </c>
      <c r="AH2" s="165">
        <v>8.7699999999999996E-4</v>
      </c>
      <c r="AI2" s="165">
        <v>7.9648999062219596E-3</v>
      </c>
      <c r="AJ2" s="165">
        <v>1.37717728851549E-3</v>
      </c>
    </row>
    <row r="3" spans="1:36">
      <c r="A3" s="23" t="s">
        <v>26</v>
      </c>
      <c r="B3" s="23">
        <v>288</v>
      </c>
      <c r="C3" s="23" t="s">
        <v>1971</v>
      </c>
      <c r="D3" s="23" t="s">
        <v>1972</v>
      </c>
      <c r="E3" s="21" t="s">
        <v>1347</v>
      </c>
      <c r="F3" s="23" t="s">
        <v>1973</v>
      </c>
      <c r="G3" s="23" t="s">
        <v>1974</v>
      </c>
      <c r="H3" s="21" t="s">
        <v>342</v>
      </c>
      <c r="I3" s="23" t="s">
        <v>778</v>
      </c>
      <c r="J3" s="21" t="s">
        <v>31</v>
      </c>
      <c r="K3" s="21" t="s">
        <v>31</v>
      </c>
      <c r="L3" s="23" t="s">
        <v>348</v>
      </c>
      <c r="M3" s="21" t="s">
        <v>40</v>
      </c>
      <c r="N3" s="23" t="s">
        <v>486</v>
      </c>
      <c r="O3" s="23" t="s">
        <v>163</v>
      </c>
      <c r="P3" s="23" t="s">
        <v>1975</v>
      </c>
      <c r="Q3" s="23" t="s">
        <v>435</v>
      </c>
      <c r="R3" s="23" t="s">
        <v>428</v>
      </c>
      <c r="S3" s="21" t="s">
        <v>35</v>
      </c>
      <c r="T3" s="154">
        <v>1.22</v>
      </c>
      <c r="U3" s="23" t="s">
        <v>1976</v>
      </c>
      <c r="V3" s="168">
        <v>3.9E-2</v>
      </c>
      <c r="W3" s="169">
        <v>6.6720000000000002E-2</v>
      </c>
      <c r="X3" s="21" t="s">
        <v>434</v>
      </c>
      <c r="Y3" s="21" t="s">
        <v>163</v>
      </c>
      <c r="Z3" s="154">
        <v>391200</v>
      </c>
      <c r="AA3" s="154">
        <v>1</v>
      </c>
      <c r="AB3" s="154">
        <v>98.69</v>
      </c>
      <c r="AC3" s="23"/>
      <c r="AD3" s="154">
        <v>386.07499999999999</v>
      </c>
      <c r="AE3" s="23"/>
      <c r="AG3" s="21" t="s">
        <v>37</v>
      </c>
      <c r="AH3" s="165">
        <v>3.3080000000000002E-3</v>
      </c>
      <c r="AI3" s="165">
        <v>9.32513799723891E-4</v>
      </c>
      <c r="AJ3" s="165">
        <v>1.61237032646677E-4</v>
      </c>
    </row>
    <row r="4" spans="1:36">
      <c r="A4" s="23" t="s">
        <v>26</v>
      </c>
      <c r="B4" s="23">
        <v>288</v>
      </c>
      <c r="C4" s="23" t="s">
        <v>1977</v>
      </c>
      <c r="D4" s="23" t="s">
        <v>1978</v>
      </c>
      <c r="E4" s="21" t="s">
        <v>1347</v>
      </c>
      <c r="F4" s="23" t="s">
        <v>1979</v>
      </c>
      <c r="G4" s="23" t="s">
        <v>1980</v>
      </c>
      <c r="H4" s="21" t="s">
        <v>342</v>
      </c>
      <c r="I4" s="23" t="s">
        <v>777</v>
      </c>
      <c r="J4" s="21" t="s">
        <v>31</v>
      </c>
      <c r="K4" s="21" t="s">
        <v>31</v>
      </c>
      <c r="L4" s="23" t="s">
        <v>348</v>
      </c>
      <c r="M4" s="21" t="s">
        <v>40</v>
      </c>
      <c r="N4" s="23" t="s">
        <v>476</v>
      </c>
      <c r="O4" s="23" t="s">
        <v>163</v>
      </c>
      <c r="P4" s="23" t="s">
        <v>1981</v>
      </c>
      <c r="Q4" s="23" t="s">
        <v>435</v>
      </c>
      <c r="R4" s="23" t="s">
        <v>428</v>
      </c>
      <c r="S4" s="21" t="s">
        <v>35</v>
      </c>
      <c r="T4" s="154">
        <v>5.6740000000000004</v>
      </c>
      <c r="U4" s="23" t="s">
        <v>1982</v>
      </c>
      <c r="V4" s="168">
        <v>5.1499999999999997E-2</v>
      </c>
      <c r="W4" s="169">
        <v>2.9309999999999999E-2</v>
      </c>
      <c r="X4" s="21" t="s">
        <v>434</v>
      </c>
      <c r="Y4" s="21" t="s">
        <v>163</v>
      </c>
      <c r="Z4" s="154">
        <v>2665000.12</v>
      </c>
      <c r="AA4" s="154">
        <v>1</v>
      </c>
      <c r="AB4" s="154">
        <v>154.27000000000001</v>
      </c>
      <c r="AC4" s="23"/>
      <c r="AD4" s="154">
        <v>4111.2960000000003</v>
      </c>
      <c r="AE4" s="23"/>
      <c r="AG4" s="21" t="s">
        <v>37</v>
      </c>
      <c r="AH4" s="165">
        <v>8.52E-4</v>
      </c>
      <c r="AI4" s="165">
        <v>9.9302912145098204E-3</v>
      </c>
      <c r="AJ4" s="165">
        <v>1.71700481989544E-3</v>
      </c>
    </row>
    <row r="5" spans="1:36">
      <c r="A5" s="23" t="s">
        <v>26</v>
      </c>
      <c r="B5" s="23">
        <v>288</v>
      </c>
      <c r="C5" s="23" t="s">
        <v>1983</v>
      </c>
      <c r="D5" s="23" t="s">
        <v>1984</v>
      </c>
      <c r="E5" s="21" t="s">
        <v>1347</v>
      </c>
      <c r="F5" s="23" t="s">
        <v>1985</v>
      </c>
      <c r="G5" s="23" t="s">
        <v>1986</v>
      </c>
      <c r="H5" s="21" t="s">
        <v>342</v>
      </c>
      <c r="I5" s="23" t="s">
        <v>990</v>
      </c>
      <c r="J5" s="21" t="s">
        <v>31</v>
      </c>
      <c r="K5" s="21" t="s">
        <v>31</v>
      </c>
      <c r="L5" s="23" t="s">
        <v>350</v>
      </c>
      <c r="M5" s="21" t="s">
        <v>40</v>
      </c>
      <c r="N5" s="23" t="s">
        <v>485</v>
      </c>
      <c r="O5" s="23" t="s">
        <v>163</v>
      </c>
      <c r="P5" s="23" t="s">
        <v>1987</v>
      </c>
      <c r="Q5" s="23" t="s">
        <v>437</v>
      </c>
      <c r="R5" s="23" t="s">
        <v>428</v>
      </c>
      <c r="S5" s="21" t="s">
        <v>35</v>
      </c>
      <c r="T5" s="154">
        <v>1.07</v>
      </c>
      <c r="U5" s="23" t="s">
        <v>1988</v>
      </c>
      <c r="V5" s="168">
        <v>7.0000000000000007E-2</v>
      </c>
      <c r="W5" s="169">
        <v>1.256E-2</v>
      </c>
      <c r="X5" s="21" t="s">
        <v>433</v>
      </c>
      <c r="Y5" s="21" t="s">
        <v>163</v>
      </c>
      <c r="Z5" s="154">
        <v>212996.5</v>
      </c>
      <c r="AA5" s="154">
        <v>1</v>
      </c>
      <c r="AB5" s="154">
        <v>1.6</v>
      </c>
      <c r="AC5" s="23"/>
      <c r="AD5" s="154">
        <v>3.4079999999999999</v>
      </c>
      <c r="AE5" s="23"/>
      <c r="AG5" s="21" t="s">
        <v>37</v>
      </c>
      <c r="AH5" s="165">
        <v>0</v>
      </c>
      <c r="AI5" s="165">
        <v>8.2314382021201601E-6</v>
      </c>
      <c r="AJ5" s="165">
        <v>1.4232633023954501E-6</v>
      </c>
    </row>
    <row r="6" spans="1:36">
      <c r="A6" s="23" t="s">
        <v>26</v>
      </c>
      <c r="B6" s="23">
        <v>288</v>
      </c>
      <c r="C6" s="23" t="s">
        <v>1732</v>
      </c>
      <c r="D6" s="23" t="s">
        <v>1733</v>
      </c>
      <c r="E6" s="21" t="s">
        <v>1347</v>
      </c>
      <c r="F6" s="23" t="s">
        <v>1989</v>
      </c>
      <c r="G6" s="23" t="s">
        <v>1990</v>
      </c>
      <c r="H6" s="21" t="s">
        <v>342</v>
      </c>
      <c r="I6" s="23" t="s">
        <v>777</v>
      </c>
      <c r="J6" s="21" t="s">
        <v>31</v>
      </c>
      <c r="K6" s="21" t="s">
        <v>31</v>
      </c>
      <c r="L6" s="23" t="s">
        <v>348</v>
      </c>
      <c r="M6" s="21" t="s">
        <v>40</v>
      </c>
      <c r="N6" s="23" t="s">
        <v>484</v>
      </c>
      <c r="O6" s="23" t="s">
        <v>163</v>
      </c>
      <c r="P6" s="23" t="s">
        <v>1991</v>
      </c>
      <c r="Q6" s="23" t="s">
        <v>435</v>
      </c>
      <c r="R6" s="23" t="s">
        <v>428</v>
      </c>
      <c r="S6" s="21" t="s">
        <v>35</v>
      </c>
      <c r="T6" s="154">
        <v>2.698</v>
      </c>
      <c r="U6" s="23" t="s">
        <v>107</v>
      </c>
      <c r="V6" s="168">
        <v>2.3400000000000001E-2</v>
      </c>
      <c r="W6" s="169">
        <v>2.1569999999999999E-2</v>
      </c>
      <c r="X6" s="21" t="s">
        <v>434</v>
      </c>
      <c r="Y6" s="21" t="s">
        <v>163</v>
      </c>
      <c r="Z6" s="152">
        <v>3561844.04</v>
      </c>
      <c r="AA6" s="152">
        <v>1</v>
      </c>
      <c r="AB6" s="152">
        <v>111.84</v>
      </c>
      <c r="AC6" s="23"/>
      <c r="AD6" s="152">
        <v>3983.5659999999998</v>
      </c>
      <c r="AG6" s="2" t="s">
        <v>37</v>
      </c>
      <c r="AH6" s="165">
        <v>1.3760000000000001E-3</v>
      </c>
      <c r="AI6" s="165">
        <v>9.6217779501044202E-3</v>
      </c>
      <c r="AJ6" s="165">
        <v>1.66366109104167E-3</v>
      </c>
    </row>
    <row r="7" spans="1:36">
      <c r="A7" s="23" t="s">
        <v>26</v>
      </c>
      <c r="B7" s="23">
        <v>288</v>
      </c>
      <c r="C7" s="23" t="s">
        <v>1732</v>
      </c>
      <c r="D7" s="23" t="s">
        <v>1733</v>
      </c>
      <c r="E7" s="21" t="s">
        <v>1347</v>
      </c>
      <c r="F7" s="23" t="s">
        <v>1992</v>
      </c>
      <c r="G7" s="23" t="s">
        <v>1993</v>
      </c>
      <c r="H7" s="21" t="s">
        <v>342</v>
      </c>
      <c r="I7" s="23" t="s">
        <v>990</v>
      </c>
      <c r="J7" s="21" t="s">
        <v>31</v>
      </c>
      <c r="K7" s="21" t="s">
        <v>31</v>
      </c>
      <c r="L7" s="23" t="s">
        <v>348</v>
      </c>
      <c r="M7" s="21" t="s">
        <v>40</v>
      </c>
      <c r="N7" s="23" t="s">
        <v>484</v>
      </c>
      <c r="O7" s="23" t="s">
        <v>163</v>
      </c>
      <c r="P7" s="23" t="s">
        <v>1991</v>
      </c>
      <c r="Q7" s="23" t="s">
        <v>435</v>
      </c>
      <c r="R7" s="23" t="s">
        <v>430</v>
      </c>
      <c r="S7" s="21" t="s">
        <v>35</v>
      </c>
      <c r="T7" s="154">
        <v>3.1190000000000002</v>
      </c>
      <c r="U7" s="23" t="s">
        <v>1994</v>
      </c>
      <c r="V7" s="168">
        <v>0.05</v>
      </c>
      <c r="W7" s="169">
        <v>4.8930000000000001E-2</v>
      </c>
      <c r="X7" s="21" t="s">
        <v>434</v>
      </c>
      <c r="Y7" s="21" t="s">
        <v>163</v>
      </c>
      <c r="Z7" s="152">
        <v>3000000</v>
      </c>
      <c r="AA7" s="152">
        <v>1</v>
      </c>
      <c r="AB7" s="152">
        <v>102.62</v>
      </c>
      <c r="AC7" s="23"/>
      <c r="AD7" s="152">
        <v>3078.6</v>
      </c>
      <c r="AG7" s="2" t="s">
        <v>37</v>
      </c>
      <c r="AH7" s="165">
        <v>0</v>
      </c>
      <c r="AI7" s="165">
        <v>7.43595130936633E-3</v>
      </c>
      <c r="AJ7" s="165">
        <v>1.2857190149704999E-3</v>
      </c>
    </row>
    <row r="8" spans="1:36">
      <c r="A8" s="23" t="s">
        <v>26</v>
      </c>
      <c r="B8" s="23">
        <v>288</v>
      </c>
      <c r="C8" s="23" t="s">
        <v>1995</v>
      </c>
      <c r="D8" s="23" t="s">
        <v>1996</v>
      </c>
      <c r="E8" s="21" t="s">
        <v>1347</v>
      </c>
      <c r="F8" s="23" t="s">
        <v>1997</v>
      </c>
      <c r="G8" s="23" t="s">
        <v>1998</v>
      </c>
      <c r="H8" s="21" t="s">
        <v>342</v>
      </c>
      <c r="I8" s="23" t="s">
        <v>777</v>
      </c>
      <c r="J8" s="21" t="s">
        <v>31</v>
      </c>
      <c r="K8" s="21" t="s">
        <v>31</v>
      </c>
      <c r="L8" s="23" t="s">
        <v>348</v>
      </c>
      <c r="M8" s="21" t="s">
        <v>40</v>
      </c>
      <c r="N8" s="23" t="s">
        <v>498</v>
      </c>
      <c r="O8" s="23" t="s">
        <v>163</v>
      </c>
      <c r="P8" s="23" t="s">
        <v>1975</v>
      </c>
      <c r="Q8" s="23" t="s">
        <v>435</v>
      </c>
      <c r="R8" s="23" t="s">
        <v>428</v>
      </c>
      <c r="S8" s="21" t="s">
        <v>35</v>
      </c>
      <c r="T8" s="154">
        <v>0.219</v>
      </c>
      <c r="U8" s="23" t="s">
        <v>1999</v>
      </c>
      <c r="V8" s="168">
        <v>2.2499999999999999E-2</v>
      </c>
      <c r="W8" s="169">
        <v>7.7200000000000003E-3</v>
      </c>
      <c r="X8" s="21" t="s">
        <v>434</v>
      </c>
      <c r="Y8" s="21" t="s">
        <v>163</v>
      </c>
      <c r="Z8" s="154">
        <v>79800.05</v>
      </c>
      <c r="AA8" s="154">
        <v>1</v>
      </c>
      <c r="AB8" s="154">
        <v>113.52</v>
      </c>
      <c r="AC8" s="23"/>
      <c r="AD8" s="154">
        <v>90.588999999999999</v>
      </c>
      <c r="AE8" s="23"/>
      <c r="AG8" s="21" t="s">
        <v>37</v>
      </c>
      <c r="AH8" s="165">
        <v>3.4600000000000001E-4</v>
      </c>
      <c r="AI8" s="165">
        <v>2.1880579412418999E-4</v>
      </c>
      <c r="AJ8" s="165">
        <v>3.7832788084133501E-5</v>
      </c>
    </row>
    <row r="9" spans="1:36">
      <c r="A9" s="23" t="s">
        <v>26</v>
      </c>
      <c r="B9" s="23">
        <v>288</v>
      </c>
      <c r="C9" s="23" t="s">
        <v>2000</v>
      </c>
      <c r="D9" s="23" t="s">
        <v>2001</v>
      </c>
      <c r="E9" s="21" t="s">
        <v>1347</v>
      </c>
      <c r="F9" s="23" t="s">
        <v>2002</v>
      </c>
      <c r="G9" s="23" t="s">
        <v>2003</v>
      </c>
      <c r="H9" s="21" t="s">
        <v>342</v>
      </c>
      <c r="I9" s="23" t="s">
        <v>777</v>
      </c>
      <c r="J9" s="21" t="s">
        <v>31</v>
      </c>
      <c r="K9" s="21" t="s">
        <v>31</v>
      </c>
      <c r="L9" s="23" t="s">
        <v>348</v>
      </c>
      <c r="M9" s="21" t="s">
        <v>40</v>
      </c>
      <c r="N9" s="23" t="s">
        <v>498</v>
      </c>
      <c r="O9" s="23" t="s">
        <v>163</v>
      </c>
      <c r="P9" s="23" t="s">
        <v>1975</v>
      </c>
      <c r="Q9" s="23" t="s">
        <v>435</v>
      </c>
      <c r="R9" s="23" t="s">
        <v>428</v>
      </c>
      <c r="S9" s="21" t="s">
        <v>35</v>
      </c>
      <c r="T9" s="154">
        <v>2.9870000000000001</v>
      </c>
      <c r="U9" s="23" t="s">
        <v>2004</v>
      </c>
      <c r="V9" s="168">
        <v>3.2300000000000002E-2</v>
      </c>
      <c r="W9" s="169">
        <v>2.8750000000000001E-2</v>
      </c>
      <c r="X9" s="21" t="s">
        <v>434</v>
      </c>
      <c r="Y9" s="21" t="s">
        <v>163</v>
      </c>
      <c r="Z9" s="154">
        <v>681600</v>
      </c>
      <c r="AA9" s="154">
        <v>1</v>
      </c>
      <c r="AB9" s="154">
        <v>104.51</v>
      </c>
      <c r="AC9" s="23"/>
      <c r="AD9" s="154">
        <v>712.34</v>
      </c>
      <c r="AE9" s="23"/>
      <c r="AG9" s="21" t="s">
        <v>37</v>
      </c>
      <c r="AH9" s="165">
        <v>1.4499999999999999E-3</v>
      </c>
      <c r="AI9" s="165">
        <v>1.7205634851770999E-3</v>
      </c>
      <c r="AJ9" s="165">
        <v>2.9749538388849803E-4</v>
      </c>
    </row>
    <row r="10" spans="1:36">
      <c r="A10" s="23" t="s">
        <v>26</v>
      </c>
      <c r="B10" s="23">
        <v>288</v>
      </c>
      <c r="C10" s="23" t="s">
        <v>1616</v>
      </c>
      <c r="D10" s="23" t="s">
        <v>1617</v>
      </c>
      <c r="E10" s="21" t="s">
        <v>1347</v>
      </c>
      <c r="F10" s="23" t="s">
        <v>2005</v>
      </c>
      <c r="G10" s="23" t="s">
        <v>2006</v>
      </c>
      <c r="H10" s="21" t="s">
        <v>342</v>
      </c>
      <c r="I10" s="23" t="s">
        <v>990</v>
      </c>
      <c r="J10" s="21" t="s">
        <v>31</v>
      </c>
      <c r="K10" s="21" t="s">
        <v>31</v>
      </c>
      <c r="L10" s="23" t="s">
        <v>348</v>
      </c>
      <c r="M10" s="21" t="s">
        <v>40</v>
      </c>
      <c r="N10" s="23" t="s">
        <v>484</v>
      </c>
      <c r="O10" s="23" t="s">
        <v>163</v>
      </c>
      <c r="P10" s="23" t="s">
        <v>1981</v>
      </c>
      <c r="Q10" s="23" t="s">
        <v>435</v>
      </c>
      <c r="R10" s="23" t="s">
        <v>428</v>
      </c>
      <c r="S10" s="21" t="s">
        <v>35</v>
      </c>
      <c r="T10" s="154">
        <v>1.8580000000000001</v>
      </c>
      <c r="U10" s="23" t="s">
        <v>2007</v>
      </c>
      <c r="V10" s="168">
        <v>3.85E-2</v>
      </c>
      <c r="W10" s="169">
        <v>4.768E-2</v>
      </c>
      <c r="X10" s="21" t="s">
        <v>434</v>
      </c>
      <c r="Y10" s="21" t="s">
        <v>163</v>
      </c>
      <c r="Z10" s="154">
        <v>2527500</v>
      </c>
      <c r="AA10" s="154">
        <v>1</v>
      </c>
      <c r="AB10" s="154">
        <v>98.71</v>
      </c>
      <c r="AC10" s="23"/>
      <c r="AD10" s="154">
        <v>2494.895</v>
      </c>
      <c r="AE10" s="23"/>
      <c r="AG10" s="21" t="s">
        <v>37</v>
      </c>
      <c r="AH10" s="165">
        <v>2.637E-3</v>
      </c>
      <c r="AI10" s="165">
        <v>6.0260896514549899E-3</v>
      </c>
      <c r="AJ10" s="165">
        <v>1.04194577512005E-3</v>
      </c>
    </row>
    <row r="11" spans="1:36">
      <c r="A11" s="23" t="s">
        <v>26</v>
      </c>
      <c r="B11" s="23">
        <v>288</v>
      </c>
      <c r="C11" s="23" t="s">
        <v>1616</v>
      </c>
      <c r="D11" s="23" t="s">
        <v>1617</v>
      </c>
      <c r="E11" s="21" t="s">
        <v>1347</v>
      </c>
      <c r="F11" s="23" t="s">
        <v>2008</v>
      </c>
      <c r="G11" s="23" t="s">
        <v>2009</v>
      </c>
      <c r="H11" s="21" t="s">
        <v>342</v>
      </c>
      <c r="I11" s="23" t="s">
        <v>777</v>
      </c>
      <c r="J11" s="21" t="s">
        <v>31</v>
      </c>
      <c r="K11" s="21" t="s">
        <v>31</v>
      </c>
      <c r="L11" s="23" t="s">
        <v>348</v>
      </c>
      <c r="M11" s="21" t="s">
        <v>40</v>
      </c>
      <c r="N11" s="23" t="s">
        <v>484</v>
      </c>
      <c r="O11" s="23" t="s">
        <v>163</v>
      </c>
      <c r="P11" s="23" t="s">
        <v>2010</v>
      </c>
      <c r="Q11" s="23" t="s">
        <v>437</v>
      </c>
      <c r="R11" s="23" t="s">
        <v>428</v>
      </c>
      <c r="S11" s="21" t="s">
        <v>35</v>
      </c>
      <c r="T11" s="154">
        <v>7.4429999999999996</v>
      </c>
      <c r="U11" s="23" t="s">
        <v>2011</v>
      </c>
      <c r="V11" s="168">
        <v>2.5600000000000001E-2</v>
      </c>
      <c r="W11" s="169">
        <v>3.9620000000000002E-2</v>
      </c>
      <c r="X11" s="21" t="s">
        <v>434</v>
      </c>
      <c r="Y11" s="21" t="s">
        <v>163</v>
      </c>
      <c r="Z11" s="154">
        <v>1620000</v>
      </c>
      <c r="AA11" s="154">
        <v>1</v>
      </c>
      <c r="AB11" s="154">
        <v>94.33</v>
      </c>
      <c r="AC11" s="23"/>
      <c r="AD11" s="154">
        <v>1528.146</v>
      </c>
      <c r="AE11" s="23"/>
      <c r="AG11" s="21" t="s">
        <v>37</v>
      </c>
      <c r="AH11" s="165">
        <v>2.4239999999999999E-3</v>
      </c>
      <c r="AI11" s="165">
        <v>3.6910346422409299E-3</v>
      </c>
      <c r="AJ11" s="165">
        <v>6.3820125052007801E-4</v>
      </c>
    </row>
    <row r="12" spans="1:36">
      <c r="A12" s="23" t="s">
        <v>26</v>
      </c>
      <c r="B12" s="23">
        <v>288</v>
      </c>
      <c r="C12" s="23" t="s">
        <v>1616</v>
      </c>
      <c r="D12" s="23" t="s">
        <v>1617</v>
      </c>
      <c r="E12" s="21" t="s">
        <v>1347</v>
      </c>
      <c r="F12" s="23" t="s">
        <v>2012</v>
      </c>
      <c r="G12" s="23" t="s">
        <v>2013</v>
      </c>
      <c r="H12" s="21" t="s">
        <v>342</v>
      </c>
      <c r="I12" s="23" t="s">
        <v>990</v>
      </c>
      <c r="J12" s="21" t="s">
        <v>31</v>
      </c>
      <c r="K12" s="21" t="s">
        <v>31</v>
      </c>
      <c r="L12" s="23" t="s">
        <v>348</v>
      </c>
      <c r="M12" s="21" t="s">
        <v>40</v>
      </c>
      <c r="N12" s="23" t="s">
        <v>484</v>
      </c>
      <c r="O12" s="23" t="s">
        <v>163</v>
      </c>
      <c r="P12" s="23" t="s">
        <v>1981</v>
      </c>
      <c r="Q12" s="23" t="s">
        <v>435</v>
      </c>
      <c r="R12" s="23" t="s">
        <v>428</v>
      </c>
      <c r="S12" s="21" t="s">
        <v>35</v>
      </c>
      <c r="T12" s="154">
        <v>4.8369999999999997</v>
      </c>
      <c r="U12" s="23" t="s">
        <v>2014</v>
      </c>
      <c r="V12" s="168">
        <v>2.41E-2</v>
      </c>
      <c r="W12" s="169">
        <v>5.7450000000000001E-2</v>
      </c>
      <c r="X12" s="21" t="s">
        <v>434</v>
      </c>
      <c r="Y12" s="21" t="s">
        <v>163</v>
      </c>
      <c r="Z12" s="154">
        <v>1600000</v>
      </c>
      <c r="AA12" s="154">
        <v>1</v>
      </c>
      <c r="AB12" s="154">
        <v>85.75</v>
      </c>
      <c r="AC12" s="23"/>
      <c r="AD12" s="154">
        <v>1372</v>
      </c>
      <c r="AE12" s="23"/>
      <c r="AG12" s="21" t="s">
        <v>37</v>
      </c>
      <c r="AH12" s="165">
        <v>1.0319999999999999E-3</v>
      </c>
      <c r="AI12" s="165">
        <v>3.3138846217276E-3</v>
      </c>
      <c r="AJ12" s="165">
        <v>5.7298982931836798E-4</v>
      </c>
    </row>
    <row r="13" spans="1:36">
      <c r="A13" s="23" t="s">
        <v>26</v>
      </c>
      <c r="B13" s="23">
        <v>288</v>
      </c>
      <c r="C13" s="23" t="s">
        <v>2015</v>
      </c>
      <c r="D13" s="23" t="s">
        <v>2016</v>
      </c>
      <c r="E13" s="21" t="s">
        <v>1347</v>
      </c>
      <c r="F13" s="23" t="s">
        <v>2017</v>
      </c>
      <c r="G13" s="23" t="s">
        <v>2018</v>
      </c>
      <c r="H13" s="21" t="s">
        <v>342</v>
      </c>
      <c r="I13" s="23" t="s">
        <v>990</v>
      </c>
      <c r="J13" s="21" t="s">
        <v>31</v>
      </c>
      <c r="K13" s="21" t="s">
        <v>31</v>
      </c>
      <c r="L13" s="23" t="s">
        <v>348</v>
      </c>
      <c r="M13" s="21" t="s">
        <v>40</v>
      </c>
      <c r="N13" s="23" t="s">
        <v>471</v>
      </c>
      <c r="O13" s="23" t="s">
        <v>163</v>
      </c>
      <c r="P13" s="23" t="s">
        <v>1975</v>
      </c>
      <c r="Q13" s="23" t="s">
        <v>435</v>
      </c>
      <c r="R13" s="23" t="s">
        <v>428</v>
      </c>
      <c r="S13" s="21" t="s">
        <v>35</v>
      </c>
      <c r="T13" s="154">
        <v>3.41</v>
      </c>
      <c r="U13" s="23" t="s">
        <v>2019</v>
      </c>
      <c r="V13" s="168">
        <v>0.04</v>
      </c>
      <c r="W13" s="169">
        <v>5.0200000000000002E-2</v>
      </c>
      <c r="X13" s="21" t="s">
        <v>434</v>
      </c>
      <c r="Y13" s="21" t="s">
        <v>163</v>
      </c>
      <c r="Z13" s="154">
        <v>4057375.65</v>
      </c>
      <c r="AA13" s="154">
        <v>1</v>
      </c>
      <c r="AB13" s="154">
        <v>97.7</v>
      </c>
      <c r="AC13" s="23"/>
      <c r="AD13" s="154">
        <v>3964.056</v>
      </c>
      <c r="AE13" s="23"/>
      <c r="AG13" s="21" t="s">
        <v>37</v>
      </c>
      <c r="AH13" s="165">
        <v>5.2399999999999999E-3</v>
      </c>
      <c r="AI13" s="165">
        <v>9.5746532444399204E-3</v>
      </c>
      <c r="AJ13" s="165">
        <v>1.65551295671064E-3</v>
      </c>
    </row>
    <row r="14" spans="1:36">
      <c r="A14" s="23" t="s">
        <v>26</v>
      </c>
      <c r="B14" s="23">
        <v>288</v>
      </c>
      <c r="C14" s="23" t="s">
        <v>1620</v>
      </c>
      <c r="D14" s="23" t="s">
        <v>1621</v>
      </c>
      <c r="E14" s="21" t="s">
        <v>1347</v>
      </c>
      <c r="F14" s="23" t="s">
        <v>2020</v>
      </c>
      <c r="G14" s="23" t="s">
        <v>2021</v>
      </c>
      <c r="H14" s="21" t="s">
        <v>342</v>
      </c>
      <c r="I14" s="23" t="s">
        <v>777</v>
      </c>
      <c r="J14" s="21" t="s">
        <v>31</v>
      </c>
      <c r="K14" s="21" t="s">
        <v>31</v>
      </c>
      <c r="L14" s="23" t="s">
        <v>348</v>
      </c>
      <c r="M14" s="21" t="s">
        <v>40</v>
      </c>
      <c r="N14" s="23" t="s">
        <v>484</v>
      </c>
      <c r="O14" s="23" t="s">
        <v>163</v>
      </c>
      <c r="P14" s="23" t="s">
        <v>2022</v>
      </c>
      <c r="Q14" s="23" t="s">
        <v>437</v>
      </c>
      <c r="R14" s="23" t="s">
        <v>428</v>
      </c>
      <c r="S14" s="21" t="s">
        <v>35</v>
      </c>
      <c r="T14" s="154">
        <v>2.036</v>
      </c>
      <c r="U14" s="23" t="s">
        <v>2023</v>
      </c>
      <c r="V14" s="168">
        <v>3.2000000000000001E-2</v>
      </c>
      <c r="W14" s="169">
        <v>2.1000000000000001E-2</v>
      </c>
      <c r="X14" s="21" t="s">
        <v>434</v>
      </c>
      <c r="Y14" s="21" t="s">
        <v>163</v>
      </c>
      <c r="Z14" s="154">
        <v>3582400</v>
      </c>
      <c r="AA14" s="154">
        <v>1</v>
      </c>
      <c r="AB14" s="154">
        <v>116.39</v>
      </c>
      <c r="AC14" s="23"/>
      <c r="AD14" s="154">
        <v>4169.5550000000003</v>
      </c>
      <c r="AE14" s="23"/>
      <c r="AG14" s="21" t="s">
        <v>37</v>
      </c>
      <c r="AH14" s="165">
        <v>2.5539999999999998E-3</v>
      </c>
      <c r="AI14" s="165">
        <v>1.00710097572492E-2</v>
      </c>
      <c r="AJ14" s="165">
        <v>1.74133587030604E-3</v>
      </c>
    </row>
    <row r="15" spans="1:36">
      <c r="A15" s="23" t="s">
        <v>26</v>
      </c>
      <c r="B15" s="23">
        <v>288</v>
      </c>
      <c r="C15" s="23" t="s">
        <v>1620</v>
      </c>
      <c r="D15" s="23" t="s">
        <v>1621</v>
      </c>
      <c r="E15" s="21" t="s">
        <v>1347</v>
      </c>
      <c r="F15" s="23" t="s">
        <v>2024</v>
      </c>
      <c r="G15" s="23" t="s">
        <v>2025</v>
      </c>
      <c r="H15" s="21" t="s">
        <v>342</v>
      </c>
      <c r="I15" s="23" t="s">
        <v>777</v>
      </c>
      <c r="J15" s="21" t="s">
        <v>31</v>
      </c>
      <c r="K15" s="21" t="s">
        <v>31</v>
      </c>
      <c r="L15" s="23" t="s">
        <v>348</v>
      </c>
      <c r="M15" s="21" t="s">
        <v>40</v>
      </c>
      <c r="N15" s="23" t="s">
        <v>484</v>
      </c>
      <c r="O15" s="23" t="s">
        <v>163</v>
      </c>
      <c r="P15" s="23" t="s">
        <v>2022</v>
      </c>
      <c r="Q15" s="23" t="s">
        <v>437</v>
      </c>
      <c r="R15" s="23" t="s">
        <v>428</v>
      </c>
      <c r="S15" s="21" t="s">
        <v>35</v>
      </c>
      <c r="T15" s="154">
        <v>6.0659999999999998</v>
      </c>
      <c r="U15" s="23" t="s">
        <v>2026</v>
      </c>
      <c r="V15" s="168">
        <v>9.1999999999999998E-3</v>
      </c>
      <c r="W15" s="169">
        <v>2.9329999999999998E-2</v>
      </c>
      <c r="X15" s="21" t="s">
        <v>434</v>
      </c>
      <c r="Y15" s="21" t="s">
        <v>163</v>
      </c>
      <c r="Z15" s="154">
        <v>587250</v>
      </c>
      <c r="AA15" s="154">
        <v>1</v>
      </c>
      <c r="AB15" s="154">
        <v>99.5</v>
      </c>
      <c r="AC15" s="23"/>
      <c r="AD15" s="154">
        <v>584.31399999999996</v>
      </c>
      <c r="AE15" s="23"/>
      <c r="AG15" s="21" t="s">
        <v>37</v>
      </c>
      <c r="AH15" s="165">
        <v>2.9300000000000002E-4</v>
      </c>
      <c r="AI15" s="165">
        <v>1.4113326169015901E-3</v>
      </c>
      <c r="AJ15" s="165">
        <v>2.4402757717264999E-4</v>
      </c>
    </row>
    <row r="16" spans="1:36">
      <c r="A16" s="23" t="s">
        <v>26</v>
      </c>
      <c r="B16" s="23">
        <v>288</v>
      </c>
      <c r="C16" s="23" t="s">
        <v>1624</v>
      </c>
      <c r="D16" s="23" t="s">
        <v>1625</v>
      </c>
      <c r="E16" s="21" t="s">
        <v>1347</v>
      </c>
      <c r="F16" s="23" t="s">
        <v>2027</v>
      </c>
      <c r="G16" s="23" t="s">
        <v>2028</v>
      </c>
      <c r="H16" s="21" t="s">
        <v>342</v>
      </c>
      <c r="I16" s="23" t="s">
        <v>990</v>
      </c>
      <c r="J16" s="21" t="s">
        <v>31</v>
      </c>
      <c r="K16" s="21" t="s">
        <v>127</v>
      </c>
      <c r="L16" s="23" t="s">
        <v>348</v>
      </c>
      <c r="M16" s="21" t="s">
        <v>40</v>
      </c>
      <c r="N16" s="23" t="s">
        <v>461</v>
      </c>
      <c r="O16" s="23" t="s">
        <v>163</v>
      </c>
      <c r="P16" s="23" t="s">
        <v>98</v>
      </c>
      <c r="Q16" s="23" t="s">
        <v>437</v>
      </c>
      <c r="R16" s="23" t="s">
        <v>428</v>
      </c>
      <c r="S16" s="21" t="s">
        <v>35</v>
      </c>
      <c r="T16" s="154">
        <v>1.9910000000000001</v>
      </c>
      <c r="U16" s="23" t="s">
        <v>2029</v>
      </c>
      <c r="V16" s="168">
        <v>3.4500000000000003E-2</v>
      </c>
      <c r="W16" s="169">
        <v>5.0560000000000001E-2</v>
      </c>
      <c r="X16" s="21" t="s">
        <v>434</v>
      </c>
      <c r="Y16" s="21" t="s">
        <v>163</v>
      </c>
      <c r="Z16" s="154">
        <v>1847826.1</v>
      </c>
      <c r="AA16" s="154">
        <v>1</v>
      </c>
      <c r="AB16" s="154">
        <v>97.31</v>
      </c>
      <c r="AC16" s="23"/>
      <c r="AD16" s="154">
        <v>1798.12</v>
      </c>
      <c r="AE16" s="23"/>
      <c r="AG16" s="21" t="s">
        <v>37</v>
      </c>
      <c r="AH16" s="165">
        <v>4.2040000000000003E-3</v>
      </c>
      <c r="AI16" s="165">
        <v>4.3431201292006404E-3</v>
      </c>
      <c r="AJ16" s="165">
        <v>7.5095060498590904E-4</v>
      </c>
    </row>
    <row r="17" spans="1:36">
      <c r="A17" s="23" t="s">
        <v>26</v>
      </c>
      <c r="B17" s="23">
        <v>288</v>
      </c>
      <c r="C17" s="23" t="s">
        <v>1628</v>
      </c>
      <c r="D17" s="23" t="s">
        <v>1629</v>
      </c>
      <c r="E17" s="21" t="s">
        <v>1347</v>
      </c>
      <c r="F17" s="23" t="s">
        <v>2030</v>
      </c>
      <c r="G17" s="23" t="s">
        <v>2031</v>
      </c>
      <c r="H17" s="21" t="s">
        <v>342</v>
      </c>
      <c r="I17" s="23" t="s">
        <v>990</v>
      </c>
      <c r="J17" s="21" t="s">
        <v>31</v>
      </c>
      <c r="K17" s="21" t="s">
        <v>31</v>
      </c>
      <c r="L17" s="23" t="s">
        <v>348</v>
      </c>
      <c r="M17" s="21" t="s">
        <v>40</v>
      </c>
      <c r="N17" s="23" t="s">
        <v>461</v>
      </c>
      <c r="O17" s="23" t="s">
        <v>163</v>
      </c>
      <c r="P17" s="23" t="s">
        <v>98</v>
      </c>
      <c r="Q17" s="23" t="s">
        <v>437</v>
      </c>
      <c r="R17" s="23" t="s">
        <v>428</v>
      </c>
      <c r="S17" s="21" t="s">
        <v>35</v>
      </c>
      <c r="T17" s="154">
        <v>3.1</v>
      </c>
      <c r="U17" s="23" t="s">
        <v>2032</v>
      </c>
      <c r="V17" s="168">
        <v>2.0500000000000001E-2</v>
      </c>
      <c r="W17" s="169">
        <v>5.0770000000000003E-2</v>
      </c>
      <c r="X17" s="21" t="s">
        <v>434</v>
      </c>
      <c r="Y17" s="21" t="s">
        <v>163</v>
      </c>
      <c r="Z17" s="154">
        <v>1462500.39</v>
      </c>
      <c r="AA17" s="154">
        <v>1</v>
      </c>
      <c r="AB17" s="154">
        <v>91.55</v>
      </c>
      <c r="AC17" s="23"/>
      <c r="AD17" s="154">
        <v>1338.9190000000001</v>
      </c>
      <c r="AE17" s="23"/>
      <c r="AG17" s="21" t="s">
        <v>37</v>
      </c>
      <c r="AH17" s="165">
        <v>2.6180000000000001E-3</v>
      </c>
      <c r="AI17" s="165">
        <v>3.2339820980857698E-3</v>
      </c>
      <c r="AJ17" s="165">
        <v>5.59174220566192E-4</v>
      </c>
    </row>
    <row r="18" spans="1:36">
      <c r="A18" s="23" t="s">
        <v>26</v>
      </c>
      <c r="B18" s="23">
        <v>288</v>
      </c>
      <c r="C18" s="23" t="s">
        <v>1744</v>
      </c>
      <c r="D18" s="23" t="s">
        <v>1745</v>
      </c>
      <c r="E18" s="21" t="s">
        <v>1347</v>
      </c>
      <c r="F18" s="23" t="s">
        <v>2033</v>
      </c>
      <c r="G18" s="23" t="s">
        <v>2034</v>
      </c>
      <c r="H18" s="21" t="s">
        <v>342</v>
      </c>
      <c r="I18" s="23" t="s">
        <v>778</v>
      </c>
      <c r="J18" s="21" t="s">
        <v>31</v>
      </c>
      <c r="K18" s="21" t="s">
        <v>31</v>
      </c>
      <c r="L18" s="23" t="s">
        <v>348</v>
      </c>
      <c r="M18" s="21" t="s">
        <v>40</v>
      </c>
      <c r="N18" s="23" t="s">
        <v>460</v>
      </c>
      <c r="O18" s="23" t="s">
        <v>163</v>
      </c>
      <c r="P18" s="23" t="s">
        <v>1975</v>
      </c>
      <c r="Q18" s="23" t="s">
        <v>435</v>
      </c>
      <c r="R18" s="23" t="s">
        <v>428</v>
      </c>
      <c r="S18" s="21" t="s">
        <v>35</v>
      </c>
      <c r="T18" s="154">
        <v>0.99</v>
      </c>
      <c r="U18" s="23" t="s">
        <v>2035</v>
      </c>
      <c r="V18" s="168">
        <v>4.7E-2</v>
      </c>
      <c r="W18" s="169">
        <v>6.7970000000000003E-2</v>
      </c>
      <c r="X18" s="21" t="s">
        <v>434</v>
      </c>
      <c r="Y18" s="21" t="s">
        <v>163</v>
      </c>
      <c r="Z18" s="154">
        <v>1852941.17</v>
      </c>
      <c r="AA18" s="154">
        <v>1</v>
      </c>
      <c r="AB18" s="154">
        <v>99.18</v>
      </c>
      <c r="AC18" s="23"/>
      <c r="AD18" s="154">
        <v>1837.7470000000001</v>
      </c>
      <c r="AE18" s="23"/>
      <c r="AG18" s="21" t="s">
        <v>37</v>
      </c>
      <c r="AH18" s="165">
        <v>3.6259999999999999E-3</v>
      </c>
      <c r="AI18" s="165">
        <v>4.4388350550972899E-3</v>
      </c>
      <c r="AJ18" s="165">
        <v>7.6750026959799395E-4</v>
      </c>
    </row>
    <row r="19" spans="1:36">
      <c r="A19" s="23" t="s">
        <v>26</v>
      </c>
      <c r="B19" s="23">
        <v>288</v>
      </c>
      <c r="C19" s="23" t="s">
        <v>1744</v>
      </c>
      <c r="D19" s="23" t="s">
        <v>1745</v>
      </c>
      <c r="E19" s="21" t="s">
        <v>1347</v>
      </c>
      <c r="F19" s="23" t="s">
        <v>2036</v>
      </c>
      <c r="G19" s="23" t="s">
        <v>2037</v>
      </c>
      <c r="H19" s="21" t="s">
        <v>342</v>
      </c>
      <c r="I19" s="23" t="s">
        <v>990</v>
      </c>
      <c r="J19" s="21" t="s">
        <v>31</v>
      </c>
      <c r="K19" s="21" t="s">
        <v>31</v>
      </c>
      <c r="L19" s="23" t="s">
        <v>348</v>
      </c>
      <c r="M19" s="21" t="s">
        <v>40</v>
      </c>
      <c r="N19" s="23" t="s">
        <v>460</v>
      </c>
      <c r="O19" s="23" t="s">
        <v>163</v>
      </c>
      <c r="P19" s="23" t="s">
        <v>1975</v>
      </c>
      <c r="Q19" s="23" t="s">
        <v>435</v>
      </c>
      <c r="R19" s="23" t="s">
        <v>428</v>
      </c>
      <c r="S19" s="21" t="s">
        <v>35</v>
      </c>
      <c r="T19" s="154">
        <v>3.6160000000000001</v>
      </c>
      <c r="U19" s="23" t="s">
        <v>2038</v>
      </c>
      <c r="V19" s="168">
        <v>0.05</v>
      </c>
      <c r="W19" s="169">
        <v>5.287E-2</v>
      </c>
      <c r="X19" s="21" t="s">
        <v>434</v>
      </c>
      <c r="Y19" s="21" t="s">
        <v>163</v>
      </c>
      <c r="Z19" s="154">
        <v>1410000</v>
      </c>
      <c r="AA19" s="154">
        <v>1</v>
      </c>
      <c r="AB19" s="154">
        <v>99.32</v>
      </c>
      <c r="AC19" s="23"/>
      <c r="AD19" s="154">
        <v>1400.412</v>
      </c>
      <c r="AE19" s="23"/>
      <c r="AG19" s="21" t="s">
        <v>37</v>
      </c>
      <c r="AH19" s="165">
        <v>1.3619999999999999E-3</v>
      </c>
      <c r="AI19" s="165">
        <v>3.3825100516638499E-3</v>
      </c>
      <c r="AJ19" s="165">
        <v>5.8485556330568097E-4</v>
      </c>
    </row>
    <row r="20" spans="1:36">
      <c r="A20" s="2" t="s">
        <v>26</v>
      </c>
      <c r="B20" s="2">
        <v>288</v>
      </c>
      <c r="C20" s="2" t="s">
        <v>1632</v>
      </c>
      <c r="D20" s="2" t="s">
        <v>1633</v>
      </c>
      <c r="E20" s="21" t="s">
        <v>1347</v>
      </c>
      <c r="F20" s="2" t="s">
        <v>2039</v>
      </c>
      <c r="G20" s="2" t="s">
        <v>2040</v>
      </c>
      <c r="H20" s="21" t="s">
        <v>342</v>
      </c>
      <c r="I20" s="23" t="s">
        <v>990</v>
      </c>
      <c r="J20" s="21" t="s">
        <v>31</v>
      </c>
      <c r="K20" s="21" t="s">
        <v>31</v>
      </c>
      <c r="L20" s="23" t="s">
        <v>348</v>
      </c>
      <c r="M20" s="21" t="s">
        <v>40</v>
      </c>
      <c r="N20" s="23" t="s">
        <v>505</v>
      </c>
      <c r="O20" s="23" t="s">
        <v>163</v>
      </c>
      <c r="P20" s="2" t="s">
        <v>2010</v>
      </c>
      <c r="Q20" s="23" t="s">
        <v>437</v>
      </c>
      <c r="R20" s="23" t="s">
        <v>428</v>
      </c>
      <c r="S20" s="2" t="s">
        <v>35</v>
      </c>
      <c r="T20" s="152">
        <v>1.135</v>
      </c>
      <c r="U20" s="2" t="s">
        <v>2041</v>
      </c>
      <c r="V20" s="163">
        <v>3.6499999999999998E-2</v>
      </c>
      <c r="W20" s="165">
        <v>4.6940000000000003E-2</v>
      </c>
      <c r="X20" s="21" t="s">
        <v>434</v>
      </c>
      <c r="Y20" s="21" t="s">
        <v>163</v>
      </c>
      <c r="Z20" s="152">
        <v>166666.67000000001</v>
      </c>
      <c r="AA20" s="152">
        <v>1</v>
      </c>
      <c r="AB20" s="152">
        <v>100.11</v>
      </c>
      <c r="AD20" s="152">
        <v>166.85</v>
      </c>
      <c r="AG20" s="2" t="s">
        <v>37</v>
      </c>
      <c r="AH20" s="165">
        <v>1.0399999999999999E-4</v>
      </c>
      <c r="AI20" s="165">
        <v>4.0300412550559999E-4</v>
      </c>
      <c r="AJ20" s="165">
        <v>6.9681745578598195E-5</v>
      </c>
    </row>
    <row r="21" spans="1:36">
      <c r="A21" s="2" t="s">
        <v>26</v>
      </c>
      <c r="B21" s="2">
        <v>288</v>
      </c>
      <c r="C21" s="2" t="s">
        <v>1748</v>
      </c>
      <c r="D21" s="2" t="s">
        <v>1749</v>
      </c>
      <c r="E21" s="4" t="s">
        <v>1347</v>
      </c>
      <c r="F21" s="2" t="s">
        <v>2042</v>
      </c>
      <c r="G21" s="2" t="s">
        <v>2043</v>
      </c>
      <c r="H21" s="4" t="s">
        <v>342</v>
      </c>
      <c r="I21" s="2" t="s">
        <v>777</v>
      </c>
      <c r="J21" s="2" t="s">
        <v>31</v>
      </c>
      <c r="K21" s="2" t="s">
        <v>31</v>
      </c>
      <c r="L21" s="2" t="s">
        <v>348</v>
      </c>
      <c r="M21" s="4" t="s">
        <v>40</v>
      </c>
      <c r="N21" s="2" t="s">
        <v>484</v>
      </c>
      <c r="O21" s="2" t="s">
        <v>163</v>
      </c>
      <c r="P21" s="2" t="s">
        <v>2010</v>
      </c>
      <c r="Q21" s="2" t="s">
        <v>437</v>
      </c>
      <c r="R21" s="2" t="s">
        <v>428</v>
      </c>
      <c r="S21" s="2" t="s">
        <v>35</v>
      </c>
      <c r="T21" s="152">
        <v>0.60099999999999998</v>
      </c>
      <c r="U21" s="2" t="s">
        <v>2044</v>
      </c>
      <c r="V21" s="163">
        <v>2.5000000000000001E-2</v>
      </c>
      <c r="W21" s="165">
        <v>2.0219999999999998E-2</v>
      </c>
      <c r="X21" s="4" t="s">
        <v>434</v>
      </c>
      <c r="Y21" s="4" t="s">
        <v>163</v>
      </c>
      <c r="Z21" s="152">
        <v>2600164.5499999998</v>
      </c>
      <c r="AA21" s="152">
        <v>1</v>
      </c>
      <c r="AB21" s="152">
        <v>113.37</v>
      </c>
      <c r="AD21" s="152">
        <v>2947.8069999999998</v>
      </c>
      <c r="AG21" s="2" t="s">
        <v>37</v>
      </c>
      <c r="AH21" s="165">
        <v>5.522E-3</v>
      </c>
      <c r="AI21" s="165">
        <v>7.1200370225824004E-3</v>
      </c>
      <c r="AJ21" s="165">
        <v>1.23109560651605E-3</v>
      </c>
    </row>
    <row r="22" spans="1:36">
      <c r="A22" s="2" t="s">
        <v>26</v>
      </c>
      <c r="B22" s="2">
        <v>288</v>
      </c>
      <c r="C22" s="2" t="s">
        <v>1748</v>
      </c>
      <c r="D22" s="2" t="s">
        <v>1749</v>
      </c>
      <c r="E22" s="4" t="s">
        <v>1347</v>
      </c>
      <c r="F22" s="2" t="s">
        <v>2045</v>
      </c>
      <c r="G22" s="2" t="s">
        <v>2046</v>
      </c>
      <c r="H22" s="4" t="s">
        <v>342</v>
      </c>
      <c r="I22" s="2" t="s">
        <v>777</v>
      </c>
      <c r="J22" s="2" t="s">
        <v>31</v>
      </c>
      <c r="K22" s="2" t="s">
        <v>31</v>
      </c>
      <c r="L22" s="2" t="s">
        <v>348</v>
      </c>
      <c r="M22" s="4" t="s">
        <v>40</v>
      </c>
      <c r="N22" s="2" t="s">
        <v>484</v>
      </c>
      <c r="O22" s="2" t="s">
        <v>163</v>
      </c>
      <c r="P22" s="2" t="s">
        <v>2010</v>
      </c>
      <c r="Q22" s="2" t="s">
        <v>437</v>
      </c>
      <c r="R22" s="2" t="s">
        <v>428</v>
      </c>
      <c r="S22" s="2" t="s">
        <v>35</v>
      </c>
      <c r="T22" s="152">
        <v>4.9459999999999997</v>
      </c>
      <c r="U22" s="2" t="s">
        <v>2047</v>
      </c>
      <c r="V22" s="163">
        <v>1.17E-2</v>
      </c>
      <c r="W22" s="165">
        <v>2.989E-2</v>
      </c>
      <c r="X22" s="4" t="s">
        <v>434</v>
      </c>
      <c r="Y22" s="4" t="s">
        <v>163</v>
      </c>
      <c r="Z22" s="152">
        <v>839160</v>
      </c>
      <c r="AA22" s="152">
        <v>1</v>
      </c>
      <c r="AB22" s="152">
        <v>101.71</v>
      </c>
      <c r="AD22" s="152">
        <v>853.51</v>
      </c>
      <c r="AG22" s="2" t="s">
        <v>37</v>
      </c>
      <c r="AH22" s="165">
        <v>1.163E-3</v>
      </c>
      <c r="AI22" s="165">
        <v>2.0615396918634999E-3</v>
      </c>
      <c r="AJ22" s="165">
        <v>3.56452143333252E-4</v>
      </c>
    </row>
    <row r="23" spans="1:36">
      <c r="A23" s="2" t="s">
        <v>26</v>
      </c>
      <c r="B23" s="2">
        <v>288</v>
      </c>
      <c r="C23" s="2" t="s">
        <v>1748</v>
      </c>
      <c r="D23" s="2" t="s">
        <v>1749</v>
      </c>
      <c r="E23" s="4" t="s">
        <v>1347</v>
      </c>
      <c r="F23" s="2" t="s">
        <v>2048</v>
      </c>
      <c r="G23" s="2" t="s">
        <v>2049</v>
      </c>
      <c r="H23" s="4" t="s">
        <v>342</v>
      </c>
      <c r="I23" s="2" t="s">
        <v>777</v>
      </c>
      <c r="J23" s="2" t="s">
        <v>31</v>
      </c>
      <c r="K23" s="2" t="s">
        <v>31</v>
      </c>
      <c r="L23" s="2" t="s">
        <v>348</v>
      </c>
      <c r="M23" s="2" t="s">
        <v>40</v>
      </c>
      <c r="N23" s="2" t="s">
        <v>484</v>
      </c>
      <c r="O23" s="2" t="s">
        <v>163</v>
      </c>
      <c r="P23" s="2" t="s">
        <v>1981</v>
      </c>
      <c r="Q23" s="2" t="s">
        <v>435</v>
      </c>
      <c r="R23" s="2" t="s">
        <v>428</v>
      </c>
      <c r="S23" s="2" t="s">
        <v>35</v>
      </c>
      <c r="T23" s="152">
        <v>5.39</v>
      </c>
      <c r="U23" s="2" t="s">
        <v>2050</v>
      </c>
      <c r="V23" s="163">
        <v>1.8700000000000001E-2</v>
      </c>
      <c r="W23" s="165">
        <v>3.048E-2</v>
      </c>
      <c r="X23" s="4" t="s">
        <v>434</v>
      </c>
      <c r="Y23" s="4" t="s">
        <v>163</v>
      </c>
      <c r="Z23" s="152">
        <v>1134580.28</v>
      </c>
      <c r="AA23" s="152">
        <v>1</v>
      </c>
      <c r="AB23" s="152">
        <v>101.36</v>
      </c>
      <c r="AD23" s="152">
        <v>1150.011</v>
      </c>
      <c r="AG23" s="2" t="s">
        <v>37</v>
      </c>
      <c r="AH23" s="165">
        <v>2.029E-3</v>
      </c>
      <c r="AI23" s="165">
        <v>2.7776985049115899E-3</v>
      </c>
      <c r="AJ23" s="165">
        <v>4.80280146687015E-4</v>
      </c>
    </row>
    <row r="24" spans="1:36">
      <c r="A24" s="2" t="s">
        <v>26</v>
      </c>
      <c r="B24" s="2">
        <v>288</v>
      </c>
      <c r="C24" s="2" t="s">
        <v>2051</v>
      </c>
      <c r="D24" s="2" t="s">
        <v>2052</v>
      </c>
      <c r="E24" s="4" t="s">
        <v>1347</v>
      </c>
      <c r="F24" s="2" t="s">
        <v>2053</v>
      </c>
      <c r="G24" s="2" t="s">
        <v>2054</v>
      </c>
      <c r="H24" s="2" t="s">
        <v>342</v>
      </c>
      <c r="I24" s="2" t="s">
        <v>777</v>
      </c>
      <c r="J24" s="2" t="s">
        <v>31</v>
      </c>
      <c r="K24" s="2" t="s">
        <v>31</v>
      </c>
      <c r="L24" s="2" t="s">
        <v>348</v>
      </c>
      <c r="M24" s="2" t="s">
        <v>40</v>
      </c>
      <c r="N24" s="2" t="s">
        <v>468</v>
      </c>
      <c r="O24" s="2" t="s">
        <v>163</v>
      </c>
      <c r="P24" s="2" t="s">
        <v>128</v>
      </c>
      <c r="Q24" s="2" t="s">
        <v>437</v>
      </c>
      <c r="R24" s="2" t="s">
        <v>428</v>
      </c>
      <c r="S24" s="2" t="s">
        <v>35</v>
      </c>
      <c r="T24" s="152">
        <v>1.4430000000000001</v>
      </c>
      <c r="U24" s="2" t="s">
        <v>2055</v>
      </c>
      <c r="V24" s="163">
        <v>1E-3</v>
      </c>
      <c r="W24" s="165">
        <v>1.8089999999999998E-2</v>
      </c>
      <c r="X24" s="4" t="s">
        <v>434</v>
      </c>
      <c r="Y24" s="4" t="s">
        <v>163</v>
      </c>
      <c r="Z24" s="152">
        <v>2674000</v>
      </c>
      <c r="AA24" s="152">
        <v>1</v>
      </c>
      <c r="AB24" s="152">
        <v>108.45</v>
      </c>
      <c r="AD24" s="152">
        <v>2899.953</v>
      </c>
      <c r="AG24" s="2" t="s">
        <v>37</v>
      </c>
      <c r="AH24" s="165">
        <v>1.7830000000000001E-3</v>
      </c>
      <c r="AI24" s="165">
        <v>7.0044530979831102E-3</v>
      </c>
      <c r="AJ24" s="165">
        <v>1.2111104770417601E-3</v>
      </c>
    </row>
    <row r="25" spans="1:36">
      <c r="A25" s="2" t="s">
        <v>26</v>
      </c>
      <c r="B25" s="2">
        <v>288</v>
      </c>
      <c r="C25" s="2" t="s">
        <v>2051</v>
      </c>
      <c r="D25" s="2" t="s">
        <v>2052</v>
      </c>
      <c r="E25" s="4" t="s">
        <v>1347</v>
      </c>
      <c r="F25" s="2" t="s">
        <v>2056</v>
      </c>
      <c r="G25" s="2" t="s">
        <v>2057</v>
      </c>
      <c r="H25" s="2" t="s">
        <v>342</v>
      </c>
      <c r="I25" s="2" t="s">
        <v>777</v>
      </c>
      <c r="J25" s="2" t="s">
        <v>31</v>
      </c>
      <c r="K25" s="2" t="s">
        <v>31</v>
      </c>
      <c r="L25" s="2" t="s">
        <v>348</v>
      </c>
      <c r="M25" s="2" t="s">
        <v>40</v>
      </c>
      <c r="N25" s="2" t="s">
        <v>468</v>
      </c>
      <c r="O25" s="2" t="s">
        <v>163</v>
      </c>
      <c r="P25" s="2" t="s">
        <v>128</v>
      </c>
      <c r="Q25" s="2" t="s">
        <v>437</v>
      </c>
      <c r="R25" s="2" t="s">
        <v>428</v>
      </c>
      <c r="S25" s="2" t="s">
        <v>35</v>
      </c>
      <c r="T25" s="152">
        <v>0.22700000000000001</v>
      </c>
      <c r="U25" s="2" t="s">
        <v>2058</v>
      </c>
      <c r="V25" s="163">
        <v>5.0000000000000001E-3</v>
      </c>
      <c r="W25" s="165">
        <v>7.1900000000000002E-3</v>
      </c>
      <c r="X25" s="4" t="s">
        <v>434</v>
      </c>
      <c r="Y25" s="4" t="s">
        <v>163</v>
      </c>
      <c r="Z25" s="152">
        <v>834350.02</v>
      </c>
      <c r="AA25" s="152">
        <v>1</v>
      </c>
      <c r="AB25" s="152">
        <v>112.22</v>
      </c>
      <c r="AD25" s="152">
        <v>936.30799999999999</v>
      </c>
      <c r="AG25" s="2" t="s">
        <v>37</v>
      </c>
      <c r="AH25" s="165">
        <v>3.6909999999999998E-3</v>
      </c>
      <c r="AI25" s="165">
        <v>2.2615272097718398E-3</v>
      </c>
      <c r="AJ25" s="165">
        <v>3.91031142553921E-4</v>
      </c>
    </row>
    <row r="26" spans="1:36">
      <c r="A26" s="2" t="s">
        <v>26</v>
      </c>
      <c r="B26" s="2">
        <v>288</v>
      </c>
      <c r="C26" s="2" t="s">
        <v>2059</v>
      </c>
      <c r="D26" s="2" t="s">
        <v>2060</v>
      </c>
      <c r="E26" s="4" t="s">
        <v>1347</v>
      </c>
      <c r="F26" s="2" t="s">
        <v>2061</v>
      </c>
      <c r="G26" s="2" t="s">
        <v>2062</v>
      </c>
      <c r="H26" s="2" t="s">
        <v>342</v>
      </c>
      <c r="I26" s="2" t="s">
        <v>990</v>
      </c>
      <c r="J26" s="2" t="s">
        <v>31</v>
      </c>
      <c r="K26" s="2" t="s">
        <v>31</v>
      </c>
      <c r="L26" s="2" t="s">
        <v>348</v>
      </c>
      <c r="M26" s="2" t="s">
        <v>40</v>
      </c>
      <c r="N26" s="2" t="s">
        <v>460</v>
      </c>
      <c r="O26" s="2" t="s">
        <v>163</v>
      </c>
      <c r="P26" s="2" t="s">
        <v>1987</v>
      </c>
      <c r="Q26" s="2" t="s">
        <v>437</v>
      </c>
      <c r="R26" s="2" t="s">
        <v>428</v>
      </c>
      <c r="S26" s="2" t="s">
        <v>35</v>
      </c>
      <c r="T26" s="152">
        <v>3.07</v>
      </c>
      <c r="U26" s="2" t="s">
        <v>1994</v>
      </c>
      <c r="V26" s="163">
        <v>7.2499999999999995E-2</v>
      </c>
      <c r="W26" s="165">
        <v>6.232E-2</v>
      </c>
      <c r="X26" s="4" t="s">
        <v>434</v>
      </c>
      <c r="Y26" s="4" t="s">
        <v>163</v>
      </c>
      <c r="Z26" s="152">
        <v>1493027</v>
      </c>
      <c r="AA26" s="152">
        <v>1</v>
      </c>
      <c r="AB26" s="152">
        <v>108.29</v>
      </c>
      <c r="AD26" s="152">
        <v>1616.799</v>
      </c>
      <c r="AG26" s="2" t="s">
        <v>37</v>
      </c>
      <c r="AH26" s="165">
        <v>2.5739999999999999E-3</v>
      </c>
      <c r="AI26" s="165">
        <v>3.9051640947943798E-3</v>
      </c>
      <c r="AJ26" s="165">
        <v>6.75225472083554E-4</v>
      </c>
    </row>
    <row r="27" spans="1:36">
      <c r="A27" s="2" t="s">
        <v>26</v>
      </c>
      <c r="B27" s="2">
        <v>288</v>
      </c>
      <c r="C27" s="2" t="s">
        <v>2063</v>
      </c>
      <c r="D27" s="2" t="s">
        <v>2064</v>
      </c>
      <c r="E27" s="4" t="s">
        <v>1347</v>
      </c>
      <c r="F27" s="2" t="s">
        <v>2065</v>
      </c>
      <c r="G27" s="2" t="s">
        <v>2066</v>
      </c>
      <c r="H27" s="2" t="s">
        <v>342</v>
      </c>
      <c r="I27" s="2" t="s">
        <v>777</v>
      </c>
      <c r="J27" s="2" t="s">
        <v>31</v>
      </c>
      <c r="K27" s="2" t="s">
        <v>31</v>
      </c>
      <c r="L27" s="2" t="s">
        <v>348</v>
      </c>
      <c r="M27" s="2" t="s">
        <v>40</v>
      </c>
      <c r="N27" s="2" t="s">
        <v>484</v>
      </c>
      <c r="O27" s="2" t="s">
        <v>163</v>
      </c>
      <c r="P27" s="2" t="s">
        <v>1991</v>
      </c>
      <c r="Q27" s="2" t="s">
        <v>435</v>
      </c>
      <c r="R27" s="2" t="s">
        <v>428</v>
      </c>
      <c r="S27" s="2" t="s">
        <v>35</v>
      </c>
      <c r="T27" s="152">
        <v>3.839</v>
      </c>
      <c r="U27" s="2" t="s">
        <v>2067</v>
      </c>
      <c r="V27" s="163">
        <v>5.0000000000000001E-3</v>
      </c>
      <c r="W27" s="165">
        <v>2.52E-2</v>
      </c>
      <c r="X27" s="4" t="s">
        <v>434</v>
      </c>
      <c r="Y27" s="4" t="s">
        <v>163</v>
      </c>
      <c r="Z27" s="152">
        <v>1100124.51</v>
      </c>
      <c r="AA27" s="152">
        <v>1</v>
      </c>
      <c r="AB27" s="152">
        <v>103.12</v>
      </c>
      <c r="AD27" s="152">
        <v>1134.4480000000001</v>
      </c>
      <c r="AG27" s="2" t="s">
        <v>37</v>
      </c>
      <c r="AH27" s="165">
        <v>6.1600000000000001E-4</v>
      </c>
      <c r="AI27" s="165">
        <v>2.7401101234545699E-3</v>
      </c>
      <c r="AJ27" s="165">
        <v>4.7378089800038302E-4</v>
      </c>
    </row>
    <row r="28" spans="1:36">
      <c r="A28" s="2" t="s">
        <v>26</v>
      </c>
      <c r="B28" s="2">
        <v>288</v>
      </c>
      <c r="C28" s="2" t="s">
        <v>2063</v>
      </c>
      <c r="D28" s="2" t="s">
        <v>2064</v>
      </c>
      <c r="E28" s="4" t="s">
        <v>1347</v>
      </c>
      <c r="F28" s="2" t="s">
        <v>2068</v>
      </c>
      <c r="G28" s="2" t="s">
        <v>2069</v>
      </c>
      <c r="H28" s="2" t="s">
        <v>342</v>
      </c>
      <c r="I28" s="2" t="s">
        <v>777</v>
      </c>
      <c r="J28" s="2" t="s">
        <v>31</v>
      </c>
      <c r="K28" s="2" t="s">
        <v>31</v>
      </c>
      <c r="L28" s="2" t="s">
        <v>348</v>
      </c>
      <c r="M28" s="2" t="s">
        <v>40</v>
      </c>
      <c r="N28" s="2" t="s">
        <v>484</v>
      </c>
      <c r="O28" s="2" t="s">
        <v>163</v>
      </c>
      <c r="P28" s="2" t="s">
        <v>1991</v>
      </c>
      <c r="Q28" s="2" t="s">
        <v>435</v>
      </c>
      <c r="R28" s="2" t="s">
        <v>428</v>
      </c>
      <c r="S28" s="2" t="s">
        <v>35</v>
      </c>
      <c r="T28" s="152">
        <v>1.466</v>
      </c>
      <c r="U28" s="2" t="s">
        <v>1356</v>
      </c>
      <c r="V28" s="163">
        <v>4.7500000000000001E-2</v>
      </c>
      <c r="W28" s="165">
        <v>1.567E-2</v>
      </c>
      <c r="X28" s="4" t="s">
        <v>434</v>
      </c>
      <c r="Y28" s="4" t="s">
        <v>163</v>
      </c>
      <c r="Z28" s="152">
        <v>1044730.77</v>
      </c>
      <c r="AA28" s="152">
        <v>1</v>
      </c>
      <c r="AB28" s="152">
        <v>141.47999999999999</v>
      </c>
      <c r="AD28" s="152">
        <v>1478.085</v>
      </c>
      <c r="AG28" s="2" t="s">
        <v>37</v>
      </c>
      <c r="AH28" s="165">
        <v>8.0900000000000004E-4</v>
      </c>
      <c r="AI28" s="165">
        <v>3.5701191403861598E-3</v>
      </c>
      <c r="AJ28" s="165">
        <v>6.1729426048323405E-4</v>
      </c>
    </row>
    <row r="29" spans="1:36">
      <c r="A29" s="2" t="s">
        <v>26</v>
      </c>
      <c r="B29" s="2">
        <v>288</v>
      </c>
      <c r="C29" s="2" t="s">
        <v>2070</v>
      </c>
      <c r="D29" s="2" t="s">
        <v>2071</v>
      </c>
      <c r="E29" s="4" t="s">
        <v>1347</v>
      </c>
      <c r="F29" s="2" t="s">
        <v>2072</v>
      </c>
      <c r="G29" s="2" t="s">
        <v>2073</v>
      </c>
      <c r="H29" s="2" t="s">
        <v>342</v>
      </c>
      <c r="I29" s="2" t="s">
        <v>777</v>
      </c>
      <c r="J29" s="2" t="s">
        <v>31</v>
      </c>
      <c r="K29" s="2" t="s">
        <v>319</v>
      </c>
      <c r="L29" s="2" t="s">
        <v>348</v>
      </c>
      <c r="M29" s="2" t="s">
        <v>40</v>
      </c>
      <c r="N29" s="2" t="s">
        <v>485</v>
      </c>
      <c r="O29" s="2" t="s">
        <v>163</v>
      </c>
      <c r="P29" s="2" t="s">
        <v>1987</v>
      </c>
      <c r="Q29" s="2" t="s">
        <v>437</v>
      </c>
      <c r="R29" s="2" t="s">
        <v>428</v>
      </c>
      <c r="S29" s="2" t="s">
        <v>35</v>
      </c>
      <c r="T29" s="152">
        <v>0.499</v>
      </c>
      <c r="U29" s="2" t="s">
        <v>2074</v>
      </c>
      <c r="V29" s="163">
        <v>5.3499999999999999E-2</v>
      </c>
      <c r="W29" s="165">
        <v>1.9650000000000001E-2</v>
      </c>
      <c r="X29" s="4" t="s">
        <v>434</v>
      </c>
      <c r="Y29" s="4" t="s">
        <v>163</v>
      </c>
      <c r="Z29" s="152">
        <v>916666.66</v>
      </c>
      <c r="AA29" s="152">
        <v>1</v>
      </c>
      <c r="AB29" s="152">
        <v>117.67</v>
      </c>
      <c r="AD29" s="152">
        <v>1078.6420000000001</v>
      </c>
      <c r="AG29" s="2" t="s">
        <v>37</v>
      </c>
      <c r="AH29" s="165">
        <v>1.379E-3</v>
      </c>
      <c r="AI29" s="165">
        <v>2.6053163305575599E-3</v>
      </c>
      <c r="AJ29" s="165">
        <v>4.5047427112543701E-4</v>
      </c>
    </row>
    <row r="30" spans="1:36">
      <c r="A30" s="2" t="s">
        <v>26</v>
      </c>
      <c r="B30" s="2">
        <v>288</v>
      </c>
      <c r="C30" s="2" t="s">
        <v>2070</v>
      </c>
      <c r="D30" s="2" t="s">
        <v>2071</v>
      </c>
      <c r="E30" s="4" t="s">
        <v>1347</v>
      </c>
      <c r="F30" s="2" t="s">
        <v>2075</v>
      </c>
      <c r="G30" s="2" t="s">
        <v>2076</v>
      </c>
      <c r="H30" s="2" t="s">
        <v>342</v>
      </c>
      <c r="I30" s="2" t="s">
        <v>777</v>
      </c>
      <c r="J30" s="2" t="s">
        <v>31</v>
      </c>
      <c r="K30" s="2" t="s">
        <v>319</v>
      </c>
      <c r="L30" s="2" t="s">
        <v>348</v>
      </c>
      <c r="M30" s="2" t="s">
        <v>40</v>
      </c>
      <c r="N30" s="2" t="s">
        <v>485</v>
      </c>
      <c r="O30" s="2" t="s">
        <v>163</v>
      </c>
      <c r="P30" s="2" t="s">
        <v>1987</v>
      </c>
      <c r="Q30" s="2" t="s">
        <v>437</v>
      </c>
      <c r="R30" s="2" t="s">
        <v>428</v>
      </c>
      <c r="S30" s="2" t="s">
        <v>35</v>
      </c>
      <c r="T30" s="152">
        <v>1.974</v>
      </c>
      <c r="U30" s="2" t="s">
        <v>2077</v>
      </c>
      <c r="V30" s="163">
        <v>0.04</v>
      </c>
      <c r="W30" s="165">
        <v>4.2599999999999999E-2</v>
      </c>
      <c r="X30" s="4" t="s">
        <v>434</v>
      </c>
      <c r="Y30" s="4" t="s">
        <v>163</v>
      </c>
      <c r="Z30" s="152">
        <v>3240000</v>
      </c>
      <c r="AA30" s="152">
        <v>1</v>
      </c>
      <c r="AB30" s="152">
        <v>111.92</v>
      </c>
      <c r="AD30" s="152">
        <v>3626.2080000000001</v>
      </c>
      <c r="AG30" s="2" t="s">
        <v>37</v>
      </c>
      <c r="AH30" s="165">
        <v>1.248E-3</v>
      </c>
      <c r="AI30" s="165">
        <v>8.7586260396396599E-3</v>
      </c>
      <c r="AJ30" s="165">
        <v>1.5144171304613001E-3</v>
      </c>
    </row>
    <row r="31" spans="1:36">
      <c r="A31" s="2" t="s">
        <v>26</v>
      </c>
      <c r="B31" s="2">
        <v>288</v>
      </c>
      <c r="C31" s="2" t="s">
        <v>2078</v>
      </c>
      <c r="D31" s="2" t="s">
        <v>2079</v>
      </c>
      <c r="E31" s="4" t="s">
        <v>1347</v>
      </c>
      <c r="F31" s="2" t="s">
        <v>2080</v>
      </c>
      <c r="G31" s="2" t="s">
        <v>2081</v>
      </c>
      <c r="H31" s="2" t="s">
        <v>342</v>
      </c>
      <c r="I31" s="2" t="s">
        <v>990</v>
      </c>
      <c r="J31" s="2" t="s">
        <v>31</v>
      </c>
      <c r="K31" s="2" t="s">
        <v>31</v>
      </c>
      <c r="L31" s="2" t="s">
        <v>348</v>
      </c>
      <c r="M31" s="2" t="s">
        <v>40</v>
      </c>
      <c r="N31" s="2" t="s">
        <v>460</v>
      </c>
      <c r="O31" s="2" t="s">
        <v>163</v>
      </c>
      <c r="P31" s="2" t="s">
        <v>98</v>
      </c>
      <c r="Q31" s="2" t="s">
        <v>437</v>
      </c>
      <c r="R31" s="2" t="s">
        <v>428</v>
      </c>
      <c r="S31" s="2" t="s">
        <v>35</v>
      </c>
      <c r="T31" s="152">
        <v>1.91</v>
      </c>
      <c r="U31" s="2" t="s">
        <v>2082</v>
      </c>
      <c r="V31" s="163">
        <v>3.2899999999999999E-2</v>
      </c>
      <c r="W31" s="165">
        <v>5.1709999999999999E-2</v>
      </c>
      <c r="X31" s="4" t="s">
        <v>434</v>
      </c>
      <c r="Y31" s="4" t="s">
        <v>163</v>
      </c>
      <c r="Z31" s="152">
        <v>638666.66</v>
      </c>
      <c r="AA31" s="152">
        <v>1</v>
      </c>
      <c r="AB31" s="152">
        <v>96.66</v>
      </c>
      <c r="AD31" s="152">
        <v>617.33500000000004</v>
      </c>
      <c r="AG31" s="2" t="s">
        <v>37</v>
      </c>
      <c r="AH31" s="165">
        <v>1.049E-3</v>
      </c>
      <c r="AI31" s="165">
        <v>1.4910915483793499E-3</v>
      </c>
      <c r="AJ31" s="165">
        <v>2.5781835800865499E-4</v>
      </c>
    </row>
    <row r="32" spans="1:36">
      <c r="A32" s="2" t="s">
        <v>26</v>
      </c>
      <c r="B32" s="2">
        <v>288</v>
      </c>
      <c r="C32" s="2" t="s">
        <v>2083</v>
      </c>
      <c r="D32" s="2" t="s">
        <v>2084</v>
      </c>
      <c r="E32" s="4" t="s">
        <v>1347</v>
      </c>
      <c r="F32" s="2" t="s">
        <v>2085</v>
      </c>
      <c r="G32" s="2" t="s">
        <v>2086</v>
      </c>
      <c r="H32" s="2" t="s">
        <v>342</v>
      </c>
      <c r="I32" s="2" t="s">
        <v>777</v>
      </c>
      <c r="J32" s="2" t="s">
        <v>31</v>
      </c>
      <c r="K32" s="2" t="s">
        <v>31</v>
      </c>
      <c r="L32" s="2" t="s">
        <v>348</v>
      </c>
      <c r="M32" s="2" t="s">
        <v>40</v>
      </c>
      <c r="N32" s="2" t="s">
        <v>468</v>
      </c>
      <c r="O32" s="2" t="s">
        <v>163</v>
      </c>
      <c r="P32" s="2" t="s">
        <v>128</v>
      </c>
      <c r="Q32" s="2" t="s">
        <v>437</v>
      </c>
      <c r="R32" s="2" t="s">
        <v>428</v>
      </c>
      <c r="S32" s="2" t="s">
        <v>35</v>
      </c>
      <c r="T32" s="152">
        <v>4.2549999999999999</v>
      </c>
      <c r="U32" s="2" t="s">
        <v>2087</v>
      </c>
      <c r="V32" s="163">
        <v>2E-3</v>
      </c>
      <c r="W32" s="165">
        <v>1.9359999999999999E-2</v>
      </c>
      <c r="X32" s="4" t="s">
        <v>434</v>
      </c>
      <c r="Y32" s="4" t="s">
        <v>163</v>
      </c>
      <c r="Z32" s="152">
        <v>3797391.69</v>
      </c>
      <c r="AA32" s="152">
        <v>1</v>
      </c>
      <c r="AB32" s="152">
        <v>101.27</v>
      </c>
      <c r="AD32" s="152">
        <v>3845.6190000000001</v>
      </c>
      <c r="AG32" s="2" t="s">
        <v>37</v>
      </c>
      <c r="AH32" s="165">
        <v>8.7900000000000001E-4</v>
      </c>
      <c r="AI32" s="165">
        <v>9.2885832520438194E-3</v>
      </c>
      <c r="AJ32" s="165">
        <v>1.60604979947172E-3</v>
      </c>
    </row>
    <row r="33" spans="1:36">
      <c r="A33" s="2" t="s">
        <v>26</v>
      </c>
      <c r="B33" s="2">
        <v>288</v>
      </c>
      <c r="C33" s="2" t="s">
        <v>2083</v>
      </c>
      <c r="D33" s="2" t="s">
        <v>2084</v>
      </c>
      <c r="E33" s="4" t="s">
        <v>1347</v>
      </c>
      <c r="F33" s="2" t="s">
        <v>2088</v>
      </c>
      <c r="G33" s="2" t="s">
        <v>2089</v>
      </c>
      <c r="H33" s="2" t="s">
        <v>342</v>
      </c>
      <c r="I33" s="2" t="s">
        <v>777</v>
      </c>
      <c r="J33" s="2" t="s">
        <v>31</v>
      </c>
      <c r="K33" s="2" t="s">
        <v>31</v>
      </c>
      <c r="L33" s="2" t="s">
        <v>348</v>
      </c>
      <c r="M33" s="2" t="s">
        <v>40</v>
      </c>
      <c r="N33" s="2" t="s">
        <v>468</v>
      </c>
      <c r="O33" s="2" t="s">
        <v>163</v>
      </c>
      <c r="P33" s="2" t="s">
        <v>128</v>
      </c>
      <c r="Q33" s="2" t="s">
        <v>437</v>
      </c>
      <c r="R33" s="2" t="s">
        <v>428</v>
      </c>
      <c r="S33" s="2" t="s">
        <v>35</v>
      </c>
      <c r="T33" s="152">
        <v>5.62</v>
      </c>
      <c r="U33" s="2" t="s">
        <v>2090</v>
      </c>
      <c r="V33" s="163">
        <v>2.47E-2</v>
      </c>
      <c r="W33" s="165">
        <v>2.0109999999999999E-2</v>
      </c>
      <c r="X33" s="4" t="s">
        <v>434</v>
      </c>
      <c r="Y33" s="4" t="s">
        <v>163</v>
      </c>
      <c r="Z33" s="152">
        <v>3900000</v>
      </c>
      <c r="AA33" s="152">
        <v>1</v>
      </c>
      <c r="AB33" s="152">
        <v>101.35</v>
      </c>
      <c r="AD33" s="152">
        <v>3952.65</v>
      </c>
      <c r="AG33" s="2" t="s">
        <v>37</v>
      </c>
      <c r="AH33" s="165">
        <v>2.496E-3</v>
      </c>
      <c r="AI33" s="165">
        <v>9.5471035350376196E-3</v>
      </c>
      <c r="AJ33" s="165">
        <v>1.6507494525184001E-3</v>
      </c>
    </row>
    <row r="34" spans="1:36">
      <c r="A34" s="2" t="s">
        <v>26</v>
      </c>
      <c r="B34" s="2">
        <v>288</v>
      </c>
      <c r="C34" s="2" t="s">
        <v>1760</v>
      </c>
      <c r="D34" s="2" t="s">
        <v>1761</v>
      </c>
      <c r="E34" s="4" t="s">
        <v>1347</v>
      </c>
      <c r="F34" s="2" t="s">
        <v>2091</v>
      </c>
      <c r="G34" s="2" t="s">
        <v>2092</v>
      </c>
      <c r="H34" s="2" t="s">
        <v>342</v>
      </c>
      <c r="I34" s="2" t="s">
        <v>990</v>
      </c>
      <c r="J34" s="2" t="s">
        <v>31</v>
      </c>
      <c r="K34" s="2" t="s">
        <v>31</v>
      </c>
      <c r="L34" s="2" t="s">
        <v>348</v>
      </c>
      <c r="M34" s="2" t="s">
        <v>40</v>
      </c>
      <c r="N34" s="2" t="s">
        <v>457</v>
      </c>
      <c r="O34" s="2" t="s">
        <v>163</v>
      </c>
      <c r="P34" s="2" t="s">
        <v>2010</v>
      </c>
      <c r="Q34" s="2" t="s">
        <v>437</v>
      </c>
      <c r="R34" s="2" t="s">
        <v>428</v>
      </c>
      <c r="S34" s="2" t="s">
        <v>35</v>
      </c>
      <c r="T34" s="152">
        <v>2.258</v>
      </c>
      <c r="U34" s="2" t="s">
        <v>2093</v>
      </c>
      <c r="V34" s="163">
        <v>0.05</v>
      </c>
      <c r="W34" s="165">
        <v>4.8189999999999997E-2</v>
      </c>
      <c r="X34" s="4" t="s">
        <v>434</v>
      </c>
      <c r="Y34" s="4" t="s">
        <v>163</v>
      </c>
      <c r="Z34" s="152">
        <v>2083334.31</v>
      </c>
      <c r="AA34" s="152">
        <v>1</v>
      </c>
      <c r="AB34" s="152">
        <v>100.95</v>
      </c>
      <c r="AD34" s="152">
        <v>2103.1260000000002</v>
      </c>
      <c r="AG34" s="2" t="s">
        <v>37</v>
      </c>
      <c r="AH34" s="165">
        <v>6.2230000000000002E-3</v>
      </c>
      <c r="AI34" s="165">
        <v>5.0798227859904102E-3</v>
      </c>
      <c r="AJ34" s="165">
        <v>8.7833075781461399E-4</v>
      </c>
    </row>
    <row r="35" spans="1:36">
      <c r="A35" s="2" t="s">
        <v>26</v>
      </c>
      <c r="B35" s="2">
        <v>288</v>
      </c>
      <c r="C35" s="2" t="s">
        <v>2094</v>
      </c>
      <c r="D35" s="2" t="s">
        <v>2095</v>
      </c>
      <c r="E35" s="4" t="s">
        <v>1347</v>
      </c>
      <c r="F35" s="2" t="s">
        <v>2096</v>
      </c>
      <c r="G35" s="2" t="s">
        <v>2097</v>
      </c>
      <c r="H35" s="2" t="s">
        <v>342</v>
      </c>
      <c r="I35" s="2" t="s">
        <v>777</v>
      </c>
      <c r="J35" s="2" t="s">
        <v>31</v>
      </c>
      <c r="K35" s="2" t="s">
        <v>31</v>
      </c>
      <c r="L35" s="2" t="s">
        <v>348</v>
      </c>
      <c r="M35" s="2" t="s">
        <v>40</v>
      </c>
      <c r="N35" s="2" t="s">
        <v>484</v>
      </c>
      <c r="O35" s="2" t="s">
        <v>163</v>
      </c>
      <c r="P35" s="2" t="s">
        <v>2098</v>
      </c>
      <c r="Q35" s="2" t="s">
        <v>435</v>
      </c>
      <c r="R35" s="2" t="s">
        <v>428</v>
      </c>
      <c r="S35" s="2" t="s">
        <v>35</v>
      </c>
      <c r="T35" s="152">
        <v>3.2709999999999999</v>
      </c>
      <c r="U35" s="2" t="s">
        <v>2099</v>
      </c>
      <c r="V35" s="163">
        <v>1.7999999999999999E-2</v>
      </c>
      <c r="W35" s="165">
        <v>2.4129999999999999E-2</v>
      </c>
      <c r="X35" s="4" t="s">
        <v>434</v>
      </c>
      <c r="Y35" s="4" t="s">
        <v>163</v>
      </c>
      <c r="Z35" s="152">
        <v>1770128.26</v>
      </c>
      <c r="AA35" s="152">
        <v>1</v>
      </c>
      <c r="AB35" s="152">
        <v>110.59</v>
      </c>
      <c r="AD35" s="152">
        <v>1957.585</v>
      </c>
      <c r="AG35" s="2" t="s">
        <v>37</v>
      </c>
      <c r="AH35" s="165">
        <v>2.1120000000000002E-3</v>
      </c>
      <c r="AI35" s="165">
        <v>4.7282873950898301E-3</v>
      </c>
      <c r="AJ35" s="165">
        <v>8.1754825431077196E-4</v>
      </c>
    </row>
    <row r="36" spans="1:36">
      <c r="A36" s="2" t="s">
        <v>26</v>
      </c>
      <c r="B36" s="2">
        <v>288</v>
      </c>
      <c r="C36" s="2" t="s">
        <v>2094</v>
      </c>
      <c r="D36" s="2" t="s">
        <v>2095</v>
      </c>
      <c r="E36" s="4" t="s">
        <v>1347</v>
      </c>
      <c r="F36" s="2" t="s">
        <v>2100</v>
      </c>
      <c r="G36" s="2" t="s">
        <v>2101</v>
      </c>
      <c r="H36" s="2" t="s">
        <v>342</v>
      </c>
      <c r="I36" s="2" t="s">
        <v>777</v>
      </c>
      <c r="J36" s="2" t="s">
        <v>31</v>
      </c>
      <c r="K36" s="2" t="s">
        <v>31</v>
      </c>
      <c r="L36" s="2" t="s">
        <v>348</v>
      </c>
      <c r="M36" s="2" t="s">
        <v>40</v>
      </c>
      <c r="N36" s="2" t="s">
        <v>484</v>
      </c>
      <c r="O36" s="2" t="s">
        <v>163</v>
      </c>
      <c r="P36" s="2" t="s">
        <v>2102</v>
      </c>
      <c r="Q36" s="2" t="s">
        <v>435</v>
      </c>
      <c r="R36" s="2" t="s">
        <v>428</v>
      </c>
      <c r="S36" s="2" t="s">
        <v>35</v>
      </c>
      <c r="T36" s="152">
        <v>1.696</v>
      </c>
      <c r="U36" s="2" t="s">
        <v>2077</v>
      </c>
      <c r="V36" s="163">
        <v>2.2499999999999999E-2</v>
      </c>
      <c r="W36" s="165">
        <v>3.1060000000000001E-2</v>
      </c>
      <c r="X36" s="4" t="s">
        <v>434</v>
      </c>
      <c r="Y36" s="4" t="s">
        <v>163</v>
      </c>
      <c r="Z36" s="152">
        <v>1120000.1200000001</v>
      </c>
      <c r="AA36" s="152">
        <v>1</v>
      </c>
      <c r="AB36" s="152">
        <v>110.87</v>
      </c>
      <c r="AD36" s="152">
        <v>1241.7439999999999</v>
      </c>
      <c r="AG36" s="2" t="s">
        <v>37</v>
      </c>
      <c r="AH36" s="165">
        <v>2.3370000000000001E-3</v>
      </c>
      <c r="AI36" s="165">
        <v>2.9992687949088799E-3</v>
      </c>
      <c r="AJ36" s="165">
        <v>5.1859093210638901E-4</v>
      </c>
    </row>
    <row r="37" spans="1:36">
      <c r="A37" s="2" t="s">
        <v>26</v>
      </c>
      <c r="B37" s="2">
        <v>288</v>
      </c>
      <c r="C37" s="2" t="s">
        <v>1644</v>
      </c>
      <c r="D37" s="2" t="s">
        <v>1645</v>
      </c>
      <c r="E37" s="4" t="s">
        <v>1347</v>
      </c>
      <c r="F37" s="2" t="s">
        <v>2103</v>
      </c>
      <c r="G37" s="2" t="s">
        <v>2104</v>
      </c>
      <c r="H37" s="2" t="s">
        <v>342</v>
      </c>
      <c r="I37" s="2" t="s">
        <v>777</v>
      </c>
      <c r="J37" s="2" t="s">
        <v>31</v>
      </c>
      <c r="K37" s="2" t="s">
        <v>31</v>
      </c>
      <c r="L37" s="2" t="s">
        <v>348</v>
      </c>
      <c r="M37" s="2" t="s">
        <v>40</v>
      </c>
      <c r="N37" s="2" t="s">
        <v>465</v>
      </c>
      <c r="O37" s="2" t="s">
        <v>163</v>
      </c>
      <c r="P37" s="2" t="s">
        <v>2022</v>
      </c>
      <c r="Q37" s="2" t="s">
        <v>437</v>
      </c>
      <c r="R37" s="2" t="s">
        <v>428</v>
      </c>
      <c r="S37" s="2" t="s">
        <v>35</v>
      </c>
      <c r="T37" s="152">
        <v>4.7969999999999997</v>
      </c>
      <c r="U37" s="2" t="s">
        <v>2105</v>
      </c>
      <c r="V37" s="163">
        <v>4.4000000000000003E-3</v>
      </c>
      <c r="W37" s="165">
        <v>2.2110000000000001E-2</v>
      </c>
      <c r="X37" s="4" t="s">
        <v>434</v>
      </c>
      <c r="Y37" s="4" t="s">
        <v>163</v>
      </c>
      <c r="Z37" s="152">
        <v>1292158.3799999999</v>
      </c>
      <c r="AA37" s="152">
        <v>1</v>
      </c>
      <c r="AB37" s="152">
        <v>102.43</v>
      </c>
      <c r="AD37" s="152">
        <v>1323.558</v>
      </c>
      <c r="AG37" s="2" t="s">
        <v>37</v>
      </c>
      <c r="AH37" s="165">
        <v>1.707E-3</v>
      </c>
      <c r="AI37" s="165">
        <v>3.1968789608435798E-3</v>
      </c>
      <c r="AJ37" s="165">
        <v>5.5275887341252599E-4</v>
      </c>
    </row>
    <row r="38" spans="1:36">
      <c r="A38" s="2" t="s">
        <v>26</v>
      </c>
      <c r="B38" s="2">
        <v>288</v>
      </c>
      <c r="C38" s="2" t="s">
        <v>2106</v>
      </c>
      <c r="D38" s="2" t="s">
        <v>2107</v>
      </c>
      <c r="E38" s="4" t="s">
        <v>1347</v>
      </c>
      <c r="F38" s="2" t="s">
        <v>2108</v>
      </c>
      <c r="G38" s="2" t="s">
        <v>2109</v>
      </c>
      <c r="H38" s="2" t="s">
        <v>342</v>
      </c>
      <c r="I38" s="2" t="s">
        <v>990</v>
      </c>
      <c r="J38" s="2" t="s">
        <v>31</v>
      </c>
      <c r="K38" s="2" t="s">
        <v>31</v>
      </c>
      <c r="L38" s="2" t="s">
        <v>348</v>
      </c>
      <c r="M38" s="2" t="s">
        <v>40</v>
      </c>
      <c r="N38" s="2" t="s">
        <v>465</v>
      </c>
      <c r="O38" s="2" t="s">
        <v>163</v>
      </c>
      <c r="P38" s="2" t="s">
        <v>2010</v>
      </c>
      <c r="Q38" s="2" t="s">
        <v>437</v>
      </c>
      <c r="R38" s="2" t="s">
        <v>428</v>
      </c>
      <c r="S38" s="2" t="s">
        <v>35</v>
      </c>
      <c r="T38" s="152">
        <v>2.1739999999999999</v>
      </c>
      <c r="U38" s="2" t="s">
        <v>2110</v>
      </c>
      <c r="V38" s="163">
        <v>2.9100000000000001E-2</v>
      </c>
      <c r="W38" s="165">
        <v>4.6019999999999998E-2</v>
      </c>
      <c r="X38" s="4" t="s">
        <v>434</v>
      </c>
      <c r="Y38" s="4" t="s">
        <v>163</v>
      </c>
      <c r="Z38" s="152">
        <v>50000</v>
      </c>
      <c r="AA38" s="152">
        <v>1</v>
      </c>
      <c r="AB38" s="152">
        <v>97.28</v>
      </c>
      <c r="AD38" s="152">
        <v>48.64</v>
      </c>
      <c r="AG38" s="2" t="s">
        <v>37</v>
      </c>
      <c r="AH38" s="165">
        <v>8.2999999999999998E-5</v>
      </c>
      <c r="AI38" s="165">
        <v>1.17483489796524E-4</v>
      </c>
      <c r="AJ38" s="165">
        <v>2.0313575290120599E-5</v>
      </c>
    </row>
    <row r="39" spans="1:36">
      <c r="A39" s="2" t="s">
        <v>26</v>
      </c>
      <c r="B39" s="2">
        <v>288</v>
      </c>
      <c r="C39" s="2" t="s">
        <v>2106</v>
      </c>
      <c r="D39" s="2" t="s">
        <v>2107</v>
      </c>
      <c r="E39" s="4" t="s">
        <v>1347</v>
      </c>
      <c r="F39" s="2" t="s">
        <v>2111</v>
      </c>
      <c r="G39" s="2" t="s">
        <v>2112</v>
      </c>
      <c r="H39" s="2" t="s">
        <v>342</v>
      </c>
      <c r="I39" s="2" t="s">
        <v>777</v>
      </c>
      <c r="J39" s="2" t="s">
        <v>31</v>
      </c>
      <c r="K39" s="2" t="s">
        <v>31</v>
      </c>
      <c r="L39" s="2" t="s">
        <v>348</v>
      </c>
      <c r="M39" s="2" t="s">
        <v>40</v>
      </c>
      <c r="N39" s="2" t="s">
        <v>465</v>
      </c>
      <c r="O39" s="2" t="s">
        <v>163</v>
      </c>
      <c r="P39" s="2" t="s">
        <v>1981</v>
      </c>
      <c r="Q39" s="2" t="s">
        <v>437</v>
      </c>
      <c r="R39" s="2" t="s">
        <v>428</v>
      </c>
      <c r="S39" s="2" t="s">
        <v>35</v>
      </c>
      <c r="T39" s="152">
        <v>0.16400000000000001</v>
      </c>
      <c r="U39" s="2" t="s">
        <v>2113</v>
      </c>
      <c r="V39" s="163">
        <v>3.85E-2</v>
      </c>
      <c r="W39" s="165">
        <v>1E-4</v>
      </c>
      <c r="X39" s="4" t="s">
        <v>434</v>
      </c>
      <c r="Y39" s="4" t="s">
        <v>163</v>
      </c>
      <c r="Z39" s="152">
        <v>600000</v>
      </c>
      <c r="AA39" s="152">
        <v>1</v>
      </c>
      <c r="AB39" s="152">
        <v>117.54</v>
      </c>
      <c r="AD39" s="152">
        <v>705.24</v>
      </c>
      <c r="AG39" s="2" t="s">
        <v>37</v>
      </c>
      <c r="AH39" s="165">
        <v>2.3999999999999998E-3</v>
      </c>
      <c r="AI39" s="165">
        <v>1.7034139873375899E-3</v>
      </c>
      <c r="AJ39" s="165">
        <v>2.9453013646391101E-4</v>
      </c>
    </row>
    <row r="40" spans="1:36">
      <c r="A40" s="2" t="s">
        <v>26</v>
      </c>
      <c r="B40" s="2">
        <v>288</v>
      </c>
      <c r="C40" s="2" t="s">
        <v>2106</v>
      </c>
      <c r="D40" s="2" t="s">
        <v>2107</v>
      </c>
      <c r="E40" s="4" t="s">
        <v>1347</v>
      </c>
      <c r="F40" s="2" t="s">
        <v>2114</v>
      </c>
      <c r="G40" s="2" t="s">
        <v>2115</v>
      </c>
      <c r="H40" s="2" t="s">
        <v>342</v>
      </c>
      <c r="I40" s="2" t="s">
        <v>990</v>
      </c>
      <c r="J40" s="2" t="s">
        <v>31</v>
      </c>
      <c r="K40" s="2" t="s">
        <v>31</v>
      </c>
      <c r="L40" s="2" t="s">
        <v>348</v>
      </c>
      <c r="M40" s="2" t="s">
        <v>40</v>
      </c>
      <c r="N40" s="2" t="s">
        <v>465</v>
      </c>
      <c r="O40" s="2" t="s">
        <v>163</v>
      </c>
      <c r="P40" s="2" t="s">
        <v>1981</v>
      </c>
      <c r="Q40" s="2" t="s">
        <v>99</v>
      </c>
      <c r="R40" s="2" t="s">
        <v>428</v>
      </c>
      <c r="S40" s="2" t="s">
        <v>35</v>
      </c>
      <c r="T40" s="152">
        <v>5.0819999999999999</v>
      </c>
      <c r="U40" s="2" t="s">
        <v>2116</v>
      </c>
      <c r="V40" s="163">
        <v>4.3799999999999999E-2</v>
      </c>
      <c r="W40" s="165">
        <v>4.9430000000000002E-2</v>
      </c>
      <c r="X40" s="4" t="s">
        <v>434</v>
      </c>
      <c r="Y40" s="4" t="s">
        <v>163</v>
      </c>
      <c r="Z40" s="152">
        <v>1145000</v>
      </c>
      <c r="AA40" s="152">
        <v>1</v>
      </c>
      <c r="AB40" s="152">
        <v>98.59</v>
      </c>
      <c r="AD40" s="152">
        <v>1128.855</v>
      </c>
      <c r="AG40" s="2" t="s">
        <v>37</v>
      </c>
      <c r="AH40" s="165">
        <v>2.2899999999999999E-3</v>
      </c>
      <c r="AI40" s="165">
        <v>2.7266012256578899E-3</v>
      </c>
      <c r="AJ40" s="165">
        <v>4.7144513139220199E-4</v>
      </c>
    </row>
    <row r="41" spans="1:36">
      <c r="A41" s="2" t="s">
        <v>26</v>
      </c>
      <c r="B41" s="2">
        <v>288</v>
      </c>
      <c r="C41" s="2" t="s">
        <v>1764</v>
      </c>
      <c r="D41" s="2" t="s">
        <v>1765</v>
      </c>
      <c r="E41" s="4" t="s">
        <v>1347</v>
      </c>
      <c r="F41" s="2" t="s">
        <v>2117</v>
      </c>
      <c r="G41" s="2" t="s">
        <v>2118</v>
      </c>
      <c r="H41" s="2" t="s">
        <v>342</v>
      </c>
      <c r="I41" s="2" t="s">
        <v>990</v>
      </c>
      <c r="J41" s="2" t="s">
        <v>31</v>
      </c>
      <c r="K41" s="2" t="s">
        <v>31</v>
      </c>
      <c r="L41" s="2" t="s">
        <v>348</v>
      </c>
      <c r="M41" s="2" t="s">
        <v>40</v>
      </c>
      <c r="N41" s="2" t="s">
        <v>465</v>
      </c>
      <c r="O41" s="2" t="s">
        <v>163</v>
      </c>
      <c r="P41" s="2" t="s">
        <v>2022</v>
      </c>
      <c r="Q41" s="2" t="s">
        <v>437</v>
      </c>
      <c r="R41" s="2" t="s">
        <v>428</v>
      </c>
      <c r="S41" s="2" t="s">
        <v>35</v>
      </c>
      <c r="T41" s="152">
        <v>5.2210000000000001</v>
      </c>
      <c r="U41" s="2" t="s">
        <v>2119</v>
      </c>
      <c r="V41" s="163">
        <v>1.95E-2</v>
      </c>
      <c r="W41" s="165">
        <v>5.008E-2</v>
      </c>
      <c r="X41" s="4" t="s">
        <v>434</v>
      </c>
      <c r="Y41" s="4" t="s">
        <v>163</v>
      </c>
      <c r="Z41" s="152">
        <v>5563759.2199999997</v>
      </c>
      <c r="AA41" s="152">
        <v>1</v>
      </c>
      <c r="AB41" s="152">
        <v>85.74</v>
      </c>
      <c r="AD41" s="152">
        <v>4770.3670000000002</v>
      </c>
      <c r="AG41" s="2" t="s">
        <v>37</v>
      </c>
      <c r="AH41" s="165">
        <v>4.8799999999999998E-3</v>
      </c>
      <c r="AI41" s="165">
        <v>1.1522191221359E-2</v>
      </c>
      <c r="AJ41" s="165">
        <v>1.99225354377554E-3</v>
      </c>
    </row>
    <row r="42" spans="1:36">
      <c r="A42" s="2" t="s">
        <v>26</v>
      </c>
      <c r="B42" s="2">
        <v>288</v>
      </c>
      <c r="C42" s="2" t="s">
        <v>2120</v>
      </c>
      <c r="D42" s="2" t="s">
        <v>2121</v>
      </c>
      <c r="E42" s="4" t="s">
        <v>1347</v>
      </c>
      <c r="F42" s="2" t="s">
        <v>2122</v>
      </c>
      <c r="G42" s="2" t="s">
        <v>2123</v>
      </c>
      <c r="H42" s="2" t="s">
        <v>342</v>
      </c>
      <c r="I42" s="2" t="s">
        <v>778</v>
      </c>
      <c r="J42" s="2" t="s">
        <v>31</v>
      </c>
      <c r="K42" s="2" t="s">
        <v>31</v>
      </c>
      <c r="L42" s="2" t="s">
        <v>348</v>
      </c>
      <c r="M42" s="2" t="s">
        <v>40</v>
      </c>
      <c r="N42" s="2" t="s">
        <v>471</v>
      </c>
      <c r="O42" s="2" t="s">
        <v>163</v>
      </c>
      <c r="P42" s="2" t="s">
        <v>1975</v>
      </c>
      <c r="Q42" s="2" t="s">
        <v>435</v>
      </c>
      <c r="R42" s="2" t="s">
        <v>428</v>
      </c>
      <c r="S42" s="2" t="s">
        <v>35</v>
      </c>
      <c r="T42" s="152">
        <v>0.18</v>
      </c>
      <c r="U42" s="2" t="s">
        <v>2113</v>
      </c>
      <c r="V42" s="163">
        <v>5.7000000000000002E-2</v>
      </c>
      <c r="W42" s="165">
        <v>9.8879999999999996E-2</v>
      </c>
      <c r="X42" s="4" t="s">
        <v>434</v>
      </c>
      <c r="Y42" s="4" t="s">
        <v>163</v>
      </c>
      <c r="Z42" s="152">
        <v>768750.02</v>
      </c>
      <c r="AA42" s="152">
        <v>1</v>
      </c>
      <c r="AB42" s="152">
        <v>96.77</v>
      </c>
      <c r="AD42" s="152">
        <v>743.91899999999998</v>
      </c>
      <c r="AG42" s="2" t="s">
        <v>37</v>
      </c>
      <c r="AH42" s="165">
        <v>1.3129999999999999E-3</v>
      </c>
      <c r="AI42" s="165">
        <v>1.7968389509873399E-3</v>
      </c>
      <c r="AJ42" s="165">
        <v>3.1068385335096402E-4</v>
      </c>
    </row>
    <row r="43" spans="1:36">
      <c r="A43" s="2" t="s">
        <v>26</v>
      </c>
      <c r="B43" s="2">
        <v>288</v>
      </c>
      <c r="C43" s="2" t="s">
        <v>2120</v>
      </c>
      <c r="D43" s="2" t="s">
        <v>2121</v>
      </c>
      <c r="E43" s="4" t="s">
        <v>1347</v>
      </c>
      <c r="F43" s="2" t="s">
        <v>2124</v>
      </c>
      <c r="G43" s="2" t="s">
        <v>2125</v>
      </c>
      <c r="H43" s="2" t="s">
        <v>342</v>
      </c>
      <c r="I43" s="2" t="s">
        <v>990</v>
      </c>
      <c r="J43" s="2" t="s">
        <v>31</v>
      </c>
      <c r="K43" s="2" t="s">
        <v>31</v>
      </c>
      <c r="L43" s="2" t="s">
        <v>348</v>
      </c>
      <c r="M43" s="2" t="s">
        <v>40</v>
      </c>
      <c r="N43" s="2" t="s">
        <v>471</v>
      </c>
      <c r="O43" s="2" t="s">
        <v>163</v>
      </c>
      <c r="P43" s="2" t="s">
        <v>1975</v>
      </c>
      <c r="Q43" s="2" t="s">
        <v>435</v>
      </c>
      <c r="R43" s="2" t="s">
        <v>428</v>
      </c>
      <c r="S43" s="2" t="s">
        <v>35</v>
      </c>
      <c r="T43" s="152">
        <v>2.6389999999999998</v>
      </c>
      <c r="U43" s="2" t="s">
        <v>2126</v>
      </c>
      <c r="V43" s="163">
        <v>2.1999999999999999E-2</v>
      </c>
      <c r="W43" s="165">
        <v>4.777E-2</v>
      </c>
      <c r="X43" s="4" t="s">
        <v>434</v>
      </c>
      <c r="Y43" s="4" t="s">
        <v>163</v>
      </c>
      <c r="Z43" s="152">
        <v>3570206.04</v>
      </c>
      <c r="AA43" s="152">
        <v>1</v>
      </c>
      <c r="AB43" s="152">
        <v>94.15</v>
      </c>
      <c r="AD43" s="152">
        <v>3361.3490000000002</v>
      </c>
      <c r="AG43" s="2" t="s">
        <v>37</v>
      </c>
      <c r="AH43" s="165">
        <v>2.745E-3</v>
      </c>
      <c r="AI43" s="165">
        <v>8.1188941072538202E-3</v>
      </c>
      <c r="AJ43" s="165">
        <v>1.4038037770741901E-3</v>
      </c>
    </row>
    <row r="44" spans="1:36">
      <c r="A44" s="2" t="s">
        <v>26</v>
      </c>
      <c r="B44" s="2">
        <v>288</v>
      </c>
      <c r="C44" s="2" t="s">
        <v>2127</v>
      </c>
      <c r="D44" s="2" t="s">
        <v>2128</v>
      </c>
      <c r="E44" s="4" t="s">
        <v>1347</v>
      </c>
      <c r="F44" s="2" t="s">
        <v>2129</v>
      </c>
      <c r="G44" s="2" t="s">
        <v>2130</v>
      </c>
      <c r="H44" s="2" t="s">
        <v>342</v>
      </c>
      <c r="I44" s="2" t="s">
        <v>777</v>
      </c>
      <c r="J44" s="2" t="s">
        <v>31</v>
      </c>
      <c r="K44" s="2" t="s">
        <v>31</v>
      </c>
      <c r="L44" s="2" t="s">
        <v>348</v>
      </c>
      <c r="M44" s="2" t="s">
        <v>40</v>
      </c>
      <c r="N44" s="2" t="s">
        <v>460</v>
      </c>
      <c r="O44" s="2" t="s">
        <v>163</v>
      </c>
      <c r="P44" s="2" t="s">
        <v>2131</v>
      </c>
      <c r="Q44" s="2" t="s">
        <v>437</v>
      </c>
      <c r="R44" s="2" t="s">
        <v>428</v>
      </c>
      <c r="S44" s="2" t="s">
        <v>35</v>
      </c>
      <c r="T44" s="152">
        <v>1.383</v>
      </c>
      <c r="U44" s="2" t="s">
        <v>2132</v>
      </c>
      <c r="V44" s="163">
        <v>4.4999999999999998E-2</v>
      </c>
      <c r="W44" s="165">
        <v>1.524E-2</v>
      </c>
      <c r="X44" s="4" t="s">
        <v>434</v>
      </c>
      <c r="Y44" s="4" t="s">
        <v>163</v>
      </c>
      <c r="Z44" s="152">
        <v>8101552</v>
      </c>
      <c r="AA44" s="152">
        <v>1</v>
      </c>
      <c r="AB44" s="152">
        <v>118.26</v>
      </c>
      <c r="AD44" s="152">
        <v>9580.8950000000004</v>
      </c>
      <c r="AG44" s="2" t="s">
        <v>37</v>
      </c>
      <c r="AH44" s="165">
        <v>2.7409999999999999E-3</v>
      </c>
      <c r="AI44" s="165">
        <v>2.31413862336254E-2</v>
      </c>
      <c r="AJ44" s="165">
        <v>4.0012796043824997E-3</v>
      </c>
    </row>
    <row r="45" spans="1:36">
      <c r="A45" s="2" t="s">
        <v>26</v>
      </c>
      <c r="B45" s="2">
        <v>288</v>
      </c>
      <c r="C45" s="2" t="s">
        <v>2127</v>
      </c>
      <c r="D45" s="2" t="s">
        <v>2128</v>
      </c>
      <c r="E45" s="4" t="s">
        <v>1347</v>
      </c>
      <c r="F45" s="2" t="s">
        <v>2133</v>
      </c>
      <c r="G45" s="2" t="s">
        <v>2134</v>
      </c>
      <c r="H45" s="2" t="s">
        <v>342</v>
      </c>
      <c r="I45" s="2" t="s">
        <v>777</v>
      </c>
      <c r="J45" s="2" t="s">
        <v>31</v>
      </c>
      <c r="K45" s="2" t="s">
        <v>31</v>
      </c>
      <c r="L45" s="2" t="s">
        <v>348</v>
      </c>
      <c r="M45" s="2" t="s">
        <v>40</v>
      </c>
      <c r="N45" s="2" t="s">
        <v>460</v>
      </c>
      <c r="O45" s="2" t="s">
        <v>163</v>
      </c>
      <c r="P45" s="2" t="s">
        <v>2131</v>
      </c>
      <c r="Q45" s="2" t="s">
        <v>437</v>
      </c>
      <c r="R45" s="2" t="s">
        <v>428</v>
      </c>
      <c r="S45" s="2" t="s">
        <v>35</v>
      </c>
      <c r="T45" s="152">
        <v>3.883</v>
      </c>
      <c r="U45" s="2" t="s">
        <v>2135</v>
      </c>
      <c r="V45" s="163">
        <v>3.85E-2</v>
      </c>
      <c r="W45" s="165">
        <v>1.95E-2</v>
      </c>
      <c r="X45" s="4" t="s">
        <v>434</v>
      </c>
      <c r="Y45" s="4" t="s">
        <v>163</v>
      </c>
      <c r="Z45" s="152">
        <v>1272340.45</v>
      </c>
      <c r="AA45" s="152">
        <v>1</v>
      </c>
      <c r="AB45" s="152">
        <v>120.49</v>
      </c>
      <c r="AC45" s="152">
        <v>43.414000000000001</v>
      </c>
      <c r="AD45" s="152">
        <v>1576.4570000000001</v>
      </c>
      <c r="AG45" s="2" t="s">
        <v>37</v>
      </c>
      <c r="AH45" s="165">
        <v>4.9299999999999995E-4</v>
      </c>
      <c r="AI45" s="165">
        <v>3.8077229403147201E-3</v>
      </c>
      <c r="AJ45" s="165">
        <v>6.5837733255937796E-4</v>
      </c>
    </row>
    <row r="46" spans="1:36">
      <c r="A46" s="2" t="s">
        <v>26</v>
      </c>
      <c r="B46" s="2">
        <v>288</v>
      </c>
      <c r="C46" s="2" t="s">
        <v>2127</v>
      </c>
      <c r="D46" s="2" t="s">
        <v>2128</v>
      </c>
      <c r="E46" s="4" t="s">
        <v>1347</v>
      </c>
      <c r="F46" s="2" t="s">
        <v>2136</v>
      </c>
      <c r="G46" s="2" t="s">
        <v>2137</v>
      </c>
      <c r="H46" s="2" t="s">
        <v>342</v>
      </c>
      <c r="I46" s="2" t="s">
        <v>777</v>
      </c>
      <c r="J46" s="2" t="s">
        <v>31</v>
      </c>
      <c r="K46" s="2" t="s">
        <v>31</v>
      </c>
      <c r="L46" s="2" t="s">
        <v>348</v>
      </c>
      <c r="M46" s="2" t="s">
        <v>40</v>
      </c>
      <c r="N46" s="2" t="s">
        <v>460</v>
      </c>
      <c r="O46" s="2" t="s">
        <v>163</v>
      </c>
      <c r="P46" s="2" t="s">
        <v>2131</v>
      </c>
      <c r="Q46" s="2" t="s">
        <v>437</v>
      </c>
      <c r="R46" s="2" t="s">
        <v>428</v>
      </c>
      <c r="S46" s="2" t="s">
        <v>35</v>
      </c>
      <c r="T46" s="152">
        <v>6.24</v>
      </c>
      <c r="U46" s="2" t="s">
        <v>2138</v>
      </c>
      <c r="V46" s="163">
        <v>2.3900000000000001E-2</v>
      </c>
      <c r="W46" s="165">
        <v>2.4760000000000001E-2</v>
      </c>
      <c r="X46" s="4" t="s">
        <v>434</v>
      </c>
      <c r="Y46" s="4" t="s">
        <v>163</v>
      </c>
      <c r="Z46" s="152">
        <v>3200000</v>
      </c>
      <c r="AA46" s="152">
        <v>1</v>
      </c>
      <c r="AB46" s="152">
        <v>110.76</v>
      </c>
      <c r="AD46" s="152">
        <v>3544.32</v>
      </c>
      <c r="AG46" s="2" t="s">
        <v>37</v>
      </c>
      <c r="AH46" s="165">
        <v>8.2299999999999995E-4</v>
      </c>
      <c r="AI46" s="165">
        <v>8.56083640122564E-3</v>
      </c>
      <c r="AJ46" s="165">
        <v>1.4802181573248399E-3</v>
      </c>
    </row>
    <row r="47" spans="1:36">
      <c r="A47" s="2" t="s">
        <v>26</v>
      </c>
      <c r="B47" s="2">
        <v>288</v>
      </c>
      <c r="C47" s="2" t="s">
        <v>2127</v>
      </c>
      <c r="D47" s="2" t="s">
        <v>2128</v>
      </c>
      <c r="E47" s="4" t="s">
        <v>1347</v>
      </c>
      <c r="F47" s="2" t="s">
        <v>2139</v>
      </c>
      <c r="G47" s="2" t="s">
        <v>2140</v>
      </c>
      <c r="H47" s="2" t="s">
        <v>342</v>
      </c>
      <c r="I47" s="2" t="s">
        <v>777</v>
      </c>
      <c r="J47" s="2" t="s">
        <v>31</v>
      </c>
      <c r="K47" s="2" t="s">
        <v>31</v>
      </c>
      <c r="L47" s="2" t="s">
        <v>348</v>
      </c>
      <c r="M47" s="2" t="s">
        <v>40</v>
      </c>
      <c r="N47" s="2" t="s">
        <v>460</v>
      </c>
      <c r="O47" s="2" t="s">
        <v>163</v>
      </c>
      <c r="P47" s="2" t="s">
        <v>2131</v>
      </c>
      <c r="Q47" s="2" t="s">
        <v>437</v>
      </c>
      <c r="R47" s="2" t="s">
        <v>428</v>
      </c>
      <c r="S47" s="2" t="s">
        <v>35</v>
      </c>
      <c r="T47" s="152">
        <v>11.125</v>
      </c>
      <c r="U47" s="2" t="s">
        <v>2141</v>
      </c>
      <c r="V47" s="163">
        <v>1.2500000000000001E-2</v>
      </c>
      <c r="W47" s="165">
        <v>2.955E-2</v>
      </c>
      <c r="X47" s="4" t="s">
        <v>434</v>
      </c>
      <c r="Y47" s="4" t="s">
        <v>163</v>
      </c>
      <c r="Z47" s="152">
        <v>4750000</v>
      </c>
      <c r="AA47" s="152">
        <v>1</v>
      </c>
      <c r="AB47" s="152">
        <v>92.01</v>
      </c>
      <c r="AD47" s="152">
        <v>4370.4750000000004</v>
      </c>
      <c r="AG47" s="2" t="s">
        <v>37</v>
      </c>
      <c r="AH47" s="165">
        <v>1.1069999999999999E-3</v>
      </c>
      <c r="AI47" s="165">
        <v>1.05563045861115E-2</v>
      </c>
      <c r="AJ47" s="165">
        <v>1.82524615473046E-3</v>
      </c>
    </row>
    <row r="48" spans="1:36">
      <c r="A48" s="2" t="s">
        <v>26</v>
      </c>
      <c r="B48" s="2">
        <v>288</v>
      </c>
      <c r="C48" s="2" t="s">
        <v>2127</v>
      </c>
      <c r="D48" s="2" t="s">
        <v>2128</v>
      </c>
      <c r="E48" s="4" t="s">
        <v>1347</v>
      </c>
      <c r="F48" s="2" t="s">
        <v>2142</v>
      </c>
      <c r="G48" s="2" t="s">
        <v>2143</v>
      </c>
      <c r="H48" s="2" t="s">
        <v>342</v>
      </c>
      <c r="I48" s="2" t="s">
        <v>777</v>
      </c>
      <c r="J48" s="2" t="s">
        <v>31</v>
      </c>
      <c r="K48" s="2" t="s">
        <v>31</v>
      </c>
      <c r="L48" s="2" t="s">
        <v>348</v>
      </c>
      <c r="M48" s="2" t="s">
        <v>40</v>
      </c>
      <c r="N48" s="2" t="s">
        <v>460</v>
      </c>
      <c r="O48" s="2" t="s">
        <v>163</v>
      </c>
      <c r="P48" s="2" t="s">
        <v>2131</v>
      </c>
      <c r="Q48" s="2" t="s">
        <v>437</v>
      </c>
      <c r="R48" s="2" t="s">
        <v>428</v>
      </c>
      <c r="S48" s="2" t="s">
        <v>35</v>
      </c>
      <c r="T48" s="152">
        <v>8.06</v>
      </c>
      <c r="U48" s="2" t="s">
        <v>2144</v>
      </c>
      <c r="V48" s="163">
        <v>0.03</v>
      </c>
      <c r="W48" s="165">
        <v>2.7439999999999999E-2</v>
      </c>
      <c r="X48" s="4" t="s">
        <v>434</v>
      </c>
      <c r="Y48" s="4" t="s">
        <v>163</v>
      </c>
      <c r="Z48" s="152">
        <v>4051000</v>
      </c>
      <c r="AA48" s="152">
        <v>1</v>
      </c>
      <c r="AB48" s="152">
        <v>104.51</v>
      </c>
      <c r="AD48" s="152">
        <v>4233.7</v>
      </c>
      <c r="AG48" s="2" t="s">
        <v>37</v>
      </c>
      <c r="AH48" s="165">
        <v>1.585E-3</v>
      </c>
      <c r="AI48" s="165">
        <v>1.02259428967905E-2</v>
      </c>
      <c r="AJ48" s="165">
        <v>1.7681247067668801E-3</v>
      </c>
    </row>
    <row r="49" spans="1:36">
      <c r="A49" s="2" t="s">
        <v>26</v>
      </c>
      <c r="B49" s="2">
        <v>288</v>
      </c>
      <c r="C49" s="2" t="s">
        <v>1958</v>
      </c>
      <c r="D49" s="2" t="s">
        <v>1959</v>
      </c>
      <c r="E49" s="4" t="s">
        <v>1347</v>
      </c>
      <c r="F49" s="2" t="s">
        <v>2145</v>
      </c>
      <c r="G49" s="2" t="s">
        <v>2146</v>
      </c>
      <c r="H49" s="2" t="s">
        <v>342</v>
      </c>
      <c r="I49" s="2" t="s">
        <v>778</v>
      </c>
      <c r="J49" s="2" t="s">
        <v>31</v>
      </c>
      <c r="K49" s="2" t="s">
        <v>31</v>
      </c>
      <c r="L49" s="2" t="s">
        <v>348</v>
      </c>
      <c r="M49" s="2" t="s">
        <v>40</v>
      </c>
      <c r="N49" s="2" t="s">
        <v>474</v>
      </c>
      <c r="O49" s="2" t="s">
        <v>163</v>
      </c>
      <c r="P49" s="2" t="s">
        <v>1991</v>
      </c>
      <c r="Q49" s="2" t="s">
        <v>435</v>
      </c>
      <c r="R49" s="2" t="s">
        <v>428</v>
      </c>
      <c r="S49" s="2" t="s">
        <v>35</v>
      </c>
      <c r="T49" s="152">
        <v>0.76</v>
      </c>
      <c r="U49" s="2" t="s">
        <v>2147</v>
      </c>
      <c r="V49" s="163">
        <v>3.49E-2</v>
      </c>
      <c r="W49" s="165">
        <v>6.6479999999999997E-2</v>
      </c>
      <c r="X49" s="4" t="s">
        <v>434</v>
      </c>
      <c r="Y49" s="4" t="s">
        <v>163</v>
      </c>
      <c r="Z49" s="152">
        <v>600000.13</v>
      </c>
      <c r="AA49" s="152">
        <v>1</v>
      </c>
      <c r="AB49" s="152">
        <v>101.56</v>
      </c>
      <c r="AD49" s="152">
        <v>609.36</v>
      </c>
      <c r="AG49" s="2" t="s">
        <v>37</v>
      </c>
      <c r="AH49" s="165">
        <v>7.1500000000000003E-4</v>
      </c>
      <c r="AI49" s="165">
        <v>1.47182884156085E-3</v>
      </c>
      <c r="AJ49" s="165">
        <v>2.5448772452196902E-4</v>
      </c>
    </row>
    <row r="50" spans="1:36">
      <c r="A50" s="2" t="s">
        <v>26</v>
      </c>
      <c r="B50" s="2">
        <v>288</v>
      </c>
      <c r="C50" s="2" t="s">
        <v>2148</v>
      </c>
      <c r="D50" s="2" t="s">
        <v>2149</v>
      </c>
      <c r="E50" s="4" t="s">
        <v>1347</v>
      </c>
      <c r="F50" s="2" t="s">
        <v>2150</v>
      </c>
      <c r="G50" s="2" t="s">
        <v>2151</v>
      </c>
      <c r="H50" s="2" t="s">
        <v>342</v>
      </c>
      <c r="I50" s="2" t="s">
        <v>777</v>
      </c>
      <c r="J50" s="2" t="s">
        <v>31</v>
      </c>
      <c r="K50" s="2" t="s">
        <v>31</v>
      </c>
      <c r="L50" s="2" t="s">
        <v>348</v>
      </c>
      <c r="M50" s="2" t="s">
        <v>40</v>
      </c>
      <c r="N50" s="2" t="s">
        <v>484</v>
      </c>
      <c r="O50" s="2" t="s">
        <v>163</v>
      </c>
      <c r="P50" s="2" t="s">
        <v>2022</v>
      </c>
      <c r="Q50" s="2" t="s">
        <v>437</v>
      </c>
      <c r="R50" s="2" t="s">
        <v>428</v>
      </c>
      <c r="S50" s="2" t="s">
        <v>35</v>
      </c>
      <c r="T50" s="152">
        <v>2.5910000000000002</v>
      </c>
      <c r="U50" s="2" t="s">
        <v>2152</v>
      </c>
      <c r="V50" s="163">
        <v>1.5800000000000002E-2</v>
      </c>
      <c r="W50" s="165">
        <v>2.0109999999999999E-2</v>
      </c>
      <c r="X50" s="4" t="s">
        <v>434</v>
      </c>
      <c r="Y50" s="4" t="s">
        <v>163</v>
      </c>
      <c r="Z50" s="152">
        <v>654999.43000000005</v>
      </c>
      <c r="AA50" s="152">
        <v>1</v>
      </c>
      <c r="AB50" s="152">
        <v>112.1</v>
      </c>
      <c r="AD50" s="152">
        <v>734.25400000000002</v>
      </c>
      <c r="AG50" s="2" t="s">
        <v>37</v>
      </c>
      <c r="AH50" s="165">
        <v>1.408E-3</v>
      </c>
      <c r="AI50" s="165">
        <v>1.77349434070973E-3</v>
      </c>
      <c r="AJ50" s="165">
        <v>3.0664743513327003E-4</v>
      </c>
    </row>
    <row r="51" spans="1:36">
      <c r="A51" s="2" t="s">
        <v>26</v>
      </c>
      <c r="B51" s="2">
        <v>288</v>
      </c>
      <c r="C51" s="2" t="s">
        <v>2153</v>
      </c>
      <c r="D51" s="2" t="s">
        <v>2154</v>
      </c>
      <c r="E51" s="4" t="s">
        <v>1347</v>
      </c>
      <c r="F51" s="2" t="s">
        <v>2155</v>
      </c>
      <c r="G51" s="2" t="s">
        <v>2156</v>
      </c>
      <c r="H51" s="2" t="s">
        <v>342</v>
      </c>
      <c r="I51" s="2" t="s">
        <v>990</v>
      </c>
      <c r="J51" s="2" t="s">
        <v>31</v>
      </c>
      <c r="K51" s="2" t="s">
        <v>31</v>
      </c>
      <c r="L51" s="2" t="s">
        <v>348</v>
      </c>
      <c r="M51" s="2" t="s">
        <v>40</v>
      </c>
      <c r="N51" s="2" t="s">
        <v>465</v>
      </c>
      <c r="O51" s="2" t="s">
        <v>163</v>
      </c>
      <c r="P51" s="2" t="s">
        <v>2010</v>
      </c>
      <c r="Q51" s="2" t="s">
        <v>437</v>
      </c>
      <c r="R51" s="2" t="s">
        <v>428</v>
      </c>
      <c r="S51" s="2" t="s">
        <v>35</v>
      </c>
      <c r="T51" s="152">
        <v>5.5540000000000003</v>
      </c>
      <c r="U51" s="2" t="s">
        <v>87</v>
      </c>
      <c r="V51" s="163">
        <v>2.64E-2</v>
      </c>
      <c r="W51" s="165">
        <v>5.0410000000000003E-2</v>
      </c>
      <c r="X51" s="4" t="s">
        <v>434</v>
      </c>
      <c r="Y51" s="4" t="s">
        <v>163</v>
      </c>
      <c r="Z51" s="152">
        <v>100000</v>
      </c>
      <c r="AA51" s="152">
        <v>1</v>
      </c>
      <c r="AB51" s="152">
        <v>88.01</v>
      </c>
      <c r="AD51" s="152">
        <v>88.01</v>
      </c>
      <c r="AG51" s="2" t="s">
        <v>37</v>
      </c>
      <c r="AH51" s="165">
        <v>6.0999999999999999E-5</v>
      </c>
      <c r="AI51" s="165">
        <v>2.1257652008618499E-4</v>
      </c>
      <c r="AJ51" s="165">
        <v>3.6755710552703803E-5</v>
      </c>
    </row>
    <row r="52" spans="1:36">
      <c r="A52" s="2" t="s">
        <v>26</v>
      </c>
      <c r="B52" s="2">
        <v>288</v>
      </c>
      <c r="C52" s="2" t="s">
        <v>1656</v>
      </c>
      <c r="D52" s="2" t="s">
        <v>1657</v>
      </c>
      <c r="E52" s="4" t="s">
        <v>1347</v>
      </c>
      <c r="F52" s="2" t="s">
        <v>2157</v>
      </c>
      <c r="G52" s="2" t="s">
        <v>2158</v>
      </c>
      <c r="H52" s="2" t="s">
        <v>342</v>
      </c>
      <c r="I52" s="2" t="s">
        <v>990</v>
      </c>
      <c r="J52" s="2" t="s">
        <v>31</v>
      </c>
      <c r="K52" s="2" t="s">
        <v>31</v>
      </c>
      <c r="L52" s="2" t="s">
        <v>348</v>
      </c>
      <c r="M52" s="2" t="s">
        <v>40</v>
      </c>
      <c r="N52" s="2" t="s">
        <v>465</v>
      </c>
      <c r="O52" s="2" t="s">
        <v>163</v>
      </c>
      <c r="P52" s="2" t="s">
        <v>1981</v>
      </c>
      <c r="Q52" s="2" t="s">
        <v>435</v>
      </c>
      <c r="R52" s="2" t="s">
        <v>428</v>
      </c>
      <c r="S52" s="2" t="s">
        <v>35</v>
      </c>
      <c r="T52" s="152">
        <v>3.6509999999999998</v>
      </c>
      <c r="U52" s="2" t="s">
        <v>2159</v>
      </c>
      <c r="V52" s="163">
        <v>4.7E-2</v>
      </c>
      <c r="W52" s="165">
        <v>4.7649999999999998E-2</v>
      </c>
      <c r="X52" s="4" t="s">
        <v>434</v>
      </c>
      <c r="Y52" s="4" t="s">
        <v>163</v>
      </c>
      <c r="Z52" s="152">
        <v>1700000</v>
      </c>
      <c r="AA52" s="152">
        <v>1</v>
      </c>
      <c r="AB52" s="152">
        <v>100.19</v>
      </c>
      <c r="AD52" s="152">
        <v>1703.23</v>
      </c>
      <c r="AG52" s="2" t="s">
        <v>37</v>
      </c>
      <c r="AH52" s="165">
        <v>3.4060000000000002E-3</v>
      </c>
      <c r="AI52" s="165">
        <v>4.1139268981524096E-3</v>
      </c>
      <c r="AJ52" s="165">
        <v>7.1132176894309301E-4</v>
      </c>
    </row>
    <row r="53" spans="1:36">
      <c r="A53" s="2" t="s">
        <v>26</v>
      </c>
      <c r="B53" s="2">
        <v>288</v>
      </c>
      <c r="C53" s="2" t="s">
        <v>1200</v>
      </c>
      <c r="D53" s="2" t="s">
        <v>1660</v>
      </c>
      <c r="E53" s="4" t="s">
        <v>1347</v>
      </c>
      <c r="F53" s="2" t="s">
        <v>2160</v>
      </c>
      <c r="G53" s="2" t="s">
        <v>2161</v>
      </c>
      <c r="H53" s="2" t="s">
        <v>342</v>
      </c>
      <c r="I53" s="2" t="s">
        <v>777</v>
      </c>
      <c r="J53" s="2" t="s">
        <v>31</v>
      </c>
      <c r="K53" s="2" t="s">
        <v>31</v>
      </c>
      <c r="L53" s="2" t="s">
        <v>348</v>
      </c>
      <c r="M53" s="2" t="s">
        <v>40</v>
      </c>
      <c r="N53" s="2" t="s">
        <v>468</v>
      </c>
      <c r="O53" s="2" t="s">
        <v>163</v>
      </c>
      <c r="P53" s="2" t="s">
        <v>128</v>
      </c>
      <c r="Q53" s="2" t="s">
        <v>437</v>
      </c>
      <c r="R53" s="2" t="s">
        <v>428</v>
      </c>
      <c r="S53" s="2" t="s">
        <v>35</v>
      </c>
      <c r="T53" s="152">
        <v>1.23</v>
      </c>
      <c r="U53" s="2" t="s">
        <v>2110</v>
      </c>
      <c r="V53" s="163">
        <v>8.3000000000000001E-3</v>
      </c>
      <c r="W53" s="165">
        <v>1.3979999999999999E-2</v>
      </c>
      <c r="X53" s="4" t="s">
        <v>434</v>
      </c>
      <c r="Y53" s="4" t="s">
        <v>163</v>
      </c>
      <c r="Z53" s="152">
        <v>2500000</v>
      </c>
      <c r="AA53" s="152">
        <v>1</v>
      </c>
      <c r="AB53" s="152">
        <v>111.66</v>
      </c>
      <c r="AD53" s="152">
        <v>2791.5</v>
      </c>
      <c r="AG53" s="2" t="s">
        <v>37</v>
      </c>
      <c r="AH53" s="165">
        <v>8.2200000000000003E-4</v>
      </c>
      <c r="AI53" s="165">
        <v>6.7424992139596199E-3</v>
      </c>
      <c r="AJ53" s="165">
        <v>1.1658171345059901E-3</v>
      </c>
    </row>
    <row r="54" spans="1:36">
      <c r="A54" s="2" t="s">
        <v>26</v>
      </c>
      <c r="B54" s="2">
        <v>288</v>
      </c>
      <c r="C54" s="2" t="s">
        <v>1200</v>
      </c>
      <c r="D54" s="2" t="s">
        <v>1660</v>
      </c>
      <c r="E54" s="4" t="s">
        <v>1347</v>
      </c>
      <c r="F54" s="2" t="s">
        <v>2162</v>
      </c>
      <c r="G54" s="2" t="s">
        <v>2163</v>
      </c>
      <c r="H54" s="2" t="s">
        <v>342</v>
      </c>
      <c r="I54" s="2" t="s">
        <v>777</v>
      </c>
      <c r="J54" s="2" t="s">
        <v>31</v>
      </c>
      <c r="K54" s="2" t="s">
        <v>31</v>
      </c>
      <c r="L54" s="2" t="s">
        <v>348</v>
      </c>
      <c r="M54" s="2" t="s">
        <v>40</v>
      </c>
      <c r="N54" s="2" t="s">
        <v>468</v>
      </c>
      <c r="O54" s="2" t="s">
        <v>163</v>
      </c>
      <c r="P54" s="2" t="s">
        <v>1202</v>
      </c>
      <c r="Q54" s="2" t="s">
        <v>435</v>
      </c>
      <c r="R54" s="2" t="s">
        <v>428</v>
      </c>
      <c r="S54" s="2" t="s">
        <v>35</v>
      </c>
      <c r="T54" s="152">
        <v>3.6459999999999999</v>
      </c>
      <c r="U54" s="2" t="s">
        <v>2164</v>
      </c>
      <c r="V54" s="163">
        <v>1E-3</v>
      </c>
      <c r="W54" s="165">
        <v>1.8010000000000002E-2</v>
      </c>
      <c r="X54" s="4" t="s">
        <v>434</v>
      </c>
      <c r="Y54" s="4" t="s">
        <v>163</v>
      </c>
      <c r="Z54" s="152">
        <v>1242000</v>
      </c>
      <c r="AA54" s="152">
        <v>1</v>
      </c>
      <c r="AB54" s="152">
        <v>102.55</v>
      </c>
      <c r="AD54" s="152">
        <v>1273.671</v>
      </c>
      <c r="AG54" s="2" t="s">
        <v>37</v>
      </c>
      <c r="AH54" s="165">
        <v>3.9599999999999998E-4</v>
      </c>
      <c r="AI54" s="165">
        <v>3.0763839213122598E-3</v>
      </c>
      <c r="AJ54" s="165">
        <v>5.3192458374471904E-4</v>
      </c>
    </row>
    <row r="55" spans="1:36">
      <c r="A55" s="2" t="s">
        <v>26</v>
      </c>
      <c r="B55" s="2">
        <v>288</v>
      </c>
      <c r="C55" s="2" t="s">
        <v>1200</v>
      </c>
      <c r="D55" s="2" t="s">
        <v>1660</v>
      </c>
      <c r="E55" s="4" t="s">
        <v>1347</v>
      </c>
      <c r="F55" s="2" t="s">
        <v>2165</v>
      </c>
      <c r="G55" s="2" t="s">
        <v>2166</v>
      </c>
      <c r="H55" s="2" t="s">
        <v>342</v>
      </c>
      <c r="I55" s="2" t="s">
        <v>777</v>
      </c>
      <c r="J55" s="2" t="s">
        <v>31</v>
      </c>
      <c r="K55" s="2" t="s">
        <v>31</v>
      </c>
      <c r="L55" s="2" t="s">
        <v>348</v>
      </c>
      <c r="M55" s="2" t="s">
        <v>40</v>
      </c>
      <c r="N55" s="2" t="s">
        <v>468</v>
      </c>
      <c r="O55" s="2" t="s">
        <v>163</v>
      </c>
      <c r="P55" s="2" t="s">
        <v>1202</v>
      </c>
      <c r="Q55" s="2" t="s">
        <v>435</v>
      </c>
      <c r="R55" s="2" t="s">
        <v>428</v>
      </c>
      <c r="S55" s="2" t="s">
        <v>35</v>
      </c>
      <c r="T55" s="152">
        <v>5.54</v>
      </c>
      <c r="U55" s="2" t="s">
        <v>2167</v>
      </c>
      <c r="V55" s="163">
        <v>2.0199999999999999E-2</v>
      </c>
      <c r="W55" s="165">
        <v>2.0369999999999999E-2</v>
      </c>
      <c r="X55" s="4" t="s">
        <v>434</v>
      </c>
      <c r="Y55" s="4" t="s">
        <v>163</v>
      </c>
      <c r="Z55" s="152">
        <v>4600000</v>
      </c>
      <c r="AA55" s="152">
        <v>1</v>
      </c>
      <c r="AB55" s="152">
        <v>100.75</v>
      </c>
      <c r="AD55" s="152">
        <v>4634.5</v>
      </c>
      <c r="AG55" s="2" t="s">
        <v>37</v>
      </c>
      <c r="AH55" s="165">
        <v>2.1670000000000001E-3</v>
      </c>
      <c r="AI55" s="165">
        <v>1.1194022069531E-2</v>
      </c>
      <c r="AJ55" s="165">
        <v>1.93551119823322E-3</v>
      </c>
    </row>
    <row r="56" spans="1:36">
      <c r="A56" s="2" t="s">
        <v>26</v>
      </c>
      <c r="B56" s="2">
        <v>288</v>
      </c>
      <c r="C56" s="2" t="s">
        <v>1200</v>
      </c>
      <c r="D56" s="2" t="s">
        <v>1660</v>
      </c>
      <c r="E56" s="4" t="s">
        <v>1347</v>
      </c>
      <c r="F56" s="2" t="s">
        <v>2168</v>
      </c>
      <c r="G56" s="2" t="s">
        <v>2169</v>
      </c>
      <c r="H56" s="2" t="s">
        <v>342</v>
      </c>
      <c r="I56" s="2" t="s">
        <v>777</v>
      </c>
      <c r="J56" s="2" t="s">
        <v>31</v>
      </c>
      <c r="K56" s="2" t="s">
        <v>31</v>
      </c>
      <c r="L56" s="2" t="s">
        <v>348</v>
      </c>
      <c r="M56" s="2" t="s">
        <v>40</v>
      </c>
      <c r="N56" s="2" t="s">
        <v>468</v>
      </c>
      <c r="O56" s="2" t="s">
        <v>163</v>
      </c>
      <c r="P56" s="2" t="s">
        <v>1202</v>
      </c>
      <c r="Q56" s="2" t="s">
        <v>435</v>
      </c>
      <c r="R56" s="2" t="s">
        <v>428</v>
      </c>
      <c r="S56" s="2" t="s">
        <v>35</v>
      </c>
      <c r="T56" s="152">
        <v>5.6390000000000002</v>
      </c>
      <c r="U56" s="2" t="s">
        <v>2170</v>
      </c>
      <c r="V56" s="163">
        <v>1E-3</v>
      </c>
      <c r="W56" s="165">
        <v>2.069E-2</v>
      </c>
      <c r="X56" s="4" t="s">
        <v>434</v>
      </c>
      <c r="Y56" s="4" t="s">
        <v>163</v>
      </c>
      <c r="Z56" s="152">
        <v>1295000</v>
      </c>
      <c r="AA56" s="152">
        <v>1</v>
      </c>
      <c r="AB56" s="152">
        <v>97.7</v>
      </c>
      <c r="AD56" s="152">
        <v>1265.2149999999999</v>
      </c>
      <c r="AG56" s="2" t="s">
        <v>37</v>
      </c>
      <c r="AH56" s="165">
        <v>1.302E-3</v>
      </c>
      <c r="AI56" s="165">
        <v>3.0559595711946701E-3</v>
      </c>
      <c r="AJ56" s="165">
        <v>5.2839309540891996E-4</v>
      </c>
    </row>
    <row r="57" spans="1:36">
      <c r="A57" s="2" t="s">
        <v>26</v>
      </c>
      <c r="B57" s="2">
        <v>288</v>
      </c>
      <c r="C57" s="2" t="s">
        <v>1780</v>
      </c>
      <c r="D57" s="2" t="s">
        <v>1781</v>
      </c>
      <c r="E57" s="4" t="s">
        <v>1347</v>
      </c>
      <c r="F57" s="2" t="s">
        <v>2171</v>
      </c>
      <c r="G57" s="2" t="s">
        <v>2172</v>
      </c>
      <c r="H57" s="2" t="s">
        <v>342</v>
      </c>
      <c r="I57" s="2" t="s">
        <v>777</v>
      </c>
      <c r="J57" s="2" t="s">
        <v>31</v>
      </c>
      <c r="K57" s="2" t="s">
        <v>31</v>
      </c>
      <c r="L57" s="2" t="s">
        <v>348</v>
      </c>
      <c r="M57" s="2" t="s">
        <v>40</v>
      </c>
      <c r="N57" s="2" t="s">
        <v>484</v>
      </c>
      <c r="O57" s="2" t="s">
        <v>163</v>
      </c>
      <c r="P57" s="2" t="s">
        <v>1991</v>
      </c>
      <c r="Q57" s="2" t="s">
        <v>437</v>
      </c>
      <c r="R57" s="2" t="s">
        <v>428</v>
      </c>
      <c r="S57" s="2" t="s">
        <v>35</v>
      </c>
      <c r="T57" s="152">
        <v>2.242</v>
      </c>
      <c r="U57" s="2" t="s">
        <v>2173</v>
      </c>
      <c r="V57" s="163">
        <v>2.4E-2</v>
      </c>
      <c r="W57" s="165">
        <v>2.069E-2</v>
      </c>
      <c r="X57" s="4" t="s">
        <v>434</v>
      </c>
      <c r="Y57" s="4" t="s">
        <v>163</v>
      </c>
      <c r="Z57" s="152">
        <v>3046090.94</v>
      </c>
      <c r="AA57" s="152">
        <v>1</v>
      </c>
      <c r="AB57" s="152">
        <v>112.83</v>
      </c>
      <c r="AD57" s="152">
        <v>3436.904</v>
      </c>
      <c r="AG57" s="2" t="s">
        <v>37</v>
      </c>
      <c r="AH57" s="165">
        <v>4.9410000000000001E-3</v>
      </c>
      <c r="AI57" s="165">
        <v>8.3013882381196002E-3</v>
      </c>
      <c r="AJ57" s="165">
        <v>1.4353580684368899E-3</v>
      </c>
    </row>
    <row r="58" spans="1:36">
      <c r="A58" s="2" t="s">
        <v>26</v>
      </c>
      <c r="B58" s="2">
        <v>288</v>
      </c>
      <c r="C58" s="2" t="s">
        <v>1780</v>
      </c>
      <c r="D58" s="2" t="s">
        <v>1781</v>
      </c>
      <c r="E58" s="4" t="s">
        <v>1347</v>
      </c>
      <c r="F58" s="2" t="s">
        <v>2174</v>
      </c>
      <c r="G58" s="2" t="s">
        <v>2175</v>
      </c>
      <c r="H58" s="2" t="s">
        <v>342</v>
      </c>
      <c r="I58" s="2" t="s">
        <v>990</v>
      </c>
      <c r="J58" s="2" t="s">
        <v>31</v>
      </c>
      <c r="K58" s="2" t="s">
        <v>31</v>
      </c>
      <c r="L58" s="2" t="s">
        <v>348</v>
      </c>
      <c r="M58" s="2" t="s">
        <v>40</v>
      </c>
      <c r="N58" s="2" t="s">
        <v>484</v>
      </c>
      <c r="O58" s="2" t="s">
        <v>163</v>
      </c>
      <c r="P58" s="2" t="s">
        <v>1991</v>
      </c>
      <c r="Q58" s="2" t="s">
        <v>435</v>
      </c>
      <c r="R58" s="2" t="s">
        <v>428</v>
      </c>
      <c r="S58" s="2" t="s">
        <v>35</v>
      </c>
      <c r="T58" s="152">
        <v>2.0840000000000001</v>
      </c>
      <c r="U58" s="2" t="s">
        <v>2126</v>
      </c>
      <c r="V58" s="163">
        <v>5.6500000000000002E-2</v>
      </c>
      <c r="W58" s="165">
        <v>4.6330000000000003E-2</v>
      </c>
      <c r="X58" s="4" t="s">
        <v>434</v>
      </c>
      <c r="Y58" s="4" t="s">
        <v>163</v>
      </c>
      <c r="Z58" s="152">
        <v>233753.43</v>
      </c>
      <c r="AA58" s="152">
        <v>1</v>
      </c>
      <c r="AB58" s="152">
        <v>103.65</v>
      </c>
      <c r="AD58" s="152">
        <v>242.285</v>
      </c>
      <c r="AG58" s="2" t="s">
        <v>37</v>
      </c>
      <c r="AH58" s="165">
        <v>9.990000000000001E-4</v>
      </c>
      <c r="AI58" s="165">
        <v>5.8520842652468399E-4</v>
      </c>
      <c r="AJ58" s="165">
        <v>1.0118592368349901E-4</v>
      </c>
    </row>
    <row r="59" spans="1:36">
      <c r="A59" s="2" t="s">
        <v>26</v>
      </c>
      <c r="B59" s="2">
        <v>288</v>
      </c>
      <c r="C59" s="2" t="s">
        <v>1780</v>
      </c>
      <c r="D59" s="2" t="s">
        <v>1781</v>
      </c>
      <c r="E59" s="4" t="s">
        <v>1347</v>
      </c>
      <c r="F59" s="2" t="s">
        <v>2176</v>
      </c>
      <c r="G59" s="2" t="s">
        <v>2177</v>
      </c>
      <c r="H59" s="2" t="s">
        <v>342</v>
      </c>
      <c r="I59" s="2" t="s">
        <v>777</v>
      </c>
      <c r="J59" s="2" t="s">
        <v>31</v>
      </c>
      <c r="K59" s="2" t="s">
        <v>31</v>
      </c>
      <c r="L59" s="2" t="s">
        <v>348</v>
      </c>
      <c r="M59" s="2" t="s">
        <v>40</v>
      </c>
      <c r="N59" s="2" t="s">
        <v>484</v>
      </c>
      <c r="O59" s="2" t="s">
        <v>163</v>
      </c>
      <c r="P59" s="2" t="s">
        <v>2022</v>
      </c>
      <c r="Q59" s="2" t="s">
        <v>437</v>
      </c>
      <c r="R59" s="2" t="s">
        <v>428</v>
      </c>
      <c r="S59" s="2" t="s">
        <v>35</v>
      </c>
      <c r="T59" s="152">
        <v>2.1539999999999999</v>
      </c>
      <c r="U59" s="2" t="s">
        <v>2126</v>
      </c>
      <c r="V59" s="163">
        <v>3.6999999999999998E-2</v>
      </c>
      <c r="W59" s="165">
        <v>2.189E-2</v>
      </c>
      <c r="X59" s="4" t="s">
        <v>434</v>
      </c>
      <c r="Y59" s="4" t="s">
        <v>163</v>
      </c>
      <c r="Z59" s="152">
        <v>1500000.26</v>
      </c>
      <c r="AA59" s="152">
        <v>1</v>
      </c>
      <c r="AB59" s="152">
        <v>116.15</v>
      </c>
      <c r="AD59" s="152">
        <v>1742.25</v>
      </c>
      <c r="AG59" s="2" t="s">
        <v>37</v>
      </c>
      <c r="AH59" s="165">
        <v>3.9899999999999996E-3</v>
      </c>
      <c r="AI59" s="165">
        <v>4.2081752791289602E-3</v>
      </c>
      <c r="AJ59" s="165">
        <v>7.2761785945125697E-4</v>
      </c>
    </row>
    <row r="60" spans="1:36">
      <c r="A60" s="2" t="s">
        <v>26</v>
      </c>
      <c r="B60" s="2">
        <v>288</v>
      </c>
      <c r="C60" s="2" t="s">
        <v>2178</v>
      </c>
      <c r="D60" s="2" t="s">
        <v>2179</v>
      </c>
      <c r="E60" s="4" t="s">
        <v>1347</v>
      </c>
      <c r="F60" s="2" t="s">
        <v>2180</v>
      </c>
      <c r="G60" s="2" t="s">
        <v>2181</v>
      </c>
      <c r="H60" s="2" t="s">
        <v>342</v>
      </c>
      <c r="I60" s="2" t="s">
        <v>990</v>
      </c>
      <c r="J60" s="2" t="s">
        <v>31</v>
      </c>
      <c r="K60" s="2" t="s">
        <v>31</v>
      </c>
      <c r="L60" s="2" t="s">
        <v>348</v>
      </c>
      <c r="M60" s="2" t="s">
        <v>40</v>
      </c>
      <c r="N60" s="2" t="s">
        <v>465</v>
      </c>
      <c r="O60" s="2" t="s">
        <v>163</v>
      </c>
      <c r="P60" s="2" t="s">
        <v>2182</v>
      </c>
      <c r="Q60" s="2" t="s">
        <v>437</v>
      </c>
      <c r="R60" s="2" t="s">
        <v>428</v>
      </c>
      <c r="S60" s="2" t="s">
        <v>35</v>
      </c>
      <c r="T60" s="152">
        <v>1.7250000000000001</v>
      </c>
      <c r="U60" s="2" t="s">
        <v>1976</v>
      </c>
      <c r="V60" s="163">
        <v>2.63E-2</v>
      </c>
      <c r="W60" s="165">
        <v>4.897E-2</v>
      </c>
      <c r="X60" s="4" t="s">
        <v>434</v>
      </c>
      <c r="Y60" s="4" t="s">
        <v>163</v>
      </c>
      <c r="Z60" s="152">
        <v>3000000</v>
      </c>
      <c r="AA60" s="152">
        <v>1</v>
      </c>
      <c r="AB60" s="152">
        <v>96.94</v>
      </c>
      <c r="AD60" s="152">
        <v>2908.2</v>
      </c>
      <c r="AG60" s="2" t="s">
        <v>37</v>
      </c>
      <c r="AH60" s="165">
        <v>2.1749999999999999E-3</v>
      </c>
      <c r="AI60" s="165">
        <v>7.0243726362304798E-3</v>
      </c>
      <c r="AJ60" s="165">
        <v>1.21455468048373E-3</v>
      </c>
    </row>
    <row r="61" spans="1:36">
      <c r="A61" s="2" t="s">
        <v>26</v>
      </c>
      <c r="B61" s="2">
        <v>288</v>
      </c>
      <c r="C61" s="2" t="s">
        <v>2178</v>
      </c>
      <c r="D61" s="2" t="s">
        <v>2179</v>
      </c>
      <c r="E61" s="4" t="s">
        <v>1347</v>
      </c>
      <c r="F61" s="2" t="s">
        <v>2183</v>
      </c>
      <c r="G61" s="2" t="s">
        <v>2184</v>
      </c>
      <c r="H61" s="2" t="s">
        <v>342</v>
      </c>
      <c r="I61" s="2" t="s">
        <v>990</v>
      </c>
      <c r="J61" s="2" t="s">
        <v>31</v>
      </c>
      <c r="K61" s="2" t="s">
        <v>31</v>
      </c>
      <c r="L61" s="2" t="s">
        <v>348</v>
      </c>
      <c r="M61" s="2" t="s">
        <v>40</v>
      </c>
      <c r="N61" s="2" t="s">
        <v>465</v>
      </c>
      <c r="O61" s="2" t="s">
        <v>163</v>
      </c>
      <c r="P61" s="2" t="s">
        <v>2182</v>
      </c>
      <c r="Q61" s="2" t="s">
        <v>437</v>
      </c>
      <c r="R61" s="2" t="s">
        <v>428</v>
      </c>
      <c r="S61" s="2" t="s">
        <v>35</v>
      </c>
      <c r="T61" s="152">
        <v>3.8079999999999998</v>
      </c>
      <c r="U61" s="2" t="s">
        <v>2185</v>
      </c>
      <c r="V61" s="163">
        <v>3.2599999999999997E-2</v>
      </c>
      <c r="W61" s="165">
        <v>4.8430000000000001E-2</v>
      </c>
      <c r="X61" s="4" t="s">
        <v>434</v>
      </c>
      <c r="Y61" s="4" t="s">
        <v>163</v>
      </c>
      <c r="Z61" s="152">
        <v>1600000</v>
      </c>
      <c r="AA61" s="152">
        <v>1</v>
      </c>
      <c r="AB61" s="152">
        <v>94.38</v>
      </c>
      <c r="AD61" s="152">
        <v>1510.08</v>
      </c>
      <c r="AG61" s="2" t="s">
        <v>37</v>
      </c>
      <c r="AH61" s="165">
        <v>1.6230000000000001E-3</v>
      </c>
      <c r="AI61" s="165">
        <v>3.6473986075644502E-3</v>
      </c>
      <c r="AJ61" s="165">
        <v>6.3065632759262496E-4</v>
      </c>
    </row>
    <row r="62" spans="1:36">
      <c r="A62" s="2" t="s">
        <v>26</v>
      </c>
      <c r="B62" s="2">
        <v>288</v>
      </c>
      <c r="C62" s="2" t="s">
        <v>2186</v>
      </c>
      <c r="D62" s="2" t="s">
        <v>2187</v>
      </c>
      <c r="E62" s="4" t="s">
        <v>1347</v>
      </c>
      <c r="F62" s="2" t="s">
        <v>2188</v>
      </c>
      <c r="G62" s="2" t="s">
        <v>2189</v>
      </c>
      <c r="H62" s="2" t="s">
        <v>342</v>
      </c>
      <c r="I62" s="2" t="s">
        <v>777</v>
      </c>
      <c r="J62" s="2" t="s">
        <v>31</v>
      </c>
      <c r="K62" s="2" t="s">
        <v>31</v>
      </c>
      <c r="L62" s="2" t="s">
        <v>348</v>
      </c>
      <c r="M62" s="2" t="s">
        <v>40</v>
      </c>
      <c r="N62" s="2" t="s">
        <v>484</v>
      </c>
      <c r="O62" s="2" t="s">
        <v>163</v>
      </c>
      <c r="P62" s="2" t="s">
        <v>1975</v>
      </c>
      <c r="Q62" s="2" t="s">
        <v>435</v>
      </c>
      <c r="R62" s="2" t="s">
        <v>428</v>
      </c>
      <c r="S62" s="2" t="s">
        <v>35</v>
      </c>
      <c r="T62" s="152">
        <v>2.077</v>
      </c>
      <c r="U62" s="2" t="s">
        <v>2190</v>
      </c>
      <c r="V62" s="163">
        <v>2.0500000000000001E-2</v>
      </c>
      <c r="W62" s="165">
        <v>2.3279999999999999E-2</v>
      </c>
      <c r="X62" s="4" t="s">
        <v>434</v>
      </c>
      <c r="Y62" s="4" t="s">
        <v>163</v>
      </c>
      <c r="Z62" s="152">
        <v>2313688.56</v>
      </c>
      <c r="AA62" s="152">
        <v>1</v>
      </c>
      <c r="AB62" s="152">
        <v>112.41</v>
      </c>
      <c r="AD62" s="152">
        <v>2600.817</v>
      </c>
      <c r="AG62" s="2" t="s">
        <v>37</v>
      </c>
      <c r="AH62" s="165">
        <v>3.0200000000000001E-3</v>
      </c>
      <c r="AI62" s="165">
        <v>6.2819303852134599E-3</v>
      </c>
      <c r="AJ62" s="165">
        <v>1.08618211859676E-3</v>
      </c>
    </row>
    <row r="63" spans="1:36">
      <c r="A63" s="2" t="s">
        <v>26</v>
      </c>
      <c r="B63" s="2">
        <v>288</v>
      </c>
      <c r="C63" s="2" t="s">
        <v>2191</v>
      </c>
      <c r="D63" s="2" t="s">
        <v>2192</v>
      </c>
      <c r="E63" s="4" t="s">
        <v>1347</v>
      </c>
      <c r="F63" s="2" t="s">
        <v>2193</v>
      </c>
      <c r="G63" s="2" t="s">
        <v>2194</v>
      </c>
      <c r="H63" s="2" t="s">
        <v>342</v>
      </c>
      <c r="I63" s="2" t="s">
        <v>777</v>
      </c>
      <c r="J63" s="2" t="s">
        <v>31</v>
      </c>
      <c r="K63" s="2" t="s">
        <v>31</v>
      </c>
      <c r="L63" s="2" t="s">
        <v>348</v>
      </c>
      <c r="M63" s="2" t="s">
        <v>40</v>
      </c>
      <c r="N63" s="2" t="s">
        <v>468</v>
      </c>
      <c r="O63" s="2" t="s">
        <v>163</v>
      </c>
      <c r="P63" s="2" t="s">
        <v>128</v>
      </c>
      <c r="Q63" s="2" t="s">
        <v>437</v>
      </c>
      <c r="R63" s="2" t="s">
        <v>428</v>
      </c>
      <c r="S63" s="2" t="s">
        <v>35</v>
      </c>
      <c r="T63" s="152">
        <v>3.4209999999999998</v>
      </c>
      <c r="U63" s="2" t="s">
        <v>2195</v>
      </c>
      <c r="V63" s="163">
        <v>1.2200000000000001E-2</v>
      </c>
      <c r="W63" s="165">
        <v>1.7999999999999999E-2</v>
      </c>
      <c r="X63" s="4" t="s">
        <v>434</v>
      </c>
      <c r="Y63" s="4" t="s">
        <v>163</v>
      </c>
      <c r="Z63" s="152">
        <v>2000000</v>
      </c>
      <c r="AA63" s="152">
        <v>1</v>
      </c>
      <c r="AB63" s="152">
        <v>111.35</v>
      </c>
      <c r="AD63" s="152">
        <v>2227</v>
      </c>
      <c r="AG63" s="2" t="s">
        <v>37</v>
      </c>
      <c r="AH63" s="165">
        <v>6.6299999999999996E-4</v>
      </c>
      <c r="AI63" s="165">
        <v>5.3790240908071201E-3</v>
      </c>
      <c r="AJ63" s="165">
        <v>9.3006439496501803E-4</v>
      </c>
    </row>
    <row r="64" spans="1:36">
      <c r="A64" s="2" t="s">
        <v>26</v>
      </c>
      <c r="B64" s="2">
        <v>288</v>
      </c>
      <c r="C64" s="2" t="s">
        <v>2191</v>
      </c>
      <c r="D64" s="2" t="s">
        <v>2192</v>
      </c>
      <c r="E64" s="4" t="s">
        <v>1347</v>
      </c>
      <c r="F64" s="2" t="s">
        <v>2196</v>
      </c>
      <c r="G64" s="2" t="s">
        <v>2197</v>
      </c>
      <c r="H64" s="2" t="s">
        <v>342</v>
      </c>
      <c r="I64" s="2" t="s">
        <v>777</v>
      </c>
      <c r="J64" s="2" t="s">
        <v>31</v>
      </c>
      <c r="K64" s="2" t="s">
        <v>31</v>
      </c>
      <c r="L64" s="2" t="s">
        <v>348</v>
      </c>
      <c r="M64" s="2" t="s">
        <v>40</v>
      </c>
      <c r="N64" s="2" t="s">
        <v>468</v>
      </c>
      <c r="O64" s="2" t="s">
        <v>163</v>
      </c>
      <c r="P64" s="2" t="s">
        <v>128</v>
      </c>
      <c r="Q64" s="2" t="s">
        <v>437</v>
      </c>
      <c r="R64" s="2" t="s">
        <v>428</v>
      </c>
      <c r="S64" s="2" t="s">
        <v>35</v>
      </c>
      <c r="T64" s="152">
        <v>4.5510000000000002</v>
      </c>
      <c r="U64" s="2" t="s">
        <v>2198</v>
      </c>
      <c r="V64" s="163">
        <v>1E-3</v>
      </c>
      <c r="W64" s="165">
        <v>1.9689999999999999E-2</v>
      </c>
      <c r="X64" s="4" t="s">
        <v>434</v>
      </c>
      <c r="Y64" s="4" t="s">
        <v>163</v>
      </c>
      <c r="Z64" s="152">
        <v>3308000</v>
      </c>
      <c r="AA64" s="152">
        <v>1</v>
      </c>
      <c r="AB64" s="152">
        <v>100.35</v>
      </c>
      <c r="AD64" s="152">
        <v>3319.578</v>
      </c>
      <c r="AG64" s="2" t="s">
        <v>37</v>
      </c>
      <c r="AH64" s="165">
        <v>9.7999999999999997E-4</v>
      </c>
      <c r="AI64" s="165">
        <v>8.0180018110971394E-3</v>
      </c>
      <c r="AJ64" s="165">
        <v>1.3863589151814899E-3</v>
      </c>
    </row>
    <row r="65" spans="1:36">
      <c r="A65" s="2" t="s">
        <v>26</v>
      </c>
      <c r="B65" s="2">
        <v>288</v>
      </c>
      <c r="C65" s="2" t="s">
        <v>2191</v>
      </c>
      <c r="D65" s="2" t="s">
        <v>2192</v>
      </c>
      <c r="E65" s="4" t="s">
        <v>1347</v>
      </c>
      <c r="F65" s="2" t="s">
        <v>2199</v>
      </c>
      <c r="G65" s="2" t="s">
        <v>2200</v>
      </c>
      <c r="H65" s="2" t="s">
        <v>342</v>
      </c>
      <c r="I65" s="2" t="s">
        <v>777</v>
      </c>
      <c r="J65" s="2" t="s">
        <v>31</v>
      </c>
      <c r="K65" s="2" t="s">
        <v>31</v>
      </c>
      <c r="L65" s="2" t="s">
        <v>348</v>
      </c>
      <c r="M65" s="2" t="s">
        <v>40</v>
      </c>
      <c r="N65" s="2" t="s">
        <v>468</v>
      </c>
      <c r="O65" s="2" t="s">
        <v>163</v>
      </c>
      <c r="P65" s="2" t="s">
        <v>128</v>
      </c>
      <c r="Q65" s="2" t="s">
        <v>437</v>
      </c>
      <c r="R65" s="2" t="s">
        <v>428</v>
      </c>
      <c r="S65" s="2" t="s">
        <v>35</v>
      </c>
      <c r="T65" s="152">
        <v>4.3949999999999996</v>
      </c>
      <c r="U65" s="2" t="s">
        <v>2144</v>
      </c>
      <c r="V65" s="163">
        <v>2.06E-2</v>
      </c>
      <c r="W65" s="165">
        <v>1.9730000000000001E-2</v>
      </c>
      <c r="X65" s="4" t="s">
        <v>434</v>
      </c>
      <c r="Y65" s="4" t="s">
        <v>163</v>
      </c>
      <c r="Z65" s="152">
        <v>7500000</v>
      </c>
      <c r="AA65" s="152">
        <v>1</v>
      </c>
      <c r="AB65" s="152">
        <v>103.41</v>
      </c>
      <c r="AD65" s="152">
        <v>7755.75</v>
      </c>
      <c r="AG65" s="2" t="s">
        <v>37</v>
      </c>
      <c r="AH65" s="165">
        <v>3.7499999999999999E-3</v>
      </c>
      <c r="AI65" s="165">
        <v>1.87329888155713E-2</v>
      </c>
      <c r="AJ65" s="165">
        <v>3.2390421783789602E-3</v>
      </c>
    </row>
    <row r="66" spans="1:36">
      <c r="A66" s="2" t="s">
        <v>26</v>
      </c>
      <c r="B66" s="2">
        <v>288</v>
      </c>
      <c r="C66" s="2" t="s">
        <v>2191</v>
      </c>
      <c r="D66" s="2" t="s">
        <v>2192</v>
      </c>
      <c r="E66" s="4" t="s">
        <v>1347</v>
      </c>
      <c r="F66" s="2" t="s">
        <v>2201</v>
      </c>
      <c r="G66" s="2" t="s">
        <v>2202</v>
      </c>
      <c r="H66" s="2" t="s">
        <v>342</v>
      </c>
      <c r="I66" s="2" t="s">
        <v>777</v>
      </c>
      <c r="J66" s="2" t="s">
        <v>31</v>
      </c>
      <c r="K66" s="2" t="s">
        <v>31</v>
      </c>
      <c r="L66" s="2" t="s">
        <v>348</v>
      </c>
      <c r="M66" s="2" t="s">
        <v>40</v>
      </c>
      <c r="N66" s="2" t="s">
        <v>468</v>
      </c>
      <c r="O66" s="2" t="s">
        <v>163</v>
      </c>
      <c r="P66" s="2" t="s">
        <v>1202</v>
      </c>
      <c r="Q66" s="2" t="s">
        <v>435</v>
      </c>
      <c r="R66" s="2" t="s">
        <v>428</v>
      </c>
      <c r="S66" s="2" t="s">
        <v>35</v>
      </c>
      <c r="T66" s="152">
        <v>4.93</v>
      </c>
      <c r="U66" s="2" t="s">
        <v>2203</v>
      </c>
      <c r="V66" s="163">
        <v>1.9900000000000001E-2</v>
      </c>
      <c r="W66" s="165">
        <v>1.9460000000000002E-2</v>
      </c>
      <c r="X66" s="4" t="s">
        <v>434</v>
      </c>
      <c r="Y66" s="4" t="s">
        <v>163</v>
      </c>
      <c r="Z66" s="152">
        <v>4600000</v>
      </c>
      <c r="AA66" s="152">
        <v>1</v>
      </c>
      <c r="AB66" s="152">
        <v>100.72</v>
      </c>
      <c r="AD66" s="152">
        <v>4633.12</v>
      </c>
      <c r="AG66" s="2" t="s">
        <v>37</v>
      </c>
      <c r="AH66" s="165">
        <v>1.704E-3</v>
      </c>
      <c r="AI66" s="165">
        <v>1.11906888619669E-2</v>
      </c>
      <c r="AJ66" s="165">
        <v>1.9349348673553301E-3</v>
      </c>
    </row>
    <row r="67" spans="1:36">
      <c r="A67" s="2" t="s">
        <v>26</v>
      </c>
      <c r="B67" s="2">
        <v>288</v>
      </c>
      <c r="C67" s="2" t="s">
        <v>2191</v>
      </c>
      <c r="D67" s="2" t="s">
        <v>2192</v>
      </c>
      <c r="E67" s="4" t="s">
        <v>1347</v>
      </c>
      <c r="F67" s="2" t="s">
        <v>2204</v>
      </c>
      <c r="G67" s="2" t="s">
        <v>2205</v>
      </c>
      <c r="H67" s="2" t="s">
        <v>342</v>
      </c>
      <c r="I67" s="2" t="s">
        <v>990</v>
      </c>
      <c r="J67" s="2" t="s">
        <v>31</v>
      </c>
      <c r="K67" s="2" t="s">
        <v>31</v>
      </c>
      <c r="L67" s="2" t="s">
        <v>348</v>
      </c>
      <c r="M67" s="2" t="s">
        <v>40</v>
      </c>
      <c r="N67" s="2" t="s">
        <v>468</v>
      </c>
      <c r="O67" s="2" t="s">
        <v>163</v>
      </c>
      <c r="P67" s="2" t="s">
        <v>128</v>
      </c>
      <c r="Q67" s="2" t="s">
        <v>437</v>
      </c>
      <c r="R67" s="2" t="s">
        <v>428</v>
      </c>
      <c r="S67" s="2" t="s">
        <v>35</v>
      </c>
      <c r="T67" s="152">
        <v>0.43</v>
      </c>
      <c r="U67" s="2" t="s">
        <v>2206</v>
      </c>
      <c r="V67" s="163">
        <v>1.09E-2</v>
      </c>
      <c r="W67" s="165">
        <v>4.6129999999999997E-2</v>
      </c>
      <c r="X67" s="4" t="s">
        <v>434</v>
      </c>
      <c r="Y67" s="4" t="s">
        <v>163</v>
      </c>
      <c r="Z67" s="152">
        <v>4000000</v>
      </c>
      <c r="AA67" s="152">
        <v>1</v>
      </c>
      <c r="AB67" s="152">
        <v>99.16</v>
      </c>
      <c r="AD67" s="152">
        <v>3966.4</v>
      </c>
      <c r="AG67" s="2" t="s">
        <v>37</v>
      </c>
      <c r="AH67" s="165">
        <v>5.2189999999999997E-3</v>
      </c>
      <c r="AI67" s="165">
        <v>9.5803148422888996E-3</v>
      </c>
      <c r="AJ67" s="165">
        <v>1.6564918797437099E-3</v>
      </c>
    </row>
    <row r="68" spans="1:36">
      <c r="A68" s="2" t="s">
        <v>26</v>
      </c>
      <c r="B68" s="2">
        <v>288</v>
      </c>
      <c r="C68" s="2" t="s">
        <v>2191</v>
      </c>
      <c r="D68" s="2" t="s">
        <v>2192</v>
      </c>
      <c r="E68" s="4" t="s">
        <v>1347</v>
      </c>
      <c r="F68" s="2" t="s">
        <v>2207</v>
      </c>
      <c r="G68" s="2" t="s">
        <v>2208</v>
      </c>
      <c r="H68" s="2" t="s">
        <v>342</v>
      </c>
      <c r="I68" s="2" t="s">
        <v>777</v>
      </c>
      <c r="J68" s="2" t="s">
        <v>31</v>
      </c>
      <c r="K68" s="2" t="s">
        <v>31</v>
      </c>
      <c r="L68" s="2" t="s">
        <v>348</v>
      </c>
      <c r="M68" s="2" t="s">
        <v>40</v>
      </c>
      <c r="N68" s="2" t="s">
        <v>468</v>
      </c>
      <c r="O68" s="2" t="s">
        <v>163</v>
      </c>
      <c r="P68" s="2" t="s">
        <v>128</v>
      </c>
      <c r="Q68" s="2" t="s">
        <v>437</v>
      </c>
      <c r="R68" s="2" t="s">
        <v>428</v>
      </c>
      <c r="S68" s="2" t="s">
        <v>35</v>
      </c>
      <c r="T68" s="152">
        <v>2.6619999999999999</v>
      </c>
      <c r="U68" s="2" t="s">
        <v>2209</v>
      </c>
      <c r="V68" s="163">
        <v>5.0000000000000001E-3</v>
      </c>
      <c r="W68" s="165">
        <v>1.7579999999999998E-2</v>
      </c>
      <c r="X68" s="4" t="s">
        <v>434</v>
      </c>
      <c r="Y68" s="4" t="s">
        <v>163</v>
      </c>
      <c r="Z68" s="152">
        <v>1429000</v>
      </c>
      <c r="AA68" s="152">
        <v>1</v>
      </c>
      <c r="AB68" s="152">
        <v>107.2</v>
      </c>
      <c r="AD68" s="152">
        <v>1531.8879999999999</v>
      </c>
      <c r="AG68" s="2" t="s">
        <v>37</v>
      </c>
      <c r="AH68" s="165">
        <v>1.872E-3</v>
      </c>
      <c r="AI68" s="165">
        <v>3.7000729485488701E-3</v>
      </c>
      <c r="AJ68" s="165">
        <v>6.3976402598750395E-4</v>
      </c>
    </row>
    <row r="69" spans="1:36">
      <c r="A69" s="2" t="s">
        <v>26</v>
      </c>
      <c r="B69" s="2">
        <v>288</v>
      </c>
      <c r="C69" s="2" t="s">
        <v>2191</v>
      </c>
      <c r="D69" s="2" t="s">
        <v>2192</v>
      </c>
      <c r="E69" s="4" t="s">
        <v>1347</v>
      </c>
      <c r="F69" s="2" t="s">
        <v>2210</v>
      </c>
      <c r="G69" s="2" t="s">
        <v>2211</v>
      </c>
      <c r="H69" s="2" t="s">
        <v>342</v>
      </c>
      <c r="I69" s="2" t="s">
        <v>777</v>
      </c>
      <c r="J69" s="2" t="s">
        <v>31</v>
      </c>
      <c r="K69" s="2" t="s">
        <v>31</v>
      </c>
      <c r="L69" s="2" t="s">
        <v>348</v>
      </c>
      <c r="M69" s="2" t="s">
        <v>40</v>
      </c>
      <c r="N69" s="2" t="s">
        <v>468</v>
      </c>
      <c r="O69" s="2" t="s">
        <v>163</v>
      </c>
      <c r="P69" s="2" t="s">
        <v>128</v>
      </c>
      <c r="Q69" s="2" t="s">
        <v>437</v>
      </c>
      <c r="R69" s="2" t="s">
        <v>428</v>
      </c>
      <c r="S69" s="2" t="s">
        <v>35</v>
      </c>
      <c r="T69" s="152">
        <v>0.91800000000000004</v>
      </c>
      <c r="U69" s="2" t="s">
        <v>2212</v>
      </c>
      <c r="V69" s="163">
        <v>9.4999999999999998E-3</v>
      </c>
      <c r="W69" s="165">
        <v>1.9959999999999999E-2</v>
      </c>
      <c r="X69" s="4" t="s">
        <v>434</v>
      </c>
      <c r="Y69" s="4" t="s">
        <v>163</v>
      </c>
      <c r="Z69" s="152">
        <v>548026.30000000005</v>
      </c>
      <c r="AA69" s="152">
        <v>1</v>
      </c>
      <c r="AB69" s="152">
        <v>111.65</v>
      </c>
      <c r="AD69" s="152">
        <v>611.87099999999998</v>
      </c>
      <c r="AG69" s="2" t="s">
        <v>37</v>
      </c>
      <c r="AH69" s="165">
        <v>1.7049999999999999E-3</v>
      </c>
      <c r="AI69" s="165">
        <v>1.47789439028382E-3</v>
      </c>
      <c r="AJ69" s="165">
        <v>2.5553649299891199E-4</v>
      </c>
    </row>
    <row r="70" spans="1:36">
      <c r="A70" s="2" t="s">
        <v>26</v>
      </c>
      <c r="B70" s="2">
        <v>288</v>
      </c>
      <c r="C70" s="2" t="s">
        <v>2191</v>
      </c>
      <c r="D70" s="2" t="s">
        <v>2192</v>
      </c>
      <c r="E70" s="4" t="s">
        <v>1347</v>
      </c>
      <c r="F70" s="2" t="s">
        <v>2213</v>
      </c>
      <c r="G70" s="2" t="s">
        <v>2214</v>
      </c>
      <c r="H70" s="2" t="s">
        <v>342</v>
      </c>
      <c r="I70" s="2" t="s">
        <v>990</v>
      </c>
      <c r="J70" s="2" t="s">
        <v>31</v>
      </c>
      <c r="K70" s="2" t="s">
        <v>31</v>
      </c>
      <c r="L70" s="2" t="s">
        <v>348</v>
      </c>
      <c r="M70" s="2" t="s">
        <v>40</v>
      </c>
      <c r="N70" s="2" t="s">
        <v>468</v>
      </c>
      <c r="O70" s="2" t="s">
        <v>163</v>
      </c>
      <c r="P70" s="2" t="s">
        <v>128</v>
      </c>
      <c r="Q70" s="2" t="s">
        <v>437</v>
      </c>
      <c r="R70" s="2" t="s">
        <v>428</v>
      </c>
      <c r="S70" s="2" t="s">
        <v>35</v>
      </c>
      <c r="T70" s="152">
        <v>1.157</v>
      </c>
      <c r="U70" s="2" t="s">
        <v>1350</v>
      </c>
      <c r="V70" s="163">
        <v>2.98E-2</v>
      </c>
      <c r="W70" s="165">
        <v>4.4519999999999997E-2</v>
      </c>
      <c r="X70" s="4" t="s">
        <v>434</v>
      </c>
      <c r="Y70" s="4" t="s">
        <v>163</v>
      </c>
      <c r="Z70" s="152">
        <v>3930000</v>
      </c>
      <c r="AA70" s="152">
        <v>1</v>
      </c>
      <c r="AB70" s="152">
        <v>100.79</v>
      </c>
      <c r="AD70" s="152">
        <v>3961.047</v>
      </c>
      <c r="AG70" s="2" t="s">
        <v>37</v>
      </c>
      <c r="AH70" s="165">
        <v>2.9810000000000001E-3</v>
      </c>
      <c r="AI70" s="165">
        <v>9.5673853784549994E-3</v>
      </c>
      <c r="AJ70" s="165">
        <v>1.65425630062102E-3</v>
      </c>
    </row>
    <row r="71" spans="1:36">
      <c r="A71" s="2" t="s">
        <v>26</v>
      </c>
      <c r="B71" s="2">
        <v>288</v>
      </c>
      <c r="C71" s="2" t="s">
        <v>2191</v>
      </c>
      <c r="D71" s="2" t="s">
        <v>2192</v>
      </c>
      <c r="E71" s="4" t="s">
        <v>1347</v>
      </c>
      <c r="F71" s="2" t="s">
        <v>2215</v>
      </c>
      <c r="G71" s="2" t="s">
        <v>2216</v>
      </c>
      <c r="H71" s="2" t="s">
        <v>342</v>
      </c>
      <c r="I71" s="2" t="s">
        <v>777</v>
      </c>
      <c r="J71" s="2" t="s">
        <v>31</v>
      </c>
      <c r="K71" s="2" t="s">
        <v>31</v>
      </c>
      <c r="L71" s="2" t="s">
        <v>348</v>
      </c>
      <c r="M71" s="2" t="s">
        <v>40</v>
      </c>
      <c r="N71" s="2" t="s">
        <v>468</v>
      </c>
      <c r="O71" s="2" t="s">
        <v>163</v>
      </c>
      <c r="P71" s="2" t="s">
        <v>128</v>
      </c>
      <c r="Q71" s="2" t="s">
        <v>437</v>
      </c>
      <c r="R71" s="2" t="s">
        <v>428</v>
      </c>
      <c r="S71" s="2" t="s">
        <v>35</v>
      </c>
      <c r="T71" s="152">
        <v>4.01</v>
      </c>
      <c r="U71" s="2" t="s">
        <v>2217</v>
      </c>
      <c r="V71" s="163">
        <v>1.6400000000000001E-2</v>
      </c>
      <c r="W71" s="165">
        <v>1.9640000000000001E-2</v>
      </c>
      <c r="X71" s="4" t="s">
        <v>434</v>
      </c>
      <c r="Y71" s="4" t="s">
        <v>163</v>
      </c>
      <c r="Z71" s="152">
        <v>2336029.2000000002</v>
      </c>
      <c r="AA71" s="152">
        <v>1</v>
      </c>
      <c r="AB71" s="152">
        <v>102.94</v>
      </c>
      <c r="AD71" s="152">
        <v>2404.7080000000001</v>
      </c>
      <c r="AG71" s="2" t="s">
        <v>37</v>
      </c>
      <c r="AH71" s="165">
        <v>1.931E-3</v>
      </c>
      <c r="AI71" s="165">
        <v>5.8082553792238797E-3</v>
      </c>
      <c r="AJ71" s="165">
        <v>1.0042809687936501E-3</v>
      </c>
    </row>
    <row r="72" spans="1:36">
      <c r="A72" s="2" t="s">
        <v>26</v>
      </c>
      <c r="B72" s="2">
        <v>288</v>
      </c>
      <c r="C72" s="2" t="s">
        <v>2191</v>
      </c>
      <c r="D72" s="2" t="s">
        <v>2192</v>
      </c>
      <c r="E72" s="4" t="s">
        <v>1347</v>
      </c>
      <c r="F72" s="2" t="s">
        <v>2218</v>
      </c>
      <c r="G72" s="2" t="s">
        <v>2219</v>
      </c>
      <c r="H72" s="2" t="s">
        <v>342</v>
      </c>
      <c r="I72" s="2" t="s">
        <v>777</v>
      </c>
      <c r="J72" s="2" t="s">
        <v>31</v>
      </c>
      <c r="K72" s="2" t="s">
        <v>31</v>
      </c>
      <c r="L72" s="2" t="s">
        <v>348</v>
      </c>
      <c r="M72" s="2" t="s">
        <v>40</v>
      </c>
      <c r="N72" s="2" t="s">
        <v>468</v>
      </c>
      <c r="O72" s="2" t="s">
        <v>163</v>
      </c>
      <c r="P72" s="2" t="s">
        <v>128</v>
      </c>
      <c r="Q72" s="2" t="s">
        <v>437</v>
      </c>
      <c r="R72" s="2" t="s">
        <v>428</v>
      </c>
      <c r="S72" s="2" t="s">
        <v>35</v>
      </c>
      <c r="T72" s="152">
        <v>0.496</v>
      </c>
      <c r="U72" s="2" t="s">
        <v>2220</v>
      </c>
      <c r="V72" s="163">
        <v>8.6E-3</v>
      </c>
      <c r="W72" s="165">
        <v>1.3089999999999999E-2</v>
      </c>
      <c r="X72" s="4" t="s">
        <v>434</v>
      </c>
      <c r="Y72" s="4" t="s">
        <v>163</v>
      </c>
      <c r="Z72" s="152">
        <v>5750614</v>
      </c>
      <c r="AA72" s="152">
        <v>1</v>
      </c>
      <c r="AB72" s="152">
        <v>113.09</v>
      </c>
      <c r="AD72" s="152">
        <v>6503.3689999999997</v>
      </c>
      <c r="AG72" s="2" t="s">
        <v>37</v>
      </c>
      <c r="AH72" s="165">
        <v>2.2989999999999998E-3</v>
      </c>
      <c r="AI72" s="165">
        <v>1.5708028974689099E-2</v>
      </c>
      <c r="AJ72" s="165">
        <v>2.7160091157437099E-3</v>
      </c>
    </row>
    <row r="73" spans="1:36">
      <c r="A73" s="2" t="s">
        <v>26</v>
      </c>
      <c r="B73" s="2">
        <v>288</v>
      </c>
      <c r="C73" s="2" t="s">
        <v>2191</v>
      </c>
      <c r="D73" s="2" t="s">
        <v>2192</v>
      </c>
      <c r="E73" s="4" t="s">
        <v>1347</v>
      </c>
      <c r="F73" s="2" t="s">
        <v>2221</v>
      </c>
      <c r="G73" s="2" t="s">
        <v>2222</v>
      </c>
      <c r="H73" s="2" t="s">
        <v>342</v>
      </c>
      <c r="I73" s="2" t="s">
        <v>777</v>
      </c>
      <c r="J73" s="2" t="s">
        <v>31</v>
      </c>
      <c r="K73" s="2" t="s">
        <v>31</v>
      </c>
      <c r="L73" s="2" t="s">
        <v>348</v>
      </c>
      <c r="M73" s="2" t="s">
        <v>40</v>
      </c>
      <c r="N73" s="2" t="s">
        <v>468</v>
      </c>
      <c r="O73" s="2" t="s">
        <v>163</v>
      </c>
      <c r="P73" s="2" t="s">
        <v>128</v>
      </c>
      <c r="Q73" s="2" t="s">
        <v>437</v>
      </c>
      <c r="R73" s="2" t="s">
        <v>428</v>
      </c>
      <c r="S73" s="2" t="s">
        <v>35</v>
      </c>
      <c r="T73" s="152">
        <v>2.2160000000000002</v>
      </c>
      <c r="U73" s="2" t="s">
        <v>2223</v>
      </c>
      <c r="V73" s="163">
        <v>3.8E-3</v>
      </c>
      <c r="W73" s="165">
        <v>1.7170000000000001E-2</v>
      </c>
      <c r="X73" s="4" t="s">
        <v>434</v>
      </c>
      <c r="Y73" s="4" t="s">
        <v>163</v>
      </c>
      <c r="Z73" s="152">
        <v>12311720</v>
      </c>
      <c r="AA73" s="152">
        <v>1</v>
      </c>
      <c r="AB73" s="152">
        <v>107.22</v>
      </c>
      <c r="AD73" s="152">
        <v>13200.626</v>
      </c>
      <c r="AG73" s="2" t="s">
        <v>37</v>
      </c>
      <c r="AH73" s="165">
        <v>4.104E-3</v>
      </c>
      <c r="AI73" s="165">
        <v>3.1884367425898202E-2</v>
      </c>
      <c r="AJ73" s="165">
        <v>5.5129916501936898E-3</v>
      </c>
    </row>
    <row r="74" spans="1:36">
      <c r="A74" s="2" t="s">
        <v>26</v>
      </c>
      <c r="B74" s="2">
        <v>288</v>
      </c>
      <c r="C74" s="2" t="s">
        <v>2224</v>
      </c>
      <c r="D74" s="2" t="s">
        <v>2225</v>
      </c>
      <c r="E74" s="4" t="s">
        <v>1347</v>
      </c>
      <c r="F74" s="2" t="s">
        <v>2226</v>
      </c>
      <c r="G74" s="2" t="s">
        <v>2227</v>
      </c>
      <c r="H74" s="2" t="s">
        <v>342</v>
      </c>
      <c r="I74" s="2" t="s">
        <v>777</v>
      </c>
      <c r="J74" s="2" t="s">
        <v>31</v>
      </c>
      <c r="K74" s="2" t="s">
        <v>31</v>
      </c>
      <c r="L74" s="2" t="s">
        <v>348</v>
      </c>
      <c r="M74" s="2" t="s">
        <v>40</v>
      </c>
      <c r="N74" s="2" t="s">
        <v>463</v>
      </c>
      <c r="O74" s="2" t="s">
        <v>163</v>
      </c>
      <c r="P74" s="2" t="s">
        <v>2182</v>
      </c>
      <c r="Q74" s="2" t="s">
        <v>437</v>
      </c>
      <c r="R74" s="2" t="s">
        <v>428</v>
      </c>
      <c r="S74" s="2" t="s">
        <v>35</v>
      </c>
      <c r="T74" s="152">
        <v>1.044</v>
      </c>
      <c r="U74" s="2" t="s">
        <v>1976</v>
      </c>
      <c r="V74" s="163">
        <v>1.8499999999999999E-2</v>
      </c>
      <c r="W74" s="165">
        <v>1.9130000000000001E-2</v>
      </c>
      <c r="X74" s="4" t="s">
        <v>434</v>
      </c>
      <c r="Y74" s="4" t="s">
        <v>163</v>
      </c>
      <c r="Z74" s="152">
        <v>1111762.1100000001</v>
      </c>
      <c r="AA74" s="152">
        <v>1</v>
      </c>
      <c r="AB74" s="152">
        <v>111.87</v>
      </c>
      <c r="AD74" s="152">
        <v>1243.7280000000001</v>
      </c>
      <c r="AG74" s="2" t="s">
        <v>37</v>
      </c>
      <c r="AH74" s="165">
        <v>1.884E-3</v>
      </c>
      <c r="AI74" s="165">
        <v>3.0040612213579399E-3</v>
      </c>
      <c r="AJ74" s="165">
        <v>5.1941957037431898E-4</v>
      </c>
    </row>
    <row r="75" spans="1:36">
      <c r="A75" s="2" t="s">
        <v>26</v>
      </c>
      <c r="B75" s="2">
        <v>288</v>
      </c>
      <c r="C75" s="2" t="s">
        <v>2224</v>
      </c>
      <c r="D75" s="2" t="s">
        <v>2225</v>
      </c>
      <c r="E75" s="4" t="s">
        <v>1347</v>
      </c>
      <c r="F75" s="2" t="s">
        <v>2228</v>
      </c>
      <c r="G75" s="2" t="s">
        <v>2229</v>
      </c>
      <c r="H75" s="2" t="s">
        <v>342</v>
      </c>
      <c r="I75" s="2" t="s">
        <v>777</v>
      </c>
      <c r="J75" s="2" t="s">
        <v>31</v>
      </c>
      <c r="K75" s="2" t="s">
        <v>31</v>
      </c>
      <c r="L75" s="2" t="s">
        <v>350</v>
      </c>
      <c r="M75" s="2" t="s">
        <v>40</v>
      </c>
      <c r="N75" s="2" t="s">
        <v>463</v>
      </c>
      <c r="O75" s="2" t="s">
        <v>163</v>
      </c>
      <c r="P75" s="2" t="s">
        <v>2182</v>
      </c>
      <c r="Q75" s="2" t="s">
        <v>437</v>
      </c>
      <c r="R75" s="2" t="s">
        <v>428</v>
      </c>
      <c r="S75" s="2" t="s">
        <v>35</v>
      </c>
      <c r="T75" s="152">
        <v>2.129</v>
      </c>
      <c r="U75" s="2" t="s">
        <v>110</v>
      </c>
      <c r="V75" s="163">
        <v>3.5400000000000001E-2</v>
      </c>
      <c r="W75" s="165">
        <v>3.3759999999999998E-2</v>
      </c>
      <c r="X75" s="4" t="s">
        <v>434</v>
      </c>
      <c r="Y75" s="4" t="s">
        <v>163</v>
      </c>
      <c r="Z75" s="152">
        <v>2995000</v>
      </c>
      <c r="AA75" s="152">
        <v>1</v>
      </c>
      <c r="AB75" s="152">
        <v>104.17</v>
      </c>
      <c r="AD75" s="152">
        <v>3119.8919999999998</v>
      </c>
      <c r="AG75" s="2" t="s">
        <v>37</v>
      </c>
      <c r="AH75" s="165">
        <v>0</v>
      </c>
      <c r="AI75" s="165">
        <v>7.5356854688838704E-3</v>
      </c>
      <c r="AJ75" s="165">
        <v>1.3029636283358799E-3</v>
      </c>
    </row>
    <row r="76" spans="1:36">
      <c r="A76" s="2" t="s">
        <v>26</v>
      </c>
      <c r="B76" s="2">
        <v>288</v>
      </c>
      <c r="C76" s="2" t="s">
        <v>2224</v>
      </c>
      <c r="D76" s="2" t="s">
        <v>2225</v>
      </c>
      <c r="E76" s="4" t="s">
        <v>1347</v>
      </c>
      <c r="F76" s="2" t="s">
        <v>2230</v>
      </c>
      <c r="G76" s="2" t="s">
        <v>2229</v>
      </c>
      <c r="H76" s="2" t="s">
        <v>342</v>
      </c>
      <c r="I76" s="2" t="s">
        <v>777</v>
      </c>
      <c r="J76" s="2" t="s">
        <v>31</v>
      </c>
      <c r="K76" s="2" t="s">
        <v>31</v>
      </c>
      <c r="L76" s="2" t="s">
        <v>350</v>
      </c>
      <c r="M76" s="2" t="s">
        <v>40</v>
      </c>
      <c r="N76" s="2" t="s">
        <v>463</v>
      </c>
      <c r="O76" s="2" t="s">
        <v>163</v>
      </c>
      <c r="P76" s="2" t="s">
        <v>2182</v>
      </c>
      <c r="Q76" s="2" t="s">
        <v>437</v>
      </c>
      <c r="R76" s="2" t="s">
        <v>428</v>
      </c>
      <c r="S76" s="2" t="s">
        <v>35</v>
      </c>
      <c r="T76" s="152">
        <v>2.129</v>
      </c>
      <c r="U76" s="2" t="s">
        <v>110</v>
      </c>
      <c r="V76" s="163">
        <v>3.5400000000000001E-2</v>
      </c>
      <c r="W76" s="165">
        <v>3.3759999999999998E-2</v>
      </c>
      <c r="X76" s="4" t="s">
        <v>434</v>
      </c>
      <c r="Y76" s="4" t="s">
        <v>163</v>
      </c>
      <c r="Z76" s="152">
        <v>1231000</v>
      </c>
      <c r="AA76" s="152">
        <v>1</v>
      </c>
      <c r="AB76" s="152">
        <v>104.17</v>
      </c>
      <c r="AD76" s="152">
        <v>1282.3330000000001</v>
      </c>
      <c r="AG76" s="2" t="s">
        <v>37</v>
      </c>
      <c r="AH76" s="165">
        <v>0</v>
      </c>
      <c r="AI76" s="165">
        <v>3.0973051125863199E-3</v>
      </c>
      <c r="AJ76" s="165">
        <v>5.3554197879180905E-4</v>
      </c>
    </row>
    <row r="77" spans="1:36">
      <c r="A77" s="2" t="s">
        <v>26</v>
      </c>
      <c r="B77" s="2">
        <v>288</v>
      </c>
      <c r="C77" s="2" t="s">
        <v>2224</v>
      </c>
      <c r="D77" s="2" t="s">
        <v>2225</v>
      </c>
      <c r="E77" s="4" t="s">
        <v>1347</v>
      </c>
      <c r="F77" s="2" t="s">
        <v>2231</v>
      </c>
      <c r="G77" s="2" t="s">
        <v>2232</v>
      </c>
      <c r="H77" s="2" t="s">
        <v>342</v>
      </c>
      <c r="I77" s="2" t="s">
        <v>777</v>
      </c>
      <c r="J77" s="2" t="s">
        <v>31</v>
      </c>
      <c r="K77" s="2" t="s">
        <v>31</v>
      </c>
      <c r="L77" s="2" t="s">
        <v>348</v>
      </c>
      <c r="M77" s="2" t="s">
        <v>40</v>
      </c>
      <c r="N77" s="2" t="s">
        <v>463</v>
      </c>
      <c r="O77" s="2" t="s">
        <v>163</v>
      </c>
      <c r="P77" s="2" t="s">
        <v>2182</v>
      </c>
      <c r="Q77" s="2" t="s">
        <v>437</v>
      </c>
      <c r="R77" s="2" t="s">
        <v>428</v>
      </c>
      <c r="S77" s="2" t="s">
        <v>35</v>
      </c>
      <c r="T77" s="152">
        <v>0.90300000000000002</v>
      </c>
      <c r="U77" s="2" t="s">
        <v>2233</v>
      </c>
      <c r="V77" s="163">
        <v>0.01</v>
      </c>
      <c r="W77" s="165">
        <v>2.2270000000000002E-2</v>
      </c>
      <c r="X77" s="4" t="s">
        <v>434</v>
      </c>
      <c r="Y77" s="4" t="s">
        <v>163</v>
      </c>
      <c r="Z77" s="152">
        <v>849680</v>
      </c>
      <c r="AA77" s="152">
        <v>1</v>
      </c>
      <c r="AB77" s="152">
        <v>109.27</v>
      </c>
      <c r="AD77" s="152">
        <v>928.44500000000005</v>
      </c>
      <c r="AG77" s="2" t="s">
        <v>37</v>
      </c>
      <c r="AH77" s="165">
        <v>8.9300000000000002E-4</v>
      </c>
      <c r="AI77" s="165">
        <v>2.2425369687209301E-3</v>
      </c>
      <c r="AJ77" s="165">
        <v>3.8774761997527302E-4</v>
      </c>
    </row>
    <row r="78" spans="1:36">
      <c r="A78" s="2" t="s">
        <v>26</v>
      </c>
      <c r="B78" s="2">
        <v>288</v>
      </c>
      <c r="C78" s="2" t="s">
        <v>1679</v>
      </c>
      <c r="D78" s="2" t="s">
        <v>1680</v>
      </c>
      <c r="E78" s="4" t="s">
        <v>1347</v>
      </c>
      <c r="F78" s="2" t="s">
        <v>2234</v>
      </c>
      <c r="G78" s="2" t="s">
        <v>2235</v>
      </c>
      <c r="H78" s="2" t="s">
        <v>342</v>
      </c>
      <c r="I78" s="2" t="s">
        <v>777</v>
      </c>
      <c r="J78" s="2" t="s">
        <v>31</v>
      </c>
      <c r="K78" s="2" t="s">
        <v>31</v>
      </c>
      <c r="L78" s="2" t="s">
        <v>348</v>
      </c>
      <c r="M78" s="2" t="s">
        <v>40</v>
      </c>
      <c r="N78" s="2" t="s">
        <v>484</v>
      </c>
      <c r="O78" s="2" t="s">
        <v>163</v>
      </c>
      <c r="P78" s="2" t="s">
        <v>1991</v>
      </c>
      <c r="Q78" s="2" t="s">
        <v>435</v>
      </c>
      <c r="R78" s="2" t="s">
        <v>428</v>
      </c>
      <c r="S78" s="2" t="s">
        <v>35</v>
      </c>
      <c r="T78" s="152">
        <v>3.9940000000000002</v>
      </c>
      <c r="U78" s="2" t="s">
        <v>2023</v>
      </c>
      <c r="V78" s="163">
        <v>6.4999999999999997E-3</v>
      </c>
      <c r="W78" s="165">
        <v>2.2290000000000001E-2</v>
      </c>
      <c r="X78" s="4" t="s">
        <v>434</v>
      </c>
      <c r="Y78" s="4" t="s">
        <v>163</v>
      </c>
      <c r="Z78" s="152">
        <v>1174468.08</v>
      </c>
      <c r="AA78" s="152">
        <v>1</v>
      </c>
      <c r="AB78" s="152">
        <v>104.53</v>
      </c>
      <c r="AD78" s="152">
        <v>1227.671</v>
      </c>
      <c r="AG78" s="2" t="s">
        <v>37</v>
      </c>
      <c r="AH78" s="165">
        <v>2.3319999999999999E-3</v>
      </c>
      <c r="AI78" s="165">
        <v>2.9652781716039598E-3</v>
      </c>
      <c r="AJ78" s="165">
        <v>5.1271375662532005E-4</v>
      </c>
    </row>
    <row r="79" spans="1:36">
      <c r="A79" s="2" t="s">
        <v>26</v>
      </c>
      <c r="B79" s="2">
        <v>288</v>
      </c>
      <c r="C79" s="2" t="s">
        <v>1679</v>
      </c>
      <c r="D79" s="2" t="s">
        <v>1680</v>
      </c>
      <c r="E79" s="4" t="s">
        <v>1347</v>
      </c>
      <c r="F79" s="2" t="s">
        <v>2236</v>
      </c>
      <c r="G79" s="2" t="s">
        <v>2237</v>
      </c>
      <c r="H79" s="2" t="s">
        <v>342</v>
      </c>
      <c r="I79" s="2" t="s">
        <v>777</v>
      </c>
      <c r="J79" s="2" t="s">
        <v>31</v>
      </c>
      <c r="K79" s="2" t="s">
        <v>31</v>
      </c>
      <c r="L79" s="2" t="s">
        <v>348</v>
      </c>
      <c r="M79" s="2" t="s">
        <v>40</v>
      </c>
      <c r="N79" s="2" t="s">
        <v>484</v>
      </c>
      <c r="O79" s="2" t="s">
        <v>163</v>
      </c>
      <c r="P79" s="2" t="s">
        <v>1991</v>
      </c>
      <c r="Q79" s="2" t="s">
        <v>435</v>
      </c>
      <c r="R79" s="2" t="s">
        <v>428</v>
      </c>
      <c r="S79" s="2" t="s">
        <v>35</v>
      </c>
      <c r="T79" s="152">
        <v>6.45</v>
      </c>
      <c r="U79" s="2" t="s">
        <v>2238</v>
      </c>
      <c r="V79" s="163">
        <v>3.61E-2</v>
      </c>
      <c r="W79" s="165">
        <v>2.9960000000000001E-2</v>
      </c>
      <c r="X79" s="4" t="s">
        <v>434</v>
      </c>
      <c r="Y79" s="4" t="s">
        <v>163</v>
      </c>
      <c r="Z79" s="152">
        <v>771210</v>
      </c>
      <c r="AA79" s="152">
        <v>1</v>
      </c>
      <c r="AB79" s="152">
        <v>107.22</v>
      </c>
      <c r="AD79" s="152">
        <v>826.89099999999996</v>
      </c>
      <c r="AG79" s="2" t="s">
        <v>37</v>
      </c>
      <c r="AH79" s="165">
        <v>1.6789999999999999E-3</v>
      </c>
      <c r="AI79" s="165">
        <v>1.9972467699498498E-3</v>
      </c>
      <c r="AJ79" s="165">
        <v>3.4533552505627802E-4</v>
      </c>
    </row>
    <row r="80" spans="1:36">
      <c r="A80" s="2" t="s">
        <v>26</v>
      </c>
      <c r="B80" s="2">
        <v>288</v>
      </c>
      <c r="C80" s="2" t="s">
        <v>1679</v>
      </c>
      <c r="D80" s="2" t="s">
        <v>1680</v>
      </c>
      <c r="E80" s="4" t="s">
        <v>1347</v>
      </c>
      <c r="F80" s="2" t="s">
        <v>2239</v>
      </c>
      <c r="G80" s="2" t="s">
        <v>2240</v>
      </c>
      <c r="H80" s="2" t="s">
        <v>342</v>
      </c>
      <c r="I80" s="2" t="s">
        <v>777</v>
      </c>
      <c r="J80" s="2" t="s">
        <v>31</v>
      </c>
      <c r="K80" s="2" t="s">
        <v>31</v>
      </c>
      <c r="L80" s="2" t="s">
        <v>348</v>
      </c>
      <c r="M80" s="2" t="s">
        <v>40</v>
      </c>
      <c r="N80" s="2" t="s">
        <v>484</v>
      </c>
      <c r="O80" s="2" t="s">
        <v>163</v>
      </c>
      <c r="P80" s="2" t="s">
        <v>1991</v>
      </c>
      <c r="Q80" s="2" t="s">
        <v>435</v>
      </c>
      <c r="R80" s="2" t="s">
        <v>428</v>
      </c>
      <c r="S80" s="2" t="s">
        <v>35</v>
      </c>
      <c r="T80" s="152">
        <v>1.2430000000000001</v>
      </c>
      <c r="U80" s="2" t="s">
        <v>2241</v>
      </c>
      <c r="V80" s="163">
        <v>1.7600000000000001E-2</v>
      </c>
      <c r="W80" s="165">
        <v>1.3939999999999999E-2</v>
      </c>
      <c r="X80" s="4" t="s">
        <v>434</v>
      </c>
      <c r="Y80" s="4" t="s">
        <v>163</v>
      </c>
      <c r="Z80" s="152">
        <v>1138442.1000000001</v>
      </c>
      <c r="AA80" s="152">
        <v>1</v>
      </c>
      <c r="AB80" s="152">
        <v>114.03</v>
      </c>
      <c r="AC80" s="152">
        <v>909.17399999999998</v>
      </c>
      <c r="AD80" s="152">
        <v>2207.3389999999999</v>
      </c>
      <c r="AG80" s="2" t="s">
        <v>37</v>
      </c>
      <c r="AH80" s="165">
        <v>8.52E-4</v>
      </c>
      <c r="AI80" s="165">
        <v>5.33153568127177E-3</v>
      </c>
      <c r="AJ80" s="165">
        <v>9.2185337412987697E-4</v>
      </c>
    </row>
    <row r="81" spans="1:36">
      <c r="A81" s="2" t="s">
        <v>26</v>
      </c>
      <c r="B81" s="2">
        <v>288</v>
      </c>
      <c r="C81" s="2" t="s">
        <v>1679</v>
      </c>
      <c r="D81" s="2" t="s">
        <v>1680</v>
      </c>
      <c r="E81" s="4" t="s">
        <v>1347</v>
      </c>
      <c r="F81" s="2" t="s">
        <v>2242</v>
      </c>
      <c r="G81" s="2" t="s">
        <v>2243</v>
      </c>
      <c r="H81" s="2" t="s">
        <v>342</v>
      </c>
      <c r="I81" s="2" t="s">
        <v>777</v>
      </c>
      <c r="J81" s="2" t="s">
        <v>31</v>
      </c>
      <c r="K81" s="2" t="s">
        <v>31</v>
      </c>
      <c r="L81" s="2" t="s">
        <v>348</v>
      </c>
      <c r="M81" s="2" t="s">
        <v>40</v>
      </c>
      <c r="N81" s="2" t="s">
        <v>484</v>
      </c>
      <c r="O81" s="2" t="s">
        <v>163</v>
      </c>
      <c r="P81" s="2" t="s">
        <v>1991</v>
      </c>
      <c r="Q81" s="2" t="s">
        <v>435</v>
      </c>
      <c r="R81" s="2" t="s">
        <v>428</v>
      </c>
      <c r="S81" s="2" t="s">
        <v>35</v>
      </c>
      <c r="T81" s="152">
        <v>1.24</v>
      </c>
      <c r="U81" s="2" t="s">
        <v>2241</v>
      </c>
      <c r="V81" s="163">
        <v>2.3E-2</v>
      </c>
      <c r="W81" s="165">
        <v>1.95E-2</v>
      </c>
      <c r="X81" s="4" t="s">
        <v>434</v>
      </c>
      <c r="Y81" s="4" t="s">
        <v>163</v>
      </c>
      <c r="Z81" s="152">
        <v>1520114.79</v>
      </c>
      <c r="AA81" s="152">
        <v>1</v>
      </c>
      <c r="AB81" s="152">
        <v>114.63</v>
      </c>
      <c r="AD81" s="152">
        <v>1742.508</v>
      </c>
      <c r="AG81" s="2" t="s">
        <v>37</v>
      </c>
      <c r="AH81" s="165">
        <v>1.578E-3</v>
      </c>
      <c r="AI81" s="165">
        <v>4.2087967092728296E-3</v>
      </c>
      <c r="AJ81" s="165">
        <v>7.2772530831949301E-4</v>
      </c>
    </row>
    <row r="82" spans="1:36">
      <c r="A82" s="2" t="s">
        <v>26</v>
      </c>
      <c r="B82" s="2">
        <v>288</v>
      </c>
      <c r="C82" s="2" t="s">
        <v>2244</v>
      </c>
      <c r="D82" s="2" t="s">
        <v>2245</v>
      </c>
      <c r="E82" s="4" t="s">
        <v>1347</v>
      </c>
      <c r="F82" s="2" t="s">
        <v>2246</v>
      </c>
      <c r="G82" s="2" t="s">
        <v>2247</v>
      </c>
      <c r="H82" s="2" t="s">
        <v>342</v>
      </c>
      <c r="I82" s="2" t="s">
        <v>990</v>
      </c>
      <c r="J82" s="2" t="s">
        <v>31</v>
      </c>
      <c r="K82" s="2" t="s">
        <v>31</v>
      </c>
      <c r="L82" s="2" t="s">
        <v>348</v>
      </c>
      <c r="M82" s="2" t="s">
        <v>40</v>
      </c>
      <c r="N82" s="2" t="s">
        <v>465</v>
      </c>
      <c r="O82" s="2" t="s">
        <v>163</v>
      </c>
      <c r="P82" s="2" t="s">
        <v>2022</v>
      </c>
      <c r="Q82" s="2" t="s">
        <v>437</v>
      </c>
      <c r="R82" s="2" t="s">
        <v>428</v>
      </c>
      <c r="S82" s="2" t="s">
        <v>35</v>
      </c>
      <c r="T82" s="152">
        <v>1.4550000000000001</v>
      </c>
      <c r="U82" s="2" t="s">
        <v>2173</v>
      </c>
      <c r="V82" s="163">
        <v>2.9399999999999999E-2</v>
      </c>
      <c r="W82" s="165">
        <v>4.5580000000000002E-2</v>
      </c>
      <c r="X82" s="4" t="s">
        <v>434</v>
      </c>
      <c r="Y82" s="4" t="s">
        <v>163</v>
      </c>
      <c r="Z82" s="152">
        <v>215733.84</v>
      </c>
      <c r="AA82" s="152">
        <v>1</v>
      </c>
      <c r="AB82" s="152">
        <v>99.19</v>
      </c>
      <c r="AD82" s="152">
        <v>213.98599999999999</v>
      </c>
      <c r="AG82" s="2" t="s">
        <v>37</v>
      </c>
      <c r="AH82" s="165">
        <v>1.01E-3</v>
      </c>
      <c r="AI82" s="165">
        <v>5.1685585030515201E-4</v>
      </c>
      <c r="AJ82" s="165">
        <v>8.9367367682872999E-5</v>
      </c>
    </row>
    <row r="83" spans="1:36">
      <c r="A83" s="2" t="s">
        <v>26</v>
      </c>
      <c r="B83" s="2">
        <v>288</v>
      </c>
      <c r="C83" s="2" t="s">
        <v>2248</v>
      </c>
      <c r="D83" s="2" t="s">
        <v>2249</v>
      </c>
      <c r="E83" s="4" t="s">
        <v>1347</v>
      </c>
      <c r="F83" s="2" t="s">
        <v>2250</v>
      </c>
      <c r="G83" s="2" t="s">
        <v>2251</v>
      </c>
      <c r="H83" s="2" t="s">
        <v>342</v>
      </c>
      <c r="I83" s="2" t="s">
        <v>777</v>
      </c>
      <c r="J83" s="2" t="s">
        <v>31</v>
      </c>
      <c r="K83" s="2" t="s">
        <v>31</v>
      </c>
      <c r="L83" s="2" t="s">
        <v>348</v>
      </c>
      <c r="M83" s="2" t="s">
        <v>40</v>
      </c>
      <c r="N83" s="2" t="s">
        <v>484</v>
      </c>
      <c r="O83" s="2" t="s">
        <v>163</v>
      </c>
      <c r="P83" s="2" t="s">
        <v>2098</v>
      </c>
      <c r="Q83" s="2" t="s">
        <v>435</v>
      </c>
      <c r="R83" s="2" t="s">
        <v>428</v>
      </c>
      <c r="S83" s="2" t="s">
        <v>35</v>
      </c>
      <c r="T83" s="152">
        <v>4.4139999999999997</v>
      </c>
      <c r="U83" s="2" t="s">
        <v>2252</v>
      </c>
      <c r="V83" s="163">
        <v>3.6200000000000003E-2</v>
      </c>
      <c r="W83" s="165">
        <v>3.5619999999999999E-2</v>
      </c>
      <c r="X83" s="4" t="s">
        <v>434</v>
      </c>
      <c r="Y83" s="4" t="s">
        <v>163</v>
      </c>
      <c r="Z83" s="152">
        <v>664450</v>
      </c>
      <c r="AA83" s="152">
        <v>1</v>
      </c>
      <c r="AB83" s="152">
        <v>103.98</v>
      </c>
      <c r="AD83" s="152">
        <v>690.89499999999998</v>
      </c>
      <c r="AG83" s="2" t="s">
        <v>37</v>
      </c>
      <c r="AH83" s="165">
        <v>3.7399999999999998E-4</v>
      </c>
      <c r="AI83" s="165">
        <v>1.6687658019357201E-3</v>
      </c>
      <c r="AJ83" s="165">
        <v>2.8853926469081298E-4</v>
      </c>
    </row>
    <row r="84" spans="1:36">
      <c r="A84" s="2" t="s">
        <v>26</v>
      </c>
      <c r="B84" s="2">
        <v>288</v>
      </c>
      <c r="C84" s="2" t="s">
        <v>2253</v>
      </c>
      <c r="D84" s="2" t="s">
        <v>2254</v>
      </c>
      <c r="E84" s="4" t="s">
        <v>1347</v>
      </c>
      <c r="F84" s="2" t="s">
        <v>2255</v>
      </c>
      <c r="G84" s="2" t="s">
        <v>2256</v>
      </c>
      <c r="H84" s="2" t="s">
        <v>342</v>
      </c>
      <c r="I84" s="2" t="s">
        <v>990</v>
      </c>
      <c r="J84" s="2" t="s">
        <v>31</v>
      </c>
      <c r="K84" s="2" t="s">
        <v>31</v>
      </c>
      <c r="L84" s="2" t="s">
        <v>348</v>
      </c>
      <c r="M84" s="2" t="s">
        <v>40</v>
      </c>
      <c r="N84" s="2" t="s">
        <v>474</v>
      </c>
      <c r="O84" s="2" t="s">
        <v>163</v>
      </c>
      <c r="P84" s="2" t="s">
        <v>1991</v>
      </c>
      <c r="Q84" s="2" t="s">
        <v>435</v>
      </c>
      <c r="R84" s="2" t="s">
        <v>428</v>
      </c>
      <c r="S84" s="2" t="s">
        <v>35</v>
      </c>
      <c r="T84" s="152">
        <v>0.56399999999999995</v>
      </c>
      <c r="U84" s="2" t="s">
        <v>2257</v>
      </c>
      <c r="V84" s="163">
        <v>2.3599999999999999E-2</v>
      </c>
      <c r="W84" s="165">
        <v>4.5929999999999999E-2</v>
      </c>
      <c r="X84" s="4" t="s">
        <v>434</v>
      </c>
      <c r="Y84" s="4" t="s">
        <v>163</v>
      </c>
      <c r="Z84" s="152">
        <v>74976.28</v>
      </c>
      <c r="AA84" s="152">
        <v>1</v>
      </c>
      <c r="AB84" s="152">
        <v>99.23</v>
      </c>
      <c r="AD84" s="152">
        <v>74.399000000000001</v>
      </c>
      <c r="AG84" s="2" t="s">
        <v>37</v>
      </c>
      <c r="AH84" s="165">
        <v>6.4899999999999995E-4</v>
      </c>
      <c r="AI84" s="165">
        <v>1.7970085873064001E-4</v>
      </c>
      <c r="AJ84" s="165">
        <v>3.1071318445225397E-5</v>
      </c>
    </row>
    <row r="85" spans="1:36">
      <c r="A85" s="2" t="s">
        <v>26</v>
      </c>
      <c r="B85" s="2">
        <v>288</v>
      </c>
      <c r="C85" s="2" t="s">
        <v>1788</v>
      </c>
      <c r="D85" s="2" t="s">
        <v>1789</v>
      </c>
      <c r="E85" s="4" t="s">
        <v>1347</v>
      </c>
      <c r="F85" s="2" t="s">
        <v>2258</v>
      </c>
      <c r="G85" s="2" t="s">
        <v>2259</v>
      </c>
      <c r="H85" s="2" t="s">
        <v>342</v>
      </c>
      <c r="I85" s="2" t="s">
        <v>990</v>
      </c>
      <c r="J85" s="2" t="s">
        <v>31</v>
      </c>
      <c r="K85" s="2" t="s">
        <v>31</v>
      </c>
      <c r="L85" s="2" t="s">
        <v>348</v>
      </c>
      <c r="M85" s="2" t="s">
        <v>40</v>
      </c>
      <c r="N85" s="2" t="s">
        <v>505</v>
      </c>
      <c r="O85" s="2" t="s">
        <v>163</v>
      </c>
      <c r="P85" s="2" t="s">
        <v>1975</v>
      </c>
      <c r="Q85" s="2" t="s">
        <v>435</v>
      </c>
      <c r="R85" s="2" t="s">
        <v>428</v>
      </c>
      <c r="S85" s="2" t="s">
        <v>35</v>
      </c>
      <c r="T85" s="152">
        <v>0.745</v>
      </c>
      <c r="U85" s="2" t="s">
        <v>2260</v>
      </c>
      <c r="V85" s="163">
        <v>4.1399999999999999E-2</v>
      </c>
      <c r="W85" s="165">
        <v>5.0970000000000001E-2</v>
      </c>
      <c r="X85" s="4" t="s">
        <v>434</v>
      </c>
      <c r="Y85" s="4" t="s">
        <v>163</v>
      </c>
      <c r="Z85" s="152">
        <v>2000000</v>
      </c>
      <c r="AA85" s="152">
        <v>1</v>
      </c>
      <c r="AB85" s="152">
        <v>100.34</v>
      </c>
      <c r="AD85" s="152">
        <v>2006.8</v>
      </c>
      <c r="AG85" s="2" t="s">
        <v>37</v>
      </c>
      <c r="AH85" s="165">
        <v>8.8839999999999995E-3</v>
      </c>
      <c r="AI85" s="165">
        <v>4.8471601012266396E-3</v>
      </c>
      <c r="AJ85" s="165">
        <v>8.3810203314584595E-4</v>
      </c>
    </row>
    <row r="86" spans="1:36">
      <c r="A86" s="2" t="s">
        <v>26</v>
      </c>
      <c r="B86" s="2">
        <v>288</v>
      </c>
      <c r="C86" s="2" t="s">
        <v>1788</v>
      </c>
      <c r="D86" s="2" t="s">
        <v>1789</v>
      </c>
      <c r="E86" s="4" t="s">
        <v>1347</v>
      </c>
      <c r="F86" s="2" t="s">
        <v>2261</v>
      </c>
      <c r="G86" s="2" t="s">
        <v>2262</v>
      </c>
      <c r="H86" s="2" t="s">
        <v>342</v>
      </c>
      <c r="I86" s="2" t="s">
        <v>777</v>
      </c>
      <c r="J86" s="2" t="s">
        <v>31</v>
      </c>
      <c r="K86" s="2" t="s">
        <v>31</v>
      </c>
      <c r="L86" s="2" t="s">
        <v>348</v>
      </c>
      <c r="M86" s="2" t="s">
        <v>40</v>
      </c>
      <c r="N86" s="2" t="s">
        <v>505</v>
      </c>
      <c r="O86" s="2" t="s">
        <v>163</v>
      </c>
      <c r="P86" s="2" t="s">
        <v>1975</v>
      </c>
      <c r="Q86" s="2" t="s">
        <v>435</v>
      </c>
      <c r="R86" s="2" t="s">
        <v>428</v>
      </c>
      <c r="S86" s="2" t="s">
        <v>35</v>
      </c>
      <c r="T86" s="152">
        <v>1.3320000000000001</v>
      </c>
      <c r="U86" s="2" t="s">
        <v>2263</v>
      </c>
      <c r="V86" s="163">
        <v>2.4500000000000001E-2</v>
      </c>
      <c r="W86" s="165">
        <v>1.001E-2</v>
      </c>
      <c r="X86" s="4" t="s">
        <v>434</v>
      </c>
      <c r="Y86" s="4" t="s">
        <v>163</v>
      </c>
      <c r="Z86" s="152">
        <v>701110.93</v>
      </c>
      <c r="AA86" s="152">
        <v>1</v>
      </c>
      <c r="AB86" s="152">
        <v>115.58</v>
      </c>
      <c r="AD86" s="152">
        <v>810.34400000000005</v>
      </c>
      <c r="AG86" s="2" t="s">
        <v>37</v>
      </c>
      <c r="AH86" s="165">
        <v>9.6989999999999993E-3</v>
      </c>
      <c r="AI86" s="165">
        <v>1.9572788357423202E-3</v>
      </c>
      <c r="AJ86" s="165">
        <v>3.38424837928057E-4</v>
      </c>
    </row>
    <row r="87" spans="1:36">
      <c r="A87" s="2" t="s">
        <v>26</v>
      </c>
      <c r="B87" s="2">
        <v>288</v>
      </c>
      <c r="C87" s="2" t="s">
        <v>1696</v>
      </c>
      <c r="D87" s="2" t="s">
        <v>1697</v>
      </c>
      <c r="E87" s="4" t="s">
        <v>1347</v>
      </c>
      <c r="F87" s="2" t="s">
        <v>2264</v>
      </c>
      <c r="G87" s="2" t="s">
        <v>2265</v>
      </c>
      <c r="H87" s="2" t="s">
        <v>342</v>
      </c>
      <c r="I87" s="2" t="s">
        <v>777</v>
      </c>
      <c r="J87" s="2" t="s">
        <v>31</v>
      </c>
      <c r="K87" s="2" t="s">
        <v>31</v>
      </c>
      <c r="L87" s="2" t="s">
        <v>348</v>
      </c>
      <c r="M87" s="2" t="s">
        <v>40</v>
      </c>
      <c r="N87" s="2" t="s">
        <v>484</v>
      </c>
      <c r="O87" s="2" t="s">
        <v>163</v>
      </c>
      <c r="P87" s="2" t="s">
        <v>2131</v>
      </c>
      <c r="Q87" s="2" t="s">
        <v>437</v>
      </c>
      <c r="R87" s="2" t="s">
        <v>428</v>
      </c>
      <c r="S87" s="2" t="s">
        <v>35</v>
      </c>
      <c r="T87" s="152">
        <v>3.1419999999999999</v>
      </c>
      <c r="U87" s="2" t="s">
        <v>2266</v>
      </c>
      <c r="V87" s="163">
        <v>1.34E-2</v>
      </c>
      <c r="W87" s="165">
        <v>2.206E-2</v>
      </c>
      <c r="X87" s="4" t="s">
        <v>434</v>
      </c>
      <c r="Y87" s="4" t="s">
        <v>163</v>
      </c>
      <c r="Z87" s="152">
        <v>4801078.59</v>
      </c>
      <c r="AA87" s="152">
        <v>1</v>
      </c>
      <c r="AB87" s="152">
        <v>110.26</v>
      </c>
      <c r="AD87" s="152">
        <v>5293.6689999999999</v>
      </c>
      <c r="AG87" s="2" t="s">
        <v>37</v>
      </c>
      <c r="AH87" s="165">
        <v>1.5529999999999999E-3</v>
      </c>
      <c r="AI87" s="165">
        <v>1.27861582588453E-2</v>
      </c>
      <c r="AJ87" s="165">
        <v>2.2108007594283802E-3</v>
      </c>
    </row>
    <row r="88" spans="1:36">
      <c r="A88" s="2" t="s">
        <v>26</v>
      </c>
      <c r="B88" s="2">
        <v>288</v>
      </c>
      <c r="C88" s="2" t="s">
        <v>1696</v>
      </c>
      <c r="D88" s="2" t="s">
        <v>1697</v>
      </c>
      <c r="E88" s="4" t="s">
        <v>1347</v>
      </c>
      <c r="F88" s="2" t="s">
        <v>2267</v>
      </c>
      <c r="G88" s="2" t="s">
        <v>2268</v>
      </c>
      <c r="H88" s="2" t="s">
        <v>342</v>
      </c>
      <c r="I88" s="2" t="s">
        <v>777</v>
      </c>
      <c r="J88" s="2" t="s">
        <v>31</v>
      </c>
      <c r="K88" s="2" t="s">
        <v>31</v>
      </c>
      <c r="L88" s="2" t="s">
        <v>348</v>
      </c>
      <c r="M88" s="2" t="s">
        <v>40</v>
      </c>
      <c r="N88" s="2" t="s">
        <v>484</v>
      </c>
      <c r="O88" s="2" t="s">
        <v>163</v>
      </c>
      <c r="P88" s="2" t="s">
        <v>2131</v>
      </c>
      <c r="Q88" s="2" t="s">
        <v>437</v>
      </c>
      <c r="R88" s="2" t="s">
        <v>428</v>
      </c>
      <c r="S88" s="2" t="s">
        <v>35</v>
      </c>
      <c r="T88" s="152">
        <v>2.8639999999999999</v>
      </c>
      <c r="U88" s="2" t="s">
        <v>2126</v>
      </c>
      <c r="V88" s="163">
        <v>1.77E-2</v>
      </c>
      <c r="W88" s="165">
        <v>2.0539999999999999E-2</v>
      </c>
      <c r="X88" s="4" t="s">
        <v>434</v>
      </c>
      <c r="Y88" s="4" t="s">
        <v>163</v>
      </c>
      <c r="Z88" s="152">
        <v>5656588.5</v>
      </c>
      <c r="AA88" s="152">
        <v>1</v>
      </c>
      <c r="AB88" s="152">
        <v>111.11</v>
      </c>
      <c r="AD88" s="152">
        <v>6285.0349999999999</v>
      </c>
      <c r="AG88" s="2" t="s">
        <v>37</v>
      </c>
      <c r="AH88" s="165">
        <v>2.052E-3</v>
      </c>
      <c r="AI88" s="165">
        <v>1.51806723265102E-2</v>
      </c>
      <c r="AJ88" s="165">
        <v>2.6248260993379101E-3</v>
      </c>
    </row>
    <row r="89" spans="1:36">
      <c r="A89" s="2" t="s">
        <v>26</v>
      </c>
      <c r="B89" s="2">
        <v>288</v>
      </c>
      <c r="C89" s="2" t="s">
        <v>1696</v>
      </c>
      <c r="D89" s="2" t="s">
        <v>1697</v>
      </c>
      <c r="E89" s="4" t="s">
        <v>1347</v>
      </c>
      <c r="F89" s="2" t="s">
        <v>2269</v>
      </c>
      <c r="G89" s="2" t="s">
        <v>2270</v>
      </c>
      <c r="H89" s="2" t="s">
        <v>342</v>
      </c>
      <c r="I89" s="2" t="s">
        <v>777</v>
      </c>
      <c r="J89" s="2" t="s">
        <v>31</v>
      </c>
      <c r="K89" s="2" t="s">
        <v>31</v>
      </c>
      <c r="L89" s="2" t="s">
        <v>348</v>
      </c>
      <c r="M89" s="2" t="s">
        <v>40</v>
      </c>
      <c r="N89" s="2" t="s">
        <v>484</v>
      </c>
      <c r="O89" s="2" t="s">
        <v>163</v>
      </c>
      <c r="P89" s="2" t="s">
        <v>2271</v>
      </c>
      <c r="Q89" s="2" t="s">
        <v>435</v>
      </c>
      <c r="R89" s="2" t="s">
        <v>428</v>
      </c>
      <c r="S89" s="2" t="s">
        <v>35</v>
      </c>
      <c r="T89" s="152">
        <v>7.2489999999999997</v>
      </c>
      <c r="U89" s="2" t="s">
        <v>2272</v>
      </c>
      <c r="V89" s="163">
        <v>8.9999999999999993E-3</v>
      </c>
      <c r="W89" s="165">
        <v>2.8979999999999999E-2</v>
      </c>
      <c r="X89" s="4" t="s">
        <v>434</v>
      </c>
      <c r="Y89" s="4" t="s">
        <v>163</v>
      </c>
      <c r="Z89" s="152">
        <v>3200000</v>
      </c>
      <c r="AA89" s="152">
        <v>1</v>
      </c>
      <c r="AB89" s="152">
        <v>95.37</v>
      </c>
      <c r="AD89" s="152">
        <v>3051.84</v>
      </c>
      <c r="AG89" s="2" t="s">
        <v>37</v>
      </c>
      <c r="AH89" s="165">
        <v>1.681E-3</v>
      </c>
      <c r="AI89" s="165">
        <v>7.3713160670358397E-3</v>
      </c>
      <c r="AJ89" s="165">
        <v>1.2745432075123701E-3</v>
      </c>
    </row>
    <row r="90" spans="1:36">
      <c r="A90" s="2" t="s">
        <v>26</v>
      </c>
      <c r="B90" s="2">
        <v>288</v>
      </c>
      <c r="C90" s="2" t="s">
        <v>1700</v>
      </c>
      <c r="D90" s="2" t="s">
        <v>1701</v>
      </c>
      <c r="E90" s="4" t="s">
        <v>1347</v>
      </c>
      <c r="F90" s="2" t="s">
        <v>2273</v>
      </c>
      <c r="G90" s="2" t="s">
        <v>2274</v>
      </c>
      <c r="H90" s="2" t="s">
        <v>342</v>
      </c>
      <c r="I90" s="2" t="s">
        <v>990</v>
      </c>
      <c r="J90" s="2" t="s">
        <v>31</v>
      </c>
      <c r="K90" s="2" t="s">
        <v>31</v>
      </c>
      <c r="L90" s="2" t="s">
        <v>348</v>
      </c>
      <c r="M90" s="2" t="s">
        <v>40</v>
      </c>
      <c r="N90" s="2" t="s">
        <v>468</v>
      </c>
      <c r="O90" s="2" t="s">
        <v>163</v>
      </c>
      <c r="P90" s="2" t="s">
        <v>128</v>
      </c>
      <c r="Q90" s="2" t="s">
        <v>437</v>
      </c>
      <c r="R90" s="2" t="s">
        <v>428</v>
      </c>
      <c r="S90" s="2" t="s">
        <v>35</v>
      </c>
      <c r="T90" s="152">
        <v>3.8450000000000002</v>
      </c>
      <c r="U90" s="2" t="s">
        <v>2275</v>
      </c>
      <c r="V90" s="163">
        <v>2.5000000000000001E-2</v>
      </c>
      <c r="W90" s="165">
        <v>4.514E-2</v>
      </c>
      <c r="X90" s="4" t="s">
        <v>434</v>
      </c>
      <c r="Y90" s="4" t="s">
        <v>163</v>
      </c>
      <c r="Z90" s="152">
        <v>4936596.8</v>
      </c>
      <c r="AA90" s="152">
        <v>1</v>
      </c>
      <c r="AB90" s="152">
        <v>93.42</v>
      </c>
      <c r="AD90" s="152">
        <v>4611.7690000000002</v>
      </c>
      <c r="AG90" s="2" t="s">
        <v>37</v>
      </c>
      <c r="AH90" s="165">
        <v>1.6639999999999999E-3</v>
      </c>
      <c r="AI90" s="165">
        <v>1.11391176932704E-2</v>
      </c>
      <c r="AJ90" s="165">
        <v>1.9260179138333501E-3</v>
      </c>
    </row>
    <row r="91" spans="1:36">
      <c r="A91" s="2" t="s">
        <v>26</v>
      </c>
      <c r="B91" s="2">
        <v>288</v>
      </c>
      <c r="C91" s="2" t="s">
        <v>1700</v>
      </c>
      <c r="D91" s="2" t="s">
        <v>1701</v>
      </c>
      <c r="E91" s="4" t="s">
        <v>1347</v>
      </c>
      <c r="F91" s="2" t="s">
        <v>2276</v>
      </c>
      <c r="G91" s="2" t="s">
        <v>2277</v>
      </c>
      <c r="H91" s="2" t="s">
        <v>342</v>
      </c>
      <c r="I91" s="2" t="s">
        <v>777</v>
      </c>
      <c r="J91" s="2" t="s">
        <v>31</v>
      </c>
      <c r="K91" s="2" t="s">
        <v>31</v>
      </c>
      <c r="L91" s="2" t="s">
        <v>348</v>
      </c>
      <c r="M91" s="2" t="s">
        <v>40</v>
      </c>
      <c r="N91" s="2" t="s">
        <v>468</v>
      </c>
      <c r="O91" s="2" t="s">
        <v>163</v>
      </c>
      <c r="P91" s="2" t="s">
        <v>128</v>
      </c>
      <c r="Q91" s="2" t="s">
        <v>437</v>
      </c>
      <c r="R91" s="2" t="s">
        <v>428</v>
      </c>
      <c r="S91" s="2" t="s">
        <v>35</v>
      </c>
      <c r="T91" s="152">
        <v>4.0890000000000004</v>
      </c>
      <c r="U91" s="2" t="s">
        <v>2275</v>
      </c>
      <c r="V91" s="163">
        <v>1E-3</v>
      </c>
      <c r="W91" s="165">
        <v>1.9650000000000001E-2</v>
      </c>
      <c r="X91" s="4" t="s">
        <v>434</v>
      </c>
      <c r="Y91" s="4" t="s">
        <v>163</v>
      </c>
      <c r="Z91" s="152">
        <v>3565961.87</v>
      </c>
      <c r="AA91" s="152">
        <v>1</v>
      </c>
      <c r="AB91" s="152">
        <v>101.03</v>
      </c>
      <c r="AD91" s="152">
        <v>3602.6909999999998</v>
      </c>
      <c r="AG91" s="2" t="s">
        <v>37</v>
      </c>
      <c r="AH91" s="165">
        <v>1.3519999999999999E-3</v>
      </c>
      <c r="AI91" s="165">
        <v>8.7018245047721602E-3</v>
      </c>
      <c r="AJ91" s="165">
        <v>1.504595816359E-3</v>
      </c>
    </row>
    <row r="92" spans="1:36">
      <c r="A92" s="2" t="s">
        <v>26</v>
      </c>
      <c r="B92" s="2">
        <v>288</v>
      </c>
      <c r="C92" s="2" t="s">
        <v>1700</v>
      </c>
      <c r="D92" s="2" t="s">
        <v>1701</v>
      </c>
      <c r="E92" s="4" t="s">
        <v>1347</v>
      </c>
      <c r="F92" s="2" t="s">
        <v>2278</v>
      </c>
      <c r="G92" s="2" t="s">
        <v>2279</v>
      </c>
      <c r="H92" s="2" t="s">
        <v>342</v>
      </c>
      <c r="I92" s="2" t="s">
        <v>777</v>
      </c>
      <c r="J92" s="2" t="s">
        <v>31</v>
      </c>
      <c r="K92" s="2" t="s">
        <v>31</v>
      </c>
      <c r="L92" s="2" t="s">
        <v>348</v>
      </c>
      <c r="M92" s="2" t="s">
        <v>40</v>
      </c>
      <c r="N92" s="2" t="s">
        <v>468</v>
      </c>
      <c r="O92" s="2" t="s">
        <v>163</v>
      </c>
      <c r="P92" s="2" t="s">
        <v>128</v>
      </c>
      <c r="Q92" s="2" t="s">
        <v>437</v>
      </c>
      <c r="R92" s="2" t="s">
        <v>428</v>
      </c>
      <c r="S92" s="2" t="s">
        <v>35</v>
      </c>
      <c r="T92" s="152">
        <v>4.4530000000000003</v>
      </c>
      <c r="U92" s="2" t="s">
        <v>2280</v>
      </c>
      <c r="V92" s="163">
        <v>1.3899999999999999E-2</v>
      </c>
      <c r="W92" s="165">
        <v>1.992E-2</v>
      </c>
      <c r="X92" s="4" t="s">
        <v>434</v>
      </c>
      <c r="Y92" s="4" t="s">
        <v>163</v>
      </c>
      <c r="Z92" s="152">
        <v>4022100</v>
      </c>
      <c r="AA92" s="152">
        <v>1</v>
      </c>
      <c r="AB92" s="152">
        <v>101.5</v>
      </c>
      <c r="AD92" s="152">
        <v>4082.4319999999998</v>
      </c>
      <c r="AG92" s="2" t="s">
        <v>37</v>
      </c>
      <c r="AH92" s="165">
        <v>2.2339999999999999E-3</v>
      </c>
      <c r="AI92" s="165">
        <v>9.8605735911853898E-3</v>
      </c>
      <c r="AJ92" s="165">
        <v>1.7049502393505301E-3</v>
      </c>
    </row>
    <row r="93" spans="1:36">
      <c r="A93" s="2" t="s">
        <v>26</v>
      </c>
      <c r="B93" s="2">
        <v>288</v>
      </c>
      <c r="C93" s="2" t="s">
        <v>1700</v>
      </c>
      <c r="D93" s="2" t="s">
        <v>1701</v>
      </c>
      <c r="E93" s="4" t="s">
        <v>1347</v>
      </c>
      <c r="F93" s="2" t="s">
        <v>2281</v>
      </c>
      <c r="G93" s="2" t="s">
        <v>2282</v>
      </c>
      <c r="H93" s="2" t="s">
        <v>342</v>
      </c>
      <c r="I93" s="2" t="s">
        <v>777</v>
      </c>
      <c r="J93" s="2" t="s">
        <v>31</v>
      </c>
      <c r="K93" s="2" t="s">
        <v>31</v>
      </c>
      <c r="L93" s="2" t="s">
        <v>348</v>
      </c>
      <c r="M93" s="2" t="s">
        <v>40</v>
      </c>
      <c r="N93" s="2" t="s">
        <v>468</v>
      </c>
      <c r="O93" s="2" t="s">
        <v>163</v>
      </c>
      <c r="P93" s="2" t="s">
        <v>128</v>
      </c>
      <c r="Q93" s="2" t="s">
        <v>437</v>
      </c>
      <c r="R93" s="2" t="s">
        <v>428</v>
      </c>
      <c r="S93" s="2" t="s">
        <v>35</v>
      </c>
      <c r="T93" s="152">
        <v>3.54</v>
      </c>
      <c r="U93" s="2" t="s">
        <v>2283</v>
      </c>
      <c r="V93" s="163">
        <v>1.7500000000000002E-2</v>
      </c>
      <c r="W93" s="165">
        <v>1.8929999999999999E-2</v>
      </c>
      <c r="X93" s="4" t="s">
        <v>434</v>
      </c>
      <c r="Y93" s="4" t="s">
        <v>163</v>
      </c>
      <c r="Z93" s="152">
        <v>5022745.55</v>
      </c>
      <c r="AA93" s="152">
        <v>1</v>
      </c>
      <c r="AB93" s="152">
        <v>111.16</v>
      </c>
      <c r="AD93" s="152">
        <v>5583.2839999999997</v>
      </c>
      <c r="AG93" s="2" t="s">
        <v>37</v>
      </c>
      <c r="AH93" s="165">
        <v>1.738E-3</v>
      </c>
      <c r="AI93" s="165">
        <v>1.348568427977E-2</v>
      </c>
      <c r="AJ93" s="165">
        <v>2.33175285676617E-3</v>
      </c>
    </row>
    <row r="94" spans="1:36">
      <c r="A94" s="2" t="s">
        <v>26</v>
      </c>
      <c r="B94" s="2">
        <v>288</v>
      </c>
      <c r="C94" s="2" t="s">
        <v>1708</v>
      </c>
      <c r="D94" s="2" t="s">
        <v>1709</v>
      </c>
      <c r="E94" s="4" t="s">
        <v>1347</v>
      </c>
      <c r="F94" s="2" t="s">
        <v>2284</v>
      </c>
      <c r="G94" s="2" t="s">
        <v>2285</v>
      </c>
      <c r="H94" s="2" t="s">
        <v>342</v>
      </c>
      <c r="I94" s="2" t="s">
        <v>990</v>
      </c>
      <c r="J94" s="2" t="s">
        <v>31</v>
      </c>
      <c r="K94" s="2" t="s">
        <v>31</v>
      </c>
      <c r="L94" s="2" t="s">
        <v>348</v>
      </c>
      <c r="M94" s="2" t="s">
        <v>40</v>
      </c>
      <c r="N94" s="2" t="s">
        <v>497</v>
      </c>
      <c r="O94" s="2" t="s">
        <v>163</v>
      </c>
      <c r="P94" s="2" t="s">
        <v>2010</v>
      </c>
      <c r="Q94" s="2" t="s">
        <v>437</v>
      </c>
      <c r="R94" s="2" t="s">
        <v>428</v>
      </c>
      <c r="S94" s="2" t="s">
        <v>35</v>
      </c>
      <c r="T94" s="152">
        <v>1.8129999999999999</v>
      </c>
      <c r="U94" s="2" t="s">
        <v>2286</v>
      </c>
      <c r="V94" s="163">
        <v>2.29E-2</v>
      </c>
      <c r="W94" s="165">
        <v>4.5350000000000001E-2</v>
      </c>
      <c r="X94" s="4" t="s">
        <v>434</v>
      </c>
      <c r="Y94" s="4" t="s">
        <v>163</v>
      </c>
      <c r="Z94" s="152">
        <v>906769.24</v>
      </c>
      <c r="AA94" s="152">
        <v>1</v>
      </c>
      <c r="AB94" s="152">
        <v>96.89</v>
      </c>
      <c r="AD94" s="152">
        <v>878.56899999999996</v>
      </c>
      <c r="AG94" s="2" t="s">
        <v>37</v>
      </c>
      <c r="AH94" s="165">
        <v>1.838E-3</v>
      </c>
      <c r="AI94" s="165">
        <v>2.1220665883316301E-3</v>
      </c>
      <c r="AJ94" s="165">
        <v>3.6691759401582998E-4</v>
      </c>
    </row>
    <row r="95" spans="1:36">
      <c r="A95" s="2" t="s">
        <v>26</v>
      </c>
      <c r="B95" s="2">
        <v>288</v>
      </c>
      <c r="C95" s="2" t="s">
        <v>2287</v>
      </c>
      <c r="D95" s="2" t="s">
        <v>2288</v>
      </c>
      <c r="E95" s="4" t="s">
        <v>1347</v>
      </c>
      <c r="F95" s="2" t="s">
        <v>2289</v>
      </c>
      <c r="G95" s="2" t="s">
        <v>2290</v>
      </c>
      <c r="H95" s="2" t="s">
        <v>342</v>
      </c>
      <c r="I95" s="2" t="s">
        <v>777</v>
      </c>
      <c r="J95" s="2" t="s">
        <v>31</v>
      </c>
      <c r="K95" s="2" t="s">
        <v>31</v>
      </c>
      <c r="L95" s="2" t="s">
        <v>348</v>
      </c>
      <c r="M95" s="2" t="s">
        <v>40</v>
      </c>
      <c r="N95" s="2" t="s">
        <v>460</v>
      </c>
      <c r="O95" s="2" t="s">
        <v>163</v>
      </c>
      <c r="P95" s="2" t="s">
        <v>1981</v>
      </c>
      <c r="Q95" s="2" t="s">
        <v>435</v>
      </c>
      <c r="R95" s="2" t="s">
        <v>428</v>
      </c>
      <c r="S95" s="2" t="s">
        <v>35</v>
      </c>
      <c r="T95" s="152">
        <v>2.581</v>
      </c>
      <c r="U95" s="2" t="s">
        <v>2291</v>
      </c>
      <c r="V95" s="163">
        <v>1.9400000000000001E-2</v>
      </c>
      <c r="W95" s="165">
        <v>1.8630000000000001E-2</v>
      </c>
      <c r="X95" s="4" t="s">
        <v>434</v>
      </c>
      <c r="Y95" s="4" t="s">
        <v>163</v>
      </c>
      <c r="Z95" s="152">
        <v>2500959.91</v>
      </c>
      <c r="AA95" s="152">
        <v>1</v>
      </c>
      <c r="AB95" s="152">
        <v>113.16</v>
      </c>
      <c r="AD95" s="152">
        <v>2830.0859999999998</v>
      </c>
      <c r="AG95" s="2" t="s">
        <v>37</v>
      </c>
      <c r="AH95" s="165">
        <v>6.9189999999999998E-3</v>
      </c>
      <c r="AI95" s="165">
        <v>6.8356991614668804E-3</v>
      </c>
      <c r="AJ95" s="165">
        <v>1.1819319447997901E-3</v>
      </c>
    </row>
    <row r="96" spans="1:36">
      <c r="A96" s="2" t="s">
        <v>26</v>
      </c>
      <c r="B96" s="2">
        <v>288</v>
      </c>
      <c r="C96" s="2" t="s">
        <v>2292</v>
      </c>
      <c r="D96" s="2" t="s">
        <v>2293</v>
      </c>
      <c r="E96" s="4" t="s">
        <v>1347</v>
      </c>
      <c r="F96" s="2" t="s">
        <v>2294</v>
      </c>
      <c r="G96" s="2" t="s">
        <v>2295</v>
      </c>
      <c r="H96" s="2" t="s">
        <v>342</v>
      </c>
      <c r="I96" s="2" t="s">
        <v>990</v>
      </c>
      <c r="J96" s="2" t="s">
        <v>31</v>
      </c>
      <c r="K96" s="2" t="s">
        <v>31</v>
      </c>
      <c r="L96" s="2" t="s">
        <v>348</v>
      </c>
      <c r="M96" s="2" t="s">
        <v>40</v>
      </c>
      <c r="N96" s="2" t="s">
        <v>465</v>
      </c>
      <c r="O96" s="2" t="s">
        <v>163</v>
      </c>
      <c r="P96" s="2" t="s">
        <v>2010</v>
      </c>
      <c r="Q96" s="2" t="s">
        <v>435</v>
      </c>
      <c r="R96" s="2" t="s">
        <v>428</v>
      </c>
      <c r="S96" s="2" t="s">
        <v>35</v>
      </c>
      <c r="T96" s="152">
        <v>5.4459999999999997</v>
      </c>
      <c r="U96" s="2" t="s">
        <v>2296</v>
      </c>
      <c r="V96" s="163">
        <v>4.6899999999999997E-2</v>
      </c>
      <c r="W96" s="165">
        <v>4.9889999999999997E-2</v>
      </c>
      <c r="X96" s="4" t="s">
        <v>434</v>
      </c>
      <c r="Y96" s="4" t="s">
        <v>163</v>
      </c>
      <c r="Z96" s="152">
        <v>3099000</v>
      </c>
      <c r="AA96" s="152">
        <v>1</v>
      </c>
      <c r="AB96" s="152">
        <v>98.9</v>
      </c>
      <c r="AD96" s="152">
        <v>3064.9110000000001</v>
      </c>
      <c r="AG96" s="2" t="s">
        <v>37</v>
      </c>
      <c r="AH96" s="165">
        <v>0</v>
      </c>
      <c r="AI96" s="165">
        <v>7.4028873395508496E-3</v>
      </c>
      <c r="AJ96" s="165">
        <v>1.2800020632405199E-3</v>
      </c>
    </row>
    <row r="97" spans="1:36">
      <c r="A97" s="2" t="s">
        <v>26</v>
      </c>
      <c r="B97" s="2">
        <v>288</v>
      </c>
      <c r="C97" s="2" t="s">
        <v>2292</v>
      </c>
      <c r="D97" s="2" t="s">
        <v>2293</v>
      </c>
      <c r="E97" s="4" t="s">
        <v>1347</v>
      </c>
      <c r="F97" s="2" t="s">
        <v>2297</v>
      </c>
      <c r="G97" s="2" t="s">
        <v>2298</v>
      </c>
      <c r="H97" s="2" t="s">
        <v>342</v>
      </c>
      <c r="I97" s="2" t="s">
        <v>990</v>
      </c>
      <c r="J97" s="2" t="s">
        <v>31</v>
      </c>
      <c r="K97" s="2" t="s">
        <v>31</v>
      </c>
      <c r="L97" s="2" t="s">
        <v>348</v>
      </c>
      <c r="M97" s="2" t="s">
        <v>40</v>
      </c>
      <c r="N97" s="2" t="s">
        <v>465</v>
      </c>
      <c r="O97" s="2" t="s">
        <v>163</v>
      </c>
      <c r="P97" s="2" t="s">
        <v>2010</v>
      </c>
      <c r="Q97" s="2" t="s">
        <v>437</v>
      </c>
      <c r="R97" s="2" t="s">
        <v>428</v>
      </c>
      <c r="S97" s="2" t="s">
        <v>35</v>
      </c>
      <c r="T97" s="152">
        <v>4.7160000000000002</v>
      </c>
      <c r="U97" s="2" t="s">
        <v>1994</v>
      </c>
      <c r="V97" s="163">
        <v>2.6200000000000001E-2</v>
      </c>
      <c r="W97" s="165">
        <v>4.8320000000000002E-2</v>
      </c>
      <c r="X97" s="4" t="s">
        <v>434</v>
      </c>
      <c r="Y97" s="4" t="s">
        <v>163</v>
      </c>
      <c r="Z97" s="152">
        <v>110000</v>
      </c>
      <c r="AA97" s="152">
        <v>1</v>
      </c>
      <c r="AB97" s="152">
        <v>91.3</v>
      </c>
      <c r="AD97" s="152">
        <v>100.43</v>
      </c>
      <c r="AG97" s="2" t="s">
        <v>37</v>
      </c>
      <c r="AH97" s="165">
        <v>8.5000000000000006E-5</v>
      </c>
      <c r="AI97" s="165">
        <v>2.4257538816334099E-4</v>
      </c>
      <c r="AJ97" s="165">
        <v>4.1942688453676201E-5</v>
      </c>
    </row>
    <row r="98" spans="1:36">
      <c r="A98" s="2" t="s">
        <v>26</v>
      </c>
      <c r="B98" s="2">
        <v>288</v>
      </c>
      <c r="C98" s="2" t="s">
        <v>2299</v>
      </c>
      <c r="D98" s="2" t="s">
        <v>2300</v>
      </c>
      <c r="E98" s="4" t="s">
        <v>1347</v>
      </c>
      <c r="F98" s="2" t="s">
        <v>2301</v>
      </c>
      <c r="G98" s="2" t="s">
        <v>2302</v>
      </c>
      <c r="H98" s="2" t="s">
        <v>342</v>
      </c>
      <c r="I98" s="2" t="s">
        <v>990</v>
      </c>
      <c r="J98" s="2" t="s">
        <v>31</v>
      </c>
      <c r="K98" s="2" t="s">
        <v>31</v>
      </c>
      <c r="L98" s="2" t="s">
        <v>348</v>
      </c>
      <c r="M98" s="2" t="s">
        <v>40</v>
      </c>
      <c r="N98" s="2" t="s">
        <v>485</v>
      </c>
      <c r="O98" s="2" t="s">
        <v>163</v>
      </c>
      <c r="P98" s="2" t="s">
        <v>98</v>
      </c>
      <c r="Q98" s="2" t="s">
        <v>437</v>
      </c>
      <c r="R98" s="2" t="s">
        <v>428</v>
      </c>
      <c r="S98" s="2" t="s">
        <v>35</v>
      </c>
      <c r="T98" s="152">
        <v>0.86099999999999999</v>
      </c>
      <c r="U98" s="2" t="s">
        <v>2303</v>
      </c>
      <c r="V98" s="163">
        <v>3.5000000000000003E-2</v>
      </c>
      <c r="W98" s="165">
        <v>4.8309999999999999E-2</v>
      </c>
      <c r="X98" s="4" t="s">
        <v>434</v>
      </c>
      <c r="Y98" s="4" t="s">
        <v>163</v>
      </c>
      <c r="Z98" s="152">
        <v>452338.24</v>
      </c>
      <c r="AA98" s="152">
        <v>1</v>
      </c>
      <c r="AB98" s="152">
        <v>99.35</v>
      </c>
      <c r="AD98" s="152">
        <v>449.39800000000002</v>
      </c>
      <c r="AG98" s="2" t="s">
        <v>37</v>
      </c>
      <c r="AH98" s="165">
        <v>1.887E-3</v>
      </c>
      <c r="AI98" s="165">
        <v>1.08546155871904E-3</v>
      </c>
      <c r="AJ98" s="165">
        <v>1.8768258532122001E-4</v>
      </c>
    </row>
    <row r="99" spans="1:36">
      <c r="A99" s="2" t="s">
        <v>26</v>
      </c>
      <c r="B99" s="2">
        <v>288</v>
      </c>
      <c r="C99" s="2" t="s">
        <v>2304</v>
      </c>
      <c r="D99" s="2" t="s">
        <v>2305</v>
      </c>
      <c r="E99" s="4" t="s">
        <v>1347</v>
      </c>
      <c r="F99" s="2" t="s">
        <v>2306</v>
      </c>
      <c r="G99" s="2" t="s">
        <v>2307</v>
      </c>
      <c r="H99" s="2" t="s">
        <v>342</v>
      </c>
      <c r="I99" s="2" t="s">
        <v>990</v>
      </c>
      <c r="J99" s="2" t="s">
        <v>31</v>
      </c>
      <c r="K99" s="2" t="s">
        <v>31</v>
      </c>
      <c r="L99" s="2" t="s">
        <v>348</v>
      </c>
      <c r="M99" s="2" t="s">
        <v>40</v>
      </c>
      <c r="N99" s="2" t="s">
        <v>482</v>
      </c>
      <c r="O99" s="2" t="s">
        <v>163</v>
      </c>
      <c r="P99" s="2" t="s">
        <v>1981</v>
      </c>
      <c r="Q99" s="2" t="s">
        <v>435</v>
      </c>
      <c r="R99" s="2" t="s">
        <v>428</v>
      </c>
      <c r="S99" s="2" t="s">
        <v>35</v>
      </c>
      <c r="T99" s="152">
        <v>2.0630000000000002</v>
      </c>
      <c r="U99" s="2" t="s">
        <v>2308</v>
      </c>
      <c r="V99" s="163">
        <v>2.3E-2</v>
      </c>
      <c r="W99" s="165">
        <v>4.895E-2</v>
      </c>
      <c r="X99" s="4" t="s">
        <v>434</v>
      </c>
      <c r="Y99" s="4" t="s">
        <v>163</v>
      </c>
      <c r="Z99" s="152">
        <v>1425806.45</v>
      </c>
      <c r="AA99" s="152">
        <v>1</v>
      </c>
      <c r="AB99" s="152">
        <v>95.14</v>
      </c>
      <c r="AD99" s="152">
        <v>1356.5119999999999</v>
      </c>
      <c r="AG99" s="2" t="s">
        <v>37</v>
      </c>
      <c r="AH99" s="165">
        <v>1.7470000000000001E-3</v>
      </c>
      <c r="AI99" s="165">
        <v>3.2764760248540602E-3</v>
      </c>
      <c r="AJ99" s="165">
        <v>5.6652166642667497E-4</v>
      </c>
    </row>
    <row r="100" spans="1:36">
      <c r="A100" s="2" t="s">
        <v>26</v>
      </c>
      <c r="B100" s="2">
        <v>288</v>
      </c>
      <c r="C100" s="2" t="s">
        <v>1796</v>
      </c>
      <c r="D100" s="2" t="s">
        <v>1797</v>
      </c>
      <c r="E100" s="4" t="s">
        <v>1347</v>
      </c>
      <c r="F100" s="2" t="s">
        <v>2309</v>
      </c>
      <c r="G100" s="2" t="s">
        <v>2310</v>
      </c>
      <c r="H100" s="2" t="s">
        <v>342</v>
      </c>
      <c r="I100" s="2" t="s">
        <v>777</v>
      </c>
      <c r="J100" s="2" t="s">
        <v>31</v>
      </c>
      <c r="K100" s="2" t="s">
        <v>31</v>
      </c>
      <c r="L100" s="2" t="s">
        <v>348</v>
      </c>
      <c r="M100" s="2" t="s">
        <v>40</v>
      </c>
      <c r="N100" s="2" t="s">
        <v>484</v>
      </c>
      <c r="O100" s="2" t="s">
        <v>163</v>
      </c>
      <c r="P100" s="2" t="s">
        <v>1981</v>
      </c>
      <c r="Q100" s="2" t="s">
        <v>435</v>
      </c>
      <c r="R100" s="2" t="s">
        <v>428</v>
      </c>
      <c r="S100" s="2" t="s">
        <v>35</v>
      </c>
      <c r="T100" s="152">
        <v>1.696</v>
      </c>
      <c r="U100" s="2" t="s">
        <v>2311</v>
      </c>
      <c r="V100" s="163">
        <v>2.1499999999999998E-2</v>
      </c>
      <c r="W100" s="165">
        <v>2.341E-2</v>
      </c>
      <c r="X100" s="4" t="s">
        <v>434</v>
      </c>
      <c r="Y100" s="4" t="s">
        <v>163</v>
      </c>
      <c r="Z100" s="152">
        <v>3500000</v>
      </c>
      <c r="AA100" s="152">
        <v>1</v>
      </c>
      <c r="AB100" s="152">
        <v>113.52</v>
      </c>
      <c r="AD100" s="152">
        <v>3973.2</v>
      </c>
      <c r="AG100" s="2" t="s">
        <v>37</v>
      </c>
      <c r="AH100" s="165">
        <v>1.7849999999999999E-3</v>
      </c>
      <c r="AI100" s="165">
        <v>9.5967393433295297E-3</v>
      </c>
      <c r="AJ100" s="165">
        <v>1.6593317710260501E-3</v>
      </c>
    </row>
    <row r="101" spans="1:36">
      <c r="A101" s="2" t="s">
        <v>26</v>
      </c>
      <c r="B101" s="2">
        <v>288</v>
      </c>
      <c r="C101" s="2" t="s">
        <v>1796</v>
      </c>
      <c r="D101" s="2" t="s">
        <v>1797</v>
      </c>
      <c r="E101" s="4" t="s">
        <v>1347</v>
      </c>
      <c r="F101" s="2" t="s">
        <v>2312</v>
      </c>
      <c r="G101" s="2" t="s">
        <v>2313</v>
      </c>
      <c r="H101" s="2" t="s">
        <v>342</v>
      </c>
      <c r="I101" s="2" t="s">
        <v>777</v>
      </c>
      <c r="J101" s="2" t="s">
        <v>31</v>
      </c>
      <c r="K101" s="2" t="s">
        <v>31</v>
      </c>
      <c r="L101" s="2" t="s">
        <v>348</v>
      </c>
      <c r="M101" s="2" t="s">
        <v>40</v>
      </c>
      <c r="N101" s="2" t="s">
        <v>484</v>
      </c>
      <c r="O101" s="2" t="s">
        <v>163</v>
      </c>
      <c r="P101" s="2" t="s">
        <v>1991</v>
      </c>
      <c r="Q101" s="2" t="s">
        <v>437</v>
      </c>
      <c r="R101" s="2" t="s">
        <v>428</v>
      </c>
      <c r="S101" s="2" t="s">
        <v>35</v>
      </c>
      <c r="T101" s="152">
        <v>1.65</v>
      </c>
      <c r="U101" s="2" t="s">
        <v>2311</v>
      </c>
      <c r="V101" s="163">
        <v>1.6E-2</v>
      </c>
      <c r="W101" s="165">
        <v>2.2440000000000002E-2</v>
      </c>
      <c r="X101" s="4" t="s">
        <v>434</v>
      </c>
      <c r="Y101" s="4" t="s">
        <v>163</v>
      </c>
      <c r="Z101" s="152">
        <v>366190.48</v>
      </c>
      <c r="AA101" s="152">
        <v>1</v>
      </c>
      <c r="AB101" s="152">
        <v>112.74</v>
      </c>
      <c r="AD101" s="152">
        <v>412.84300000000002</v>
      </c>
      <c r="AG101" s="2" t="s">
        <v>37</v>
      </c>
      <c r="AH101" s="165">
        <v>9.4499999999999998E-4</v>
      </c>
      <c r="AI101" s="165">
        <v>9.9716804411999899E-4</v>
      </c>
      <c r="AJ101" s="165">
        <v>1.7241612567192599E-4</v>
      </c>
    </row>
    <row r="102" spans="1:36">
      <c r="A102" s="2" t="s">
        <v>26</v>
      </c>
      <c r="B102" s="2">
        <v>288</v>
      </c>
      <c r="C102" s="2" t="s">
        <v>1712</v>
      </c>
      <c r="D102" s="2" t="s">
        <v>1713</v>
      </c>
      <c r="E102" s="4" t="s">
        <v>1347</v>
      </c>
      <c r="F102" s="2" t="s">
        <v>2314</v>
      </c>
      <c r="G102" s="2" t="s">
        <v>2315</v>
      </c>
      <c r="H102" s="2" t="s">
        <v>342</v>
      </c>
      <c r="I102" s="2" t="s">
        <v>777</v>
      </c>
      <c r="J102" s="2" t="s">
        <v>31</v>
      </c>
      <c r="K102" s="2" t="s">
        <v>31</v>
      </c>
      <c r="L102" s="2" t="s">
        <v>348</v>
      </c>
      <c r="M102" s="2" t="s">
        <v>40</v>
      </c>
      <c r="N102" s="2" t="s">
        <v>484</v>
      </c>
      <c r="O102" s="2" t="s">
        <v>163</v>
      </c>
      <c r="P102" s="2" t="s">
        <v>1991</v>
      </c>
      <c r="Q102" s="2" t="s">
        <v>435</v>
      </c>
      <c r="R102" s="2" t="s">
        <v>428</v>
      </c>
      <c r="S102" s="2" t="s">
        <v>35</v>
      </c>
      <c r="T102" s="152">
        <v>0.47099999999999997</v>
      </c>
      <c r="U102" s="2" t="s">
        <v>2316</v>
      </c>
      <c r="V102" s="163">
        <v>0.04</v>
      </c>
      <c r="W102" s="165">
        <v>1.1520000000000001E-2</v>
      </c>
      <c r="X102" s="4" t="s">
        <v>434</v>
      </c>
      <c r="Y102" s="4" t="s">
        <v>163</v>
      </c>
      <c r="Z102" s="152">
        <v>335155.90999999997</v>
      </c>
      <c r="AA102" s="152">
        <v>1</v>
      </c>
      <c r="AB102" s="152">
        <v>112.74</v>
      </c>
      <c r="AD102" s="152">
        <v>377.85500000000002</v>
      </c>
      <c r="AG102" s="2" t="s">
        <v>37</v>
      </c>
      <c r="AH102" s="165">
        <v>2.0579999999999999E-3</v>
      </c>
      <c r="AI102" s="165">
        <v>9.1265825165623795E-4</v>
      </c>
      <c r="AJ102" s="165">
        <v>1.5780389347710199E-4</v>
      </c>
    </row>
    <row r="103" spans="1:36">
      <c r="A103" s="2" t="s">
        <v>26</v>
      </c>
      <c r="B103" s="2">
        <v>288</v>
      </c>
      <c r="C103" s="2" t="s">
        <v>1712</v>
      </c>
      <c r="D103" s="2" t="s">
        <v>1713</v>
      </c>
      <c r="E103" s="4" t="s">
        <v>1347</v>
      </c>
      <c r="F103" s="2" t="s">
        <v>2317</v>
      </c>
      <c r="G103" s="2" t="s">
        <v>2318</v>
      </c>
      <c r="H103" s="2" t="s">
        <v>342</v>
      </c>
      <c r="I103" s="2" t="s">
        <v>777</v>
      </c>
      <c r="J103" s="2" t="s">
        <v>31</v>
      </c>
      <c r="K103" s="2" t="s">
        <v>31</v>
      </c>
      <c r="L103" s="2" t="s">
        <v>348</v>
      </c>
      <c r="M103" s="2" t="s">
        <v>40</v>
      </c>
      <c r="N103" s="2" t="s">
        <v>484</v>
      </c>
      <c r="O103" s="2" t="s">
        <v>163</v>
      </c>
      <c r="P103" s="2" t="s">
        <v>1991</v>
      </c>
      <c r="Q103" s="2" t="s">
        <v>435</v>
      </c>
      <c r="R103" s="2" t="s">
        <v>428</v>
      </c>
      <c r="S103" s="2" t="s">
        <v>35</v>
      </c>
      <c r="T103" s="152">
        <v>2.5449999999999999</v>
      </c>
      <c r="U103" s="2" t="s">
        <v>2319</v>
      </c>
      <c r="V103" s="163">
        <v>0.04</v>
      </c>
      <c r="W103" s="165">
        <v>2.18E-2</v>
      </c>
      <c r="X103" s="4" t="s">
        <v>434</v>
      </c>
      <c r="Y103" s="4" t="s">
        <v>163</v>
      </c>
      <c r="Z103" s="152">
        <v>3805147.96</v>
      </c>
      <c r="AA103" s="152">
        <v>1</v>
      </c>
      <c r="AB103" s="152">
        <v>117.41</v>
      </c>
      <c r="AD103" s="152">
        <v>4467.6239999999998</v>
      </c>
      <c r="AG103" s="2" t="s">
        <v>37</v>
      </c>
      <c r="AH103" s="165">
        <v>4.0879999999999996E-3</v>
      </c>
      <c r="AI103" s="165">
        <v>1.07909556835075E-2</v>
      </c>
      <c r="AJ103" s="165">
        <v>1.8658186874507599E-3</v>
      </c>
    </row>
    <row r="104" spans="1:36">
      <c r="A104" s="2" t="s">
        <v>26</v>
      </c>
      <c r="B104" s="2">
        <v>288</v>
      </c>
      <c r="C104" s="2" t="s">
        <v>2320</v>
      </c>
      <c r="D104" s="2" t="s">
        <v>2321</v>
      </c>
      <c r="E104" s="4" t="s">
        <v>1347</v>
      </c>
      <c r="F104" s="2" t="s">
        <v>2322</v>
      </c>
      <c r="G104" s="2" t="s">
        <v>2323</v>
      </c>
      <c r="H104" s="2" t="s">
        <v>342</v>
      </c>
      <c r="I104" s="2" t="s">
        <v>777</v>
      </c>
      <c r="J104" s="2" t="s">
        <v>31</v>
      </c>
      <c r="K104" s="2" t="s">
        <v>31</v>
      </c>
      <c r="L104" s="2" t="s">
        <v>348</v>
      </c>
      <c r="M104" s="2" t="s">
        <v>40</v>
      </c>
      <c r="N104" s="2" t="s">
        <v>496</v>
      </c>
      <c r="O104" s="2" t="s">
        <v>163</v>
      </c>
      <c r="P104" s="2" t="s">
        <v>1991</v>
      </c>
      <c r="Q104" s="2" t="s">
        <v>435</v>
      </c>
      <c r="R104" s="2" t="s">
        <v>428</v>
      </c>
      <c r="S104" s="2" t="s">
        <v>35</v>
      </c>
      <c r="T104" s="152">
        <v>2.8919999999999999</v>
      </c>
      <c r="U104" s="2" t="s">
        <v>2324</v>
      </c>
      <c r="V104" s="163">
        <v>2.9899999999999999E-2</v>
      </c>
      <c r="W104" s="165">
        <v>1.8759999999999999E-2</v>
      </c>
      <c r="X104" s="4" t="s">
        <v>434</v>
      </c>
      <c r="Y104" s="4" t="s">
        <v>163</v>
      </c>
      <c r="Z104" s="152">
        <v>1015000.65</v>
      </c>
      <c r="AA104" s="152">
        <v>1</v>
      </c>
      <c r="AB104" s="152">
        <v>116.68</v>
      </c>
      <c r="AD104" s="152">
        <v>1184.3030000000001</v>
      </c>
      <c r="AG104" s="2" t="s">
        <v>37</v>
      </c>
      <c r="AH104" s="165">
        <v>4.9109999999999996E-3</v>
      </c>
      <c r="AI104" s="165">
        <v>2.8605267482489901E-3</v>
      </c>
      <c r="AJ104" s="165">
        <v>4.94601629306376E-4</v>
      </c>
    </row>
    <row r="105" spans="1:36">
      <c r="A105" s="2" t="s">
        <v>26</v>
      </c>
      <c r="B105" s="2">
        <v>288</v>
      </c>
      <c r="C105" s="2" t="s">
        <v>2325</v>
      </c>
      <c r="D105" s="2" t="s">
        <v>2326</v>
      </c>
      <c r="E105" s="4" t="s">
        <v>1347</v>
      </c>
      <c r="F105" s="2" t="s">
        <v>2327</v>
      </c>
      <c r="G105" s="2" t="s">
        <v>2328</v>
      </c>
      <c r="H105" s="2" t="s">
        <v>342</v>
      </c>
      <c r="I105" s="2" t="s">
        <v>990</v>
      </c>
      <c r="J105" s="2" t="s">
        <v>31</v>
      </c>
      <c r="K105" s="2" t="s">
        <v>31</v>
      </c>
      <c r="L105" s="2" t="s">
        <v>348</v>
      </c>
      <c r="M105" s="2" t="s">
        <v>40</v>
      </c>
      <c r="N105" s="2" t="s">
        <v>460</v>
      </c>
      <c r="O105" s="2" t="s">
        <v>163</v>
      </c>
      <c r="P105" s="2" t="s">
        <v>1987</v>
      </c>
      <c r="Q105" s="2" t="s">
        <v>437</v>
      </c>
      <c r="R105" s="2" t="s">
        <v>428</v>
      </c>
      <c r="S105" s="2" t="s">
        <v>35</v>
      </c>
      <c r="T105" s="152">
        <v>4.556</v>
      </c>
      <c r="U105" s="2" t="s">
        <v>2329</v>
      </c>
      <c r="V105" s="163">
        <v>6.7699999999999996E-2</v>
      </c>
      <c r="W105" s="165">
        <v>5.8840000000000003E-2</v>
      </c>
      <c r="X105" s="4" t="s">
        <v>434</v>
      </c>
      <c r="Y105" s="4" t="s">
        <v>163</v>
      </c>
      <c r="Z105" s="152">
        <v>2900000</v>
      </c>
      <c r="AA105" s="152">
        <v>1</v>
      </c>
      <c r="AB105" s="152">
        <v>108.96</v>
      </c>
      <c r="AD105" s="152">
        <v>3159.84</v>
      </c>
      <c r="AG105" s="2" t="s">
        <v>37</v>
      </c>
      <c r="AH105" s="165">
        <v>0</v>
      </c>
      <c r="AI105" s="165">
        <v>7.6321757894458799E-3</v>
      </c>
      <c r="AJ105" s="165">
        <v>1.3196473631730001E-3</v>
      </c>
    </row>
    <row r="106" spans="1:36">
      <c r="A106" s="2" t="s">
        <v>26</v>
      </c>
      <c r="B106" s="2">
        <v>288</v>
      </c>
      <c r="C106" s="2" t="s">
        <v>2330</v>
      </c>
      <c r="D106" s="2" t="s">
        <v>2331</v>
      </c>
      <c r="E106" s="4" t="s">
        <v>1347</v>
      </c>
      <c r="F106" s="2" t="s">
        <v>2332</v>
      </c>
      <c r="G106" s="2" t="s">
        <v>2333</v>
      </c>
      <c r="H106" s="2" t="s">
        <v>342</v>
      </c>
      <c r="I106" s="2" t="s">
        <v>990</v>
      </c>
      <c r="J106" s="2" t="s">
        <v>31</v>
      </c>
      <c r="K106" s="2" t="s">
        <v>31</v>
      </c>
      <c r="L106" s="2" t="s">
        <v>348</v>
      </c>
      <c r="M106" s="2" t="s">
        <v>40</v>
      </c>
      <c r="N106" s="2" t="s">
        <v>498</v>
      </c>
      <c r="O106" s="2" t="s">
        <v>163</v>
      </c>
      <c r="P106" s="2" t="s">
        <v>1991</v>
      </c>
      <c r="Q106" s="2" t="s">
        <v>435</v>
      </c>
      <c r="R106" s="2" t="s">
        <v>428</v>
      </c>
      <c r="S106" s="2" t="s">
        <v>35</v>
      </c>
      <c r="T106" s="152">
        <v>1.19</v>
      </c>
      <c r="U106" s="2" t="s">
        <v>2334</v>
      </c>
      <c r="V106" s="163">
        <v>2.7E-2</v>
      </c>
      <c r="W106" s="165">
        <v>4.8189999999999997E-2</v>
      </c>
      <c r="X106" s="4" t="s">
        <v>434</v>
      </c>
      <c r="Y106" s="4" t="s">
        <v>163</v>
      </c>
      <c r="Z106" s="152">
        <v>1352694.7</v>
      </c>
      <c r="AA106" s="152">
        <v>1</v>
      </c>
      <c r="AB106" s="152">
        <v>97.87</v>
      </c>
      <c r="AD106" s="152">
        <v>1323.8820000000001</v>
      </c>
      <c r="AG106" s="2" t="s">
        <v>37</v>
      </c>
      <c r="AH106" s="165">
        <v>7.208E-3</v>
      </c>
      <c r="AI106" s="165">
        <v>3.1976626855134802E-3</v>
      </c>
      <c r="AJ106" s="165">
        <v>5.52894383943549E-4</v>
      </c>
    </row>
    <row r="107" spans="1:36">
      <c r="A107" s="2" t="s">
        <v>26</v>
      </c>
      <c r="B107" s="2">
        <v>288</v>
      </c>
      <c r="C107" s="2" t="s">
        <v>2330</v>
      </c>
      <c r="D107" s="2" t="s">
        <v>2331</v>
      </c>
      <c r="E107" s="4" t="s">
        <v>1347</v>
      </c>
      <c r="F107" s="2" t="s">
        <v>2335</v>
      </c>
      <c r="G107" s="2" t="s">
        <v>2336</v>
      </c>
      <c r="H107" s="2" t="s">
        <v>342</v>
      </c>
      <c r="I107" s="2" t="s">
        <v>777</v>
      </c>
      <c r="J107" s="2" t="s">
        <v>31</v>
      </c>
      <c r="K107" s="2" t="s">
        <v>31</v>
      </c>
      <c r="L107" s="2" t="s">
        <v>348</v>
      </c>
      <c r="M107" s="2" t="s">
        <v>40</v>
      </c>
      <c r="N107" s="2" t="s">
        <v>498</v>
      </c>
      <c r="O107" s="2" t="s">
        <v>163</v>
      </c>
      <c r="P107" s="2" t="s">
        <v>1991</v>
      </c>
      <c r="Q107" s="2" t="s">
        <v>435</v>
      </c>
      <c r="R107" s="2" t="s">
        <v>428</v>
      </c>
      <c r="S107" s="2" t="s">
        <v>35</v>
      </c>
      <c r="T107" s="152">
        <v>1.206</v>
      </c>
      <c r="U107" s="2" t="s">
        <v>2334</v>
      </c>
      <c r="V107" s="163">
        <v>1.7999999999999999E-2</v>
      </c>
      <c r="W107" s="165">
        <v>1.737E-2</v>
      </c>
      <c r="X107" s="4" t="s">
        <v>434</v>
      </c>
      <c r="Y107" s="4" t="s">
        <v>163</v>
      </c>
      <c r="Z107" s="152">
        <v>580513.59</v>
      </c>
      <c r="AA107" s="152">
        <v>1</v>
      </c>
      <c r="AB107" s="152">
        <v>112.08</v>
      </c>
      <c r="AD107" s="152">
        <v>650.64</v>
      </c>
      <c r="AG107" s="2" t="s">
        <v>37</v>
      </c>
      <c r="AH107" s="165">
        <v>5.9599999999999996E-4</v>
      </c>
      <c r="AI107" s="165">
        <v>1.57153401580492E-3</v>
      </c>
      <c r="AJ107" s="165">
        <v>2.7172732616581997E-4</v>
      </c>
    </row>
    <row r="108" spans="1:36">
      <c r="A108" s="2" t="s">
        <v>26</v>
      </c>
      <c r="B108" s="2">
        <v>288</v>
      </c>
      <c r="C108" s="2" t="s">
        <v>2330</v>
      </c>
      <c r="D108" s="2" t="s">
        <v>2331</v>
      </c>
      <c r="E108" s="4" t="s">
        <v>1347</v>
      </c>
      <c r="F108" s="2" t="s">
        <v>2337</v>
      </c>
      <c r="G108" s="2" t="s">
        <v>2338</v>
      </c>
      <c r="H108" s="2" t="s">
        <v>342</v>
      </c>
      <c r="I108" s="2" t="s">
        <v>990</v>
      </c>
      <c r="J108" s="2" t="s">
        <v>31</v>
      </c>
      <c r="K108" s="2" t="s">
        <v>31</v>
      </c>
      <c r="L108" s="2" t="s">
        <v>348</v>
      </c>
      <c r="M108" s="2" t="s">
        <v>40</v>
      </c>
      <c r="N108" s="2" t="s">
        <v>498</v>
      </c>
      <c r="O108" s="2" t="s">
        <v>163</v>
      </c>
      <c r="P108" s="2" t="s">
        <v>1991</v>
      </c>
      <c r="Q108" s="2" t="s">
        <v>435</v>
      </c>
      <c r="R108" s="2" t="s">
        <v>428</v>
      </c>
      <c r="S108" s="2" t="s">
        <v>35</v>
      </c>
      <c r="T108" s="152">
        <v>3.5329999999999999</v>
      </c>
      <c r="U108" s="2" t="s">
        <v>2339</v>
      </c>
      <c r="V108" s="163">
        <v>4.5600000000000002E-2</v>
      </c>
      <c r="W108" s="165">
        <v>5.1180000000000003E-2</v>
      </c>
      <c r="X108" s="4" t="s">
        <v>434</v>
      </c>
      <c r="Y108" s="4" t="s">
        <v>163</v>
      </c>
      <c r="Z108" s="152">
        <v>2818182.38</v>
      </c>
      <c r="AA108" s="152">
        <v>1</v>
      </c>
      <c r="AB108" s="152">
        <v>98.66</v>
      </c>
      <c r="AD108" s="152">
        <v>2780.4189999999999</v>
      </c>
      <c r="AG108" s="2" t="s">
        <v>37</v>
      </c>
      <c r="AH108" s="165">
        <v>5.2940000000000001E-3</v>
      </c>
      <c r="AI108" s="165">
        <v>6.7157338859705597E-3</v>
      </c>
      <c r="AJ108" s="165">
        <v>1.1611892543994999E-3</v>
      </c>
    </row>
    <row r="109" spans="1:36">
      <c r="A109" s="2" t="s">
        <v>26</v>
      </c>
      <c r="B109" s="2">
        <v>288</v>
      </c>
      <c r="C109" s="2" t="s">
        <v>2340</v>
      </c>
      <c r="D109" s="2" t="s">
        <v>2341</v>
      </c>
      <c r="E109" s="4" t="s">
        <v>1347</v>
      </c>
      <c r="F109" s="2" t="s">
        <v>2342</v>
      </c>
      <c r="G109" s="2" t="s">
        <v>2343</v>
      </c>
      <c r="H109" s="2" t="s">
        <v>342</v>
      </c>
      <c r="I109" s="2" t="s">
        <v>778</v>
      </c>
      <c r="J109" s="2" t="s">
        <v>31</v>
      </c>
      <c r="K109" s="2" t="s">
        <v>31</v>
      </c>
      <c r="L109" s="2" t="s">
        <v>348</v>
      </c>
      <c r="M109" s="2" t="s">
        <v>40</v>
      </c>
      <c r="N109" s="2" t="s">
        <v>474</v>
      </c>
      <c r="O109" s="2" t="s">
        <v>163</v>
      </c>
      <c r="P109" s="2" t="s">
        <v>2182</v>
      </c>
      <c r="Q109" s="2" t="s">
        <v>437</v>
      </c>
      <c r="R109" s="2" t="s">
        <v>428</v>
      </c>
      <c r="S109" s="2" t="s">
        <v>35</v>
      </c>
      <c r="T109" s="152">
        <v>3.3</v>
      </c>
      <c r="U109" s="2" t="s">
        <v>2344</v>
      </c>
      <c r="V109" s="163">
        <v>4.6899999999999997E-2</v>
      </c>
      <c r="W109" s="165">
        <v>6.9029999999999994E-2</v>
      </c>
      <c r="X109" s="4" t="s">
        <v>434</v>
      </c>
      <c r="Y109" s="4" t="s">
        <v>163</v>
      </c>
      <c r="Z109" s="152">
        <v>4963965.97</v>
      </c>
      <c r="AA109" s="152">
        <v>1</v>
      </c>
      <c r="AB109" s="152">
        <v>98.27</v>
      </c>
      <c r="AD109" s="152">
        <v>4878.0889999999999</v>
      </c>
      <c r="AG109" s="2" t="s">
        <v>37</v>
      </c>
      <c r="AH109" s="165">
        <v>3.388E-3</v>
      </c>
      <c r="AI109" s="165">
        <v>1.17823799630262E-2</v>
      </c>
      <c r="AJ109" s="165">
        <v>2.0372416829826101E-3</v>
      </c>
    </row>
    <row r="110" spans="1:36">
      <c r="A110" s="2" t="s">
        <v>26</v>
      </c>
      <c r="B110" s="2">
        <v>288</v>
      </c>
      <c r="C110" s="2" t="s">
        <v>2345</v>
      </c>
      <c r="D110" s="2" t="s">
        <v>2346</v>
      </c>
      <c r="E110" s="4" t="s">
        <v>1347</v>
      </c>
      <c r="F110" s="2" t="s">
        <v>2347</v>
      </c>
      <c r="G110" s="2" t="s">
        <v>2348</v>
      </c>
      <c r="H110" s="2" t="s">
        <v>342</v>
      </c>
      <c r="I110" s="2" t="s">
        <v>778</v>
      </c>
      <c r="J110" s="2" t="s">
        <v>31</v>
      </c>
      <c r="K110" s="2" t="s">
        <v>31</v>
      </c>
      <c r="L110" s="2" t="s">
        <v>348</v>
      </c>
      <c r="M110" s="2" t="s">
        <v>40</v>
      </c>
      <c r="N110" s="2" t="s">
        <v>507</v>
      </c>
      <c r="O110" s="2" t="s">
        <v>163</v>
      </c>
      <c r="P110" s="2" t="s">
        <v>2349</v>
      </c>
      <c r="Q110" s="2" t="s">
        <v>99</v>
      </c>
      <c r="R110" s="2" t="s">
        <v>428</v>
      </c>
      <c r="S110" s="2" t="s">
        <v>100</v>
      </c>
      <c r="T110" s="152">
        <v>4.83</v>
      </c>
      <c r="U110" s="2" t="s">
        <v>2296</v>
      </c>
      <c r="V110" s="163">
        <v>6.7500000000000004E-2</v>
      </c>
      <c r="W110" s="165">
        <v>8.3540000000000003E-2</v>
      </c>
      <c r="X110" s="4" t="s">
        <v>434</v>
      </c>
      <c r="Y110" s="4" t="s">
        <v>163</v>
      </c>
      <c r="Z110" s="152">
        <v>600000</v>
      </c>
      <c r="AA110" s="152">
        <v>3.681</v>
      </c>
      <c r="AB110" s="152">
        <v>94.715999999999994</v>
      </c>
      <c r="AD110" s="152">
        <v>2091.9090000000001</v>
      </c>
      <c r="AG110" s="2" t="s">
        <v>37</v>
      </c>
      <c r="AH110" s="165">
        <v>0</v>
      </c>
      <c r="AI110" s="165">
        <v>5.0527287190696296E-3</v>
      </c>
      <c r="AJ110" s="165">
        <v>8.7364603684433905E-4</v>
      </c>
    </row>
    <row r="111" spans="1:36">
      <c r="A111" s="2" t="s">
        <v>26</v>
      </c>
      <c r="B111" s="2">
        <v>288</v>
      </c>
      <c r="C111" s="2" t="s">
        <v>1977</v>
      </c>
      <c r="D111" s="2" t="s">
        <v>1978</v>
      </c>
      <c r="E111" s="4" t="s">
        <v>1347</v>
      </c>
      <c r="F111" s="2" t="s">
        <v>1979</v>
      </c>
      <c r="G111" s="2" t="s">
        <v>1980</v>
      </c>
      <c r="H111" s="2" t="s">
        <v>342</v>
      </c>
      <c r="I111" s="2" t="s">
        <v>777</v>
      </c>
      <c r="J111" s="2" t="s">
        <v>31</v>
      </c>
      <c r="K111" s="2" t="s">
        <v>31</v>
      </c>
      <c r="L111" s="2" t="s">
        <v>348</v>
      </c>
      <c r="M111" s="2" t="s">
        <v>40</v>
      </c>
      <c r="N111" s="2" t="s">
        <v>476</v>
      </c>
      <c r="O111" s="2" t="s">
        <v>163</v>
      </c>
      <c r="P111" s="2" t="s">
        <v>1981</v>
      </c>
      <c r="Q111" s="2" t="s">
        <v>435</v>
      </c>
      <c r="R111" s="2" t="s">
        <v>428</v>
      </c>
      <c r="S111" s="2" t="s">
        <v>35</v>
      </c>
      <c r="T111" s="152">
        <v>5.6740000000000004</v>
      </c>
      <c r="U111" s="2" t="s">
        <v>1982</v>
      </c>
      <c r="V111" s="163">
        <v>5.1499999999999997E-2</v>
      </c>
      <c r="W111" s="165">
        <v>2.9309999999999999E-2</v>
      </c>
      <c r="X111" s="4" t="s">
        <v>434</v>
      </c>
      <c r="Y111" s="4" t="s">
        <v>163</v>
      </c>
      <c r="Z111" s="152">
        <v>2435026.75</v>
      </c>
      <c r="AA111" s="152">
        <v>1</v>
      </c>
      <c r="AB111" s="152">
        <v>154.27000000000001</v>
      </c>
      <c r="AD111" s="152">
        <v>3756.5160000000001</v>
      </c>
      <c r="AG111" s="2" t="s">
        <v>37</v>
      </c>
      <c r="AH111" s="165">
        <v>7.7899999999999996E-4</v>
      </c>
      <c r="AI111" s="165">
        <v>9.0733672246969405E-3</v>
      </c>
      <c r="AJ111" s="165">
        <v>1.5688377028382E-3</v>
      </c>
    </row>
    <row r="112" spans="1:36">
      <c r="A112" s="2" t="s">
        <v>26</v>
      </c>
      <c r="B112" s="2">
        <v>288</v>
      </c>
      <c r="C112" s="2" t="s">
        <v>1732</v>
      </c>
      <c r="D112" s="2" t="s">
        <v>1733</v>
      </c>
      <c r="E112" s="4" t="s">
        <v>1347</v>
      </c>
      <c r="F112" s="2" t="s">
        <v>1989</v>
      </c>
      <c r="G112" s="2" t="s">
        <v>1990</v>
      </c>
      <c r="H112" s="2" t="s">
        <v>342</v>
      </c>
      <c r="I112" s="2" t="s">
        <v>777</v>
      </c>
      <c r="J112" s="2" t="s">
        <v>31</v>
      </c>
      <c r="K112" s="2" t="s">
        <v>31</v>
      </c>
      <c r="L112" s="2" t="s">
        <v>348</v>
      </c>
      <c r="M112" s="2" t="s">
        <v>40</v>
      </c>
      <c r="N112" s="2" t="s">
        <v>484</v>
      </c>
      <c r="O112" s="2" t="s">
        <v>163</v>
      </c>
      <c r="P112" s="2" t="s">
        <v>1991</v>
      </c>
      <c r="Q112" s="2" t="s">
        <v>435</v>
      </c>
      <c r="R112" s="2" t="s">
        <v>428</v>
      </c>
      <c r="S112" s="2" t="s">
        <v>35</v>
      </c>
      <c r="T112" s="152">
        <v>2.698</v>
      </c>
      <c r="U112" s="2" t="s">
        <v>107</v>
      </c>
      <c r="V112" s="163">
        <v>2.3400000000000001E-2</v>
      </c>
      <c r="W112" s="165">
        <v>2.1569999999999999E-2</v>
      </c>
      <c r="X112" s="4" t="s">
        <v>434</v>
      </c>
      <c r="Y112" s="4" t="s">
        <v>163</v>
      </c>
      <c r="Z112" s="152">
        <v>1512500</v>
      </c>
      <c r="AA112" s="152">
        <v>1</v>
      </c>
      <c r="AB112" s="152">
        <v>111.84</v>
      </c>
      <c r="AD112" s="152">
        <v>1691.58</v>
      </c>
      <c r="AG112" s="2" t="s">
        <v>37</v>
      </c>
      <c r="AH112" s="165">
        <v>5.8399999999999999E-4</v>
      </c>
      <c r="AI112" s="165">
        <v>4.0857878632813297E-3</v>
      </c>
      <c r="AJ112" s="165">
        <v>7.0645636696673798E-4</v>
      </c>
    </row>
    <row r="113" spans="1:36">
      <c r="A113" s="2" t="s">
        <v>26</v>
      </c>
      <c r="B113" s="2">
        <v>288</v>
      </c>
      <c r="C113" s="2" t="s">
        <v>1732</v>
      </c>
      <c r="D113" s="2" t="s">
        <v>1733</v>
      </c>
      <c r="E113" s="4" t="s">
        <v>1347</v>
      </c>
      <c r="F113" s="2" t="s">
        <v>1992</v>
      </c>
      <c r="G113" s="2" t="s">
        <v>1993</v>
      </c>
      <c r="H113" s="2" t="s">
        <v>342</v>
      </c>
      <c r="I113" s="2" t="s">
        <v>990</v>
      </c>
      <c r="J113" s="2" t="s">
        <v>31</v>
      </c>
      <c r="K113" s="2" t="s">
        <v>31</v>
      </c>
      <c r="L113" s="2" t="s">
        <v>348</v>
      </c>
      <c r="M113" s="2" t="s">
        <v>40</v>
      </c>
      <c r="N113" s="2" t="s">
        <v>484</v>
      </c>
      <c r="O113" s="2" t="s">
        <v>163</v>
      </c>
      <c r="P113" s="2" t="s">
        <v>1991</v>
      </c>
      <c r="Q113" s="2" t="s">
        <v>435</v>
      </c>
      <c r="R113" s="2" t="s">
        <v>430</v>
      </c>
      <c r="S113" s="2" t="s">
        <v>35</v>
      </c>
      <c r="T113" s="152">
        <v>3.1190000000000002</v>
      </c>
      <c r="U113" s="2" t="s">
        <v>1994</v>
      </c>
      <c r="V113" s="163">
        <v>0.05</v>
      </c>
      <c r="W113" s="165">
        <v>4.8930000000000001E-2</v>
      </c>
      <c r="X113" s="4" t="s">
        <v>434</v>
      </c>
      <c r="Y113" s="4" t="s">
        <v>163</v>
      </c>
      <c r="Z113" s="152">
        <v>3000000</v>
      </c>
      <c r="AA113" s="152">
        <v>1</v>
      </c>
      <c r="AB113" s="152">
        <v>102.62</v>
      </c>
      <c r="AD113" s="152">
        <v>3078.6</v>
      </c>
      <c r="AG113" s="2" t="s">
        <v>37</v>
      </c>
      <c r="AH113" s="165">
        <v>0</v>
      </c>
      <c r="AI113" s="165">
        <v>7.43595130936633E-3</v>
      </c>
      <c r="AJ113" s="165">
        <v>1.2857190149704999E-3</v>
      </c>
    </row>
    <row r="114" spans="1:36">
      <c r="A114" s="2" t="s">
        <v>26</v>
      </c>
      <c r="B114" s="2">
        <v>288</v>
      </c>
      <c r="C114" s="2" t="s">
        <v>1612</v>
      </c>
      <c r="D114" s="2" t="s">
        <v>1613</v>
      </c>
      <c r="E114" s="4" t="s">
        <v>1347</v>
      </c>
      <c r="F114" s="2" t="s">
        <v>2350</v>
      </c>
      <c r="G114" s="2" t="s">
        <v>2351</v>
      </c>
      <c r="H114" s="2" t="s">
        <v>342</v>
      </c>
      <c r="I114" s="2" t="s">
        <v>990</v>
      </c>
      <c r="J114" s="2" t="s">
        <v>31</v>
      </c>
      <c r="K114" s="2" t="s">
        <v>31</v>
      </c>
      <c r="L114" s="2" t="s">
        <v>348</v>
      </c>
      <c r="M114" s="2" t="s">
        <v>40</v>
      </c>
      <c r="N114" s="2" t="s">
        <v>466</v>
      </c>
      <c r="O114" s="2" t="s">
        <v>163</v>
      </c>
      <c r="P114" s="2" t="s">
        <v>1991</v>
      </c>
      <c r="Q114" s="2" t="s">
        <v>435</v>
      </c>
      <c r="R114" s="2" t="s">
        <v>428</v>
      </c>
      <c r="S114" s="2" t="s">
        <v>35</v>
      </c>
      <c r="T114" s="152">
        <v>2.597</v>
      </c>
      <c r="U114" s="2" t="s">
        <v>2252</v>
      </c>
      <c r="V114" s="163">
        <v>1.0800000000000001E-2</v>
      </c>
      <c r="W114" s="165">
        <v>4.4749999999999998E-2</v>
      </c>
      <c r="X114" s="4" t="s">
        <v>434</v>
      </c>
      <c r="Y114" s="4" t="s">
        <v>163</v>
      </c>
      <c r="Z114" s="152">
        <v>1260713.1399999999</v>
      </c>
      <c r="AA114" s="152">
        <v>1</v>
      </c>
      <c r="AB114" s="152">
        <v>92.04</v>
      </c>
      <c r="AD114" s="152">
        <v>1160.3599999999999</v>
      </c>
      <c r="AG114" s="2" t="s">
        <v>37</v>
      </c>
      <c r="AH114" s="165">
        <v>9.6100000000000005E-4</v>
      </c>
      <c r="AI114" s="165">
        <v>2.8026970839987401E-3</v>
      </c>
      <c r="AJ114" s="165">
        <v>4.8460254568377903E-4</v>
      </c>
    </row>
    <row r="115" spans="1:36">
      <c r="A115" s="2" t="s">
        <v>26</v>
      </c>
      <c r="B115" s="2">
        <v>288</v>
      </c>
      <c r="C115" s="2" t="s">
        <v>1995</v>
      </c>
      <c r="D115" s="2" t="s">
        <v>1996</v>
      </c>
      <c r="E115" s="4" t="s">
        <v>1347</v>
      </c>
      <c r="F115" s="2" t="s">
        <v>2352</v>
      </c>
      <c r="G115" s="2" t="s">
        <v>2353</v>
      </c>
      <c r="H115" s="2" t="s">
        <v>342</v>
      </c>
      <c r="I115" s="2" t="s">
        <v>990</v>
      </c>
      <c r="J115" s="2" t="s">
        <v>31</v>
      </c>
      <c r="K115" s="2" t="s">
        <v>31</v>
      </c>
      <c r="L115" s="2" t="s">
        <v>348</v>
      </c>
      <c r="M115" s="2" t="s">
        <v>40</v>
      </c>
      <c r="N115" s="2" t="s">
        <v>498</v>
      </c>
      <c r="O115" s="2" t="s">
        <v>163</v>
      </c>
      <c r="P115" s="2" t="s">
        <v>1975</v>
      </c>
      <c r="Q115" s="2" t="s">
        <v>435</v>
      </c>
      <c r="R115" s="2" t="s">
        <v>428</v>
      </c>
      <c r="S115" s="2" t="s">
        <v>35</v>
      </c>
      <c r="T115" s="152">
        <v>1.349</v>
      </c>
      <c r="U115" s="2" t="s">
        <v>2354</v>
      </c>
      <c r="V115" s="163">
        <v>3.2500000000000001E-2</v>
      </c>
      <c r="W115" s="165">
        <v>5.6250000000000001E-2</v>
      </c>
      <c r="X115" s="4" t="s">
        <v>434</v>
      </c>
      <c r="Y115" s="4" t="s">
        <v>163</v>
      </c>
      <c r="Z115" s="152">
        <v>1675254.89</v>
      </c>
      <c r="AA115" s="152">
        <v>1</v>
      </c>
      <c r="AB115" s="152">
        <v>97.77</v>
      </c>
      <c r="AD115" s="152">
        <v>1637.8969999999999</v>
      </c>
      <c r="AG115" s="2" t="s">
        <v>37</v>
      </c>
      <c r="AH115" s="165">
        <v>4.3119999999999999E-3</v>
      </c>
      <c r="AI115" s="165">
        <v>3.9561229634372799E-3</v>
      </c>
      <c r="AJ115" s="165">
        <v>6.8403655538274496E-4</v>
      </c>
    </row>
    <row r="116" spans="1:36">
      <c r="A116" s="2" t="s">
        <v>26</v>
      </c>
      <c r="B116" s="2">
        <v>288</v>
      </c>
      <c r="C116" s="2" t="s">
        <v>2355</v>
      </c>
      <c r="D116" s="2" t="s">
        <v>2356</v>
      </c>
      <c r="E116" s="4" t="s">
        <v>1347</v>
      </c>
      <c r="F116" s="2" t="s">
        <v>2357</v>
      </c>
      <c r="G116" s="2" t="s">
        <v>2358</v>
      </c>
      <c r="H116" s="2" t="s">
        <v>342</v>
      </c>
      <c r="I116" s="2" t="s">
        <v>990</v>
      </c>
      <c r="J116" s="2" t="s">
        <v>31</v>
      </c>
      <c r="K116" s="2" t="s">
        <v>31</v>
      </c>
      <c r="L116" s="2" t="s">
        <v>348</v>
      </c>
      <c r="M116" s="2" t="s">
        <v>40</v>
      </c>
      <c r="N116" s="2" t="s">
        <v>471</v>
      </c>
      <c r="O116" s="2" t="s">
        <v>163</v>
      </c>
      <c r="P116" s="2" t="s">
        <v>1975</v>
      </c>
      <c r="Q116" s="2" t="s">
        <v>435</v>
      </c>
      <c r="R116" s="2" t="s">
        <v>428</v>
      </c>
      <c r="S116" s="2" t="s">
        <v>35</v>
      </c>
      <c r="T116" s="152">
        <v>1.571</v>
      </c>
      <c r="U116" s="2" t="s">
        <v>2173</v>
      </c>
      <c r="V116" s="163">
        <v>3.9E-2</v>
      </c>
      <c r="W116" s="165">
        <v>4.9259999999999998E-2</v>
      </c>
      <c r="X116" s="4" t="s">
        <v>434</v>
      </c>
      <c r="Y116" s="4" t="s">
        <v>163</v>
      </c>
      <c r="Z116" s="152">
        <v>1180000</v>
      </c>
      <c r="AA116" s="152">
        <v>1</v>
      </c>
      <c r="AB116" s="152">
        <v>98.54</v>
      </c>
      <c r="AD116" s="152">
        <v>1162.7719999999999</v>
      </c>
      <c r="AG116" s="2" t="s">
        <v>37</v>
      </c>
      <c r="AH116" s="165">
        <v>1.2279999999999999E-3</v>
      </c>
      <c r="AI116" s="165">
        <v>2.80852204764974E-3</v>
      </c>
      <c r="AJ116" s="165">
        <v>4.8560971560945902E-4</v>
      </c>
    </row>
    <row r="117" spans="1:36">
      <c r="A117" s="2" t="s">
        <v>26</v>
      </c>
      <c r="B117" s="2">
        <v>288</v>
      </c>
      <c r="C117" s="2" t="s">
        <v>1616</v>
      </c>
      <c r="D117" s="2" t="s">
        <v>1617</v>
      </c>
      <c r="E117" s="4" t="s">
        <v>1347</v>
      </c>
      <c r="F117" s="2" t="s">
        <v>2012</v>
      </c>
      <c r="G117" s="2" t="s">
        <v>2013</v>
      </c>
      <c r="H117" s="2" t="s">
        <v>342</v>
      </c>
      <c r="I117" s="2" t="s">
        <v>990</v>
      </c>
      <c r="J117" s="2" t="s">
        <v>31</v>
      </c>
      <c r="K117" s="2" t="s">
        <v>31</v>
      </c>
      <c r="L117" s="2" t="s">
        <v>348</v>
      </c>
      <c r="M117" s="2" t="s">
        <v>40</v>
      </c>
      <c r="N117" s="2" t="s">
        <v>484</v>
      </c>
      <c r="O117" s="2" t="s">
        <v>163</v>
      </c>
      <c r="P117" s="2" t="s">
        <v>1981</v>
      </c>
      <c r="Q117" s="2" t="s">
        <v>435</v>
      </c>
      <c r="R117" s="2" t="s">
        <v>428</v>
      </c>
      <c r="S117" s="2" t="s">
        <v>35</v>
      </c>
      <c r="T117" s="152">
        <v>4.8369999999999997</v>
      </c>
      <c r="U117" s="2" t="s">
        <v>2014</v>
      </c>
      <c r="V117" s="163">
        <v>2.41E-2</v>
      </c>
      <c r="W117" s="165">
        <v>5.7450000000000001E-2</v>
      </c>
      <c r="X117" s="4" t="s">
        <v>434</v>
      </c>
      <c r="Y117" s="4" t="s">
        <v>163</v>
      </c>
      <c r="Z117" s="152">
        <v>2400000</v>
      </c>
      <c r="AA117" s="152">
        <v>1</v>
      </c>
      <c r="AB117" s="152">
        <v>85.75</v>
      </c>
      <c r="AD117" s="152">
        <v>2058</v>
      </c>
      <c r="AG117" s="2" t="s">
        <v>37</v>
      </c>
      <c r="AH117" s="165">
        <v>1.547E-3</v>
      </c>
      <c r="AI117" s="165">
        <v>4.9708269325914097E-3</v>
      </c>
      <c r="AJ117" s="165">
        <v>8.5948474397755197E-4</v>
      </c>
    </row>
    <row r="118" spans="1:36">
      <c r="A118" s="2" t="s">
        <v>26</v>
      </c>
      <c r="B118" s="2">
        <v>288</v>
      </c>
      <c r="C118" s="2" t="s">
        <v>2359</v>
      </c>
      <c r="D118" s="2" t="s">
        <v>2360</v>
      </c>
      <c r="E118" s="4" t="s">
        <v>1347</v>
      </c>
      <c r="F118" s="2" t="s">
        <v>2361</v>
      </c>
      <c r="G118" s="2" t="s">
        <v>2362</v>
      </c>
      <c r="H118" s="2" t="s">
        <v>342</v>
      </c>
      <c r="I118" s="2" t="s">
        <v>777</v>
      </c>
      <c r="J118" s="2" t="s">
        <v>31</v>
      </c>
      <c r="K118" s="2" t="s">
        <v>31</v>
      </c>
      <c r="L118" s="2" t="s">
        <v>348</v>
      </c>
      <c r="M118" s="2" t="s">
        <v>40</v>
      </c>
      <c r="N118" s="2" t="s">
        <v>485</v>
      </c>
      <c r="O118" s="2" t="s">
        <v>163</v>
      </c>
      <c r="P118" s="2" t="s">
        <v>1991</v>
      </c>
      <c r="Q118" s="2" t="s">
        <v>435</v>
      </c>
      <c r="R118" s="2" t="s">
        <v>428</v>
      </c>
      <c r="S118" s="2" t="s">
        <v>35</v>
      </c>
      <c r="T118" s="152">
        <v>3.4119999999999999</v>
      </c>
      <c r="U118" s="2" t="s">
        <v>2363</v>
      </c>
      <c r="V118" s="163">
        <v>5.0000000000000001E-3</v>
      </c>
      <c r="W118" s="165">
        <v>2.5940000000000001E-2</v>
      </c>
      <c r="X118" s="4" t="s">
        <v>434</v>
      </c>
      <c r="Y118" s="4" t="s">
        <v>163</v>
      </c>
      <c r="Z118" s="152">
        <v>1150000</v>
      </c>
      <c r="AA118" s="152">
        <v>1</v>
      </c>
      <c r="AB118" s="152">
        <v>101.6</v>
      </c>
      <c r="AC118" s="152">
        <v>3.1339999999999999</v>
      </c>
      <c r="AD118" s="152">
        <v>1171.5340000000001</v>
      </c>
      <c r="AG118" s="2" t="s">
        <v>37</v>
      </c>
      <c r="AH118" s="165">
        <v>1.8979999999999999E-3</v>
      </c>
      <c r="AI118" s="165">
        <v>2.82968506554796E-3</v>
      </c>
      <c r="AJ118" s="165">
        <v>4.8926892387936999E-4</v>
      </c>
    </row>
    <row r="119" spans="1:36">
      <c r="A119" s="2" t="s">
        <v>26</v>
      </c>
      <c r="B119" s="2">
        <v>288</v>
      </c>
      <c r="C119" s="2" t="s">
        <v>1620</v>
      </c>
      <c r="D119" s="2" t="s">
        <v>1621</v>
      </c>
      <c r="E119" s="4" t="s">
        <v>1347</v>
      </c>
      <c r="F119" s="2" t="s">
        <v>2364</v>
      </c>
      <c r="G119" s="2" t="s">
        <v>2365</v>
      </c>
      <c r="H119" s="2" t="s">
        <v>342</v>
      </c>
      <c r="I119" s="2" t="s">
        <v>777</v>
      </c>
      <c r="J119" s="2" t="s">
        <v>31</v>
      </c>
      <c r="K119" s="2" t="s">
        <v>31</v>
      </c>
      <c r="L119" s="2" t="s">
        <v>348</v>
      </c>
      <c r="M119" s="2" t="s">
        <v>40</v>
      </c>
      <c r="N119" s="2" t="s">
        <v>484</v>
      </c>
      <c r="O119" s="2" t="s">
        <v>163</v>
      </c>
      <c r="P119" s="2" t="s">
        <v>2022</v>
      </c>
      <c r="Q119" s="2" t="s">
        <v>437</v>
      </c>
      <c r="R119" s="2" t="s">
        <v>428</v>
      </c>
      <c r="S119" s="2" t="s">
        <v>35</v>
      </c>
      <c r="T119" s="152">
        <v>3.7970000000000002</v>
      </c>
      <c r="U119" s="2" t="s">
        <v>2366</v>
      </c>
      <c r="V119" s="163">
        <v>1.14E-2</v>
      </c>
      <c r="W119" s="165">
        <v>2.479E-2</v>
      </c>
      <c r="X119" s="4" t="s">
        <v>434</v>
      </c>
      <c r="Y119" s="4" t="s">
        <v>163</v>
      </c>
      <c r="Z119" s="152">
        <v>2500000</v>
      </c>
      <c r="AA119" s="152">
        <v>1</v>
      </c>
      <c r="AB119" s="152">
        <v>105.01</v>
      </c>
      <c r="AD119" s="152">
        <v>2625.25</v>
      </c>
      <c r="AG119" s="2" t="s">
        <v>37</v>
      </c>
      <c r="AH119" s="165">
        <v>1.0579999999999999E-3</v>
      </c>
      <c r="AI119" s="165">
        <v>6.3409443171941601E-3</v>
      </c>
      <c r="AJ119" s="165">
        <v>1.09638596896359E-3</v>
      </c>
    </row>
    <row r="120" spans="1:36">
      <c r="A120" s="2" t="s">
        <v>26</v>
      </c>
      <c r="B120" s="2">
        <v>288</v>
      </c>
      <c r="C120" s="2" t="s">
        <v>1620</v>
      </c>
      <c r="D120" s="2" t="s">
        <v>1621</v>
      </c>
      <c r="E120" s="4" t="s">
        <v>1347</v>
      </c>
      <c r="F120" s="2" t="s">
        <v>2367</v>
      </c>
      <c r="G120" s="2" t="s">
        <v>2368</v>
      </c>
      <c r="H120" s="2" t="s">
        <v>342</v>
      </c>
      <c r="I120" s="2" t="s">
        <v>990</v>
      </c>
      <c r="J120" s="2" t="s">
        <v>31</v>
      </c>
      <c r="K120" s="2" t="s">
        <v>31</v>
      </c>
      <c r="L120" s="2" t="s">
        <v>348</v>
      </c>
      <c r="M120" s="2" t="s">
        <v>40</v>
      </c>
      <c r="N120" s="2" t="s">
        <v>484</v>
      </c>
      <c r="O120" s="2" t="s">
        <v>163</v>
      </c>
      <c r="P120" s="2" t="s">
        <v>2022</v>
      </c>
      <c r="Q120" s="2" t="s">
        <v>437</v>
      </c>
      <c r="R120" s="2" t="s">
        <v>428</v>
      </c>
      <c r="S120" s="2" t="s">
        <v>35</v>
      </c>
      <c r="T120" s="152">
        <v>5.77</v>
      </c>
      <c r="U120" s="2" t="s">
        <v>2026</v>
      </c>
      <c r="V120" s="163">
        <v>2.4400000000000002E-2</v>
      </c>
      <c r="W120" s="165">
        <v>5.33E-2</v>
      </c>
      <c r="X120" s="4" t="s">
        <v>434</v>
      </c>
      <c r="Y120" s="4" t="s">
        <v>163</v>
      </c>
      <c r="Z120" s="152">
        <v>2356000</v>
      </c>
      <c r="AA120" s="152">
        <v>1</v>
      </c>
      <c r="AB120" s="152">
        <v>85.57</v>
      </c>
      <c r="AD120" s="152">
        <v>2016.029</v>
      </c>
      <c r="AG120" s="2" t="s">
        <v>37</v>
      </c>
      <c r="AH120" s="165">
        <v>2.1450000000000002E-3</v>
      </c>
      <c r="AI120" s="165">
        <v>4.8694520137272596E-3</v>
      </c>
      <c r="AJ120" s="165">
        <v>8.4195643382568896E-4</v>
      </c>
    </row>
    <row r="121" spans="1:36">
      <c r="A121" s="2" t="s">
        <v>26</v>
      </c>
      <c r="B121" s="2">
        <v>288</v>
      </c>
      <c r="C121" s="2" t="s">
        <v>1620</v>
      </c>
      <c r="D121" s="2" t="s">
        <v>1621</v>
      </c>
      <c r="E121" s="4" t="s">
        <v>1347</v>
      </c>
      <c r="F121" s="2" t="s">
        <v>2024</v>
      </c>
      <c r="G121" s="2" t="s">
        <v>2025</v>
      </c>
      <c r="H121" s="2" t="s">
        <v>342</v>
      </c>
      <c r="I121" s="2" t="s">
        <v>777</v>
      </c>
      <c r="J121" s="2" t="s">
        <v>31</v>
      </c>
      <c r="K121" s="2" t="s">
        <v>31</v>
      </c>
      <c r="L121" s="2" t="s">
        <v>348</v>
      </c>
      <c r="M121" s="2" t="s">
        <v>40</v>
      </c>
      <c r="N121" s="2" t="s">
        <v>484</v>
      </c>
      <c r="O121" s="2" t="s">
        <v>163</v>
      </c>
      <c r="P121" s="2" t="s">
        <v>2022</v>
      </c>
      <c r="Q121" s="2" t="s">
        <v>437</v>
      </c>
      <c r="R121" s="2" t="s">
        <v>428</v>
      </c>
      <c r="S121" s="2" t="s">
        <v>35</v>
      </c>
      <c r="T121" s="152">
        <v>6.0659999999999998</v>
      </c>
      <c r="U121" s="2" t="s">
        <v>2026</v>
      </c>
      <c r="V121" s="163">
        <v>9.1999999999999998E-3</v>
      </c>
      <c r="W121" s="165">
        <v>2.9329999999999998E-2</v>
      </c>
      <c r="X121" s="4" t="s">
        <v>434</v>
      </c>
      <c r="Y121" s="4" t="s">
        <v>163</v>
      </c>
      <c r="Z121" s="152">
        <v>1100000</v>
      </c>
      <c r="AA121" s="152">
        <v>1</v>
      </c>
      <c r="AB121" s="152">
        <v>99.5</v>
      </c>
      <c r="AD121" s="152">
        <v>1094.5</v>
      </c>
      <c r="AG121" s="2" t="s">
        <v>37</v>
      </c>
      <c r="AH121" s="165">
        <v>5.5000000000000003E-4</v>
      </c>
      <c r="AI121" s="165">
        <v>2.6436200572017899E-3</v>
      </c>
      <c r="AJ121" s="165">
        <v>4.57097207134806E-4</v>
      </c>
    </row>
    <row r="122" spans="1:36">
      <c r="A122" s="2" t="s">
        <v>26</v>
      </c>
      <c r="B122" s="2">
        <v>288</v>
      </c>
      <c r="C122" s="2" t="s">
        <v>1624</v>
      </c>
      <c r="D122" s="2" t="s">
        <v>1625</v>
      </c>
      <c r="E122" s="4" t="s">
        <v>1347</v>
      </c>
      <c r="F122" s="2" t="s">
        <v>2027</v>
      </c>
      <c r="G122" s="2" t="s">
        <v>2028</v>
      </c>
      <c r="H122" s="2" t="s">
        <v>342</v>
      </c>
      <c r="I122" s="2" t="s">
        <v>990</v>
      </c>
      <c r="J122" s="2" t="s">
        <v>31</v>
      </c>
      <c r="K122" s="2" t="s">
        <v>127</v>
      </c>
      <c r="L122" s="2" t="s">
        <v>348</v>
      </c>
      <c r="M122" s="2" t="s">
        <v>40</v>
      </c>
      <c r="N122" s="2" t="s">
        <v>461</v>
      </c>
      <c r="O122" s="2" t="s">
        <v>163</v>
      </c>
      <c r="P122" s="2" t="s">
        <v>98</v>
      </c>
      <c r="Q122" s="2" t="s">
        <v>437</v>
      </c>
      <c r="R122" s="2" t="s">
        <v>428</v>
      </c>
      <c r="S122" s="2" t="s">
        <v>35</v>
      </c>
      <c r="T122" s="152">
        <v>1.9910000000000001</v>
      </c>
      <c r="U122" s="2" t="s">
        <v>2029</v>
      </c>
      <c r="V122" s="163">
        <v>3.4500000000000003E-2</v>
      </c>
      <c r="W122" s="165">
        <v>5.0560000000000001E-2</v>
      </c>
      <c r="X122" s="4" t="s">
        <v>434</v>
      </c>
      <c r="Y122" s="4" t="s">
        <v>163</v>
      </c>
      <c r="Z122" s="152">
        <v>2000000</v>
      </c>
      <c r="AA122" s="152">
        <v>1</v>
      </c>
      <c r="AB122" s="152">
        <v>97.31</v>
      </c>
      <c r="AD122" s="152">
        <v>1946.2</v>
      </c>
      <c r="AG122" s="2" t="s">
        <v>37</v>
      </c>
      <c r="AH122" s="165">
        <v>4.5510000000000004E-3</v>
      </c>
      <c r="AI122" s="165">
        <v>4.7007888125410102E-3</v>
      </c>
      <c r="AJ122" s="165">
        <v>8.1279359024738203E-4</v>
      </c>
    </row>
    <row r="123" spans="1:36">
      <c r="A123" s="2" t="s">
        <v>26</v>
      </c>
      <c r="B123" s="2">
        <v>288</v>
      </c>
      <c r="C123" s="2" t="s">
        <v>2369</v>
      </c>
      <c r="D123" s="2" t="s">
        <v>2370</v>
      </c>
      <c r="E123" s="4" t="s">
        <v>1347</v>
      </c>
      <c r="F123" s="2" t="s">
        <v>2371</v>
      </c>
      <c r="G123" s="2" t="s">
        <v>2372</v>
      </c>
      <c r="H123" s="2" t="s">
        <v>342</v>
      </c>
      <c r="I123" s="2" t="s">
        <v>777</v>
      </c>
      <c r="J123" s="2" t="s">
        <v>31</v>
      </c>
      <c r="K123" s="2" t="s">
        <v>31</v>
      </c>
      <c r="L123" s="2" t="s">
        <v>348</v>
      </c>
      <c r="M123" s="2" t="s">
        <v>40</v>
      </c>
      <c r="N123" s="2" t="s">
        <v>485</v>
      </c>
      <c r="O123" s="2" t="s">
        <v>163</v>
      </c>
      <c r="P123" s="2" t="s">
        <v>98</v>
      </c>
      <c r="Q123" s="2" t="s">
        <v>437</v>
      </c>
      <c r="R123" s="2" t="s">
        <v>428</v>
      </c>
      <c r="S123" s="2" t="s">
        <v>35</v>
      </c>
      <c r="T123" s="152">
        <v>1.9430000000000001</v>
      </c>
      <c r="U123" s="2" t="s">
        <v>2373</v>
      </c>
      <c r="V123" s="163">
        <v>2.5700000000000001E-2</v>
      </c>
      <c r="W123" s="165">
        <v>2.477E-2</v>
      </c>
      <c r="X123" s="4" t="s">
        <v>434</v>
      </c>
      <c r="Y123" s="4" t="s">
        <v>163</v>
      </c>
      <c r="Z123" s="152">
        <v>1318808</v>
      </c>
      <c r="AA123" s="152">
        <v>1</v>
      </c>
      <c r="AB123" s="152">
        <v>113.66</v>
      </c>
      <c r="AD123" s="152">
        <v>1498.9570000000001</v>
      </c>
      <c r="AG123" s="2" t="s">
        <v>37</v>
      </c>
      <c r="AH123" s="165">
        <v>1.0280000000000001E-3</v>
      </c>
      <c r="AI123" s="165">
        <v>3.6205328888995699E-3</v>
      </c>
      <c r="AJ123" s="165">
        <v>6.2601108935729998E-4</v>
      </c>
    </row>
    <row r="124" spans="1:36">
      <c r="A124" s="2" t="s">
        <v>26</v>
      </c>
      <c r="B124" s="2">
        <v>288</v>
      </c>
      <c r="C124" s="2" t="s">
        <v>1632</v>
      </c>
      <c r="D124" s="2" t="s">
        <v>1633</v>
      </c>
      <c r="E124" s="4" t="s">
        <v>1347</v>
      </c>
      <c r="F124" s="2" t="s">
        <v>2374</v>
      </c>
      <c r="G124" s="2" t="s">
        <v>2375</v>
      </c>
      <c r="H124" s="2" t="s">
        <v>342</v>
      </c>
      <c r="I124" s="2" t="s">
        <v>990</v>
      </c>
      <c r="J124" s="2" t="s">
        <v>31</v>
      </c>
      <c r="K124" s="2" t="s">
        <v>31</v>
      </c>
      <c r="L124" s="2" t="s">
        <v>348</v>
      </c>
      <c r="M124" s="2" t="s">
        <v>40</v>
      </c>
      <c r="N124" s="2" t="s">
        <v>505</v>
      </c>
      <c r="O124" s="2" t="s">
        <v>163</v>
      </c>
      <c r="P124" s="2" t="s">
        <v>2010</v>
      </c>
      <c r="Q124" s="2" t="s">
        <v>437</v>
      </c>
      <c r="R124" s="2" t="s">
        <v>428</v>
      </c>
      <c r="S124" s="2" t="s">
        <v>35</v>
      </c>
      <c r="T124" s="152">
        <v>3.8330000000000002</v>
      </c>
      <c r="U124" s="2" t="s">
        <v>2376</v>
      </c>
      <c r="V124" s="163">
        <v>3.2000000000000001E-2</v>
      </c>
      <c r="W124" s="165">
        <v>4.6929999999999999E-2</v>
      </c>
      <c r="X124" s="4" t="s">
        <v>434</v>
      </c>
      <c r="Y124" s="4" t="s">
        <v>163</v>
      </c>
      <c r="Z124" s="152">
        <v>1873318</v>
      </c>
      <c r="AA124" s="152">
        <v>1</v>
      </c>
      <c r="AB124" s="152">
        <v>95.72</v>
      </c>
      <c r="AD124" s="152">
        <v>1793.14</v>
      </c>
      <c r="AG124" s="2" t="s">
        <v>37</v>
      </c>
      <c r="AH124" s="165">
        <v>2.2439999999999999E-3</v>
      </c>
      <c r="AI124" s="165">
        <v>4.33109259193895E-3</v>
      </c>
      <c r="AJ124" s="165">
        <v>7.48870974187204E-4</v>
      </c>
    </row>
    <row r="125" spans="1:36">
      <c r="A125" s="2" t="s">
        <v>26</v>
      </c>
      <c r="B125" s="2">
        <v>288</v>
      </c>
      <c r="C125" s="2" t="s">
        <v>1632</v>
      </c>
      <c r="D125" s="2" t="s">
        <v>1633</v>
      </c>
      <c r="E125" s="4" t="s">
        <v>1347</v>
      </c>
      <c r="F125" s="2" t="s">
        <v>2377</v>
      </c>
      <c r="G125" s="2" t="s">
        <v>2378</v>
      </c>
      <c r="H125" s="2" t="s">
        <v>342</v>
      </c>
      <c r="I125" s="2" t="s">
        <v>777</v>
      </c>
      <c r="J125" s="2" t="s">
        <v>31</v>
      </c>
      <c r="K125" s="2" t="s">
        <v>31</v>
      </c>
      <c r="L125" s="2" t="s">
        <v>348</v>
      </c>
      <c r="M125" s="2" t="s">
        <v>40</v>
      </c>
      <c r="N125" s="2" t="s">
        <v>505</v>
      </c>
      <c r="O125" s="2" t="s">
        <v>163</v>
      </c>
      <c r="P125" s="2" t="s">
        <v>2010</v>
      </c>
      <c r="Q125" s="2" t="s">
        <v>437</v>
      </c>
      <c r="R125" s="2" t="s">
        <v>428</v>
      </c>
      <c r="S125" s="2" t="s">
        <v>35</v>
      </c>
      <c r="T125" s="152">
        <v>3.9980000000000002</v>
      </c>
      <c r="U125" s="2" t="s">
        <v>2376</v>
      </c>
      <c r="V125" s="163">
        <v>1.7000000000000001E-2</v>
      </c>
      <c r="W125" s="165">
        <v>2.009E-2</v>
      </c>
      <c r="X125" s="4" t="s">
        <v>434</v>
      </c>
      <c r="Y125" s="4" t="s">
        <v>163</v>
      </c>
      <c r="Z125" s="152">
        <v>1826000</v>
      </c>
      <c r="AA125" s="152">
        <v>1</v>
      </c>
      <c r="AB125" s="152">
        <v>109.05</v>
      </c>
      <c r="AD125" s="152">
        <v>1991.2529999999999</v>
      </c>
      <c r="AG125" s="2" t="s">
        <v>37</v>
      </c>
      <c r="AH125" s="165">
        <v>1.439E-3</v>
      </c>
      <c r="AI125" s="165">
        <v>4.8096083780386004E-3</v>
      </c>
      <c r="AJ125" s="165">
        <v>8.3160912288607E-4</v>
      </c>
    </row>
    <row r="126" spans="1:36">
      <c r="A126" s="2" t="s">
        <v>26</v>
      </c>
      <c r="B126" s="2">
        <v>288</v>
      </c>
      <c r="C126" s="2" t="s">
        <v>2379</v>
      </c>
      <c r="D126" s="2" t="s">
        <v>2380</v>
      </c>
      <c r="E126" s="4" t="s">
        <v>1347</v>
      </c>
      <c r="F126" s="2" t="s">
        <v>2381</v>
      </c>
      <c r="G126" s="2" t="s">
        <v>2382</v>
      </c>
      <c r="H126" s="2" t="s">
        <v>342</v>
      </c>
      <c r="I126" s="2" t="s">
        <v>990</v>
      </c>
      <c r="J126" s="2" t="s">
        <v>31</v>
      </c>
      <c r="K126" s="2" t="s">
        <v>31</v>
      </c>
      <c r="L126" s="2" t="s">
        <v>348</v>
      </c>
      <c r="M126" s="2" t="s">
        <v>40</v>
      </c>
      <c r="N126" s="2" t="s">
        <v>505</v>
      </c>
      <c r="O126" s="2" t="s">
        <v>163</v>
      </c>
      <c r="P126" s="2" t="s">
        <v>1987</v>
      </c>
      <c r="Q126" s="2" t="s">
        <v>437</v>
      </c>
      <c r="R126" s="2" t="s">
        <v>428</v>
      </c>
      <c r="S126" s="2" t="s">
        <v>35</v>
      </c>
      <c r="T126" s="152">
        <v>2.5310000000000001</v>
      </c>
      <c r="U126" s="2" t="s">
        <v>2311</v>
      </c>
      <c r="V126" s="163">
        <v>3.6499999999999998E-2</v>
      </c>
      <c r="W126" s="165">
        <v>5.2229999999999999E-2</v>
      </c>
      <c r="X126" s="4" t="s">
        <v>434</v>
      </c>
      <c r="Y126" s="4" t="s">
        <v>163</v>
      </c>
      <c r="Z126" s="152">
        <v>2700000</v>
      </c>
      <c r="AA126" s="152">
        <v>1</v>
      </c>
      <c r="AB126" s="152">
        <v>97.52</v>
      </c>
      <c r="AD126" s="152">
        <v>2633.04</v>
      </c>
      <c r="AG126" s="2" t="s">
        <v>37</v>
      </c>
      <c r="AH126" s="165">
        <v>1.835E-3</v>
      </c>
      <c r="AI126" s="165">
        <v>6.3597600323568896E-3</v>
      </c>
      <c r="AJ126" s="165">
        <v>1.09963931500615E-3</v>
      </c>
    </row>
    <row r="127" spans="1:36">
      <c r="A127" s="2" t="s">
        <v>26</v>
      </c>
      <c r="B127" s="2">
        <v>288</v>
      </c>
      <c r="C127" s="2" t="s">
        <v>1748</v>
      </c>
      <c r="D127" s="2" t="s">
        <v>1749</v>
      </c>
      <c r="E127" s="4" t="s">
        <v>1347</v>
      </c>
      <c r="F127" s="2" t="s">
        <v>2383</v>
      </c>
      <c r="G127" s="2" t="s">
        <v>2384</v>
      </c>
      <c r="H127" s="2" t="s">
        <v>342</v>
      </c>
      <c r="I127" s="2" t="s">
        <v>777</v>
      </c>
      <c r="J127" s="2" t="s">
        <v>31</v>
      </c>
      <c r="K127" s="2" t="s">
        <v>31</v>
      </c>
      <c r="L127" s="2" t="s">
        <v>348</v>
      </c>
      <c r="M127" s="2" t="s">
        <v>40</v>
      </c>
      <c r="N127" s="2" t="s">
        <v>484</v>
      </c>
      <c r="O127" s="2" t="s">
        <v>163</v>
      </c>
      <c r="P127" s="2" t="s">
        <v>1991</v>
      </c>
      <c r="Q127" s="2" t="s">
        <v>435</v>
      </c>
      <c r="R127" s="2" t="s">
        <v>428</v>
      </c>
      <c r="S127" s="2" t="s">
        <v>35</v>
      </c>
      <c r="T127" s="152">
        <v>5.7779999999999996</v>
      </c>
      <c r="U127" s="2" t="s">
        <v>2385</v>
      </c>
      <c r="V127" s="163">
        <v>2.5999999999999999E-2</v>
      </c>
      <c r="W127" s="165">
        <v>2.6329999999999999E-2</v>
      </c>
      <c r="X127" s="4" t="s">
        <v>434</v>
      </c>
      <c r="Y127" s="4" t="s">
        <v>163</v>
      </c>
      <c r="Z127" s="152">
        <v>2804000</v>
      </c>
      <c r="AA127" s="152">
        <v>1</v>
      </c>
      <c r="AB127" s="152">
        <v>100.88</v>
      </c>
      <c r="AD127" s="152">
        <v>2828.6750000000002</v>
      </c>
      <c r="AG127" s="2" t="s">
        <v>37</v>
      </c>
      <c r="AH127" s="165">
        <v>5.2310000000000004E-3</v>
      </c>
      <c r="AI127" s="165">
        <v>6.8322909950016397E-3</v>
      </c>
      <c r="AJ127" s="165">
        <v>1.1813426530941E-3</v>
      </c>
    </row>
    <row r="128" spans="1:36">
      <c r="A128" s="2" t="s">
        <v>26</v>
      </c>
      <c r="B128" s="2">
        <v>288</v>
      </c>
      <c r="C128" s="2" t="s">
        <v>1748</v>
      </c>
      <c r="D128" s="2" t="s">
        <v>1749</v>
      </c>
      <c r="E128" s="4" t="s">
        <v>1347</v>
      </c>
      <c r="F128" s="2" t="s">
        <v>2386</v>
      </c>
      <c r="G128" s="2" t="s">
        <v>2387</v>
      </c>
      <c r="H128" s="2" t="s">
        <v>342</v>
      </c>
      <c r="I128" s="2" t="s">
        <v>777</v>
      </c>
      <c r="J128" s="2" t="s">
        <v>31</v>
      </c>
      <c r="K128" s="2" t="s">
        <v>31</v>
      </c>
      <c r="L128" s="2" t="s">
        <v>348</v>
      </c>
      <c r="M128" s="2" t="s">
        <v>40</v>
      </c>
      <c r="N128" s="2" t="s">
        <v>484</v>
      </c>
      <c r="O128" s="2" t="s">
        <v>163</v>
      </c>
      <c r="P128" s="2" t="s">
        <v>1991</v>
      </c>
      <c r="Q128" s="2" t="s">
        <v>435</v>
      </c>
      <c r="R128" s="2" t="s">
        <v>428</v>
      </c>
      <c r="S128" s="2" t="s">
        <v>35</v>
      </c>
      <c r="T128" s="152">
        <v>1.615</v>
      </c>
      <c r="U128" s="2" t="s">
        <v>2388</v>
      </c>
      <c r="V128" s="163">
        <v>2E-3</v>
      </c>
      <c r="W128" s="165">
        <v>2.0199999999999999E-2</v>
      </c>
      <c r="X128" s="4" t="s">
        <v>434</v>
      </c>
      <c r="Y128" s="4" t="s">
        <v>163</v>
      </c>
      <c r="Z128" s="152">
        <v>1151603.48</v>
      </c>
      <c r="AA128" s="152">
        <v>1</v>
      </c>
      <c r="AB128" s="152">
        <v>107.31</v>
      </c>
      <c r="AD128" s="152">
        <v>1235.7860000000001</v>
      </c>
      <c r="AG128" s="2" t="s">
        <v>37</v>
      </c>
      <c r="AH128" s="165">
        <v>3.49E-3</v>
      </c>
      <c r="AI128" s="165">
        <v>2.9848769740403501E-3</v>
      </c>
      <c r="AJ128" s="165">
        <v>5.16102502989403E-4</v>
      </c>
    </row>
    <row r="129" spans="1:36">
      <c r="A129" s="2" t="s">
        <v>26</v>
      </c>
      <c r="B129" s="2">
        <v>288</v>
      </c>
      <c r="C129" s="2" t="s">
        <v>2063</v>
      </c>
      <c r="D129" s="2" t="s">
        <v>2064</v>
      </c>
      <c r="E129" s="4" t="s">
        <v>1347</v>
      </c>
      <c r="F129" s="2" t="s">
        <v>2389</v>
      </c>
      <c r="G129" s="2" t="s">
        <v>2390</v>
      </c>
      <c r="H129" s="2" t="s">
        <v>342</v>
      </c>
      <c r="I129" s="2" t="s">
        <v>990</v>
      </c>
      <c r="J129" s="2" t="s">
        <v>31</v>
      </c>
      <c r="K129" s="2" t="s">
        <v>31</v>
      </c>
      <c r="L129" s="2" t="s">
        <v>348</v>
      </c>
      <c r="M129" s="2" t="s">
        <v>40</v>
      </c>
      <c r="N129" s="2" t="s">
        <v>484</v>
      </c>
      <c r="O129" s="2" t="s">
        <v>163</v>
      </c>
      <c r="P129" s="2" t="s">
        <v>1991</v>
      </c>
      <c r="Q129" s="2" t="s">
        <v>435</v>
      </c>
      <c r="R129" s="2" t="s">
        <v>428</v>
      </c>
      <c r="S129" s="2" t="s">
        <v>35</v>
      </c>
      <c r="T129" s="152">
        <v>5.3819999999999997</v>
      </c>
      <c r="U129" s="2" t="s">
        <v>2329</v>
      </c>
      <c r="V129" s="163">
        <v>2.5499999999999998E-2</v>
      </c>
      <c r="W129" s="165">
        <v>5.2999999999999999E-2</v>
      </c>
      <c r="X129" s="4" t="s">
        <v>434</v>
      </c>
      <c r="Y129" s="4" t="s">
        <v>163</v>
      </c>
      <c r="Z129" s="152">
        <v>2639011.8199999998</v>
      </c>
      <c r="AA129" s="152">
        <v>1</v>
      </c>
      <c r="AB129" s="152">
        <v>87.11</v>
      </c>
      <c r="AD129" s="152">
        <v>2298.8429999999998</v>
      </c>
      <c r="AG129" s="2" t="s">
        <v>37</v>
      </c>
      <c r="AH129" s="165">
        <v>1.936E-3</v>
      </c>
      <c r="AI129" s="165">
        <v>5.5525518340522701E-3</v>
      </c>
      <c r="AJ129" s="165">
        <v>9.6006834601754601E-4</v>
      </c>
    </row>
    <row r="130" spans="1:36">
      <c r="A130" s="2" t="s">
        <v>26</v>
      </c>
      <c r="B130" s="2">
        <v>288</v>
      </c>
      <c r="C130" s="2" t="s">
        <v>2063</v>
      </c>
      <c r="D130" s="2" t="s">
        <v>2064</v>
      </c>
      <c r="E130" s="4" t="s">
        <v>1347</v>
      </c>
      <c r="F130" s="2" t="s">
        <v>2065</v>
      </c>
      <c r="G130" s="2" t="s">
        <v>2066</v>
      </c>
      <c r="H130" s="2" t="s">
        <v>342</v>
      </c>
      <c r="I130" s="2" t="s">
        <v>777</v>
      </c>
      <c r="J130" s="2" t="s">
        <v>31</v>
      </c>
      <c r="K130" s="2" t="s">
        <v>31</v>
      </c>
      <c r="L130" s="2" t="s">
        <v>348</v>
      </c>
      <c r="M130" s="2" t="s">
        <v>40</v>
      </c>
      <c r="N130" s="2" t="s">
        <v>484</v>
      </c>
      <c r="O130" s="2" t="s">
        <v>163</v>
      </c>
      <c r="P130" s="2" t="s">
        <v>1991</v>
      </c>
      <c r="Q130" s="2" t="s">
        <v>435</v>
      </c>
      <c r="R130" s="2" t="s">
        <v>428</v>
      </c>
      <c r="S130" s="2" t="s">
        <v>35</v>
      </c>
      <c r="T130" s="152">
        <v>3.839</v>
      </c>
      <c r="U130" s="2" t="s">
        <v>2067</v>
      </c>
      <c r="V130" s="163">
        <v>5.0000000000000001E-3</v>
      </c>
      <c r="W130" s="165">
        <v>2.52E-2</v>
      </c>
      <c r="X130" s="4" t="s">
        <v>434</v>
      </c>
      <c r="Y130" s="4" t="s">
        <v>163</v>
      </c>
      <c r="Z130" s="152">
        <v>1266197.18</v>
      </c>
      <c r="AA130" s="152">
        <v>1</v>
      </c>
      <c r="AB130" s="152">
        <v>103.12</v>
      </c>
      <c r="AD130" s="152">
        <v>1305.703</v>
      </c>
      <c r="AG130" s="2" t="s">
        <v>37</v>
      </c>
      <c r="AH130" s="165">
        <v>7.0899999999999999E-4</v>
      </c>
      <c r="AI130" s="165">
        <v>3.1537518523313498E-3</v>
      </c>
      <c r="AJ130" s="165">
        <v>5.4530194676414602E-4</v>
      </c>
    </row>
    <row r="131" spans="1:36">
      <c r="A131" s="2" t="s">
        <v>26</v>
      </c>
      <c r="B131" s="2">
        <v>288</v>
      </c>
      <c r="C131" s="2" t="s">
        <v>2070</v>
      </c>
      <c r="D131" s="2" t="s">
        <v>2071</v>
      </c>
      <c r="E131" s="4" t="s">
        <v>1347</v>
      </c>
      <c r="F131" s="2" t="s">
        <v>2072</v>
      </c>
      <c r="G131" s="2" t="s">
        <v>2073</v>
      </c>
      <c r="H131" s="2" t="s">
        <v>342</v>
      </c>
      <c r="I131" s="2" t="s">
        <v>777</v>
      </c>
      <c r="J131" s="2" t="s">
        <v>31</v>
      </c>
      <c r="K131" s="2" t="s">
        <v>319</v>
      </c>
      <c r="L131" s="2" t="s">
        <v>348</v>
      </c>
      <c r="M131" s="2" t="s">
        <v>40</v>
      </c>
      <c r="N131" s="2" t="s">
        <v>485</v>
      </c>
      <c r="O131" s="2" t="s">
        <v>163</v>
      </c>
      <c r="P131" s="2" t="s">
        <v>1987</v>
      </c>
      <c r="Q131" s="2" t="s">
        <v>437</v>
      </c>
      <c r="R131" s="2" t="s">
        <v>428</v>
      </c>
      <c r="S131" s="2" t="s">
        <v>35</v>
      </c>
      <c r="T131" s="152">
        <v>0.499</v>
      </c>
      <c r="U131" s="2" t="s">
        <v>2074</v>
      </c>
      <c r="V131" s="163">
        <v>5.3499999999999999E-2</v>
      </c>
      <c r="W131" s="165">
        <v>1.9650000000000001E-2</v>
      </c>
      <c r="X131" s="4" t="s">
        <v>434</v>
      </c>
      <c r="Y131" s="4" t="s">
        <v>163</v>
      </c>
      <c r="Z131" s="152">
        <v>476760.69</v>
      </c>
      <c r="AA131" s="152">
        <v>1</v>
      </c>
      <c r="AB131" s="152">
        <v>117.67</v>
      </c>
      <c r="AD131" s="152">
        <v>561.00400000000002</v>
      </c>
      <c r="AG131" s="2" t="s">
        <v>37</v>
      </c>
      <c r="AH131" s="165">
        <v>7.1699999999999997E-4</v>
      </c>
      <c r="AI131" s="165">
        <v>1.3550317314091999E-3</v>
      </c>
      <c r="AJ131" s="165">
        <v>2.3429282824468601E-4</v>
      </c>
    </row>
    <row r="132" spans="1:36">
      <c r="A132" s="2" t="s">
        <v>26</v>
      </c>
      <c r="B132" s="2">
        <v>288</v>
      </c>
      <c r="C132" s="2" t="s">
        <v>2070</v>
      </c>
      <c r="D132" s="2" t="s">
        <v>2071</v>
      </c>
      <c r="E132" s="4" t="s">
        <v>1347</v>
      </c>
      <c r="F132" s="2" t="s">
        <v>2075</v>
      </c>
      <c r="G132" s="2" t="s">
        <v>2076</v>
      </c>
      <c r="H132" s="2" t="s">
        <v>342</v>
      </c>
      <c r="I132" s="2" t="s">
        <v>777</v>
      </c>
      <c r="J132" s="2" t="s">
        <v>31</v>
      </c>
      <c r="K132" s="2" t="s">
        <v>319</v>
      </c>
      <c r="L132" s="2" t="s">
        <v>348</v>
      </c>
      <c r="M132" s="2" t="s">
        <v>40</v>
      </c>
      <c r="N132" s="2" t="s">
        <v>485</v>
      </c>
      <c r="O132" s="2" t="s">
        <v>163</v>
      </c>
      <c r="P132" s="2" t="s">
        <v>1987</v>
      </c>
      <c r="Q132" s="2" t="s">
        <v>437</v>
      </c>
      <c r="R132" s="2" t="s">
        <v>428</v>
      </c>
      <c r="S132" s="2" t="s">
        <v>35</v>
      </c>
      <c r="T132" s="152">
        <v>1.974</v>
      </c>
      <c r="U132" s="2" t="s">
        <v>2077</v>
      </c>
      <c r="V132" s="163">
        <v>0.04</v>
      </c>
      <c r="W132" s="165">
        <v>4.2599999999999999E-2</v>
      </c>
      <c r="X132" s="4" t="s">
        <v>434</v>
      </c>
      <c r="Y132" s="4" t="s">
        <v>163</v>
      </c>
      <c r="Z132" s="152">
        <v>313753.5</v>
      </c>
      <c r="AA132" s="152">
        <v>1</v>
      </c>
      <c r="AB132" s="152">
        <v>111.92</v>
      </c>
      <c r="AD132" s="152">
        <v>351.15300000000002</v>
      </c>
      <c r="AG132" s="2" t="s">
        <v>37</v>
      </c>
      <c r="AH132" s="165">
        <v>1.21E-4</v>
      </c>
      <c r="AI132" s="165">
        <v>8.4816344911360598E-4</v>
      </c>
      <c r="AJ132" s="165">
        <v>1.46652368871046E-4</v>
      </c>
    </row>
    <row r="133" spans="1:36">
      <c r="A133" s="2" t="s">
        <v>26</v>
      </c>
      <c r="B133" s="2">
        <v>288</v>
      </c>
      <c r="C133" s="2" t="s">
        <v>2391</v>
      </c>
      <c r="D133" s="2" t="s">
        <v>2392</v>
      </c>
      <c r="E133" s="4" t="s">
        <v>1347</v>
      </c>
      <c r="F133" s="2" t="s">
        <v>2393</v>
      </c>
      <c r="G133" s="2" t="s">
        <v>2394</v>
      </c>
      <c r="H133" s="2" t="s">
        <v>342</v>
      </c>
      <c r="I133" s="2" t="s">
        <v>777</v>
      </c>
      <c r="J133" s="2" t="s">
        <v>31</v>
      </c>
      <c r="K133" s="2" t="s">
        <v>31</v>
      </c>
      <c r="L133" s="2" t="s">
        <v>348</v>
      </c>
      <c r="M133" s="2" t="s">
        <v>40</v>
      </c>
      <c r="N133" s="2" t="s">
        <v>471</v>
      </c>
      <c r="O133" s="2" t="s">
        <v>163</v>
      </c>
      <c r="P133" s="2" t="s">
        <v>1975</v>
      </c>
      <c r="Q133" s="2" t="s">
        <v>435</v>
      </c>
      <c r="R133" s="2" t="s">
        <v>428</v>
      </c>
      <c r="S133" s="2" t="s">
        <v>35</v>
      </c>
      <c r="T133" s="152">
        <v>3.9740000000000002</v>
      </c>
      <c r="U133" s="2" t="s">
        <v>2395</v>
      </c>
      <c r="V133" s="163">
        <v>7.4999999999999997E-3</v>
      </c>
      <c r="W133" s="165">
        <v>3.2829999999999998E-2</v>
      </c>
      <c r="X133" s="4" t="s">
        <v>434</v>
      </c>
      <c r="Y133" s="4" t="s">
        <v>163</v>
      </c>
      <c r="Z133" s="152">
        <v>1739912.99</v>
      </c>
      <c r="AA133" s="152">
        <v>1</v>
      </c>
      <c r="AB133" s="152">
        <v>99.9</v>
      </c>
      <c r="AD133" s="152">
        <v>1738.173</v>
      </c>
      <c r="AG133" s="2" t="s">
        <v>37</v>
      </c>
      <c r="AH133" s="165">
        <v>3.5599999999999998E-3</v>
      </c>
      <c r="AI133" s="165">
        <v>4.1983272811985297E-3</v>
      </c>
      <c r="AJ133" s="165">
        <v>7.2591508361643001E-4</v>
      </c>
    </row>
    <row r="134" spans="1:36">
      <c r="A134" s="2" t="s">
        <v>26</v>
      </c>
      <c r="B134" s="2">
        <v>288</v>
      </c>
      <c r="C134" s="2" t="s">
        <v>2083</v>
      </c>
      <c r="D134" s="2" t="s">
        <v>2084</v>
      </c>
      <c r="E134" s="4" t="s">
        <v>1347</v>
      </c>
      <c r="F134" s="2" t="s">
        <v>2085</v>
      </c>
      <c r="G134" s="2" t="s">
        <v>2086</v>
      </c>
      <c r="H134" s="2" t="s">
        <v>342</v>
      </c>
      <c r="I134" s="2" t="s">
        <v>777</v>
      </c>
      <c r="J134" s="2" t="s">
        <v>31</v>
      </c>
      <c r="K134" s="2" t="s">
        <v>31</v>
      </c>
      <c r="L134" s="2" t="s">
        <v>348</v>
      </c>
      <c r="M134" s="2" t="s">
        <v>40</v>
      </c>
      <c r="N134" s="2" t="s">
        <v>468</v>
      </c>
      <c r="O134" s="2" t="s">
        <v>163</v>
      </c>
      <c r="P134" s="2" t="s">
        <v>128</v>
      </c>
      <c r="Q134" s="2" t="s">
        <v>437</v>
      </c>
      <c r="R134" s="2" t="s">
        <v>428</v>
      </c>
      <c r="S134" s="2" t="s">
        <v>35</v>
      </c>
      <c r="T134" s="152">
        <v>4.2549999999999999</v>
      </c>
      <c r="U134" s="2" t="s">
        <v>2087</v>
      </c>
      <c r="V134" s="163">
        <v>2E-3</v>
      </c>
      <c r="W134" s="165">
        <v>1.9359999999999999E-2</v>
      </c>
      <c r="X134" s="4" t="s">
        <v>434</v>
      </c>
      <c r="Y134" s="4" t="s">
        <v>163</v>
      </c>
      <c r="Z134" s="152">
        <v>2125000</v>
      </c>
      <c r="AA134" s="152">
        <v>1</v>
      </c>
      <c r="AB134" s="152">
        <v>101.27</v>
      </c>
      <c r="AD134" s="152">
        <v>2151.9879999999998</v>
      </c>
      <c r="AG134" s="2" t="s">
        <v>37</v>
      </c>
      <c r="AH134" s="165">
        <v>4.9200000000000003E-4</v>
      </c>
      <c r="AI134" s="165">
        <v>5.1978413137026497E-3</v>
      </c>
      <c r="AJ134" s="165">
        <v>8.9873684425675004E-4</v>
      </c>
    </row>
    <row r="135" spans="1:36">
      <c r="A135" s="2" t="s">
        <v>26</v>
      </c>
      <c r="B135" s="2">
        <v>288</v>
      </c>
      <c r="C135" s="2" t="s">
        <v>2083</v>
      </c>
      <c r="D135" s="2" t="s">
        <v>2084</v>
      </c>
      <c r="E135" s="4" t="s">
        <v>1347</v>
      </c>
      <c r="F135" s="2" t="s">
        <v>2396</v>
      </c>
      <c r="G135" s="2" t="s">
        <v>2397</v>
      </c>
      <c r="H135" s="2" t="s">
        <v>342</v>
      </c>
      <c r="I135" s="2" t="s">
        <v>990</v>
      </c>
      <c r="J135" s="2" t="s">
        <v>31</v>
      </c>
      <c r="K135" s="2" t="s">
        <v>31</v>
      </c>
      <c r="L135" s="2" t="s">
        <v>348</v>
      </c>
      <c r="M135" s="2" t="s">
        <v>40</v>
      </c>
      <c r="N135" s="2" t="s">
        <v>468</v>
      </c>
      <c r="O135" s="2" t="s">
        <v>163</v>
      </c>
      <c r="P135" s="2" t="s">
        <v>128</v>
      </c>
      <c r="Q135" s="2" t="s">
        <v>437</v>
      </c>
      <c r="R135" s="2" t="s">
        <v>428</v>
      </c>
      <c r="S135" s="2" t="s">
        <v>35</v>
      </c>
      <c r="T135" s="152">
        <v>3.411</v>
      </c>
      <c r="U135" s="2" t="s">
        <v>2398</v>
      </c>
      <c r="V135" s="163">
        <v>2.6800000000000001E-2</v>
      </c>
      <c r="W135" s="165">
        <v>4.4720000000000003E-2</v>
      </c>
      <c r="X135" s="4" t="s">
        <v>434</v>
      </c>
      <c r="Y135" s="4" t="s">
        <v>163</v>
      </c>
      <c r="Z135" s="152">
        <v>1505547.08</v>
      </c>
      <c r="AA135" s="152">
        <v>1</v>
      </c>
      <c r="AB135" s="152">
        <v>95.02</v>
      </c>
      <c r="AD135" s="152">
        <v>1430.5709999999999</v>
      </c>
      <c r="AG135" s="2" t="s">
        <v>37</v>
      </c>
      <c r="AH135" s="165">
        <v>6.5899999999999997E-4</v>
      </c>
      <c r="AI135" s="165">
        <v>3.45535473161596E-3</v>
      </c>
      <c r="AJ135" s="165">
        <v>5.9745083003852003E-4</v>
      </c>
    </row>
    <row r="136" spans="1:36">
      <c r="A136" s="2" t="s">
        <v>26</v>
      </c>
      <c r="B136" s="2">
        <v>288</v>
      </c>
      <c r="C136" s="2" t="s">
        <v>2106</v>
      </c>
      <c r="D136" s="2" t="s">
        <v>2107</v>
      </c>
      <c r="E136" s="4" t="s">
        <v>1347</v>
      </c>
      <c r="F136" s="2" t="s">
        <v>2108</v>
      </c>
      <c r="G136" s="2" t="s">
        <v>2109</v>
      </c>
      <c r="H136" s="2" t="s">
        <v>342</v>
      </c>
      <c r="I136" s="2" t="s">
        <v>990</v>
      </c>
      <c r="J136" s="2" t="s">
        <v>31</v>
      </c>
      <c r="K136" s="2" t="s">
        <v>31</v>
      </c>
      <c r="L136" s="2" t="s">
        <v>348</v>
      </c>
      <c r="M136" s="2" t="s">
        <v>40</v>
      </c>
      <c r="N136" s="2" t="s">
        <v>465</v>
      </c>
      <c r="O136" s="2" t="s">
        <v>163</v>
      </c>
      <c r="P136" s="2" t="s">
        <v>2010</v>
      </c>
      <c r="Q136" s="2" t="s">
        <v>437</v>
      </c>
      <c r="R136" s="2" t="s">
        <v>428</v>
      </c>
      <c r="S136" s="2" t="s">
        <v>35</v>
      </c>
      <c r="T136" s="152">
        <v>2.1739999999999999</v>
      </c>
      <c r="U136" s="2" t="s">
        <v>2110</v>
      </c>
      <c r="V136" s="163">
        <v>2.9100000000000001E-2</v>
      </c>
      <c r="W136" s="165">
        <v>4.6019999999999998E-2</v>
      </c>
      <c r="X136" s="4" t="s">
        <v>434</v>
      </c>
      <c r="Y136" s="4" t="s">
        <v>163</v>
      </c>
      <c r="Z136" s="152">
        <v>1150000</v>
      </c>
      <c r="AA136" s="152">
        <v>1</v>
      </c>
      <c r="AB136" s="152">
        <v>97.28</v>
      </c>
      <c r="AD136" s="152">
        <v>1118.72</v>
      </c>
      <c r="AG136" s="2" t="s">
        <v>37</v>
      </c>
      <c r="AH136" s="165">
        <v>1.9170000000000001E-3</v>
      </c>
      <c r="AI136" s="165">
        <v>2.7021202653200499E-3</v>
      </c>
      <c r="AJ136" s="165">
        <v>4.6721223167277298E-4</v>
      </c>
    </row>
    <row r="137" spans="1:36">
      <c r="A137" s="2" t="s">
        <v>26</v>
      </c>
      <c r="B137" s="2">
        <v>288</v>
      </c>
      <c r="C137" s="2" t="s">
        <v>2127</v>
      </c>
      <c r="D137" s="2" t="s">
        <v>2128</v>
      </c>
      <c r="E137" s="4" t="s">
        <v>1347</v>
      </c>
      <c r="F137" s="2" t="s">
        <v>2129</v>
      </c>
      <c r="G137" s="2" t="s">
        <v>2130</v>
      </c>
      <c r="H137" s="2" t="s">
        <v>342</v>
      </c>
      <c r="I137" s="2" t="s">
        <v>777</v>
      </c>
      <c r="J137" s="2" t="s">
        <v>31</v>
      </c>
      <c r="K137" s="2" t="s">
        <v>31</v>
      </c>
      <c r="L137" s="2" t="s">
        <v>348</v>
      </c>
      <c r="M137" s="2" t="s">
        <v>40</v>
      </c>
      <c r="N137" s="2" t="s">
        <v>460</v>
      </c>
      <c r="O137" s="2" t="s">
        <v>163</v>
      </c>
      <c r="P137" s="2" t="s">
        <v>2131</v>
      </c>
      <c r="Q137" s="2" t="s">
        <v>437</v>
      </c>
      <c r="R137" s="2" t="s">
        <v>428</v>
      </c>
      <c r="S137" s="2" t="s">
        <v>35</v>
      </c>
      <c r="T137" s="152">
        <v>1.383</v>
      </c>
      <c r="U137" s="2" t="s">
        <v>2132</v>
      </c>
      <c r="V137" s="163">
        <v>4.4999999999999998E-2</v>
      </c>
      <c r="W137" s="165">
        <v>1.524E-2</v>
      </c>
      <c r="X137" s="4" t="s">
        <v>434</v>
      </c>
      <c r="Y137" s="4" t="s">
        <v>163</v>
      </c>
      <c r="Z137" s="152">
        <v>5000000</v>
      </c>
      <c r="AA137" s="152">
        <v>1</v>
      </c>
      <c r="AB137" s="152">
        <v>118.26</v>
      </c>
      <c r="AD137" s="152">
        <v>5913</v>
      </c>
      <c r="AG137" s="2" t="s">
        <v>37</v>
      </c>
      <c r="AH137" s="165">
        <v>1.6919999999999999E-3</v>
      </c>
      <c r="AI137" s="165">
        <v>1.42820698019499E-2</v>
      </c>
      <c r="AJ137" s="165">
        <v>2.4694525224194701E-3</v>
      </c>
    </row>
    <row r="138" spans="1:36">
      <c r="A138" s="2" t="s">
        <v>26</v>
      </c>
      <c r="B138" s="2">
        <v>288</v>
      </c>
      <c r="C138" s="2" t="s">
        <v>2127</v>
      </c>
      <c r="D138" s="2" t="s">
        <v>2128</v>
      </c>
      <c r="E138" s="4" t="s">
        <v>1347</v>
      </c>
      <c r="F138" s="2" t="s">
        <v>2136</v>
      </c>
      <c r="G138" s="2" t="s">
        <v>2137</v>
      </c>
      <c r="H138" s="2" t="s">
        <v>342</v>
      </c>
      <c r="I138" s="2" t="s">
        <v>777</v>
      </c>
      <c r="J138" s="2" t="s">
        <v>31</v>
      </c>
      <c r="K138" s="2" t="s">
        <v>31</v>
      </c>
      <c r="L138" s="2" t="s">
        <v>348</v>
      </c>
      <c r="M138" s="2" t="s">
        <v>40</v>
      </c>
      <c r="N138" s="2" t="s">
        <v>460</v>
      </c>
      <c r="O138" s="2" t="s">
        <v>163</v>
      </c>
      <c r="P138" s="2" t="s">
        <v>2131</v>
      </c>
      <c r="Q138" s="2" t="s">
        <v>437</v>
      </c>
      <c r="R138" s="2" t="s">
        <v>428</v>
      </c>
      <c r="S138" s="2" t="s">
        <v>35</v>
      </c>
      <c r="T138" s="152">
        <v>6.24</v>
      </c>
      <c r="U138" s="2" t="s">
        <v>2138</v>
      </c>
      <c r="V138" s="163">
        <v>2.3900000000000001E-2</v>
      </c>
      <c r="W138" s="165">
        <v>2.4760000000000001E-2</v>
      </c>
      <c r="X138" s="4" t="s">
        <v>434</v>
      </c>
      <c r="Y138" s="4" t="s">
        <v>163</v>
      </c>
      <c r="Z138" s="152">
        <v>3700000</v>
      </c>
      <c r="AA138" s="152">
        <v>1</v>
      </c>
      <c r="AB138" s="152">
        <v>110.76</v>
      </c>
      <c r="AD138" s="152">
        <v>4098.12</v>
      </c>
      <c r="AG138" s="2" t="s">
        <v>37</v>
      </c>
      <c r="AH138" s="165">
        <v>9.5100000000000002E-4</v>
      </c>
      <c r="AI138" s="165">
        <v>9.8984670889171508E-3</v>
      </c>
      <c r="AJ138" s="165">
        <v>1.71150224440684E-3</v>
      </c>
    </row>
    <row r="139" spans="1:36">
      <c r="A139" s="2" t="s">
        <v>26</v>
      </c>
      <c r="B139" s="2">
        <v>288</v>
      </c>
      <c r="C139" s="2" t="s">
        <v>2127</v>
      </c>
      <c r="D139" s="2" t="s">
        <v>2128</v>
      </c>
      <c r="E139" s="4" t="s">
        <v>1347</v>
      </c>
      <c r="F139" s="2" t="s">
        <v>2399</v>
      </c>
      <c r="G139" s="2" t="s">
        <v>2400</v>
      </c>
      <c r="H139" s="2" t="s">
        <v>342</v>
      </c>
      <c r="I139" s="2" t="s">
        <v>777</v>
      </c>
      <c r="J139" s="2" t="s">
        <v>31</v>
      </c>
      <c r="K139" s="2" t="s">
        <v>31</v>
      </c>
      <c r="L139" s="2" t="s">
        <v>348</v>
      </c>
      <c r="M139" s="2" t="s">
        <v>40</v>
      </c>
      <c r="N139" s="2" t="s">
        <v>460</v>
      </c>
      <c r="O139" s="2" t="s">
        <v>163</v>
      </c>
      <c r="P139" s="2" t="s">
        <v>2131</v>
      </c>
      <c r="Q139" s="2" t="s">
        <v>437</v>
      </c>
      <c r="R139" s="2" t="s">
        <v>428</v>
      </c>
      <c r="S139" s="2" t="s">
        <v>35</v>
      </c>
      <c r="T139" s="152">
        <v>10.811</v>
      </c>
      <c r="U139" s="2" t="s">
        <v>2401</v>
      </c>
      <c r="V139" s="163">
        <v>3.2000000000000001E-2</v>
      </c>
      <c r="W139" s="165">
        <v>2.9770000000000001E-2</v>
      </c>
      <c r="X139" s="4" t="s">
        <v>434</v>
      </c>
      <c r="Y139" s="4" t="s">
        <v>163</v>
      </c>
      <c r="Z139" s="152">
        <v>2000000</v>
      </c>
      <c r="AA139" s="152">
        <v>1</v>
      </c>
      <c r="AB139" s="152">
        <v>105.01</v>
      </c>
      <c r="AD139" s="152">
        <v>2100.1999999999998</v>
      </c>
      <c r="AG139" s="2" t="s">
        <v>37</v>
      </c>
      <c r="AH139" s="165">
        <v>1.467E-3</v>
      </c>
      <c r="AI139" s="165">
        <v>5.0727554537553302E-3</v>
      </c>
      <c r="AJ139" s="165">
        <v>8.7710877517087197E-4</v>
      </c>
    </row>
    <row r="140" spans="1:36">
      <c r="A140" s="2" t="s">
        <v>26</v>
      </c>
      <c r="B140" s="2">
        <v>288</v>
      </c>
      <c r="C140" s="2" t="s">
        <v>2148</v>
      </c>
      <c r="D140" s="2" t="s">
        <v>2149</v>
      </c>
      <c r="E140" s="4" t="s">
        <v>1347</v>
      </c>
      <c r="F140" s="2" t="s">
        <v>2402</v>
      </c>
      <c r="G140" s="2" t="s">
        <v>2403</v>
      </c>
      <c r="H140" s="2" t="s">
        <v>342</v>
      </c>
      <c r="I140" s="2" t="s">
        <v>777</v>
      </c>
      <c r="J140" s="2" t="s">
        <v>31</v>
      </c>
      <c r="K140" s="2" t="s">
        <v>31</v>
      </c>
      <c r="L140" s="2" t="s">
        <v>348</v>
      </c>
      <c r="M140" s="2" t="s">
        <v>40</v>
      </c>
      <c r="N140" s="2" t="s">
        <v>484</v>
      </c>
      <c r="O140" s="2" t="s">
        <v>163</v>
      </c>
      <c r="P140" s="2" t="s">
        <v>2010</v>
      </c>
      <c r="Q140" s="2" t="s">
        <v>437</v>
      </c>
      <c r="R140" s="2" t="s">
        <v>428</v>
      </c>
      <c r="S140" s="2" t="s">
        <v>35</v>
      </c>
      <c r="T140" s="152">
        <v>3.7</v>
      </c>
      <c r="U140" s="2" t="s">
        <v>2404</v>
      </c>
      <c r="V140" s="163">
        <v>2.4E-2</v>
      </c>
      <c r="W140" s="165">
        <v>2.5579999999999999E-2</v>
      </c>
      <c r="X140" s="4" t="s">
        <v>434</v>
      </c>
      <c r="Y140" s="4" t="s">
        <v>163</v>
      </c>
      <c r="Z140" s="152">
        <v>1425000.21</v>
      </c>
      <c r="AA140" s="152">
        <v>1</v>
      </c>
      <c r="AB140" s="152">
        <v>112.24</v>
      </c>
      <c r="AD140" s="152">
        <v>1599.42</v>
      </c>
      <c r="AG140" s="2" t="s">
        <v>37</v>
      </c>
      <c r="AH140" s="165">
        <v>1.322E-3</v>
      </c>
      <c r="AI140" s="165">
        <v>3.8631881361366098E-3</v>
      </c>
      <c r="AJ140" s="165">
        <v>6.67967585906982E-4</v>
      </c>
    </row>
    <row r="141" spans="1:36">
      <c r="A141" s="2" t="s">
        <v>26</v>
      </c>
      <c r="B141" s="2">
        <v>288</v>
      </c>
      <c r="C141" s="2" t="s">
        <v>2153</v>
      </c>
      <c r="D141" s="2" t="s">
        <v>2154</v>
      </c>
      <c r="E141" s="4" t="s">
        <v>1347</v>
      </c>
      <c r="F141" s="2" t="s">
        <v>2155</v>
      </c>
      <c r="G141" s="2" t="s">
        <v>2156</v>
      </c>
      <c r="H141" s="2" t="s">
        <v>342</v>
      </c>
      <c r="I141" s="2" t="s">
        <v>990</v>
      </c>
      <c r="J141" s="2" t="s">
        <v>31</v>
      </c>
      <c r="K141" s="2" t="s">
        <v>31</v>
      </c>
      <c r="L141" s="2" t="s">
        <v>348</v>
      </c>
      <c r="M141" s="2" t="s">
        <v>40</v>
      </c>
      <c r="N141" s="2" t="s">
        <v>465</v>
      </c>
      <c r="O141" s="2" t="s">
        <v>163</v>
      </c>
      <c r="P141" s="2" t="s">
        <v>2010</v>
      </c>
      <c r="Q141" s="2" t="s">
        <v>437</v>
      </c>
      <c r="R141" s="2" t="s">
        <v>428</v>
      </c>
      <c r="S141" s="2" t="s">
        <v>35</v>
      </c>
      <c r="T141" s="152">
        <v>5.5540000000000003</v>
      </c>
      <c r="U141" s="2" t="s">
        <v>87</v>
      </c>
      <c r="V141" s="163">
        <v>2.64E-2</v>
      </c>
      <c r="W141" s="165">
        <v>5.0410000000000003E-2</v>
      </c>
      <c r="X141" s="4" t="s">
        <v>434</v>
      </c>
      <c r="Y141" s="4" t="s">
        <v>163</v>
      </c>
      <c r="Z141" s="152">
        <v>2000000</v>
      </c>
      <c r="AA141" s="152">
        <v>1</v>
      </c>
      <c r="AB141" s="152">
        <v>88.01</v>
      </c>
      <c r="AD141" s="152">
        <v>1760.2</v>
      </c>
      <c r="AG141" s="2" t="s">
        <v>37</v>
      </c>
      <c r="AH141" s="165">
        <v>1.222E-3</v>
      </c>
      <c r="AI141" s="165">
        <v>4.2515304017237097E-3</v>
      </c>
      <c r="AJ141" s="165">
        <v>7.3511421105407497E-4</v>
      </c>
    </row>
    <row r="142" spans="1:36">
      <c r="A142" s="2" t="s">
        <v>26</v>
      </c>
      <c r="B142" s="2">
        <v>288</v>
      </c>
      <c r="C142" s="2" t="s">
        <v>2153</v>
      </c>
      <c r="D142" s="2" t="s">
        <v>2154</v>
      </c>
      <c r="E142" s="4" t="s">
        <v>1347</v>
      </c>
      <c r="F142" s="2" t="s">
        <v>2405</v>
      </c>
      <c r="G142" s="2" t="s">
        <v>2406</v>
      </c>
      <c r="H142" s="2" t="s">
        <v>342</v>
      </c>
      <c r="I142" s="2" t="s">
        <v>990</v>
      </c>
      <c r="J142" s="2" t="s">
        <v>31</v>
      </c>
      <c r="K142" s="2" t="s">
        <v>31</v>
      </c>
      <c r="L142" s="2" t="s">
        <v>348</v>
      </c>
      <c r="M142" s="2" t="s">
        <v>40</v>
      </c>
      <c r="N142" s="2" t="s">
        <v>465</v>
      </c>
      <c r="O142" s="2" t="s">
        <v>163</v>
      </c>
      <c r="P142" s="2" t="s">
        <v>2010</v>
      </c>
      <c r="Q142" s="2" t="s">
        <v>437</v>
      </c>
      <c r="R142" s="2" t="s">
        <v>428</v>
      </c>
      <c r="S142" s="2" t="s">
        <v>35</v>
      </c>
      <c r="T142" s="152">
        <v>7.2050000000000001</v>
      </c>
      <c r="U142" s="2" t="s">
        <v>2407</v>
      </c>
      <c r="V142" s="163">
        <v>2.5000000000000001E-2</v>
      </c>
      <c r="W142" s="165">
        <v>5.4949999999999999E-2</v>
      </c>
      <c r="X142" s="4" t="s">
        <v>434</v>
      </c>
      <c r="Y142" s="4" t="s">
        <v>163</v>
      </c>
      <c r="Z142" s="152">
        <v>1500000</v>
      </c>
      <c r="AA142" s="152">
        <v>1</v>
      </c>
      <c r="AB142" s="152">
        <v>81.239999999999995</v>
      </c>
      <c r="AD142" s="152">
        <v>1218.5999999999999</v>
      </c>
      <c r="AG142" s="2" t="s">
        <v>37</v>
      </c>
      <c r="AH142" s="165">
        <v>1.1249999999999999E-3</v>
      </c>
      <c r="AI142" s="165">
        <v>2.9433672011933399E-3</v>
      </c>
      <c r="AJ142" s="165">
        <v>5.0892522303743696E-4</v>
      </c>
    </row>
    <row r="143" spans="1:36">
      <c r="A143" s="2" t="s">
        <v>26</v>
      </c>
      <c r="B143" s="2">
        <v>288</v>
      </c>
      <c r="C143" s="2" t="s">
        <v>1200</v>
      </c>
      <c r="D143" s="2" t="s">
        <v>1660</v>
      </c>
      <c r="E143" s="4" t="s">
        <v>1347</v>
      </c>
      <c r="F143" s="2" t="s">
        <v>2160</v>
      </c>
      <c r="G143" s="2" t="s">
        <v>2161</v>
      </c>
      <c r="H143" s="2" t="s">
        <v>342</v>
      </c>
      <c r="I143" s="2" t="s">
        <v>777</v>
      </c>
      <c r="J143" s="2" t="s">
        <v>31</v>
      </c>
      <c r="K143" s="2" t="s">
        <v>31</v>
      </c>
      <c r="L143" s="2" t="s">
        <v>348</v>
      </c>
      <c r="M143" s="2" t="s">
        <v>40</v>
      </c>
      <c r="N143" s="2" t="s">
        <v>468</v>
      </c>
      <c r="O143" s="2" t="s">
        <v>163</v>
      </c>
      <c r="P143" s="2" t="s">
        <v>128</v>
      </c>
      <c r="Q143" s="2" t="s">
        <v>437</v>
      </c>
      <c r="R143" s="2" t="s">
        <v>428</v>
      </c>
      <c r="S143" s="2" t="s">
        <v>35</v>
      </c>
      <c r="T143" s="152">
        <v>1.23</v>
      </c>
      <c r="U143" s="2" t="s">
        <v>2110</v>
      </c>
      <c r="V143" s="163">
        <v>8.3000000000000001E-3</v>
      </c>
      <c r="W143" s="165">
        <v>1.3979999999999999E-2</v>
      </c>
      <c r="X143" s="4" t="s">
        <v>434</v>
      </c>
      <c r="Y143" s="4" t="s">
        <v>163</v>
      </c>
      <c r="Z143" s="152">
        <v>1100000</v>
      </c>
      <c r="AA143" s="152">
        <v>1</v>
      </c>
      <c r="AB143" s="152">
        <v>111.66</v>
      </c>
      <c r="AD143" s="152">
        <v>1228.26</v>
      </c>
      <c r="AG143" s="2" t="s">
        <v>37</v>
      </c>
      <c r="AH143" s="165">
        <v>3.6200000000000002E-4</v>
      </c>
      <c r="AI143" s="165">
        <v>2.9666996541422401E-3</v>
      </c>
      <c r="AJ143" s="165">
        <v>5.1295953918263702E-4</v>
      </c>
    </row>
    <row r="144" spans="1:36">
      <c r="A144" s="2" t="s">
        <v>26</v>
      </c>
      <c r="B144" s="2">
        <v>288</v>
      </c>
      <c r="C144" s="2" t="s">
        <v>1200</v>
      </c>
      <c r="D144" s="2" t="s">
        <v>1660</v>
      </c>
      <c r="E144" s="4" t="s">
        <v>1347</v>
      </c>
      <c r="F144" s="2" t="s">
        <v>2408</v>
      </c>
      <c r="G144" s="2" t="s">
        <v>2409</v>
      </c>
      <c r="H144" s="2" t="s">
        <v>342</v>
      </c>
      <c r="I144" s="2" t="s">
        <v>990</v>
      </c>
      <c r="J144" s="2" t="s">
        <v>31</v>
      </c>
      <c r="K144" s="2" t="s">
        <v>31</v>
      </c>
      <c r="L144" s="2" t="s">
        <v>348</v>
      </c>
      <c r="M144" s="2" t="s">
        <v>40</v>
      </c>
      <c r="N144" s="2" t="s">
        <v>468</v>
      </c>
      <c r="O144" s="2" t="s">
        <v>163</v>
      </c>
      <c r="P144" s="2" t="s">
        <v>128</v>
      </c>
      <c r="Q144" s="2" t="s">
        <v>437</v>
      </c>
      <c r="R144" s="2" t="s">
        <v>428</v>
      </c>
      <c r="S144" s="2" t="s">
        <v>35</v>
      </c>
      <c r="T144" s="152">
        <v>3.5720000000000001</v>
      </c>
      <c r="U144" s="2" t="s">
        <v>2410</v>
      </c>
      <c r="V144" s="163">
        <v>2.76E-2</v>
      </c>
      <c r="W144" s="165">
        <v>4.4479999999999999E-2</v>
      </c>
      <c r="X144" s="4" t="s">
        <v>434</v>
      </c>
      <c r="Y144" s="4" t="s">
        <v>163</v>
      </c>
      <c r="Z144" s="152">
        <v>2328383</v>
      </c>
      <c r="AA144" s="152">
        <v>1</v>
      </c>
      <c r="AB144" s="152">
        <v>95.44</v>
      </c>
      <c r="AD144" s="152">
        <v>2222.2089999999998</v>
      </c>
      <c r="AG144" s="2" t="s">
        <v>37</v>
      </c>
      <c r="AH144" s="165">
        <v>1.7420000000000001E-3</v>
      </c>
      <c r="AI144" s="165">
        <v>5.3674514240874801E-3</v>
      </c>
      <c r="AJ144" s="165">
        <v>9.28063413915477E-4</v>
      </c>
    </row>
    <row r="145" spans="1:36">
      <c r="A145" s="2" t="s">
        <v>26</v>
      </c>
      <c r="B145" s="2">
        <v>288</v>
      </c>
      <c r="C145" s="2" t="s">
        <v>1200</v>
      </c>
      <c r="D145" s="2" t="s">
        <v>1660</v>
      </c>
      <c r="E145" s="4" t="s">
        <v>1347</v>
      </c>
      <c r="F145" s="2" t="s">
        <v>2168</v>
      </c>
      <c r="G145" s="2" t="s">
        <v>2169</v>
      </c>
      <c r="H145" s="2" t="s">
        <v>342</v>
      </c>
      <c r="I145" s="2" t="s">
        <v>777</v>
      </c>
      <c r="J145" s="2" t="s">
        <v>31</v>
      </c>
      <c r="K145" s="2" t="s">
        <v>31</v>
      </c>
      <c r="L145" s="2" t="s">
        <v>348</v>
      </c>
      <c r="M145" s="2" t="s">
        <v>40</v>
      </c>
      <c r="N145" s="2" t="s">
        <v>468</v>
      </c>
      <c r="O145" s="2" t="s">
        <v>163</v>
      </c>
      <c r="P145" s="2" t="s">
        <v>1202</v>
      </c>
      <c r="Q145" s="2" t="s">
        <v>435</v>
      </c>
      <c r="R145" s="2" t="s">
        <v>428</v>
      </c>
      <c r="S145" s="2" t="s">
        <v>35</v>
      </c>
      <c r="T145" s="152">
        <v>5.6390000000000002</v>
      </c>
      <c r="U145" s="2" t="s">
        <v>2170</v>
      </c>
      <c r="V145" s="163">
        <v>1E-3</v>
      </c>
      <c r="W145" s="165">
        <v>2.069E-2</v>
      </c>
      <c r="X145" s="4" t="s">
        <v>434</v>
      </c>
      <c r="Y145" s="4" t="s">
        <v>163</v>
      </c>
      <c r="Z145" s="152">
        <v>2800000</v>
      </c>
      <c r="AA145" s="152">
        <v>1</v>
      </c>
      <c r="AB145" s="152">
        <v>97.7</v>
      </c>
      <c r="AD145" s="152">
        <v>2735.6</v>
      </c>
      <c r="AG145" s="2" t="s">
        <v>37</v>
      </c>
      <c r="AH145" s="165">
        <v>2.8159999999999999E-3</v>
      </c>
      <c r="AI145" s="165">
        <v>6.6074801539344301E-3</v>
      </c>
      <c r="AJ145" s="165">
        <v>1.1424715576409099E-3</v>
      </c>
    </row>
    <row r="146" spans="1:36">
      <c r="A146" s="2" t="s">
        <v>26</v>
      </c>
      <c r="B146" s="2">
        <v>288</v>
      </c>
      <c r="C146" s="2" t="s">
        <v>1780</v>
      </c>
      <c r="D146" s="2" t="s">
        <v>1781</v>
      </c>
      <c r="E146" s="4" t="s">
        <v>1347</v>
      </c>
      <c r="F146" s="2" t="s">
        <v>2411</v>
      </c>
      <c r="G146" s="2" t="s">
        <v>2412</v>
      </c>
      <c r="H146" s="2" t="s">
        <v>342</v>
      </c>
      <c r="I146" s="2" t="s">
        <v>777</v>
      </c>
      <c r="J146" s="2" t="s">
        <v>31</v>
      </c>
      <c r="K146" s="2" t="s">
        <v>31</v>
      </c>
      <c r="L146" s="2" t="s">
        <v>348</v>
      </c>
      <c r="M146" s="2" t="s">
        <v>40</v>
      </c>
      <c r="N146" s="2" t="s">
        <v>484</v>
      </c>
      <c r="O146" s="2" t="s">
        <v>163</v>
      </c>
      <c r="P146" s="2" t="s">
        <v>2022</v>
      </c>
      <c r="Q146" s="2" t="s">
        <v>437</v>
      </c>
      <c r="R146" s="2" t="s">
        <v>428</v>
      </c>
      <c r="S146" s="2" t="s">
        <v>35</v>
      </c>
      <c r="T146" s="152">
        <v>6.3410000000000002</v>
      </c>
      <c r="U146" s="2" t="s">
        <v>2413</v>
      </c>
      <c r="V146" s="163">
        <v>3.5000000000000001E-3</v>
      </c>
      <c r="W146" s="165">
        <v>2.9829999999999999E-2</v>
      </c>
      <c r="X146" s="4" t="s">
        <v>434</v>
      </c>
      <c r="Y146" s="4" t="s">
        <v>163</v>
      </c>
      <c r="Z146" s="152">
        <v>1567500</v>
      </c>
      <c r="AA146" s="152">
        <v>1</v>
      </c>
      <c r="AB146" s="152">
        <v>92.07</v>
      </c>
      <c r="AD146" s="152">
        <v>1443.1969999999999</v>
      </c>
      <c r="AG146" s="2" t="s">
        <v>37</v>
      </c>
      <c r="AH146" s="165">
        <v>5.1099999999999995E-4</v>
      </c>
      <c r="AI146" s="165">
        <v>3.48585216683278E-3</v>
      </c>
      <c r="AJ146" s="165">
        <v>6.0272401308326398E-4</v>
      </c>
    </row>
    <row r="147" spans="1:36">
      <c r="A147" s="2" t="s">
        <v>26</v>
      </c>
      <c r="B147" s="2">
        <v>288</v>
      </c>
      <c r="C147" s="2" t="s">
        <v>1780</v>
      </c>
      <c r="D147" s="2" t="s">
        <v>1781</v>
      </c>
      <c r="E147" s="4" t="s">
        <v>1347</v>
      </c>
      <c r="F147" s="2" t="s">
        <v>2414</v>
      </c>
      <c r="G147" s="2" t="s">
        <v>2415</v>
      </c>
      <c r="H147" s="2" t="s">
        <v>342</v>
      </c>
      <c r="I147" s="2" t="s">
        <v>777</v>
      </c>
      <c r="J147" s="2" t="s">
        <v>31</v>
      </c>
      <c r="K147" s="2" t="s">
        <v>31</v>
      </c>
      <c r="L147" s="2" t="s">
        <v>348</v>
      </c>
      <c r="M147" s="2" t="s">
        <v>40</v>
      </c>
      <c r="N147" s="2" t="s">
        <v>484</v>
      </c>
      <c r="O147" s="2" t="s">
        <v>163</v>
      </c>
      <c r="P147" s="2" t="s">
        <v>2022</v>
      </c>
      <c r="Q147" s="2" t="s">
        <v>437</v>
      </c>
      <c r="R147" s="2" t="s">
        <v>428</v>
      </c>
      <c r="S147" s="2" t="s">
        <v>35</v>
      </c>
      <c r="T147" s="152">
        <v>3.903</v>
      </c>
      <c r="U147" s="2" t="s">
        <v>2116</v>
      </c>
      <c r="V147" s="163">
        <v>2.81E-2</v>
      </c>
      <c r="W147" s="165">
        <v>2.4490000000000001E-2</v>
      </c>
      <c r="X147" s="4" t="s">
        <v>434</v>
      </c>
      <c r="Y147" s="4" t="s">
        <v>163</v>
      </c>
      <c r="Z147" s="152">
        <v>2981250</v>
      </c>
      <c r="AA147" s="152">
        <v>1</v>
      </c>
      <c r="AB147" s="152">
        <v>115.32</v>
      </c>
      <c r="AD147" s="152">
        <v>3437.9769999999999</v>
      </c>
      <c r="AG147" s="2" t="s">
        <v>37</v>
      </c>
      <c r="AH147" s="165">
        <v>2.2330000000000002E-3</v>
      </c>
      <c r="AI147" s="165">
        <v>8.3039801509442492E-3</v>
      </c>
      <c r="AJ147" s="165">
        <v>1.43580622516428E-3</v>
      </c>
    </row>
    <row r="148" spans="1:36">
      <c r="A148" s="2" t="s">
        <v>26</v>
      </c>
      <c r="B148" s="2">
        <v>288</v>
      </c>
      <c r="C148" s="2" t="s">
        <v>2178</v>
      </c>
      <c r="D148" s="2" t="s">
        <v>2179</v>
      </c>
      <c r="E148" s="4" t="s">
        <v>1347</v>
      </c>
      <c r="F148" s="2" t="s">
        <v>2416</v>
      </c>
      <c r="G148" s="2" t="s">
        <v>2417</v>
      </c>
      <c r="H148" s="2" t="s">
        <v>342</v>
      </c>
      <c r="I148" s="2" t="s">
        <v>990</v>
      </c>
      <c r="J148" s="2" t="s">
        <v>31</v>
      </c>
      <c r="K148" s="2" t="s">
        <v>31</v>
      </c>
      <c r="L148" s="2" t="s">
        <v>348</v>
      </c>
      <c r="M148" s="2" t="s">
        <v>40</v>
      </c>
      <c r="N148" s="2" t="s">
        <v>465</v>
      </c>
      <c r="O148" s="2" t="s">
        <v>163</v>
      </c>
      <c r="P148" s="2" t="s">
        <v>2182</v>
      </c>
      <c r="Q148" s="2" t="s">
        <v>437</v>
      </c>
      <c r="R148" s="2" t="s">
        <v>428</v>
      </c>
      <c r="S148" s="2" t="s">
        <v>35</v>
      </c>
      <c r="T148" s="152">
        <v>2.633</v>
      </c>
      <c r="U148" s="2" t="s">
        <v>2418</v>
      </c>
      <c r="V148" s="163">
        <v>4.1000000000000002E-2</v>
      </c>
      <c r="W148" s="165">
        <v>4.7730000000000002E-2</v>
      </c>
      <c r="X148" s="4" t="s">
        <v>434</v>
      </c>
      <c r="Y148" s="4" t="s">
        <v>163</v>
      </c>
      <c r="Z148" s="152">
        <v>2701785</v>
      </c>
      <c r="AA148" s="152">
        <v>1</v>
      </c>
      <c r="AB148" s="152">
        <v>99.32</v>
      </c>
      <c r="AD148" s="152">
        <v>2683.413</v>
      </c>
      <c r="AG148" s="2" t="s">
        <v>37</v>
      </c>
      <c r="AH148" s="165">
        <v>3.7880000000000001E-3</v>
      </c>
      <c r="AI148" s="165">
        <v>6.4814290212302202E-3</v>
      </c>
      <c r="AJ148" s="165">
        <v>1.1206765873091099E-3</v>
      </c>
    </row>
    <row r="149" spans="1:36">
      <c r="A149" s="2" t="s">
        <v>26</v>
      </c>
      <c r="B149" s="2">
        <v>288</v>
      </c>
      <c r="C149" s="2" t="s">
        <v>2191</v>
      </c>
      <c r="D149" s="2" t="s">
        <v>2192</v>
      </c>
      <c r="E149" s="4" t="s">
        <v>1347</v>
      </c>
      <c r="F149" s="2" t="s">
        <v>2193</v>
      </c>
      <c r="G149" s="2" t="s">
        <v>2194</v>
      </c>
      <c r="H149" s="2" t="s">
        <v>342</v>
      </c>
      <c r="I149" s="2" t="s">
        <v>777</v>
      </c>
      <c r="J149" s="2" t="s">
        <v>31</v>
      </c>
      <c r="K149" s="2" t="s">
        <v>31</v>
      </c>
      <c r="L149" s="2" t="s">
        <v>348</v>
      </c>
      <c r="M149" s="2" t="s">
        <v>40</v>
      </c>
      <c r="N149" s="2" t="s">
        <v>468</v>
      </c>
      <c r="O149" s="2" t="s">
        <v>163</v>
      </c>
      <c r="P149" s="2" t="s">
        <v>128</v>
      </c>
      <c r="Q149" s="2" t="s">
        <v>437</v>
      </c>
      <c r="R149" s="2" t="s">
        <v>428</v>
      </c>
      <c r="S149" s="2" t="s">
        <v>35</v>
      </c>
      <c r="T149" s="152">
        <v>3.4209999999999998</v>
      </c>
      <c r="U149" s="2" t="s">
        <v>2195</v>
      </c>
      <c r="V149" s="163">
        <v>1.2200000000000001E-2</v>
      </c>
      <c r="W149" s="165">
        <v>1.7999999999999999E-2</v>
      </c>
      <c r="X149" s="4" t="s">
        <v>434</v>
      </c>
      <c r="Y149" s="4" t="s">
        <v>163</v>
      </c>
      <c r="Z149" s="152">
        <v>2500000</v>
      </c>
      <c r="AA149" s="152">
        <v>1</v>
      </c>
      <c r="AB149" s="152">
        <v>111.35</v>
      </c>
      <c r="AD149" s="152">
        <v>2783.75</v>
      </c>
      <c r="AG149" s="2" t="s">
        <v>37</v>
      </c>
      <c r="AH149" s="165">
        <v>8.2899999999999998E-4</v>
      </c>
      <c r="AI149" s="165">
        <v>6.7237801135088997E-3</v>
      </c>
      <c r="AJ149" s="165">
        <v>1.16258049370627E-3</v>
      </c>
    </row>
    <row r="150" spans="1:36">
      <c r="A150" s="2" t="s">
        <v>26</v>
      </c>
      <c r="B150" s="2">
        <v>288</v>
      </c>
      <c r="C150" s="2" t="s">
        <v>2191</v>
      </c>
      <c r="D150" s="2" t="s">
        <v>2192</v>
      </c>
      <c r="E150" s="4" t="s">
        <v>1347</v>
      </c>
      <c r="F150" s="2" t="s">
        <v>2213</v>
      </c>
      <c r="G150" s="2" t="s">
        <v>2214</v>
      </c>
      <c r="H150" s="2" t="s">
        <v>342</v>
      </c>
      <c r="I150" s="2" t="s">
        <v>990</v>
      </c>
      <c r="J150" s="2" t="s">
        <v>31</v>
      </c>
      <c r="K150" s="2" t="s">
        <v>31</v>
      </c>
      <c r="L150" s="2" t="s">
        <v>348</v>
      </c>
      <c r="M150" s="2" t="s">
        <v>40</v>
      </c>
      <c r="N150" s="2" t="s">
        <v>468</v>
      </c>
      <c r="O150" s="2" t="s">
        <v>163</v>
      </c>
      <c r="P150" s="2" t="s">
        <v>128</v>
      </c>
      <c r="Q150" s="2" t="s">
        <v>437</v>
      </c>
      <c r="R150" s="2" t="s">
        <v>428</v>
      </c>
      <c r="S150" s="2" t="s">
        <v>35</v>
      </c>
      <c r="T150" s="152">
        <v>1.157</v>
      </c>
      <c r="U150" s="2" t="s">
        <v>1350</v>
      </c>
      <c r="V150" s="163">
        <v>2.98E-2</v>
      </c>
      <c r="W150" s="165">
        <v>4.4519999999999997E-2</v>
      </c>
      <c r="X150" s="4" t="s">
        <v>434</v>
      </c>
      <c r="Y150" s="4" t="s">
        <v>163</v>
      </c>
      <c r="Z150" s="152">
        <v>2719084</v>
      </c>
      <c r="AA150" s="152">
        <v>1</v>
      </c>
      <c r="AB150" s="152">
        <v>100.79</v>
      </c>
      <c r="AD150" s="152">
        <v>2740.5650000000001</v>
      </c>
      <c r="AG150" s="2" t="s">
        <v>37</v>
      </c>
      <c r="AH150" s="165">
        <v>2.062E-3</v>
      </c>
      <c r="AI150" s="165">
        <v>6.6194718840689396E-3</v>
      </c>
      <c r="AJ150" s="165">
        <v>1.1445449971800999E-3</v>
      </c>
    </row>
    <row r="151" spans="1:36">
      <c r="A151" s="2" t="s">
        <v>26</v>
      </c>
      <c r="B151" s="2">
        <v>288</v>
      </c>
      <c r="C151" s="2" t="s">
        <v>2191</v>
      </c>
      <c r="D151" s="2" t="s">
        <v>2192</v>
      </c>
      <c r="E151" s="4" t="s">
        <v>1347</v>
      </c>
      <c r="F151" s="2" t="s">
        <v>2215</v>
      </c>
      <c r="G151" s="2" t="s">
        <v>2216</v>
      </c>
      <c r="H151" s="2" t="s">
        <v>342</v>
      </c>
      <c r="I151" s="2" t="s">
        <v>777</v>
      </c>
      <c r="J151" s="2" t="s">
        <v>31</v>
      </c>
      <c r="K151" s="2" t="s">
        <v>31</v>
      </c>
      <c r="L151" s="2" t="s">
        <v>348</v>
      </c>
      <c r="M151" s="2" t="s">
        <v>40</v>
      </c>
      <c r="N151" s="2" t="s">
        <v>468</v>
      </c>
      <c r="O151" s="2" t="s">
        <v>163</v>
      </c>
      <c r="P151" s="2" t="s">
        <v>128</v>
      </c>
      <c r="Q151" s="2" t="s">
        <v>437</v>
      </c>
      <c r="R151" s="2" t="s">
        <v>428</v>
      </c>
      <c r="S151" s="2" t="s">
        <v>35</v>
      </c>
      <c r="T151" s="152">
        <v>4.01</v>
      </c>
      <c r="U151" s="2" t="s">
        <v>2217</v>
      </c>
      <c r="V151" s="163">
        <v>1.6400000000000001E-2</v>
      </c>
      <c r="W151" s="165">
        <v>1.9640000000000001E-2</v>
      </c>
      <c r="X151" s="4" t="s">
        <v>434</v>
      </c>
      <c r="Y151" s="4" t="s">
        <v>163</v>
      </c>
      <c r="Z151" s="152">
        <v>888900</v>
      </c>
      <c r="AA151" s="152">
        <v>1</v>
      </c>
      <c r="AB151" s="152">
        <v>102.94</v>
      </c>
      <c r="AD151" s="152">
        <v>915.03399999999999</v>
      </c>
      <c r="AG151" s="2" t="s">
        <v>37</v>
      </c>
      <c r="AH151" s="165">
        <v>7.3499999999999998E-4</v>
      </c>
      <c r="AI151" s="165">
        <v>2.2101428383652501E-3</v>
      </c>
      <c r="AJ151" s="165">
        <v>3.82146487364403E-4</v>
      </c>
    </row>
    <row r="152" spans="1:36">
      <c r="A152" s="2" t="s">
        <v>26</v>
      </c>
      <c r="B152" s="2">
        <v>288</v>
      </c>
      <c r="C152" s="2" t="s">
        <v>2191</v>
      </c>
      <c r="D152" s="2" t="s">
        <v>2192</v>
      </c>
      <c r="E152" s="4" t="s">
        <v>1347</v>
      </c>
      <c r="F152" s="2" t="s">
        <v>2221</v>
      </c>
      <c r="G152" s="2" t="s">
        <v>2222</v>
      </c>
      <c r="H152" s="2" t="s">
        <v>342</v>
      </c>
      <c r="I152" s="2" t="s">
        <v>777</v>
      </c>
      <c r="J152" s="2" t="s">
        <v>31</v>
      </c>
      <c r="K152" s="2" t="s">
        <v>31</v>
      </c>
      <c r="L152" s="2" t="s">
        <v>348</v>
      </c>
      <c r="M152" s="2" t="s">
        <v>40</v>
      </c>
      <c r="N152" s="2" t="s">
        <v>468</v>
      </c>
      <c r="O152" s="2" t="s">
        <v>163</v>
      </c>
      <c r="P152" s="2" t="s">
        <v>128</v>
      </c>
      <c r="Q152" s="2" t="s">
        <v>437</v>
      </c>
      <c r="R152" s="2" t="s">
        <v>428</v>
      </c>
      <c r="S152" s="2" t="s">
        <v>35</v>
      </c>
      <c r="T152" s="152">
        <v>2.2160000000000002</v>
      </c>
      <c r="U152" s="2" t="s">
        <v>2223</v>
      </c>
      <c r="V152" s="163">
        <v>3.8E-3</v>
      </c>
      <c r="W152" s="165">
        <v>1.7170000000000001E-2</v>
      </c>
      <c r="X152" s="4" t="s">
        <v>434</v>
      </c>
      <c r="Y152" s="4" t="s">
        <v>163</v>
      </c>
      <c r="Z152" s="152">
        <v>2000000</v>
      </c>
      <c r="AA152" s="152">
        <v>1</v>
      </c>
      <c r="AB152" s="152">
        <v>107.22</v>
      </c>
      <c r="AD152" s="152">
        <v>2144.4</v>
      </c>
      <c r="AG152" s="2" t="s">
        <v>37</v>
      </c>
      <c r="AH152" s="165">
        <v>6.6699999999999995E-4</v>
      </c>
      <c r="AI152" s="165">
        <v>5.1795147105194398E-3</v>
      </c>
      <c r="AJ152" s="165">
        <v>8.9556806850605599E-4</v>
      </c>
    </row>
    <row r="153" spans="1:36">
      <c r="A153" s="2" t="s">
        <v>26</v>
      </c>
      <c r="B153" s="2">
        <v>288</v>
      </c>
      <c r="C153" s="2" t="s">
        <v>2191</v>
      </c>
      <c r="D153" s="2" t="s">
        <v>2192</v>
      </c>
      <c r="E153" s="4" t="s">
        <v>1347</v>
      </c>
      <c r="F153" s="2" t="s">
        <v>2419</v>
      </c>
      <c r="G153" s="2" t="s">
        <v>2420</v>
      </c>
      <c r="H153" s="2" t="s">
        <v>342</v>
      </c>
      <c r="I153" s="2" t="s">
        <v>777</v>
      </c>
      <c r="J153" s="2" t="s">
        <v>31</v>
      </c>
      <c r="K153" s="2" t="s">
        <v>31</v>
      </c>
      <c r="L153" s="2" t="s">
        <v>348</v>
      </c>
      <c r="M153" s="2" t="s">
        <v>40</v>
      </c>
      <c r="N153" s="2" t="s">
        <v>468</v>
      </c>
      <c r="O153" s="2" t="s">
        <v>163</v>
      </c>
      <c r="P153" s="2" t="s">
        <v>128</v>
      </c>
      <c r="Q153" s="2" t="s">
        <v>437</v>
      </c>
      <c r="R153" s="2" t="s">
        <v>428</v>
      </c>
      <c r="S153" s="2" t="s">
        <v>35</v>
      </c>
      <c r="T153" s="152">
        <v>3.4350000000000001</v>
      </c>
      <c r="U153" s="2" t="s">
        <v>2421</v>
      </c>
      <c r="V153" s="163">
        <v>1E-3</v>
      </c>
      <c r="W153" s="165">
        <v>1.8790000000000001E-2</v>
      </c>
      <c r="X153" s="4" t="s">
        <v>434</v>
      </c>
      <c r="Y153" s="4" t="s">
        <v>163</v>
      </c>
      <c r="Z153" s="152">
        <v>1947889.24</v>
      </c>
      <c r="AA153" s="152">
        <v>1</v>
      </c>
      <c r="AB153" s="152">
        <v>101.54</v>
      </c>
      <c r="AD153" s="152">
        <v>1977.8869999999999</v>
      </c>
      <c r="AG153" s="2" t="s">
        <v>37</v>
      </c>
      <c r="AH153" s="165">
        <v>1.874E-3</v>
      </c>
      <c r="AI153" s="165">
        <v>4.7773239302496698E-3</v>
      </c>
      <c r="AJ153" s="165">
        <v>8.2602695502574999E-4</v>
      </c>
    </row>
    <row r="154" spans="1:36">
      <c r="A154" s="2" t="s">
        <v>26</v>
      </c>
      <c r="B154" s="2">
        <v>288</v>
      </c>
      <c r="C154" s="2" t="s">
        <v>2224</v>
      </c>
      <c r="D154" s="2" t="s">
        <v>2225</v>
      </c>
      <c r="E154" s="4" t="s">
        <v>1347</v>
      </c>
      <c r="F154" s="2" t="s">
        <v>2422</v>
      </c>
      <c r="G154" s="2" t="s">
        <v>2229</v>
      </c>
      <c r="H154" s="2" t="s">
        <v>342</v>
      </c>
      <c r="I154" s="2" t="s">
        <v>777</v>
      </c>
      <c r="J154" s="2" t="s">
        <v>31</v>
      </c>
      <c r="K154" s="2" t="s">
        <v>31</v>
      </c>
      <c r="L154" s="2" t="s">
        <v>348</v>
      </c>
      <c r="M154" s="2" t="s">
        <v>40</v>
      </c>
      <c r="N154" s="2" t="s">
        <v>463</v>
      </c>
      <c r="O154" s="2" t="s">
        <v>163</v>
      </c>
      <c r="P154" s="2" t="s">
        <v>2182</v>
      </c>
      <c r="Q154" s="2" t="s">
        <v>437</v>
      </c>
      <c r="R154" s="2" t="s">
        <v>428</v>
      </c>
      <c r="S154" s="2" t="s">
        <v>35</v>
      </c>
      <c r="T154" s="152">
        <v>2.129</v>
      </c>
      <c r="U154" s="2" t="s">
        <v>110</v>
      </c>
      <c r="V154" s="163">
        <v>3.5400000000000001E-2</v>
      </c>
      <c r="W154" s="165">
        <v>3.2099999999999997E-2</v>
      </c>
      <c r="X154" s="4" t="s">
        <v>434</v>
      </c>
      <c r="Y154" s="4" t="s">
        <v>163</v>
      </c>
      <c r="Z154" s="152">
        <v>3000000</v>
      </c>
      <c r="AA154" s="152">
        <v>1</v>
      </c>
      <c r="AB154" s="152">
        <v>104.17</v>
      </c>
      <c r="AD154" s="152">
        <v>3125.1</v>
      </c>
      <c r="AG154" s="2" t="s">
        <v>37</v>
      </c>
      <c r="AH154" s="165">
        <v>4.3670000000000002E-3</v>
      </c>
      <c r="AI154" s="165">
        <v>7.5482659120706501E-3</v>
      </c>
      <c r="AJ154" s="165">
        <v>1.3051388597688301E-3</v>
      </c>
    </row>
    <row r="155" spans="1:36">
      <c r="A155" s="2" t="s">
        <v>26</v>
      </c>
      <c r="B155" s="2">
        <v>288</v>
      </c>
      <c r="C155" s="2" t="s">
        <v>1679</v>
      </c>
      <c r="D155" s="2" t="s">
        <v>1680</v>
      </c>
      <c r="E155" s="4" t="s">
        <v>1347</v>
      </c>
      <c r="F155" s="2" t="s">
        <v>2239</v>
      </c>
      <c r="G155" s="2" t="s">
        <v>2240</v>
      </c>
      <c r="H155" s="2" t="s">
        <v>342</v>
      </c>
      <c r="I155" s="2" t="s">
        <v>777</v>
      </c>
      <c r="J155" s="2" t="s">
        <v>31</v>
      </c>
      <c r="K155" s="2" t="s">
        <v>31</v>
      </c>
      <c r="L155" s="2" t="s">
        <v>348</v>
      </c>
      <c r="M155" s="2" t="s">
        <v>40</v>
      </c>
      <c r="N155" s="2" t="s">
        <v>484</v>
      </c>
      <c r="O155" s="2" t="s">
        <v>163</v>
      </c>
      <c r="P155" s="2" t="s">
        <v>1991</v>
      </c>
      <c r="Q155" s="2" t="s">
        <v>435</v>
      </c>
      <c r="R155" s="2" t="s">
        <v>428</v>
      </c>
      <c r="S155" s="2" t="s">
        <v>35</v>
      </c>
      <c r="T155" s="152">
        <v>1.2430000000000001</v>
      </c>
      <c r="U155" s="2" t="s">
        <v>2241</v>
      </c>
      <c r="V155" s="163">
        <v>1.7600000000000001E-2</v>
      </c>
      <c r="W155" s="165">
        <v>1.3939999999999999E-2</v>
      </c>
      <c r="X155" s="4" t="s">
        <v>434</v>
      </c>
      <c r="Y155" s="4" t="s">
        <v>163</v>
      </c>
      <c r="Z155" s="152">
        <v>786162.04</v>
      </c>
      <c r="AA155" s="152">
        <v>1</v>
      </c>
      <c r="AB155" s="152">
        <v>114.03</v>
      </c>
      <c r="AC155" s="152">
        <v>627.83799999999997</v>
      </c>
      <c r="AD155" s="152">
        <v>1524.299</v>
      </c>
      <c r="AG155" s="2" t="s">
        <v>37</v>
      </c>
      <c r="AH155" s="165">
        <v>5.8900000000000001E-4</v>
      </c>
      <c r="AI155" s="165">
        <v>3.6817427807948502E-3</v>
      </c>
      <c r="AJ155" s="165">
        <v>6.3659463390188702E-4</v>
      </c>
    </row>
    <row r="156" spans="1:36">
      <c r="A156" s="2" t="s">
        <v>26</v>
      </c>
      <c r="B156" s="2">
        <v>288</v>
      </c>
      <c r="C156" s="2" t="s">
        <v>1679</v>
      </c>
      <c r="D156" s="2" t="s">
        <v>1680</v>
      </c>
      <c r="E156" s="4" t="s">
        <v>1347</v>
      </c>
      <c r="F156" s="2" t="s">
        <v>2423</v>
      </c>
      <c r="G156" s="2" t="s">
        <v>2424</v>
      </c>
      <c r="H156" s="2" t="s">
        <v>342</v>
      </c>
      <c r="I156" s="2" t="s">
        <v>777</v>
      </c>
      <c r="J156" s="2" t="s">
        <v>31</v>
      </c>
      <c r="K156" s="2" t="s">
        <v>31</v>
      </c>
      <c r="L156" s="2" t="s">
        <v>348</v>
      </c>
      <c r="M156" s="2" t="s">
        <v>40</v>
      </c>
      <c r="N156" s="2" t="s">
        <v>484</v>
      </c>
      <c r="O156" s="2" t="s">
        <v>163</v>
      </c>
      <c r="P156" s="2" t="s">
        <v>1991</v>
      </c>
      <c r="Q156" s="2" t="s">
        <v>435</v>
      </c>
      <c r="R156" s="2" t="s">
        <v>428</v>
      </c>
      <c r="S156" s="2" t="s">
        <v>35</v>
      </c>
      <c r="T156" s="152">
        <v>4.077</v>
      </c>
      <c r="U156" s="2" t="s">
        <v>2425</v>
      </c>
      <c r="V156" s="163">
        <v>2.2499999999999999E-2</v>
      </c>
      <c r="W156" s="165">
        <v>2.4230000000000002E-2</v>
      </c>
      <c r="X156" s="4" t="s">
        <v>434</v>
      </c>
      <c r="Y156" s="4" t="s">
        <v>163</v>
      </c>
      <c r="Z156" s="152">
        <v>1820024.29</v>
      </c>
      <c r="AA156" s="152">
        <v>1</v>
      </c>
      <c r="AB156" s="152">
        <v>112.68</v>
      </c>
      <c r="AD156" s="152">
        <v>2050.8029999999999</v>
      </c>
      <c r="AG156" s="2" t="s">
        <v>37</v>
      </c>
      <c r="AH156" s="165">
        <v>1.8320000000000001E-3</v>
      </c>
      <c r="AI156" s="165">
        <v>4.9534444241525902E-3</v>
      </c>
      <c r="AJ156" s="165">
        <v>8.5647920767185795E-4</v>
      </c>
    </row>
    <row r="157" spans="1:36">
      <c r="A157" s="2" t="s">
        <v>26</v>
      </c>
      <c r="B157" s="2">
        <v>288</v>
      </c>
      <c r="C157" s="2" t="s">
        <v>2426</v>
      </c>
      <c r="D157" s="2" t="s">
        <v>2427</v>
      </c>
      <c r="E157" s="4" t="s">
        <v>1347</v>
      </c>
      <c r="F157" s="2" t="s">
        <v>2428</v>
      </c>
      <c r="G157" s="2" t="s">
        <v>2429</v>
      </c>
      <c r="H157" s="2" t="s">
        <v>342</v>
      </c>
      <c r="I157" s="2" t="s">
        <v>777</v>
      </c>
      <c r="J157" s="2" t="s">
        <v>31</v>
      </c>
      <c r="K157" s="2" t="s">
        <v>31</v>
      </c>
      <c r="L157" s="2" t="s">
        <v>348</v>
      </c>
      <c r="M157" s="2" t="s">
        <v>40</v>
      </c>
      <c r="N157" s="2" t="s">
        <v>498</v>
      </c>
      <c r="O157" s="2" t="s">
        <v>163</v>
      </c>
      <c r="P157" s="2" t="s">
        <v>1202</v>
      </c>
      <c r="Q157" s="2" t="s">
        <v>435</v>
      </c>
      <c r="R157" s="2" t="s">
        <v>428</v>
      </c>
      <c r="S157" s="2" t="s">
        <v>35</v>
      </c>
      <c r="T157" s="152">
        <v>12.143000000000001</v>
      </c>
      <c r="U157" s="2" t="s">
        <v>2430</v>
      </c>
      <c r="V157" s="163">
        <v>2.07E-2</v>
      </c>
      <c r="W157" s="165">
        <v>2.7869999999999999E-2</v>
      </c>
      <c r="X157" s="4" t="s">
        <v>434</v>
      </c>
      <c r="Y157" s="4" t="s">
        <v>163</v>
      </c>
      <c r="Z157" s="152">
        <v>2675560.1</v>
      </c>
      <c r="AA157" s="152">
        <v>1</v>
      </c>
      <c r="AB157" s="152">
        <v>101.58</v>
      </c>
      <c r="AD157" s="152">
        <v>2717.8339999999998</v>
      </c>
      <c r="AG157" s="2" t="s">
        <v>37</v>
      </c>
      <c r="AH157" s="165">
        <v>5.8799999999999998E-4</v>
      </c>
      <c r="AI157" s="165">
        <v>6.5645686078151296E-3</v>
      </c>
      <c r="AJ157" s="165">
        <v>1.13505190297778E-3</v>
      </c>
    </row>
    <row r="158" spans="1:36">
      <c r="A158" s="2" t="s">
        <v>26</v>
      </c>
      <c r="B158" s="2">
        <v>288</v>
      </c>
      <c r="C158" s="2" t="s">
        <v>2248</v>
      </c>
      <c r="D158" s="2" t="s">
        <v>2249</v>
      </c>
      <c r="E158" s="4" t="s">
        <v>1347</v>
      </c>
      <c r="F158" s="2" t="s">
        <v>2250</v>
      </c>
      <c r="G158" s="2" t="s">
        <v>2251</v>
      </c>
      <c r="H158" s="2" t="s">
        <v>342</v>
      </c>
      <c r="I158" s="2" t="s">
        <v>777</v>
      </c>
      <c r="J158" s="2" t="s">
        <v>31</v>
      </c>
      <c r="K158" s="2" t="s">
        <v>31</v>
      </c>
      <c r="L158" s="2" t="s">
        <v>348</v>
      </c>
      <c r="M158" s="2" t="s">
        <v>40</v>
      </c>
      <c r="N158" s="2" t="s">
        <v>484</v>
      </c>
      <c r="O158" s="2" t="s">
        <v>163</v>
      </c>
      <c r="P158" s="2" t="s">
        <v>2098</v>
      </c>
      <c r="Q158" s="2" t="s">
        <v>435</v>
      </c>
      <c r="R158" s="2" t="s">
        <v>428</v>
      </c>
      <c r="S158" s="2" t="s">
        <v>35</v>
      </c>
      <c r="T158" s="152">
        <v>4.4139999999999997</v>
      </c>
      <c r="U158" s="2" t="s">
        <v>2252</v>
      </c>
      <c r="V158" s="163">
        <v>3.6200000000000003E-2</v>
      </c>
      <c r="W158" s="165">
        <v>3.5619999999999999E-2</v>
      </c>
      <c r="X158" s="4" t="s">
        <v>434</v>
      </c>
      <c r="Y158" s="4" t="s">
        <v>163</v>
      </c>
      <c r="Z158" s="152">
        <v>2793600</v>
      </c>
      <c r="AA158" s="152">
        <v>1</v>
      </c>
      <c r="AB158" s="152">
        <v>103.98</v>
      </c>
      <c r="AD158" s="152">
        <v>2904.7849999999999</v>
      </c>
      <c r="AG158" s="2" t="s">
        <v>37</v>
      </c>
      <c r="AH158" s="165">
        <v>1.572E-3</v>
      </c>
      <c r="AI158" s="165">
        <v>7.0161248314961396E-3</v>
      </c>
      <c r="AJ158" s="165">
        <v>1.2131285873132E-3</v>
      </c>
    </row>
    <row r="159" spans="1:36">
      <c r="A159" s="2" t="s">
        <v>26</v>
      </c>
      <c r="B159" s="2">
        <v>288</v>
      </c>
      <c r="C159" s="2" t="s">
        <v>1788</v>
      </c>
      <c r="D159" s="2" t="s">
        <v>1789</v>
      </c>
      <c r="E159" s="4" t="s">
        <v>1347</v>
      </c>
      <c r="F159" s="2" t="s">
        <v>2431</v>
      </c>
      <c r="G159" s="2" t="s">
        <v>2432</v>
      </c>
      <c r="H159" s="2" t="s">
        <v>342</v>
      </c>
      <c r="I159" s="2" t="s">
        <v>990</v>
      </c>
      <c r="J159" s="2" t="s">
        <v>31</v>
      </c>
      <c r="K159" s="2" t="s">
        <v>31</v>
      </c>
      <c r="L159" s="2" t="s">
        <v>348</v>
      </c>
      <c r="M159" s="2" t="s">
        <v>40</v>
      </c>
      <c r="N159" s="2" t="s">
        <v>505</v>
      </c>
      <c r="O159" s="2" t="s">
        <v>163</v>
      </c>
      <c r="P159" s="2" t="s">
        <v>1975</v>
      </c>
      <c r="Q159" s="2" t="s">
        <v>435</v>
      </c>
      <c r="R159" s="2" t="s">
        <v>428</v>
      </c>
      <c r="S159" s="2" t="s">
        <v>35</v>
      </c>
      <c r="T159" s="152">
        <v>2.3119999999999998</v>
      </c>
      <c r="U159" s="2" t="s">
        <v>2433</v>
      </c>
      <c r="V159" s="163">
        <v>2.5000000000000001E-2</v>
      </c>
      <c r="W159" s="165">
        <v>4.836E-2</v>
      </c>
      <c r="X159" s="4" t="s">
        <v>434</v>
      </c>
      <c r="Y159" s="4" t="s">
        <v>163</v>
      </c>
      <c r="Z159" s="152">
        <v>1750000</v>
      </c>
      <c r="AA159" s="152">
        <v>1</v>
      </c>
      <c r="AB159" s="152">
        <v>95.46</v>
      </c>
      <c r="AD159" s="152">
        <v>1670.55</v>
      </c>
      <c r="AG159" s="2" t="s">
        <v>37</v>
      </c>
      <c r="AH159" s="165">
        <v>1.5479999999999999E-3</v>
      </c>
      <c r="AI159" s="165">
        <v>4.0349926784453696E-3</v>
      </c>
      <c r="AJ159" s="165">
        <v>6.9767358554504301E-4</v>
      </c>
    </row>
    <row r="160" spans="1:36">
      <c r="A160" s="2" t="s">
        <v>26</v>
      </c>
      <c r="B160" s="2">
        <v>288</v>
      </c>
      <c r="C160" s="2" t="s">
        <v>1696</v>
      </c>
      <c r="D160" s="2" t="s">
        <v>1697</v>
      </c>
      <c r="E160" s="4" t="s">
        <v>1347</v>
      </c>
      <c r="F160" s="2" t="s">
        <v>2264</v>
      </c>
      <c r="G160" s="2" t="s">
        <v>2265</v>
      </c>
      <c r="H160" s="2" t="s">
        <v>342</v>
      </c>
      <c r="I160" s="2" t="s">
        <v>777</v>
      </c>
      <c r="J160" s="2" t="s">
        <v>31</v>
      </c>
      <c r="K160" s="2" t="s">
        <v>31</v>
      </c>
      <c r="L160" s="2" t="s">
        <v>348</v>
      </c>
      <c r="M160" s="2" t="s">
        <v>40</v>
      </c>
      <c r="N160" s="2" t="s">
        <v>484</v>
      </c>
      <c r="O160" s="2" t="s">
        <v>163</v>
      </c>
      <c r="P160" s="2" t="s">
        <v>2131</v>
      </c>
      <c r="Q160" s="2" t="s">
        <v>437</v>
      </c>
      <c r="R160" s="2" t="s">
        <v>428</v>
      </c>
      <c r="S160" s="2" t="s">
        <v>35</v>
      </c>
      <c r="T160" s="152">
        <v>3.1419999999999999</v>
      </c>
      <c r="U160" s="2" t="s">
        <v>2266</v>
      </c>
      <c r="V160" s="163">
        <v>1.34E-2</v>
      </c>
      <c r="W160" s="165">
        <v>2.206E-2</v>
      </c>
      <c r="X160" s="4" t="s">
        <v>434</v>
      </c>
      <c r="Y160" s="4" t="s">
        <v>163</v>
      </c>
      <c r="Z160" s="152">
        <v>2542429.27</v>
      </c>
      <c r="AA160" s="152">
        <v>1</v>
      </c>
      <c r="AB160" s="152">
        <v>110.26</v>
      </c>
      <c r="AD160" s="152">
        <v>2803.2829999999999</v>
      </c>
      <c r="AG160" s="2" t="s">
        <v>37</v>
      </c>
      <c r="AH160" s="165">
        <v>8.2200000000000003E-4</v>
      </c>
      <c r="AI160" s="165">
        <v>6.7709583167103703E-3</v>
      </c>
      <c r="AJ160" s="165">
        <v>1.1707378780710499E-3</v>
      </c>
    </row>
    <row r="161" spans="1:36">
      <c r="A161" s="2" t="s">
        <v>26</v>
      </c>
      <c r="B161" s="2">
        <v>288</v>
      </c>
      <c r="C161" s="2" t="s">
        <v>1696</v>
      </c>
      <c r="D161" s="2" t="s">
        <v>1697</v>
      </c>
      <c r="E161" s="4" t="s">
        <v>1347</v>
      </c>
      <c r="F161" s="2" t="s">
        <v>2267</v>
      </c>
      <c r="G161" s="2" t="s">
        <v>2268</v>
      </c>
      <c r="H161" s="2" t="s">
        <v>342</v>
      </c>
      <c r="I161" s="2" t="s">
        <v>777</v>
      </c>
      <c r="J161" s="2" t="s">
        <v>31</v>
      </c>
      <c r="K161" s="2" t="s">
        <v>31</v>
      </c>
      <c r="L161" s="2" t="s">
        <v>348</v>
      </c>
      <c r="M161" s="2" t="s">
        <v>40</v>
      </c>
      <c r="N161" s="2" t="s">
        <v>484</v>
      </c>
      <c r="O161" s="2" t="s">
        <v>163</v>
      </c>
      <c r="P161" s="2" t="s">
        <v>2131</v>
      </c>
      <c r="Q161" s="2" t="s">
        <v>437</v>
      </c>
      <c r="R161" s="2" t="s">
        <v>428</v>
      </c>
      <c r="S161" s="2" t="s">
        <v>35</v>
      </c>
      <c r="T161" s="152">
        <v>2.8639999999999999</v>
      </c>
      <c r="U161" s="2" t="s">
        <v>2126</v>
      </c>
      <c r="V161" s="163">
        <v>1.77E-2</v>
      </c>
      <c r="W161" s="165">
        <v>2.0539999999999999E-2</v>
      </c>
      <c r="X161" s="4" t="s">
        <v>434</v>
      </c>
      <c r="Y161" s="4" t="s">
        <v>163</v>
      </c>
      <c r="Z161" s="152">
        <v>2376600</v>
      </c>
      <c r="AA161" s="152">
        <v>1</v>
      </c>
      <c r="AB161" s="152">
        <v>111.11</v>
      </c>
      <c r="AD161" s="152">
        <v>2640.64</v>
      </c>
      <c r="AG161" s="2" t="s">
        <v>37</v>
      </c>
      <c r="AH161" s="165">
        <v>8.6200000000000003E-4</v>
      </c>
      <c r="AI161" s="165">
        <v>6.3781174556332204E-3</v>
      </c>
      <c r="AJ161" s="165">
        <v>1.1028134197293099E-3</v>
      </c>
    </row>
    <row r="162" spans="1:36">
      <c r="A162" s="2" t="s">
        <v>26</v>
      </c>
      <c r="B162" s="2">
        <v>288</v>
      </c>
      <c r="C162" s="2" t="s">
        <v>1696</v>
      </c>
      <c r="D162" s="2" t="s">
        <v>1697</v>
      </c>
      <c r="E162" s="4" t="s">
        <v>1347</v>
      </c>
      <c r="F162" s="2" t="s">
        <v>2434</v>
      </c>
      <c r="G162" s="2" t="s">
        <v>2435</v>
      </c>
      <c r="H162" s="2" t="s">
        <v>342</v>
      </c>
      <c r="I162" s="2" t="s">
        <v>777</v>
      </c>
      <c r="J162" s="2" t="s">
        <v>31</v>
      </c>
      <c r="K162" s="2" t="s">
        <v>31</v>
      </c>
      <c r="L162" s="2" t="s">
        <v>348</v>
      </c>
      <c r="M162" s="2" t="s">
        <v>40</v>
      </c>
      <c r="N162" s="2" t="s">
        <v>484</v>
      </c>
      <c r="O162" s="2" t="s">
        <v>163</v>
      </c>
      <c r="P162" s="2" t="s">
        <v>2131</v>
      </c>
      <c r="Q162" s="2" t="s">
        <v>437</v>
      </c>
      <c r="R162" s="2" t="s">
        <v>428</v>
      </c>
      <c r="S162" s="2" t="s">
        <v>35</v>
      </c>
      <c r="T162" s="152">
        <v>5.92</v>
      </c>
      <c r="U162" s="2" t="s">
        <v>2436</v>
      </c>
      <c r="V162" s="163">
        <v>2.4799999999999999E-2</v>
      </c>
      <c r="W162" s="165">
        <v>2.6780000000000002E-2</v>
      </c>
      <c r="X162" s="4" t="s">
        <v>434</v>
      </c>
      <c r="Y162" s="4" t="s">
        <v>163</v>
      </c>
      <c r="Z162" s="152">
        <v>3500000</v>
      </c>
      <c r="AA162" s="152">
        <v>1</v>
      </c>
      <c r="AB162" s="152">
        <v>110.79</v>
      </c>
      <c r="AD162" s="152">
        <v>3877.65</v>
      </c>
      <c r="AG162" s="2" t="s">
        <v>37</v>
      </c>
      <c r="AH162" s="165">
        <v>1.062E-3</v>
      </c>
      <c r="AI162" s="165">
        <v>9.3659509500306406E-3</v>
      </c>
      <c r="AJ162" s="165">
        <v>1.6194271221985201E-3</v>
      </c>
    </row>
    <row r="163" spans="1:36">
      <c r="A163" s="2" t="s">
        <v>26</v>
      </c>
      <c r="B163" s="2">
        <v>288</v>
      </c>
      <c r="C163" s="2" t="s">
        <v>1700</v>
      </c>
      <c r="D163" s="2" t="s">
        <v>1701</v>
      </c>
      <c r="E163" s="4" t="s">
        <v>1347</v>
      </c>
      <c r="F163" s="2" t="s">
        <v>2273</v>
      </c>
      <c r="G163" s="2" t="s">
        <v>2274</v>
      </c>
      <c r="H163" s="2" t="s">
        <v>342</v>
      </c>
      <c r="I163" s="2" t="s">
        <v>990</v>
      </c>
      <c r="J163" s="2" t="s">
        <v>31</v>
      </c>
      <c r="K163" s="2" t="s">
        <v>31</v>
      </c>
      <c r="L163" s="2" t="s">
        <v>348</v>
      </c>
      <c r="M163" s="2" t="s">
        <v>40</v>
      </c>
      <c r="N163" s="2" t="s">
        <v>468</v>
      </c>
      <c r="O163" s="2" t="s">
        <v>163</v>
      </c>
      <c r="P163" s="2" t="s">
        <v>128</v>
      </c>
      <c r="Q163" s="2" t="s">
        <v>437</v>
      </c>
      <c r="R163" s="2" t="s">
        <v>428</v>
      </c>
      <c r="S163" s="2" t="s">
        <v>35</v>
      </c>
      <c r="T163" s="152">
        <v>3.8450000000000002</v>
      </c>
      <c r="U163" s="2" t="s">
        <v>2275</v>
      </c>
      <c r="V163" s="163">
        <v>2.5000000000000001E-2</v>
      </c>
      <c r="W163" s="165">
        <v>4.514E-2</v>
      </c>
      <c r="X163" s="4" t="s">
        <v>434</v>
      </c>
      <c r="Y163" s="4" t="s">
        <v>163</v>
      </c>
      <c r="Z163" s="152">
        <v>6315555.5599999996</v>
      </c>
      <c r="AA163" s="152">
        <v>1</v>
      </c>
      <c r="AB163" s="152">
        <v>93.42</v>
      </c>
      <c r="AD163" s="152">
        <v>5899.9920000000002</v>
      </c>
      <c r="AG163" s="2" t="s">
        <v>37</v>
      </c>
      <c r="AH163" s="165">
        <v>2.1289999999999998E-3</v>
      </c>
      <c r="AI163" s="165">
        <v>1.42506507076349E-2</v>
      </c>
      <c r="AJ163" s="165">
        <v>2.46401997918279E-3</v>
      </c>
    </row>
    <row r="164" spans="1:36">
      <c r="A164" s="2" t="s">
        <v>26</v>
      </c>
      <c r="B164" s="2">
        <v>288</v>
      </c>
      <c r="C164" s="2" t="s">
        <v>1700</v>
      </c>
      <c r="D164" s="2" t="s">
        <v>1701</v>
      </c>
      <c r="E164" s="4" t="s">
        <v>1347</v>
      </c>
      <c r="F164" s="2" t="s">
        <v>2276</v>
      </c>
      <c r="G164" s="2" t="s">
        <v>2277</v>
      </c>
      <c r="H164" s="2" t="s">
        <v>342</v>
      </c>
      <c r="I164" s="2" t="s">
        <v>777</v>
      </c>
      <c r="J164" s="2" t="s">
        <v>31</v>
      </c>
      <c r="K164" s="2" t="s">
        <v>31</v>
      </c>
      <c r="L164" s="2" t="s">
        <v>348</v>
      </c>
      <c r="M164" s="2" t="s">
        <v>40</v>
      </c>
      <c r="N164" s="2" t="s">
        <v>468</v>
      </c>
      <c r="O164" s="2" t="s">
        <v>163</v>
      </c>
      <c r="P164" s="2" t="s">
        <v>128</v>
      </c>
      <c r="Q164" s="2" t="s">
        <v>437</v>
      </c>
      <c r="R164" s="2" t="s">
        <v>428</v>
      </c>
      <c r="S164" s="2" t="s">
        <v>35</v>
      </c>
      <c r="T164" s="152">
        <v>4.0890000000000004</v>
      </c>
      <c r="U164" s="2" t="s">
        <v>2275</v>
      </c>
      <c r="V164" s="163">
        <v>1E-3</v>
      </c>
      <c r="W164" s="165">
        <v>1.9650000000000001E-2</v>
      </c>
      <c r="X164" s="4" t="s">
        <v>434</v>
      </c>
      <c r="Y164" s="4" t="s">
        <v>163</v>
      </c>
      <c r="Z164" s="152">
        <v>1600000</v>
      </c>
      <c r="AA164" s="152">
        <v>1</v>
      </c>
      <c r="AB164" s="152">
        <v>101.03</v>
      </c>
      <c r="AD164" s="152">
        <v>1616.48</v>
      </c>
      <c r="AG164" s="2" t="s">
        <v>37</v>
      </c>
      <c r="AH164" s="165">
        <v>6.0599999999999998E-4</v>
      </c>
      <c r="AI164" s="165">
        <v>3.9043937414943398E-3</v>
      </c>
      <c r="AJ164" s="165">
        <v>6.7509227353976296E-4</v>
      </c>
    </row>
    <row r="165" spans="1:36">
      <c r="A165" s="2" t="s">
        <v>26</v>
      </c>
      <c r="B165" s="2">
        <v>288</v>
      </c>
      <c r="C165" s="2" t="s">
        <v>1700</v>
      </c>
      <c r="D165" s="2" t="s">
        <v>1701</v>
      </c>
      <c r="E165" s="4" t="s">
        <v>1347</v>
      </c>
      <c r="F165" s="2" t="s">
        <v>2278</v>
      </c>
      <c r="G165" s="2" t="s">
        <v>2279</v>
      </c>
      <c r="H165" s="2" t="s">
        <v>342</v>
      </c>
      <c r="I165" s="2" t="s">
        <v>777</v>
      </c>
      <c r="J165" s="2" t="s">
        <v>31</v>
      </c>
      <c r="K165" s="2" t="s">
        <v>31</v>
      </c>
      <c r="L165" s="2" t="s">
        <v>348</v>
      </c>
      <c r="M165" s="2" t="s">
        <v>40</v>
      </c>
      <c r="N165" s="2" t="s">
        <v>468</v>
      </c>
      <c r="O165" s="2" t="s">
        <v>163</v>
      </c>
      <c r="P165" s="2" t="s">
        <v>128</v>
      </c>
      <c r="Q165" s="2" t="s">
        <v>437</v>
      </c>
      <c r="R165" s="2" t="s">
        <v>428</v>
      </c>
      <c r="S165" s="2" t="s">
        <v>35</v>
      </c>
      <c r="T165" s="152">
        <v>4.4530000000000003</v>
      </c>
      <c r="U165" s="2" t="s">
        <v>2280</v>
      </c>
      <c r="V165" s="163">
        <v>1.3899999999999999E-2</v>
      </c>
      <c r="W165" s="165">
        <v>1.992E-2</v>
      </c>
      <c r="X165" s="4" t="s">
        <v>434</v>
      </c>
      <c r="Y165" s="4" t="s">
        <v>163</v>
      </c>
      <c r="Z165" s="152">
        <v>3146400</v>
      </c>
      <c r="AA165" s="152">
        <v>1</v>
      </c>
      <c r="AB165" s="152">
        <v>101.5</v>
      </c>
      <c r="AD165" s="152">
        <v>3193.596</v>
      </c>
      <c r="AG165" s="2" t="s">
        <v>37</v>
      </c>
      <c r="AH165" s="165">
        <v>1.748E-3</v>
      </c>
      <c r="AI165" s="165">
        <v>7.7137089449058199E-3</v>
      </c>
      <c r="AJ165" s="165">
        <v>1.33374491760337E-3</v>
      </c>
    </row>
    <row r="166" spans="1:36">
      <c r="A166" s="2" t="s">
        <v>26</v>
      </c>
      <c r="B166" s="2">
        <v>288</v>
      </c>
      <c r="C166" s="2" t="s">
        <v>2287</v>
      </c>
      <c r="D166" s="2" t="s">
        <v>2288</v>
      </c>
      <c r="E166" s="4" t="s">
        <v>1347</v>
      </c>
      <c r="F166" s="2" t="s">
        <v>2437</v>
      </c>
      <c r="G166" s="2" t="s">
        <v>2438</v>
      </c>
      <c r="H166" s="2" t="s">
        <v>342</v>
      </c>
      <c r="I166" s="2" t="s">
        <v>990</v>
      </c>
      <c r="J166" s="2" t="s">
        <v>31</v>
      </c>
      <c r="K166" s="2" t="s">
        <v>31</v>
      </c>
      <c r="L166" s="2" t="s">
        <v>348</v>
      </c>
      <c r="M166" s="2" t="s">
        <v>40</v>
      </c>
      <c r="N166" s="2" t="s">
        <v>460</v>
      </c>
      <c r="O166" s="2" t="s">
        <v>163</v>
      </c>
      <c r="P166" s="2" t="s">
        <v>1981</v>
      </c>
      <c r="Q166" s="2" t="s">
        <v>435</v>
      </c>
      <c r="R166" s="2" t="s">
        <v>428</v>
      </c>
      <c r="S166" s="2" t="s">
        <v>35</v>
      </c>
      <c r="T166" s="152">
        <v>4.2530000000000001</v>
      </c>
      <c r="U166" s="2" t="s">
        <v>58</v>
      </c>
      <c r="V166" s="163">
        <v>2.4299999999999999E-2</v>
      </c>
      <c r="W166" s="165">
        <v>5.0290000000000001E-2</v>
      </c>
      <c r="X166" s="4" t="s">
        <v>434</v>
      </c>
      <c r="Y166" s="4" t="s">
        <v>163</v>
      </c>
      <c r="Z166" s="152">
        <v>2000000</v>
      </c>
      <c r="AA166" s="152">
        <v>1</v>
      </c>
      <c r="AB166" s="152">
        <v>90.42</v>
      </c>
      <c r="AD166" s="152">
        <v>1808.4</v>
      </c>
      <c r="AG166" s="2" t="s">
        <v>37</v>
      </c>
      <c r="AH166" s="165">
        <v>1.366E-3</v>
      </c>
      <c r="AI166" s="165">
        <v>4.36795112968819E-3</v>
      </c>
      <c r="AJ166" s="165">
        <v>7.5524402867298604E-4</v>
      </c>
    </row>
    <row r="167" spans="1:36">
      <c r="A167" s="2" t="s">
        <v>26</v>
      </c>
      <c r="B167" s="2">
        <v>288</v>
      </c>
      <c r="C167" s="2" t="s">
        <v>2287</v>
      </c>
      <c r="D167" s="2" t="s">
        <v>2288</v>
      </c>
      <c r="E167" s="4" t="s">
        <v>1347</v>
      </c>
      <c r="F167" s="2" t="s">
        <v>2439</v>
      </c>
      <c r="G167" s="2" t="s">
        <v>2440</v>
      </c>
      <c r="H167" s="2" t="s">
        <v>342</v>
      </c>
      <c r="I167" s="2" t="s">
        <v>777</v>
      </c>
      <c r="J167" s="2" t="s">
        <v>31</v>
      </c>
      <c r="K167" s="2" t="s">
        <v>31</v>
      </c>
      <c r="L167" s="2" t="s">
        <v>348</v>
      </c>
      <c r="M167" s="2" t="s">
        <v>40</v>
      </c>
      <c r="N167" s="2" t="s">
        <v>460</v>
      </c>
      <c r="O167" s="2" t="s">
        <v>163</v>
      </c>
      <c r="P167" s="2" t="s">
        <v>1981</v>
      </c>
      <c r="Q167" s="2" t="s">
        <v>435</v>
      </c>
      <c r="R167" s="2" t="s">
        <v>428</v>
      </c>
      <c r="S167" s="2" t="s">
        <v>35</v>
      </c>
      <c r="T167" s="152">
        <v>3.5649999999999999</v>
      </c>
      <c r="U167" s="2" t="s">
        <v>2441</v>
      </c>
      <c r="V167" s="163">
        <v>1.23E-2</v>
      </c>
      <c r="W167" s="165">
        <v>2.2089999999999999E-2</v>
      </c>
      <c r="X167" s="4" t="s">
        <v>434</v>
      </c>
      <c r="Y167" s="4" t="s">
        <v>163</v>
      </c>
      <c r="Z167" s="152">
        <v>1265077.08</v>
      </c>
      <c r="AA167" s="152">
        <v>1</v>
      </c>
      <c r="AB167" s="152">
        <v>108.66</v>
      </c>
      <c r="AD167" s="152">
        <v>1374.633</v>
      </c>
      <c r="AG167" s="2" t="s">
        <v>37</v>
      </c>
      <c r="AH167" s="165">
        <v>9.9500000000000001E-4</v>
      </c>
      <c r="AI167" s="165">
        <v>3.3202436936893001E-3</v>
      </c>
      <c r="AJ167" s="165">
        <v>5.7408934966197598E-4</v>
      </c>
    </row>
    <row r="168" spans="1:36">
      <c r="A168" s="2" t="s">
        <v>26</v>
      </c>
      <c r="B168" s="2">
        <v>288</v>
      </c>
      <c r="C168" s="2" t="s">
        <v>2442</v>
      </c>
      <c r="D168" s="2" t="s">
        <v>2443</v>
      </c>
      <c r="E168" s="4" t="s">
        <v>1347</v>
      </c>
      <c r="F168" s="2" t="s">
        <v>2444</v>
      </c>
      <c r="G168" s="2" t="s">
        <v>2445</v>
      </c>
      <c r="H168" s="2" t="s">
        <v>342</v>
      </c>
      <c r="I168" s="2" t="s">
        <v>990</v>
      </c>
      <c r="J168" s="2" t="s">
        <v>31</v>
      </c>
      <c r="K168" s="2" t="s">
        <v>127</v>
      </c>
      <c r="L168" s="2" t="s">
        <v>348</v>
      </c>
      <c r="M168" s="2" t="s">
        <v>40</v>
      </c>
      <c r="N168" s="2" t="s">
        <v>485</v>
      </c>
      <c r="O168" s="2" t="s">
        <v>163</v>
      </c>
      <c r="P168" s="2" t="s">
        <v>1991</v>
      </c>
      <c r="Q168" s="2" t="s">
        <v>435</v>
      </c>
      <c r="R168" s="2" t="s">
        <v>428</v>
      </c>
      <c r="S168" s="2" t="s">
        <v>35</v>
      </c>
      <c r="T168" s="152">
        <v>2.048</v>
      </c>
      <c r="U168" s="2" t="s">
        <v>2110</v>
      </c>
      <c r="V168" s="163">
        <v>0.09</v>
      </c>
      <c r="W168" s="165">
        <v>6.2280000000000002E-2</v>
      </c>
      <c r="X168" s="4" t="s">
        <v>434</v>
      </c>
      <c r="Y168" s="4" t="s">
        <v>163</v>
      </c>
      <c r="Z168" s="152">
        <v>2500000</v>
      </c>
      <c r="AA168" s="152">
        <v>1</v>
      </c>
      <c r="AB168" s="152">
        <v>108.21</v>
      </c>
      <c r="AD168" s="152">
        <v>2705.25</v>
      </c>
      <c r="AG168" s="2" t="s">
        <v>37</v>
      </c>
      <c r="AH168" s="165">
        <v>7.8220000000000008E-3</v>
      </c>
      <c r="AI168" s="165">
        <v>6.5341737412016E-3</v>
      </c>
      <c r="AJ168" s="165">
        <v>1.1297964546381301E-3</v>
      </c>
    </row>
    <row r="169" spans="1:36">
      <c r="A169" s="2" t="s">
        <v>26</v>
      </c>
      <c r="B169" s="2">
        <v>288</v>
      </c>
      <c r="C169" s="2" t="s">
        <v>2446</v>
      </c>
      <c r="D169" s="2" t="s">
        <v>2447</v>
      </c>
      <c r="E169" s="4" t="s">
        <v>1347</v>
      </c>
      <c r="F169" s="2" t="s">
        <v>2448</v>
      </c>
      <c r="G169" s="2" t="s">
        <v>2449</v>
      </c>
      <c r="H169" s="2" t="s">
        <v>342</v>
      </c>
      <c r="I169" s="2" t="s">
        <v>777</v>
      </c>
      <c r="J169" s="2" t="s">
        <v>31</v>
      </c>
      <c r="K169" s="2" t="s">
        <v>31</v>
      </c>
      <c r="L169" s="2" t="s">
        <v>348</v>
      </c>
      <c r="M169" s="2" t="s">
        <v>40</v>
      </c>
      <c r="N169" s="2" t="s">
        <v>471</v>
      </c>
      <c r="O169" s="2" t="s">
        <v>163</v>
      </c>
      <c r="P169" s="2" t="s">
        <v>1975</v>
      </c>
      <c r="Q169" s="2" t="s">
        <v>435</v>
      </c>
      <c r="R169" s="2" t="s">
        <v>428</v>
      </c>
      <c r="S169" s="2" t="s">
        <v>35</v>
      </c>
      <c r="T169" s="152">
        <v>4.5060000000000002</v>
      </c>
      <c r="U169" s="2" t="s">
        <v>2450</v>
      </c>
      <c r="V169" s="163">
        <v>7.4999999999999997E-3</v>
      </c>
      <c r="W169" s="165">
        <v>3.1960000000000002E-2</v>
      </c>
      <c r="X169" s="4" t="s">
        <v>434</v>
      </c>
      <c r="Y169" s="4" t="s">
        <v>163</v>
      </c>
      <c r="Z169" s="152">
        <v>950000</v>
      </c>
      <c r="AA169" s="152">
        <v>1</v>
      </c>
      <c r="AB169" s="152">
        <v>97.89</v>
      </c>
      <c r="AD169" s="152">
        <v>929.95500000000004</v>
      </c>
      <c r="AG169" s="2" t="s">
        <v>37</v>
      </c>
      <c r="AH169" s="165">
        <v>1.462E-3</v>
      </c>
      <c r="AI169" s="165">
        <v>2.24618336253549E-3</v>
      </c>
      <c r="AJ169" s="165">
        <v>3.8837810256833998E-4</v>
      </c>
    </row>
    <row r="170" spans="1:36">
      <c r="A170" s="2" t="s">
        <v>26</v>
      </c>
      <c r="B170" s="2">
        <v>288</v>
      </c>
      <c r="C170" s="2" t="s">
        <v>2320</v>
      </c>
      <c r="D170" s="2" t="s">
        <v>2321</v>
      </c>
      <c r="E170" s="4" t="s">
        <v>1347</v>
      </c>
      <c r="F170" s="2" t="s">
        <v>2451</v>
      </c>
      <c r="G170" s="2" t="s">
        <v>2452</v>
      </c>
      <c r="H170" s="2" t="s">
        <v>342</v>
      </c>
      <c r="I170" s="2" t="s">
        <v>990</v>
      </c>
      <c r="J170" s="2" t="s">
        <v>31</v>
      </c>
      <c r="K170" s="2" t="s">
        <v>31</v>
      </c>
      <c r="L170" s="2" t="s">
        <v>348</v>
      </c>
      <c r="M170" s="2" t="s">
        <v>40</v>
      </c>
      <c r="N170" s="2" t="s">
        <v>496</v>
      </c>
      <c r="O170" s="2" t="s">
        <v>163</v>
      </c>
      <c r="P170" s="2" t="s">
        <v>1991</v>
      </c>
      <c r="Q170" s="2" t="s">
        <v>435</v>
      </c>
      <c r="R170" s="2" t="s">
        <v>428</v>
      </c>
      <c r="S170" s="2" t="s">
        <v>35</v>
      </c>
      <c r="T170" s="152">
        <v>3.7450000000000001</v>
      </c>
      <c r="U170" s="2" t="s">
        <v>2453</v>
      </c>
      <c r="V170" s="163">
        <v>3.5200000000000002E-2</v>
      </c>
      <c r="W170" s="165">
        <v>4.7660000000000001E-2</v>
      </c>
      <c r="X170" s="4" t="s">
        <v>434</v>
      </c>
      <c r="Y170" s="4" t="s">
        <v>163</v>
      </c>
      <c r="Z170" s="152">
        <v>2015246.96</v>
      </c>
      <c r="AA170" s="152">
        <v>1</v>
      </c>
      <c r="AB170" s="152">
        <v>96.09</v>
      </c>
      <c r="AD170" s="152">
        <v>1936.451</v>
      </c>
      <c r="AG170" s="2" t="s">
        <v>37</v>
      </c>
      <c r="AH170" s="165">
        <v>2.5079999999999998E-3</v>
      </c>
      <c r="AI170" s="165">
        <v>4.6772409181173201E-3</v>
      </c>
      <c r="AJ170" s="165">
        <v>8.0872202302438004E-4</v>
      </c>
    </row>
    <row r="171" spans="1:36">
      <c r="A171" s="2" t="s">
        <v>26</v>
      </c>
      <c r="B171" s="2">
        <v>288</v>
      </c>
      <c r="C171" s="2" t="s">
        <v>2454</v>
      </c>
      <c r="D171" s="2" t="s">
        <v>2455</v>
      </c>
      <c r="E171" s="4" t="s">
        <v>1347</v>
      </c>
      <c r="F171" s="2" t="s">
        <v>2456</v>
      </c>
      <c r="G171" s="2" t="s">
        <v>2457</v>
      </c>
      <c r="H171" s="2" t="s">
        <v>342</v>
      </c>
      <c r="I171" s="2" t="s">
        <v>990</v>
      </c>
      <c r="J171" s="2" t="s">
        <v>31</v>
      </c>
      <c r="K171" s="2" t="s">
        <v>31</v>
      </c>
      <c r="L171" s="2" t="s">
        <v>348</v>
      </c>
      <c r="M171" s="2" t="s">
        <v>40</v>
      </c>
      <c r="N171" s="2" t="s">
        <v>479</v>
      </c>
      <c r="O171" s="2" t="s">
        <v>163</v>
      </c>
      <c r="P171" s="2" t="s">
        <v>2131</v>
      </c>
      <c r="Q171" s="2" t="s">
        <v>437</v>
      </c>
      <c r="R171" s="2" t="s">
        <v>428</v>
      </c>
      <c r="S171" s="2" t="s">
        <v>35</v>
      </c>
      <c r="T171" s="152">
        <v>6.31</v>
      </c>
      <c r="U171" s="2" t="s">
        <v>2458</v>
      </c>
      <c r="V171" s="163">
        <v>1.9E-2</v>
      </c>
      <c r="W171" s="165">
        <v>4.9459999999999997E-2</v>
      </c>
      <c r="X171" s="4" t="s">
        <v>434</v>
      </c>
      <c r="Y171" s="4" t="s">
        <v>163</v>
      </c>
      <c r="Z171" s="152">
        <v>3419000</v>
      </c>
      <c r="AA171" s="152">
        <v>1</v>
      </c>
      <c r="AB171" s="152">
        <v>82.97</v>
      </c>
      <c r="AD171" s="152">
        <v>2836.7440000000001</v>
      </c>
      <c r="AG171" s="2" t="s">
        <v>37</v>
      </c>
      <c r="AH171" s="165">
        <v>3.1800000000000001E-3</v>
      </c>
      <c r="AI171" s="165">
        <v>6.85178083931737E-3</v>
      </c>
      <c r="AJ171" s="165">
        <v>1.1847125599685499E-3</v>
      </c>
    </row>
    <row r="172" spans="1:36">
      <c r="A172" s="2" t="s">
        <v>26</v>
      </c>
      <c r="B172" s="2">
        <v>288</v>
      </c>
      <c r="C172" s="2" t="s">
        <v>2459</v>
      </c>
      <c r="D172" s="2" t="s">
        <v>2460</v>
      </c>
      <c r="E172" s="4" t="s">
        <v>1347</v>
      </c>
      <c r="F172" s="2" t="s">
        <v>2461</v>
      </c>
      <c r="G172" s="2" t="s">
        <v>2462</v>
      </c>
      <c r="H172" s="2" t="s">
        <v>342</v>
      </c>
      <c r="I172" s="2" t="s">
        <v>990</v>
      </c>
      <c r="J172" s="2" t="s">
        <v>31</v>
      </c>
      <c r="K172" s="2" t="s">
        <v>31</v>
      </c>
      <c r="L172" s="2" t="s">
        <v>348</v>
      </c>
      <c r="M172" s="2" t="s">
        <v>40</v>
      </c>
      <c r="N172" s="2" t="s">
        <v>467</v>
      </c>
      <c r="O172" s="2" t="s">
        <v>163</v>
      </c>
      <c r="P172" s="2" t="s">
        <v>2098</v>
      </c>
      <c r="Q172" s="2" t="s">
        <v>437</v>
      </c>
      <c r="R172" s="2" t="s">
        <v>428</v>
      </c>
      <c r="S172" s="2" t="s">
        <v>35</v>
      </c>
      <c r="T172" s="152">
        <v>3.742</v>
      </c>
      <c r="U172" s="2" t="s">
        <v>2463</v>
      </c>
      <c r="V172" s="163">
        <v>2.8000000000000001E-2</v>
      </c>
      <c r="W172" s="165">
        <v>5.9920000000000001E-2</v>
      </c>
      <c r="X172" s="4" t="s">
        <v>434</v>
      </c>
      <c r="Y172" s="4" t="s">
        <v>163</v>
      </c>
      <c r="Z172" s="152">
        <v>1869528</v>
      </c>
      <c r="AA172" s="152">
        <v>1</v>
      </c>
      <c r="AB172" s="152">
        <v>90.21</v>
      </c>
      <c r="AD172" s="152">
        <v>1686.501</v>
      </c>
      <c r="AG172" s="2" t="s">
        <v>37</v>
      </c>
      <c r="AH172" s="165">
        <v>2.3999999999999998E-3</v>
      </c>
      <c r="AI172" s="165">
        <v>4.07352071455345E-3</v>
      </c>
      <c r="AJ172" s="165">
        <v>7.0433530595884295E-4</v>
      </c>
    </row>
    <row r="173" spans="1:36">
      <c r="A173" s="2" t="s">
        <v>26</v>
      </c>
      <c r="B173" s="2">
        <v>288</v>
      </c>
      <c r="C173" s="2" t="s">
        <v>2459</v>
      </c>
      <c r="D173" s="2" t="s">
        <v>2460</v>
      </c>
      <c r="E173" s="4" t="s">
        <v>1347</v>
      </c>
      <c r="F173" s="2" t="s">
        <v>2464</v>
      </c>
      <c r="G173" s="2" t="s">
        <v>2465</v>
      </c>
      <c r="H173" s="2" t="s">
        <v>342</v>
      </c>
      <c r="I173" s="2" t="s">
        <v>777</v>
      </c>
      <c r="J173" s="2" t="s">
        <v>31</v>
      </c>
      <c r="K173" s="2" t="s">
        <v>31</v>
      </c>
      <c r="L173" s="2" t="s">
        <v>348</v>
      </c>
      <c r="M173" s="2" t="s">
        <v>40</v>
      </c>
      <c r="N173" s="2" t="s">
        <v>467</v>
      </c>
      <c r="O173" s="2" t="s">
        <v>163</v>
      </c>
      <c r="P173" s="2" t="s">
        <v>2098</v>
      </c>
      <c r="Q173" s="2" t="s">
        <v>437</v>
      </c>
      <c r="R173" s="2" t="s">
        <v>428</v>
      </c>
      <c r="S173" s="2" t="s">
        <v>35</v>
      </c>
      <c r="T173" s="152">
        <v>3.1440000000000001</v>
      </c>
      <c r="U173" s="2" t="s">
        <v>2466</v>
      </c>
      <c r="V173" s="163">
        <v>3.9E-2</v>
      </c>
      <c r="W173" s="165">
        <v>3.5740000000000001E-2</v>
      </c>
      <c r="X173" s="4" t="s">
        <v>434</v>
      </c>
      <c r="Y173" s="4" t="s">
        <v>163</v>
      </c>
      <c r="Z173" s="152">
        <v>1305237.33</v>
      </c>
      <c r="AA173" s="152">
        <v>1</v>
      </c>
      <c r="AB173" s="152">
        <v>115.37</v>
      </c>
      <c r="AD173" s="152">
        <v>1505.8520000000001</v>
      </c>
      <c r="AG173" s="2" t="s">
        <v>37</v>
      </c>
      <c r="AH173" s="165">
        <v>8.8699999999999998E-4</v>
      </c>
      <c r="AI173" s="165">
        <v>3.6371871755235098E-3</v>
      </c>
      <c r="AJ173" s="165">
        <v>6.2889071189681299E-4</v>
      </c>
    </row>
    <row r="174" spans="1:36">
      <c r="A174" s="2" t="s">
        <v>26</v>
      </c>
      <c r="B174" s="2">
        <v>288</v>
      </c>
      <c r="C174" s="2" t="s">
        <v>2325</v>
      </c>
      <c r="D174" s="2" t="s">
        <v>2326</v>
      </c>
      <c r="E174" s="4" t="s">
        <v>1347</v>
      </c>
      <c r="F174" s="2" t="s">
        <v>2327</v>
      </c>
      <c r="G174" s="2" t="s">
        <v>2328</v>
      </c>
      <c r="H174" s="2" t="s">
        <v>342</v>
      </c>
      <c r="I174" s="2" t="s">
        <v>990</v>
      </c>
      <c r="J174" s="2" t="s">
        <v>31</v>
      </c>
      <c r="K174" s="2" t="s">
        <v>31</v>
      </c>
      <c r="L174" s="2" t="s">
        <v>348</v>
      </c>
      <c r="M174" s="2" t="s">
        <v>40</v>
      </c>
      <c r="N174" s="2" t="s">
        <v>460</v>
      </c>
      <c r="O174" s="2" t="s">
        <v>163</v>
      </c>
      <c r="P174" s="2" t="s">
        <v>1987</v>
      </c>
      <c r="Q174" s="2" t="s">
        <v>437</v>
      </c>
      <c r="R174" s="2" t="s">
        <v>428</v>
      </c>
      <c r="S174" s="2" t="s">
        <v>35</v>
      </c>
      <c r="T174" s="152">
        <v>4.556</v>
      </c>
      <c r="U174" s="2" t="s">
        <v>2329</v>
      </c>
      <c r="V174" s="163">
        <v>6.7699999999999996E-2</v>
      </c>
      <c r="W174" s="165">
        <v>5.8840000000000003E-2</v>
      </c>
      <c r="X174" s="4" t="s">
        <v>434</v>
      </c>
      <c r="Y174" s="4" t="s">
        <v>163</v>
      </c>
      <c r="Z174" s="152">
        <v>1000000</v>
      </c>
      <c r="AA174" s="152">
        <v>1</v>
      </c>
      <c r="AB174" s="152">
        <v>108.96</v>
      </c>
      <c r="AD174" s="152">
        <v>1089.5999999999999</v>
      </c>
      <c r="AG174" s="2" t="s">
        <v>37</v>
      </c>
      <c r="AH174" s="165">
        <v>0</v>
      </c>
      <c r="AI174" s="165">
        <v>2.6317847549813399E-3</v>
      </c>
      <c r="AJ174" s="165">
        <v>4.5505081488724002E-4</v>
      </c>
    </row>
    <row r="175" spans="1:36">
      <c r="A175" s="2" t="s">
        <v>26</v>
      </c>
      <c r="B175" s="2">
        <v>288</v>
      </c>
      <c r="C175" s="2" t="s">
        <v>1889</v>
      </c>
      <c r="D175" s="2" t="s">
        <v>1890</v>
      </c>
      <c r="E175" s="4" t="s">
        <v>335</v>
      </c>
      <c r="F175" s="2" t="s">
        <v>2467</v>
      </c>
      <c r="G175" s="2" t="s">
        <v>2468</v>
      </c>
      <c r="H175" s="2" t="s">
        <v>342</v>
      </c>
      <c r="I175" s="2" t="s">
        <v>778</v>
      </c>
      <c r="J175" s="2" t="s">
        <v>120</v>
      </c>
      <c r="K175" s="2" t="s">
        <v>127</v>
      </c>
      <c r="L175" s="2" t="s">
        <v>348</v>
      </c>
      <c r="M175" s="2" t="s">
        <v>121</v>
      </c>
      <c r="N175" s="2" t="s">
        <v>1823</v>
      </c>
      <c r="O175" s="2" t="s">
        <v>163</v>
      </c>
      <c r="P175" s="2" t="s">
        <v>2469</v>
      </c>
      <c r="Q175" s="2" t="s">
        <v>122</v>
      </c>
      <c r="R175" s="2" t="s">
        <v>428</v>
      </c>
      <c r="S175" s="2" t="s">
        <v>100</v>
      </c>
      <c r="T175" s="152">
        <v>1.73</v>
      </c>
      <c r="U175" s="2" t="s">
        <v>2470</v>
      </c>
      <c r="V175" s="163">
        <v>2.196E-2</v>
      </c>
      <c r="W175" s="165">
        <v>5.9720000000000002E-2</v>
      </c>
      <c r="X175" s="4" t="s">
        <v>434</v>
      </c>
      <c r="Y175" s="4" t="s">
        <v>163</v>
      </c>
      <c r="Z175" s="152">
        <v>955000</v>
      </c>
      <c r="AA175" s="152">
        <v>3.681</v>
      </c>
      <c r="AB175" s="152">
        <v>94.027000000000001</v>
      </c>
      <c r="AD175" s="152">
        <v>3317.2049999999999</v>
      </c>
      <c r="AG175" s="2" t="s">
        <v>37</v>
      </c>
      <c r="AH175" s="165">
        <v>1.74E-4</v>
      </c>
      <c r="AI175" s="165">
        <v>8.0122701063886203E-3</v>
      </c>
      <c r="AJ175" s="165">
        <v>1.3853678702666801E-3</v>
      </c>
    </row>
    <row r="176" spans="1:36">
      <c r="A176" s="2" t="s">
        <v>26</v>
      </c>
      <c r="B176" s="2">
        <v>288</v>
      </c>
      <c r="C176" s="2" t="s">
        <v>1740</v>
      </c>
      <c r="D176" s="2" t="s">
        <v>1741</v>
      </c>
      <c r="E176" s="4" t="s">
        <v>335</v>
      </c>
      <c r="F176" s="2" t="s">
        <v>2471</v>
      </c>
      <c r="G176" s="2" t="s">
        <v>2472</v>
      </c>
      <c r="H176" s="2" t="s">
        <v>342</v>
      </c>
      <c r="I176" s="2" t="s">
        <v>778</v>
      </c>
      <c r="J176" s="2" t="s">
        <v>120</v>
      </c>
      <c r="K176" s="2" t="s">
        <v>319</v>
      </c>
      <c r="L176" s="2" t="s">
        <v>348</v>
      </c>
      <c r="M176" s="2" t="s">
        <v>121</v>
      </c>
      <c r="N176" s="2" t="s">
        <v>507</v>
      </c>
      <c r="O176" s="2" t="s">
        <v>163</v>
      </c>
      <c r="P176" s="2" t="s">
        <v>2473</v>
      </c>
      <c r="Q176" s="2" t="s">
        <v>99</v>
      </c>
      <c r="R176" s="2" t="s">
        <v>428</v>
      </c>
      <c r="S176" s="2" t="s">
        <v>100</v>
      </c>
      <c r="T176" s="152">
        <v>2.62</v>
      </c>
      <c r="U176" s="2" t="s">
        <v>2474</v>
      </c>
      <c r="V176" s="163">
        <v>6.5000000000000002E-2</v>
      </c>
      <c r="W176" s="165">
        <v>8.48E-2</v>
      </c>
      <c r="X176" s="4" t="s">
        <v>434</v>
      </c>
      <c r="Y176" s="4" t="s">
        <v>163</v>
      </c>
      <c r="Z176" s="152">
        <v>750000</v>
      </c>
      <c r="AA176" s="152">
        <v>3.681</v>
      </c>
      <c r="AB176" s="152">
        <v>94.328999999999994</v>
      </c>
      <c r="AD176" s="152">
        <v>2678.9580000000001</v>
      </c>
      <c r="AG176" s="2" t="s">
        <v>37</v>
      </c>
      <c r="AH176" s="165">
        <v>1.6670000000000001E-3</v>
      </c>
      <c r="AI176" s="165">
        <v>6.4706693257677601E-3</v>
      </c>
      <c r="AJ176" s="165">
        <v>1.11881617369479E-3</v>
      </c>
    </row>
    <row r="177" spans="1:36">
      <c r="A177" s="2" t="s">
        <v>26</v>
      </c>
      <c r="B177" s="2">
        <v>288</v>
      </c>
      <c r="C177" s="2" t="s">
        <v>2475</v>
      </c>
      <c r="D177" s="2" t="s">
        <v>2476</v>
      </c>
      <c r="E177" s="4" t="s">
        <v>335</v>
      </c>
      <c r="F177" s="2" t="s">
        <v>2477</v>
      </c>
      <c r="G177" s="2" t="s">
        <v>2478</v>
      </c>
      <c r="H177" s="2" t="s">
        <v>342</v>
      </c>
      <c r="I177" s="2" t="s">
        <v>778</v>
      </c>
      <c r="J177" s="2" t="s">
        <v>120</v>
      </c>
      <c r="K177" s="2" t="s">
        <v>127</v>
      </c>
      <c r="L177" s="2" t="s">
        <v>348</v>
      </c>
      <c r="M177" s="2" t="s">
        <v>121</v>
      </c>
      <c r="N177" s="2" t="s">
        <v>533</v>
      </c>
      <c r="O177" s="2" t="s">
        <v>163</v>
      </c>
      <c r="P177" s="2" t="s">
        <v>1969</v>
      </c>
      <c r="Q177" s="2" t="s">
        <v>99</v>
      </c>
      <c r="R177" s="2" t="s">
        <v>428</v>
      </c>
      <c r="S177" s="2" t="s">
        <v>100</v>
      </c>
      <c r="T177" s="152">
        <v>0.96</v>
      </c>
      <c r="U177" s="2" t="s">
        <v>2479</v>
      </c>
      <c r="V177" s="163">
        <v>4.3499999999999997E-2</v>
      </c>
      <c r="W177" s="165">
        <v>5.6349999999999997E-2</v>
      </c>
      <c r="X177" s="4" t="s">
        <v>434</v>
      </c>
      <c r="Y177" s="4" t="s">
        <v>163</v>
      </c>
      <c r="Z177" s="152">
        <v>900000</v>
      </c>
      <c r="AA177" s="152">
        <v>3.681</v>
      </c>
      <c r="AB177" s="152">
        <v>98.778999999999996</v>
      </c>
      <c r="AC177" s="152">
        <v>19.574999999999999</v>
      </c>
      <c r="AD177" s="152">
        <v>3344.5219999999999</v>
      </c>
      <c r="AG177" s="2" t="s">
        <v>37</v>
      </c>
      <c r="AH177" s="165">
        <v>8.9999999999999998E-4</v>
      </c>
      <c r="AI177" s="165">
        <v>8.0782498530242598E-3</v>
      </c>
      <c r="AJ177" s="165">
        <v>1.3967761503001299E-3</v>
      </c>
    </row>
    <row r="178" spans="1:36">
      <c r="A178" s="2" t="s">
        <v>26</v>
      </c>
      <c r="B178" s="2">
        <v>288</v>
      </c>
      <c r="C178" s="2" t="s">
        <v>2480</v>
      </c>
      <c r="D178" s="2" t="s">
        <v>2481</v>
      </c>
      <c r="E178" s="4" t="s">
        <v>335</v>
      </c>
      <c r="F178" s="2" t="s">
        <v>2482</v>
      </c>
      <c r="G178" s="2" t="s">
        <v>2483</v>
      </c>
      <c r="H178" s="2" t="s">
        <v>342</v>
      </c>
      <c r="I178" s="2" t="s">
        <v>778</v>
      </c>
      <c r="J178" s="2" t="s">
        <v>120</v>
      </c>
      <c r="K178" s="2" t="s">
        <v>256</v>
      </c>
      <c r="L178" s="2" t="s">
        <v>348</v>
      </c>
      <c r="M178" s="2" t="s">
        <v>401</v>
      </c>
      <c r="N178" s="2" t="s">
        <v>571</v>
      </c>
      <c r="O178" s="2" t="s">
        <v>163</v>
      </c>
      <c r="P178" s="2" t="s">
        <v>2484</v>
      </c>
      <c r="Q178" s="2" t="s">
        <v>122</v>
      </c>
      <c r="R178" s="2" t="s">
        <v>428</v>
      </c>
      <c r="S178" s="2" t="s">
        <v>100</v>
      </c>
      <c r="T178" s="152">
        <v>0.23</v>
      </c>
      <c r="U178" s="2" t="s">
        <v>2485</v>
      </c>
      <c r="V178" s="163">
        <v>6.25E-2</v>
      </c>
      <c r="W178" s="165">
        <v>7.2309999999999999E-2</v>
      </c>
      <c r="X178" s="4" t="s">
        <v>434</v>
      </c>
      <c r="Y178" s="4" t="s">
        <v>163</v>
      </c>
      <c r="Z178" s="152">
        <v>201000</v>
      </c>
      <c r="AA178" s="152">
        <v>3.681</v>
      </c>
      <c r="AB178" s="152">
        <v>102.961</v>
      </c>
      <c r="AD178" s="152">
        <v>761.79</v>
      </c>
      <c r="AG178" s="2" t="s">
        <v>37</v>
      </c>
      <c r="AH178" s="165">
        <v>1.55E-4</v>
      </c>
      <c r="AI178" s="165">
        <v>1.8400038967192299E-3</v>
      </c>
      <c r="AJ178" s="165">
        <v>3.1814732227359498E-4</v>
      </c>
    </row>
    <row r="179" spans="1:36">
      <c r="A179" s="2" t="s">
        <v>26</v>
      </c>
      <c r="B179" s="2">
        <v>288</v>
      </c>
      <c r="C179" s="2" t="s">
        <v>2486</v>
      </c>
      <c r="D179" s="2" t="s">
        <v>2487</v>
      </c>
      <c r="E179" s="4" t="s">
        <v>335</v>
      </c>
      <c r="F179" s="2" t="s">
        <v>2488</v>
      </c>
      <c r="G179" s="2" t="s">
        <v>2489</v>
      </c>
      <c r="H179" s="2" t="s">
        <v>342</v>
      </c>
      <c r="I179" s="2" t="s">
        <v>778</v>
      </c>
      <c r="J179" s="2" t="s">
        <v>120</v>
      </c>
      <c r="K179" s="2" t="s">
        <v>127</v>
      </c>
      <c r="L179" s="2" t="s">
        <v>348</v>
      </c>
      <c r="M179" s="2" t="s">
        <v>121</v>
      </c>
      <c r="N179" s="2" t="s">
        <v>557</v>
      </c>
      <c r="O179" s="2" t="s">
        <v>163</v>
      </c>
      <c r="P179" s="2" t="s">
        <v>2102</v>
      </c>
      <c r="Q179" s="2" t="s">
        <v>122</v>
      </c>
      <c r="R179" s="2" t="s">
        <v>428</v>
      </c>
      <c r="S179" s="2" t="s">
        <v>100</v>
      </c>
      <c r="T179" s="152">
        <v>4.92</v>
      </c>
      <c r="U179" s="2" t="s">
        <v>2490</v>
      </c>
      <c r="V179" s="163">
        <v>2.8840000000000001E-2</v>
      </c>
      <c r="W179" s="165">
        <v>5.5550000000000002E-2</v>
      </c>
      <c r="X179" s="4" t="s">
        <v>434</v>
      </c>
      <c r="Y179" s="4" t="s">
        <v>163</v>
      </c>
      <c r="Z179" s="152">
        <v>300000</v>
      </c>
      <c r="AA179" s="152">
        <v>3.681</v>
      </c>
      <c r="AB179" s="152">
        <v>90.212000000000003</v>
      </c>
      <c r="AD179" s="152">
        <v>996.21400000000006</v>
      </c>
      <c r="AG179" s="2" t="s">
        <v>37</v>
      </c>
      <c r="AH179" s="165">
        <v>0</v>
      </c>
      <c r="AI179" s="165">
        <v>2.4062242535531002E-3</v>
      </c>
      <c r="AJ179" s="165">
        <v>4.1605009881917398E-4</v>
      </c>
    </row>
    <row r="180" spans="1:36">
      <c r="A180" s="2" t="s">
        <v>26</v>
      </c>
      <c r="B180" s="2">
        <v>288</v>
      </c>
      <c r="C180" s="2" t="s">
        <v>1636</v>
      </c>
      <c r="D180" s="2" t="s">
        <v>1637</v>
      </c>
      <c r="E180" s="4" t="s">
        <v>1347</v>
      </c>
      <c r="F180" s="2" t="s">
        <v>2491</v>
      </c>
      <c r="G180" s="2" t="s">
        <v>2492</v>
      </c>
      <c r="H180" s="2" t="s">
        <v>342</v>
      </c>
      <c r="I180" s="2" t="s">
        <v>778</v>
      </c>
      <c r="J180" s="2" t="s">
        <v>31</v>
      </c>
      <c r="K180" s="2" t="s">
        <v>31</v>
      </c>
      <c r="L180" s="2" t="s">
        <v>348</v>
      </c>
      <c r="M180" s="2" t="s">
        <v>40</v>
      </c>
      <c r="N180" s="2" t="s">
        <v>557</v>
      </c>
      <c r="O180" s="2" t="s">
        <v>163</v>
      </c>
      <c r="P180" s="2" t="s">
        <v>1987</v>
      </c>
      <c r="Q180" s="2" t="s">
        <v>122</v>
      </c>
      <c r="R180" s="2" t="s">
        <v>428</v>
      </c>
      <c r="S180" s="2" t="s">
        <v>100</v>
      </c>
      <c r="T180" s="152">
        <v>3.34</v>
      </c>
      <c r="U180" s="2" t="s">
        <v>2493</v>
      </c>
      <c r="V180" s="163">
        <v>5.3749999999999999E-2</v>
      </c>
      <c r="W180" s="165">
        <v>6.1490000000000003E-2</v>
      </c>
      <c r="X180" s="4" t="s">
        <v>434</v>
      </c>
      <c r="Y180" s="4" t="s">
        <v>163</v>
      </c>
      <c r="Z180" s="152">
        <v>400000</v>
      </c>
      <c r="AA180" s="152">
        <v>3.681</v>
      </c>
      <c r="AB180" s="152">
        <v>98.772000000000006</v>
      </c>
      <c r="AD180" s="152">
        <v>1454.3130000000001</v>
      </c>
      <c r="AG180" s="2" t="s">
        <v>37</v>
      </c>
      <c r="AH180" s="165">
        <v>0</v>
      </c>
      <c r="AI180" s="165">
        <v>3.51270088420678E-3</v>
      </c>
      <c r="AJ180" s="165">
        <v>6.0736631169700601E-4</v>
      </c>
    </row>
    <row r="181" spans="1:36">
      <c r="A181" s="2" t="s">
        <v>26</v>
      </c>
      <c r="B181" s="2">
        <v>288</v>
      </c>
      <c r="C181" s="2" t="s">
        <v>1920</v>
      </c>
      <c r="D181" s="2" t="s">
        <v>1921</v>
      </c>
      <c r="E181" s="4" t="s">
        <v>335</v>
      </c>
      <c r="F181" s="2" t="s">
        <v>2494</v>
      </c>
      <c r="G181" s="2" t="s">
        <v>2495</v>
      </c>
      <c r="H181" s="2" t="s">
        <v>342</v>
      </c>
      <c r="I181" s="2" t="s">
        <v>778</v>
      </c>
      <c r="J181" s="2" t="s">
        <v>120</v>
      </c>
      <c r="K181" s="2" t="s">
        <v>127</v>
      </c>
      <c r="L181" s="2" t="s">
        <v>348</v>
      </c>
      <c r="M181" s="2" t="s">
        <v>121</v>
      </c>
      <c r="N181" s="2" t="s">
        <v>1838</v>
      </c>
      <c r="O181" s="2" t="s">
        <v>163</v>
      </c>
      <c r="P181" s="2" t="s">
        <v>2102</v>
      </c>
      <c r="Q181" s="2" t="s">
        <v>122</v>
      </c>
      <c r="R181" s="2" t="s">
        <v>428</v>
      </c>
      <c r="S181" s="2" t="s">
        <v>100</v>
      </c>
      <c r="T181" s="152">
        <v>0</v>
      </c>
      <c r="U181" s="2" t="s">
        <v>2496</v>
      </c>
      <c r="V181" s="163">
        <v>4.4929999999999998E-2</v>
      </c>
      <c r="W181" s="165">
        <v>0</v>
      </c>
      <c r="X181" s="4" t="s">
        <v>434</v>
      </c>
      <c r="Y181" s="4" t="s">
        <v>163</v>
      </c>
      <c r="Z181" s="152">
        <v>300000</v>
      </c>
      <c r="AA181" s="152">
        <v>3.681</v>
      </c>
      <c r="AB181" s="152">
        <v>96.841999999999999</v>
      </c>
      <c r="AD181" s="152">
        <v>1069.431</v>
      </c>
      <c r="AG181" s="2" t="s">
        <v>37</v>
      </c>
      <c r="AH181" s="165">
        <v>0</v>
      </c>
      <c r="AI181" s="165">
        <v>2.5830682917106799E-3</v>
      </c>
      <c r="AJ181" s="165">
        <v>4.4662745645423E-4</v>
      </c>
    </row>
    <row r="182" spans="1:36">
      <c r="A182" s="2" t="s">
        <v>26</v>
      </c>
      <c r="B182" s="2">
        <v>288</v>
      </c>
      <c r="C182" s="2" t="s">
        <v>2497</v>
      </c>
      <c r="D182" s="2" t="s">
        <v>2498</v>
      </c>
      <c r="E182" s="4" t="s">
        <v>335</v>
      </c>
      <c r="F182" s="2" t="s">
        <v>2499</v>
      </c>
      <c r="G182" s="2" t="s">
        <v>2500</v>
      </c>
      <c r="H182" s="2" t="s">
        <v>342</v>
      </c>
      <c r="I182" s="2" t="s">
        <v>778</v>
      </c>
      <c r="J182" s="2" t="s">
        <v>120</v>
      </c>
      <c r="K182" s="2" t="s">
        <v>310</v>
      </c>
      <c r="L182" s="2" t="s">
        <v>348</v>
      </c>
      <c r="M182" s="2" t="s">
        <v>121</v>
      </c>
      <c r="N182" s="2" t="s">
        <v>1838</v>
      </c>
      <c r="O182" s="2" t="s">
        <v>163</v>
      </c>
      <c r="P182" s="2" t="s">
        <v>98</v>
      </c>
      <c r="Q182" s="2" t="s">
        <v>122</v>
      </c>
      <c r="R182" s="2" t="s">
        <v>428</v>
      </c>
      <c r="S182" s="2" t="s">
        <v>100</v>
      </c>
      <c r="T182" s="152">
        <v>0.39</v>
      </c>
      <c r="U182" s="2" t="s">
        <v>143</v>
      </c>
      <c r="V182" s="163">
        <v>4.2500000000000003E-2</v>
      </c>
      <c r="W182" s="165">
        <v>7.2489999999999999E-2</v>
      </c>
      <c r="X182" s="4" t="s">
        <v>434</v>
      </c>
      <c r="Y182" s="4" t="s">
        <v>163</v>
      </c>
      <c r="Z182" s="152">
        <v>400000</v>
      </c>
      <c r="AA182" s="152">
        <v>3.681</v>
      </c>
      <c r="AB182" s="152">
        <v>101.096</v>
      </c>
      <c r="AD182" s="152">
        <v>1488.53</v>
      </c>
      <c r="AG182" s="2" t="s">
        <v>37</v>
      </c>
      <c r="AH182" s="165">
        <v>0</v>
      </c>
      <c r="AI182" s="165">
        <v>3.5953477744546701E-3</v>
      </c>
      <c r="AJ182" s="165">
        <v>6.2165643731765697E-4</v>
      </c>
    </row>
    <row r="183" spans="1:36">
      <c r="A183" s="2" t="s">
        <v>26</v>
      </c>
      <c r="B183" s="2">
        <v>1451</v>
      </c>
      <c r="C183" s="2" t="s">
        <v>1971</v>
      </c>
      <c r="D183" s="2" t="s">
        <v>1972</v>
      </c>
      <c r="E183" s="4" t="s">
        <v>1347</v>
      </c>
      <c r="F183" s="2" t="s">
        <v>1973</v>
      </c>
      <c r="G183" s="2" t="s">
        <v>1974</v>
      </c>
      <c r="H183" s="2" t="s">
        <v>342</v>
      </c>
      <c r="I183" s="2" t="s">
        <v>778</v>
      </c>
      <c r="J183" s="2" t="s">
        <v>31</v>
      </c>
      <c r="K183" s="2" t="s">
        <v>31</v>
      </c>
      <c r="L183" s="2" t="s">
        <v>348</v>
      </c>
      <c r="M183" s="2" t="s">
        <v>40</v>
      </c>
      <c r="N183" s="2" t="s">
        <v>486</v>
      </c>
      <c r="O183" s="2" t="s">
        <v>163</v>
      </c>
      <c r="P183" s="2" t="s">
        <v>1975</v>
      </c>
      <c r="Q183" s="2" t="s">
        <v>435</v>
      </c>
      <c r="R183" s="2" t="s">
        <v>428</v>
      </c>
      <c r="S183" s="2" t="s">
        <v>35</v>
      </c>
      <c r="T183" s="152">
        <v>1.22</v>
      </c>
      <c r="U183" s="2" t="s">
        <v>1976</v>
      </c>
      <c r="V183" s="163">
        <v>3.9E-2</v>
      </c>
      <c r="W183" s="165">
        <v>6.6720000000000002E-2</v>
      </c>
      <c r="X183" s="4" t="s">
        <v>434</v>
      </c>
      <c r="Y183" s="4" t="s">
        <v>163</v>
      </c>
      <c r="Z183" s="152">
        <v>33200</v>
      </c>
      <c r="AA183" s="152">
        <v>1</v>
      </c>
      <c r="AB183" s="152">
        <v>98.69</v>
      </c>
      <c r="AD183" s="152">
        <v>32.765000000000001</v>
      </c>
      <c r="AG183" s="2" t="s">
        <v>37</v>
      </c>
      <c r="AH183" s="165">
        <v>2.81E-4</v>
      </c>
      <c r="AI183" s="165">
        <v>2.3765082986028602E-3</v>
      </c>
      <c r="AJ183" s="165">
        <v>5.7966252763424803E-4</v>
      </c>
    </row>
    <row r="184" spans="1:36">
      <c r="A184" s="2" t="s">
        <v>26</v>
      </c>
      <c r="B184" s="2">
        <v>1451</v>
      </c>
      <c r="C184" s="2" t="s">
        <v>1977</v>
      </c>
      <c r="D184" s="2" t="s">
        <v>1978</v>
      </c>
      <c r="E184" s="4" t="s">
        <v>1347</v>
      </c>
      <c r="F184" s="2" t="s">
        <v>1979</v>
      </c>
      <c r="G184" s="2" t="s">
        <v>1980</v>
      </c>
      <c r="H184" s="2" t="s">
        <v>342</v>
      </c>
      <c r="I184" s="2" t="s">
        <v>777</v>
      </c>
      <c r="J184" s="2" t="s">
        <v>31</v>
      </c>
      <c r="K184" s="2" t="s">
        <v>31</v>
      </c>
      <c r="L184" s="2" t="s">
        <v>348</v>
      </c>
      <c r="M184" s="2" t="s">
        <v>40</v>
      </c>
      <c r="N184" s="2" t="s">
        <v>476</v>
      </c>
      <c r="O184" s="2" t="s">
        <v>163</v>
      </c>
      <c r="P184" s="2" t="s">
        <v>1981</v>
      </c>
      <c r="Q184" s="2" t="s">
        <v>435</v>
      </c>
      <c r="R184" s="2" t="s">
        <v>428</v>
      </c>
      <c r="S184" s="2" t="s">
        <v>35</v>
      </c>
      <c r="T184" s="152">
        <v>5.6740000000000004</v>
      </c>
      <c r="U184" s="2" t="s">
        <v>1982</v>
      </c>
      <c r="V184" s="163">
        <v>5.1499999999999997E-2</v>
      </c>
      <c r="W184" s="165">
        <v>2.9309999999999999E-2</v>
      </c>
      <c r="X184" s="4" t="s">
        <v>434</v>
      </c>
      <c r="Y184" s="4" t="s">
        <v>163</v>
      </c>
      <c r="Z184" s="152">
        <v>343222.09</v>
      </c>
      <c r="AA184" s="152">
        <v>1</v>
      </c>
      <c r="AB184" s="152">
        <v>154.27000000000001</v>
      </c>
      <c r="AD184" s="152">
        <v>529.48900000000003</v>
      </c>
      <c r="AG184" s="2" t="s">
        <v>37</v>
      </c>
      <c r="AH184" s="165">
        <v>1.1E-4</v>
      </c>
      <c r="AI184" s="165">
        <v>3.8404738609552597E-2</v>
      </c>
      <c r="AJ184" s="165">
        <v>9.3674353540585207E-3</v>
      </c>
    </row>
    <row r="185" spans="1:36">
      <c r="A185" s="2" t="s">
        <v>26</v>
      </c>
      <c r="B185" s="2">
        <v>1451</v>
      </c>
      <c r="C185" s="2" t="s">
        <v>1983</v>
      </c>
      <c r="D185" s="2" t="s">
        <v>1984</v>
      </c>
      <c r="E185" s="4" t="s">
        <v>1347</v>
      </c>
      <c r="F185" s="2" t="s">
        <v>1985</v>
      </c>
      <c r="G185" s="2" t="s">
        <v>1986</v>
      </c>
      <c r="H185" s="2" t="s">
        <v>342</v>
      </c>
      <c r="I185" s="2" t="s">
        <v>990</v>
      </c>
      <c r="J185" s="2" t="s">
        <v>31</v>
      </c>
      <c r="K185" s="2" t="s">
        <v>31</v>
      </c>
      <c r="L185" s="2" t="s">
        <v>350</v>
      </c>
      <c r="M185" s="2" t="s">
        <v>40</v>
      </c>
      <c r="N185" s="2" t="s">
        <v>485</v>
      </c>
      <c r="O185" s="2" t="s">
        <v>163</v>
      </c>
      <c r="P185" s="2" t="s">
        <v>1987</v>
      </c>
      <c r="Q185" s="2" t="s">
        <v>437</v>
      </c>
      <c r="R185" s="2" t="s">
        <v>428</v>
      </c>
      <c r="S185" s="2" t="s">
        <v>35</v>
      </c>
      <c r="T185" s="152">
        <v>1.07</v>
      </c>
      <c r="U185" s="2" t="s">
        <v>1988</v>
      </c>
      <c r="V185" s="163">
        <v>7.0000000000000007E-2</v>
      </c>
      <c r="W185" s="165">
        <v>1.256E-2</v>
      </c>
      <c r="X185" s="4" t="s">
        <v>433</v>
      </c>
      <c r="Y185" s="4" t="s">
        <v>163</v>
      </c>
      <c r="Z185" s="152">
        <v>13049.2</v>
      </c>
      <c r="AA185" s="152">
        <v>1</v>
      </c>
      <c r="AB185" s="152">
        <v>1.6</v>
      </c>
      <c r="AD185" s="152">
        <v>0.20899999999999999</v>
      </c>
      <c r="AG185" s="2" t="s">
        <v>37</v>
      </c>
      <c r="AH185" s="165">
        <v>0</v>
      </c>
      <c r="AI185" s="165">
        <v>1.5143699128525099E-5</v>
      </c>
      <c r="AJ185" s="165">
        <v>3.69375310817728E-6</v>
      </c>
    </row>
    <row r="186" spans="1:36">
      <c r="A186" s="2" t="s">
        <v>26</v>
      </c>
      <c r="B186" s="2">
        <v>1451</v>
      </c>
      <c r="C186" s="2" t="s">
        <v>1732</v>
      </c>
      <c r="D186" s="2" t="s">
        <v>1733</v>
      </c>
      <c r="E186" s="4" t="s">
        <v>1347</v>
      </c>
      <c r="F186" s="2" t="s">
        <v>1989</v>
      </c>
      <c r="G186" s="2" t="s">
        <v>1990</v>
      </c>
      <c r="H186" s="2" t="s">
        <v>342</v>
      </c>
      <c r="I186" s="2" t="s">
        <v>777</v>
      </c>
      <c r="J186" s="2" t="s">
        <v>31</v>
      </c>
      <c r="K186" s="2" t="s">
        <v>31</v>
      </c>
      <c r="L186" s="2" t="s">
        <v>348</v>
      </c>
      <c r="M186" s="2" t="s">
        <v>40</v>
      </c>
      <c r="N186" s="2" t="s">
        <v>484</v>
      </c>
      <c r="O186" s="2" t="s">
        <v>163</v>
      </c>
      <c r="P186" s="2" t="s">
        <v>1991</v>
      </c>
      <c r="Q186" s="2" t="s">
        <v>435</v>
      </c>
      <c r="R186" s="2" t="s">
        <v>428</v>
      </c>
      <c r="S186" s="2" t="s">
        <v>35</v>
      </c>
      <c r="T186" s="152">
        <v>2.698</v>
      </c>
      <c r="U186" s="2" t="s">
        <v>107</v>
      </c>
      <c r="V186" s="163">
        <v>2.3400000000000001E-2</v>
      </c>
      <c r="W186" s="165">
        <v>2.1569999999999999E-2</v>
      </c>
      <c r="X186" s="4" t="s">
        <v>434</v>
      </c>
      <c r="Y186" s="4" t="s">
        <v>163</v>
      </c>
      <c r="Z186" s="152">
        <v>221982.3</v>
      </c>
      <c r="AA186" s="152">
        <v>1</v>
      </c>
      <c r="AB186" s="152">
        <v>111.84</v>
      </c>
      <c r="AD186" s="152">
        <v>248.26499999999999</v>
      </c>
      <c r="AG186" s="2" t="s">
        <v>37</v>
      </c>
      <c r="AH186" s="165">
        <v>8.6000000000000003E-5</v>
      </c>
      <c r="AI186" s="165">
        <v>1.8007093009361E-2</v>
      </c>
      <c r="AJ186" s="165">
        <v>4.3921736167669596E-3</v>
      </c>
    </row>
    <row r="187" spans="1:36">
      <c r="A187" s="2" t="s">
        <v>26</v>
      </c>
      <c r="B187" s="2">
        <v>1451</v>
      </c>
      <c r="C187" s="2" t="s">
        <v>1732</v>
      </c>
      <c r="D187" s="2" t="s">
        <v>1733</v>
      </c>
      <c r="E187" s="4" t="s">
        <v>1347</v>
      </c>
      <c r="F187" s="2" t="s">
        <v>1992</v>
      </c>
      <c r="G187" s="2" t="s">
        <v>1993</v>
      </c>
      <c r="H187" s="2" t="s">
        <v>342</v>
      </c>
      <c r="I187" s="2" t="s">
        <v>990</v>
      </c>
      <c r="J187" s="2" t="s">
        <v>31</v>
      </c>
      <c r="K187" s="2" t="s">
        <v>31</v>
      </c>
      <c r="L187" s="2" t="s">
        <v>348</v>
      </c>
      <c r="M187" s="2" t="s">
        <v>40</v>
      </c>
      <c r="N187" s="2" t="s">
        <v>484</v>
      </c>
      <c r="O187" s="2" t="s">
        <v>163</v>
      </c>
      <c r="P187" s="2" t="s">
        <v>1991</v>
      </c>
      <c r="Q187" s="2" t="s">
        <v>435</v>
      </c>
      <c r="R187" s="2" t="s">
        <v>430</v>
      </c>
      <c r="S187" s="2" t="s">
        <v>35</v>
      </c>
      <c r="T187" s="152">
        <v>3.1190000000000002</v>
      </c>
      <c r="U187" s="2" t="s">
        <v>1994</v>
      </c>
      <c r="V187" s="163">
        <v>0.05</v>
      </c>
      <c r="W187" s="165">
        <v>4.8930000000000001E-2</v>
      </c>
      <c r="X187" s="4" t="s">
        <v>434</v>
      </c>
      <c r="Y187" s="4" t="s">
        <v>163</v>
      </c>
      <c r="Z187" s="152">
        <v>250000</v>
      </c>
      <c r="AA187" s="152">
        <v>1</v>
      </c>
      <c r="AB187" s="152">
        <v>102.62</v>
      </c>
      <c r="AD187" s="152">
        <v>256.55</v>
      </c>
      <c r="AG187" s="2" t="s">
        <v>37</v>
      </c>
      <c r="AH187" s="165">
        <v>0</v>
      </c>
      <c r="AI187" s="165">
        <v>1.8608018170764799E-2</v>
      </c>
      <c r="AJ187" s="165">
        <v>4.5387473940111398E-3</v>
      </c>
    </row>
    <row r="188" spans="1:36">
      <c r="A188" s="2" t="s">
        <v>26</v>
      </c>
      <c r="B188" s="2">
        <v>1451</v>
      </c>
      <c r="C188" s="2" t="s">
        <v>2000</v>
      </c>
      <c r="D188" s="2" t="s">
        <v>2001</v>
      </c>
      <c r="E188" s="4" t="s">
        <v>1347</v>
      </c>
      <c r="F188" s="2" t="s">
        <v>2002</v>
      </c>
      <c r="G188" s="2" t="s">
        <v>2003</v>
      </c>
      <c r="H188" s="2" t="s">
        <v>342</v>
      </c>
      <c r="I188" s="2" t="s">
        <v>777</v>
      </c>
      <c r="J188" s="2" t="s">
        <v>31</v>
      </c>
      <c r="K188" s="2" t="s">
        <v>31</v>
      </c>
      <c r="L188" s="2" t="s">
        <v>348</v>
      </c>
      <c r="M188" s="2" t="s">
        <v>40</v>
      </c>
      <c r="N188" s="2" t="s">
        <v>498</v>
      </c>
      <c r="O188" s="2" t="s">
        <v>163</v>
      </c>
      <c r="P188" s="2" t="s">
        <v>1975</v>
      </c>
      <c r="Q188" s="2" t="s">
        <v>435</v>
      </c>
      <c r="R188" s="2" t="s">
        <v>428</v>
      </c>
      <c r="S188" s="2" t="s">
        <v>35</v>
      </c>
      <c r="T188" s="152">
        <v>2.9870000000000001</v>
      </c>
      <c r="U188" s="2" t="s">
        <v>2004</v>
      </c>
      <c r="V188" s="163">
        <v>3.2300000000000002E-2</v>
      </c>
      <c r="W188" s="165">
        <v>2.8750000000000001E-2</v>
      </c>
      <c r="X188" s="4" t="s">
        <v>434</v>
      </c>
      <c r="Y188" s="4" t="s">
        <v>163</v>
      </c>
      <c r="Z188" s="152">
        <v>59520</v>
      </c>
      <c r="AA188" s="152">
        <v>1</v>
      </c>
      <c r="AB188" s="152">
        <v>104.51</v>
      </c>
      <c r="AD188" s="152">
        <v>62.204000000000001</v>
      </c>
      <c r="AG188" s="2" t="s">
        <v>37</v>
      </c>
      <c r="AH188" s="165">
        <v>1.27E-4</v>
      </c>
      <c r="AI188" s="165">
        <v>4.5117899525108198E-3</v>
      </c>
      <c r="AJ188" s="165">
        <v>1.10048661288697E-3</v>
      </c>
    </row>
    <row r="189" spans="1:36">
      <c r="A189" s="2" t="s">
        <v>26</v>
      </c>
      <c r="B189" s="2">
        <v>1451</v>
      </c>
      <c r="C189" s="2" t="s">
        <v>1616</v>
      </c>
      <c r="D189" s="2" t="s">
        <v>1617</v>
      </c>
      <c r="E189" s="4" t="s">
        <v>1347</v>
      </c>
      <c r="F189" s="2" t="s">
        <v>2008</v>
      </c>
      <c r="G189" s="2" t="s">
        <v>2009</v>
      </c>
      <c r="H189" s="2" t="s">
        <v>342</v>
      </c>
      <c r="I189" s="2" t="s">
        <v>777</v>
      </c>
      <c r="J189" s="2" t="s">
        <v>31</v>
      </c>
      <c r="K189" s="2" t="s">
        <v>31</v>
      </c>
      <c r="L189" s="2" t="s">
        <v>348</v>
      </c>
      <c r="M189" s="2" t="s">
        <v>40</v>
      </c>
      <c r="N189" s="2" t="s">
        <v>484</v>
      </c>
      <c r="O189" s="2" t="s">
        <v>163</v>
      </c>
      <c r="P189" s="2" t="s">
        <v>2010</v>
      </c>
      <c r="Q189" s="2" t="s">
        <v>437</v>
      </c>
      <c r="R189" s="2" t="s">
        <v>428</v>
      </c>
      <c r="S189" s="2" t="s">
        <v>35</v>
      </c>
      <c r="T189" s="152">
        <v>7.4429999999999996</v>
      </c>
      <c r="U189" s="2" t="s">
        <v>2011</v>
      </c>
      <c r="V189" s="163">
        <v>2.5600000000000001E-2</v>
      </c>
      <c r="W189" s="165">
        <v>3.9620000000000002E-2</v>
      </c>
      <c r="X189" s="4" t="s">
        <v>434</v>
      </c>
      <c r="Y189" s="4" t="s">
        <v>163</v>
      </c>
      <c r="Z189" s="152">
        <v>60000</v>
      </c>
      <c r="AA189" s="152">
        <v>1</v>
      </c>
      <c r="AB189" s="152">
        <v>94.33</v>
      </c>
      <c r="AD189" s="152">
        <v>56.597999999999999</v>
      </c>
      <c r="AG189" s="2" t="s">
        <v>37</v>
      </c>
      <c r="AH189" s="165">
        <v>9.0000000000000006E-5</v>
      </c>
      <c r="AI189" s="165">
        <v>4.1051514809157998E-3</v>
      </c>
      <c r="AJ189" s="165">
        <v>1.0013019879409201E-3</v>
      </c>
    </row>
    <row r="190" spans="1:36">
      <c r="A190" s="2" t="s">
        <v>26</v>
      </c>
      <c r="B190" s="2">
        <v>1451</v>
      </c>
      <c r="C190" s="2" t="s">
        <v>1616</v>
      </c>
      <c r="D190" s="2" t="s">
        <v>1617</v>
      </c>
      <c r="E190" s="4" t="s">
        <v>1347</v>
      </c>
      <c r="F190" s="2" t="s">
        <v>2501</v>
      </c>
      <c r="G190" s="2" t="s">
        <v>2502</v>
      </c>
      <c r="H190" s="2" t="s">
        <v>342</v>
      </c>
      <c r="I190" s="2" t="s">
        <v>990</v>
      </c>
      <c r="J190" s="2" t="s">
        <v>31</v>
      </c>
      <c r="K190" s="2" t="s">
        <v>31</v>
      </c>
      <c r="L190" s="2" t="s">
        <v>348</v>
      </c>
      <c r="M190" s="2" t="s">
        <v>40</v>
      </c>
      <c r="N190" s="2" t="s">
        <v>484</v>
      </c>
      <c r="O190" s="2" t="s">
        <v>163</v>
      </c>
      <c r="P190" s="2" t="s">
        <v>2010</v>
      </c>
      <c r="Q190" s="2" t="s">
        <v>437</v>
      </c>
      <c r="R190" s="2" t="s">
        <v>428</v>
      </c>
      <c r="S190" s="2" t="s">
        <v>35</v>
      </c>
      <c r="T190" s="152">
        <v>6.7889999999999997</v>
      </c>
      <c r="U190" s="2" t="s">
        <v>2503</v>
      </c>
      <c r="V190" s="163">
        <v>4.9399999999999999E-2</v>
      </c>
      <c r="W190" s="165">
        <v>6.2219999999999998E-2</v>
      </c>
      <c r="X190" s="4" t="s">
        <v>434</v>
      </c>
      <c r="Y190" s="4" t="s">
        <v>163</v>
      </c>
      <c r="Z190" s="152">
        <v>60000</v>
      </c>
      <c r="AA190" s="152">
        <v>1</v>
      </c>
      <c r="AB190" s="152">
        <v>92.4</v>
      </c>
      <c r="AD190" s="152">
        <v>55.44</v>
      </c>
      <c r="AG190" s="2" t="s">
        <v>37</v>
      </c>
      <c r="AH190" s="165">
        <v>1.13E-4</v>
      </c>
      <c r="AI190" s="165">
        <v>4.0211597247600903E-3</v>
      </c>
      <c r="AJ190" s="165">
        <v>9.8081526222559899E-4</v>
      </c>
    </row>
    <row r="191" spans="1:36">
      <c r="A191" s="2" t="s">
        <v>26</v>
      </c>
      <c r="B191" s="2">
        <v>1451</v>
      </c>
      <c r="C191" s="2" t="s">
        <v>2015</v>
      </c>
      <c r="D191" s="2" t="s">
        <v>2016</v>
      </c>
      <c r="E191" s="4" t="s">
        <v>1347</v>
      </c>
      <c r="F191" s="2" t="s">
        <v>2017</v>
      </c>
      <c r="G191" s="2" t="s">
        <v>2018</v>
      </c>
      <c r="H191" s="2" t="s">
        <v>342</v>
      </c>
      <c r="I191" s="2" t="s">
        <v>990</v>
      </c>
      <c r="J191" s="2" t="s">
        <v>31</v>
      </c>
      <c r="K191" s="2" t="s">
        <v>31</v>
      </c>
      <c r="L191" s="2" t="s">
        <v>348</v>
      </c>
      <c r="M191" s="2" t="s">
        <v>40</v>
      </c>
      <c r="N191" s="2" t="s">
        <v>471</v>
      </c>
      <c r="O191" s="2" t="s">
        <v>163</v>
      </c>
      <c r="P191" s="2" t="s">
        <v>1975</v>
      </c>
      <c r="Q191" s="2" t="s">
        <v>435</v>
      </c>
      <c r="R191" s="2" t="s">
        <v>428</v>
      </c>
      <c r="S191" s="2" t="s">
        <v>35</v>
      </c>
      <c r="T191" s="152">
        <v>3.41</v>
      </c>
      <c r="U191" s="2" t="s">
        <v>2019</v>
      </c>
      <c r="V191" s="163">
        <v>0.04</v>
      </c>
      <c r="W191" s="165">
        <v>5.0200000000000002E-2</v>
      </c>
      <c r="X191" s="4" t="s">
        <v>434</v>
      </c>
      <c r="Y191" s="4" t="s">
        <v>163</v>
      </c>
      <c r="Z191" s="152">
        <v>212625.03</v>
      </c>
      <c r="AA191" s="152">
        <v>1</v>
      </c>
      <c r="AB191" s="152">
        <v>97.7</v>
      </c>
      <c r="AD191" s="152">
        <v>207.73500000000001</v>
      </c>
      <c r="AG191" s="2" t="s">
        <v>37</v>
      </c>
      <c r="AH191" s="165">
        <v>2.7500000000000002E-4</v>
      </c>
      <c r="AI191" s="165">
        <v>1.5067356157076699E-2</v>
      </c>
      <c r="AJ191" s="165">
        <v>3.6751320245383599E-3</v>
      </c>
    </row>
    <row r="192" spans="1:36">
      <c r="A192" s="2" t="s">
        <v>26</v>
      </c>
      <c r="B192" s="2">
        <v>1451</v>
      </c>
      <c r="C192" s="2" t="s">
        <v>1620</v>
      </c>
      <c r="D192" s="2" t="s">
        <v>1621</v>
      </c>
      <c r="E192" s="4" t="s">
        <v>1347</v>
      </c>
      <c r="F192" s="2" t="s">
        <v>2020</v>
      </c>
      <c r="G192" s="2" t="s">
        <v>2021</v>
      </c>
      <c r="H192" s="2" t="s">
        <v>342</v>
      </c>
      <c r="I192" s="2" t="s">
        <v>777</v>
      </c>
      <c r="J192" s="2" t="s">
        <v>31</v>
      </c>
      <c r="K192" s="2" t="s">
        <v>31</v>
      </c>
      <c r="L192" s="2" t="s">
        <v>348</v>
      </c>
      <c r="M192" s="2" t="s">
        <v>40</v>
      </c>
      <c r="N192" s="2" t="s">
        <v>484</v>
      </c>
      <c r="O192" s="2" t="s">
        <v>163</v>
      </c>
      <c r="P192" s="2" t="s">
        <v>2022</v>
      </c>
      <c r="Q192" s="2" t="s">
        <v>437</v>
      </c>
      <c r="R192" s="2" t="s">
        <v>428</v>
      </c>
      <c r="S192" s="2" t="s">
        <v>35</v>
      </c>
      <c r="T192" s="152">
        <v>2.036</v>
      </c>
      <c r="U192" s="2" t="s">
        <v>2023</v>
      </c>
      <c r="V192" s="163">
        <v>3.2000000000000001E-2</v>
      </c>
      <c r="W192" s="165">
        <v>2.1000000000000001E-2</v>
      </c>
      <c r="X192" s="4" t="s">
        <v>434</v>
      </c>
      <c r="Y192" s="4" t="s">
        <v>163</v>
      </c>
      <c r="Z192" s="152">
        <v>195200</v>
      </c>
      <c r="AA192" s="152">
        <v>1</v>
      </c>
      <c r="AB192" s="152">
        <v>116.39</v>
      </c>
      <c r="AD192" s="152">
        <v>227.19300000000001</v>
      </c>
      <c r="AG192" s="2" t="s">
        <v>37</v>
      </c>
      <c r="AH192" s="165">
        <v>1.3899999999999999E-4</v>
      </c>
      <c r="AI192" s="165">
        <v>1.6478724157145401E-2</v>
      </c>
      <c r="AJ192" s="165">
        <v>4.0193837752361796E-3</v>
      </c>
    </row>
    <row r="193" spans="1:36">
      <c r="A193" s="2" t="s">
        <v>26</v>
      </c>
      <c r="B193" s="2">
        <v>1451</v>
      </c>
      <c r="C193" s="2" t="s">
        <v>1620</v>
      </c>
      <c r="D193" s="2" t="s">
        <v>1621</v>
      </c>
      <c r="E193" s="4" t="s">
        <v>1347</v>
      </c>
      <c r="F193" s="2" t="s">
        <v>2024</v>
      </c>
      <c r="G193" s="2" t="s">
        <v>2025</v>
      </c>
      <c r="H193" s="2" t="s">
        <v>342</v>
      </c>
      <c r="I193" s="2" t="s">
        <v>777</v>
      </c>
      <c r="J193" s="2" t="s">
        <v>31</v>
      </c>
      <c r="K193" s="2" t="s">
        <v>31</v>
      </c>
      <c r="L193" s="2" t="s">
        <v>348</v>
      </c>
      <c r="M193" s="2" t="s">
        <v>40</v>
      </c>
      <c r="N193" s="2" t="s">
        <v>484</v>
      </c>
      <c r="O193" s="2" t="s">
        <v>163</v>
      </c>
      <c r="P193" s="2" t="s">
        <v>2022</v>
      </c>
      <c r="Q193" s="2" t="s">
        <v>437</v>
      </c>
      <c r="R193" s="2" t="s">
        <v>428</v>
      </c>
      <c r="S193" s="2" t="s">
        <v>35</v>
      </c>
      <c r="T193" s="152">
        <v>6.0659999999999998</v>
      </c>
      <c r="U193" s="2" t="s">
        <v>2026</v>
      </c>
      <c r="V193" s="163">
        <v>9.1999999999999998E-3</v>
      </c>
      <c r="W193" s="165">
        <v>2.9329999999999998E-2</v>
      </c>
      <c r="X193" s="4" t="s">
        <v>434</v>
      </c>
      <c r="Y193" s="4" t="s">
        <v>163</v>
      </c>
      <c r="Z193" s="152">
        <v>47250</v>
      </c>
      <c r="AA193" s="152">
        <v>1</v>
      </c>
      <c r="AB193" s="152">
        <v>99.5</v>
      </c>
      <c r="AD193" s="152">
        <v>47.014000000000003</v>
      </c>
      <c r="AG193" s="2" t="s">
        <v>37</v>
      </c>
      <c r="AH193" s="165">
        <v>2.4000000000000001E-5</v>
      </c>
      <c r="AI193" s="165">
        <v>3.4099891415934301E-3</v>
      </c>
      <c r="AJ193" s="165">
        <v>8.3174248799528796E-4</v>
      </c>
    </row>
    <row r="194" spans="1:36">
      <c r="A194" s="2" t="s">
        <v>26</v>
      </c>
      <c r="B194" s="2">
        <v>1451</v>
      </c>
      <c r="C194" s="2" t="s">
        <v>1624</v>
      </c>
      <c r="D194" s="2" t="s">
        <v>1625</v>
      </c>
      <c r="E194" s="4" t="s">
        <v>1347</v>
      </c>
      <c r="F194" s="2" t="s">
        <v>2027</v>
      </c>
      <c r="G194" s="2" t="s">
        <v>2028</v>
      </c>
      <c r="H194" s="2" t="s">
        <v>342</v>
      </c>
      <c r="I194" s="2" t="s">
        <v>990</v>
      </c>
      <c r="J194" s="2" t="s">
        <v>31</v>
      </c>
      <c r="K194" s="2" t="s">
        <v>127</v>
      </c>
      <c r="L194" s="2" t="s">
        <v>348</v>
      </c>
      <c r="M194" s="2" t="s">
        <v>40</v>
      </c>
      <c r="N194" s="2" t="s">
        <v>461</v>
      </c>
      <c r="O194" s="2" t="s">
        <v>163</v>
      </c>
      <c r="P194" s="2" t="s">
        <v>98</v>
      </c>
      <c r="Q194" s="2" t="s">
        <v>437</v>
      </c>
      <c r="R194" s="2" t="s">
        <v>428</v>
      </c>
      <c r="S194" s="2" t="s">
        <v>35</v>
      </c>
      <c r="T194" s="152">
        <v>1.9910000000000001</v>
      </c>
      <c r="U194" s="2" t="s">
        <v>2029</v>
      </c>
      <c r="V194" s="163">
        <v>3.4500000000000003E-2</v>
      </c>
      <c r="W194" s="165">
        <v>5.0560000000000001E-2</v>
      </c>
      <c r="X194" s="4" t="s">
        <v>434</v>
      </c>
      <c r="Y194" s="4" t="s">
        <v>163</v>
      </c>
      <c r="Z194" s="152">
        <v>120000</v>
      </c>
      <c r="AA194" s="152">
        <v>1</v>
      </c>
      <c r="AB194" s="152">
        <v>97.31</v>
      </c>
      <c r="AD194" s="152">
        <v>116.77200000000001</v>
      </c>
      <c r="AG194" s="2" t="s">
        <v>37</v>
      </c>
      <c r="AH194" s="165">
        <v>2.7300000000000002E-4</v>
      </c>
      <c r="AI194" s="165">
        <v>8.4696764678875401E-3</v>
      </c>
      <c r="AJ194" s="165">
        <v>2.06586868327214E-3</v>
      </c>
    </row>
    <row r="195" spans="1:36">
      <c r="A195" s="2" t="s">
        <v>26</v>
      </c>
      <c r="B195" s="2">
        <v>1451</v>
      </c>
      <c r="C195" s="2" t="s">
        <v>1628</v>
      </c>
      <c r="D195" s="2" t="s">
        <v>1629</v>
      </c>
      <c r="E195" s="4" t="s">
        <v>1347</v>
      </c>
      <c r="F195" s="2" t="s">
        <v>2030</v>
      </c>
      <c r="G195" s="2" t="s">
        <v>2031</v>
      </c>
      <c r="H195" s="2" t="s">
        <v>342</v>
      </c>
      <c r="I195" s="2" t="s">
        <v>990</v>
      </c>
      <c r="J195" s="2" t="s">
        <v>31</v>
      </c>
      <c r="K195" s="2" t="s">
        <v>31</v>
      </c>
      <c r="L195" s="2" t="s">
        <v>348</v>
      </c>
      <c r="M195" s="2" t="s">
        <v>40</v>
      </c>
      <c r="N195" s="2" t="s">
        <v>461</v>
      </c>
      <c r="O195" s="2" t="s">
        <v>163</v>
      </c>
      <c r="P195" s="2" t="s">
        <v>98</v>
      </c>
      <c r="Q195" s="2" t="s">
        <v>437</v>
      </c>
      <c r="R195" s="2" t="s">
        <v>428</v>
      </c>
      <c r="S195" s="2" t="s">
        <v>35</v>
      </c>
      <c r="T195" s="152">
        <v>3.1</v>
      </c>
      <c r="U195" s="2" t="s">
        <v>2032</v>
      </c>
      <c r="V195" s="163">
        <v>2.0500000000000001E-2</v>
      </c>
      <c r="W195" s="165">
        <v>5.0770000000000003E-2</v>
      </c>
      <c r="X195" s="4" t="s">
        <v>434</v>
      </c>
      <c r="Y195" s="4" t="s">
        <v>163</v>
      </c>
      <c r="Z195" s="152">
        <v>111428.58</v>
      </c>
      <c r="AA195" s="152">
        <v>1</v>
      </c>
      <c r="AB195" s="152">
        <v>91.55</v>
      </c>
      <c r="AD195" s="152">
        <v>102.01300000000001</v>
      </c>
      <c r="AG195" s="2" t="s">
        <v>37</v>
      </c>
      <c r="AH195" s="165">
        <v>1.9900000000000001E-4</v>
      </c>
      <c r="AI195" s="165">
        <v>7.3991707089678402E-3</v>
      </c>
      <c r="AJ195" s="165">
        <v>1.8047578449774801E-3</v>
      </c>
    </row>
    <row r="196" spans="1:36">
      <c r="A196" s="2" t="s">
        <v>26</v>
      </c>
      <c r="B196" s="2">
        <v>1451</v>
      </c>
      <c r="C196" s="2" t="s">
        <v>1744</v>
      </c>
      <c r="D196" s="2" t="s">
        <v>1745</v>
      </c>
      <c r="E196" s="4" t="s">
        <v>1347</v>
      </c>
      <c r="F196" s="2" t="s">
        <v>2036</v>
      </c>
      <c r="G196" s="2" t="s">
        <v>2037</v>
      </c>
      <c r="H196" s="2" t="s">
        <v>342</v>
      </c>
      <c r="I196" s="2" t="s">
        <v>990</v>
      </c>
      <c r="J196" s="2" t="s">
        <v>31</v>
      </c>
      <c r="K196" s="2" t="s">
        <v>31</v>
      </c>
      <c r="L196" s="2" t="s">
        <v>348</v>
      </c>
      <c r="M196" s="2" t="s">
        <v>40</v>
      </c>
      <c r="N196" s="2" t="s">
        <v>460</v>
      </c>
      <c r="O196" s="2" t="s">
        <v>163</v>
      </c>
      <c r="P196" s="2" t="s">
        <v>1975</v>
      </c>
      <c r="Q196" s="2" t="s">
        <v>435</v>
      </c>
      <c r="R196" s="2" t="s">
        <v>428</v>
      </c>
      <c r="S196" s="2" t="s">
        <v>35</v>
      </c>
      <c r="T196" s="152">
        <v>3.6160000000000001</v>
      </c>
      <c r="U196" s="2" t="s">
        <v>2038</v>
      </c>
      <c r="V196" s="163">
        <v>0.05</v>
      </c>
      <c r="W196" s="165">
        <v>5.287E-2</v>
      </c>
      <c r="X196" s="4" t="s">
        <v>434</v>
      </c>
      <c r="Y196" s="4" t="s">
        <v>163</v>
      </c>
      <c r="Z196" s="152">
        <v>116000</v>
      </c>
      <c r="AA196" s="152">
        <v>1</v>
      </c>
      <c r="AB196" s="152">
        <v>99.32</v>
      </c>
      <c r="AD196" s="152">
        <v>115.211</v>
      </c>
      <c r="AG196" s="2" t="s">
        <v>37</v>
      </c>
      <c r="AH196" s="165">
        <v>1.12E-4</v>
      </c>
      <c r="AI196" s="165">
        <v>8.3564689264300097E-3</v>
      </c>
      <c r="AJ196" s="165">
        <v>2.0382558322389198E-3</v>
      </c>
    </row>
    <row r="197" spans="1:36">
      <c r="A197" s="2" t="s">
        <v>26</v>
      </c>
      <c r="B197" s="2">
        <v>1451</v>
      </c>
      <c r="C197" s="2" t="s">
        <v>1748</v>
      </c>
      <c r="D197" s="2" t="s">
        <v>1749</v>
      </c>
      <c r="E197" s="4" t="s">
        <v>1347</v>
      </c>
      <c r="F197" s="2" t="s">
        <v>2045</v>
      </c>
      <c r="G197" s="2" t="s">
        <v>2046</v>
      </c>
      <c r="H197" s="2" t="s">
        <v>342</v>
      </c>
      <c r="I197" s="2" t="s">
        <v>777</v>
      </c>
      <c r="J197" s="2" t="s">
        <v>31</v>
      </c>
      <c r="K197" s="2" t="s">
        <v>31</v>
      </c>
      <c r="L197" s="2" t="s">
        <v>348</v>
      </c>
      <c r="M197" s="2" t="s">
        <v>40</v>
      </c>
      <c r="N197" s="2" t="s">
        <v>484</v>
      </c>
      <c r="O197" s="2" t="s">
        <v>163</v>
      </c>
      <c r="P197" s="2" t="s">
        <v>2010</v>
      </c>
      <c r="Q197" s="2" t="s">
        <v>437</v>
      </c>
      <c r="R197" s="2" t="s">
        <v>428</v>
      </c>
      <c r="S197" s="2" t="s">
        <v>35</v>
      </c>
      <c r="T197" s="152">
        <v>4.9459999999999997</v>
      </c>
      <c r="U197" s="2" t="s">
        <v>2047</v>
      </c>
      <c r="V197" s="163">
        <v>1.17E-2</v>
      </c>
      <c r="W197" s="165">
        <v>2.989E-2</v>
      </c>
      <c r="X197" s="4" t="s">
        <v>434</v>
      </c>
      <c r="Y197" s="4" t="s">
        <v>163</v>
      </c>
      <c r="Z197" s="152">
        <v>59640</v>
      </c>
      <c r="AA197" s="152">
        <v>1</v>
      </c>
      <c r="AB197" s="152">
        <v>101.71</v>
      </c>
      <c r="AD197" s="152">
        <v>60.66</v>
      </c>
      <c r="AG197" s="2" t="s">
        <v>37</v>
      </c>
      <c r="AH197" s="165">
        <v>8.2999999999999998E-5</v>
      </c>
      <c r="AI197" s="165">
        <v>4.3997640981787503E-3</v>
      </c>
      <c r="AJ197" s="165">
        <v>1.0731619913315999E-3</v>
      </c>
    </row>
    <row r="198" spans="1:36">
      <c r="A198" s="2" t="s">
        <v>26</v>
      </c>
      <c r="B198" s="2">
        <v>1451</v>
      </c>
      <c r="C198" s="2" t="s">
        <v>1748</v>
      </c>
      <c r="D198" s="2" t="s">
        <v>1749</v>
      </c>
      <c r="E198" s="4" t="s">
        <v>1347</v>
      </c>
      <c r="F198" s="2" t="s">
        <v>2504</v>
      </c>
      <c r="G198" s="2" t="s">
        <v>2505</v>
      </c>
      <c r="H198" s="2" t="s">
        <v>342</v>
      </c>
      <c r="I198" s="2" t="s">
        <v>777</v>
      </c>
      <c r="J198" s="2" t="s">
        <v>31</v>
      </c>
      <c r="K198" s="2" t="s">
        <v>31</v>
      </c>
      <c r="L198" s="2" t="s">
        <v>348</v>
      </c>
      <c r="M198" s="2" t="s">
        <v>40</v>
      </c>
      <c r="N198" s="2" t="s">
        <v>484</v>
      </c>
      <c r="O198" s="2" t="s">
        <v>163</v>
      </c>
      <c r="P198" s="2" t="s">
        <v>1991</v>
      </c>
      <c r="Q198" s="2" t="s">
        <v>435</v>
      </c>
      <c r="R198" s="2" t="s">
        <v>428</v>
      </c>
      <c r="S198" s="2" t="s">
        <v>35</v>
      </c>
      <c r="T198" s="152">
        <v>3.8839999999999999</v>
      </c>
      <c r="U198" s="2" t="s">
        <v>2506</v>
      </c>
      <c r="V198" s="163">
        <v>6.8999999999999999E-3</v>
      </c>
      <c r="W198" s="165">
        <v>2.3109999999999999E-2</v>
      </c>
      <c r="X198" s="4" t="s">
        <v>434</v>
      </c>
      <c r="Y198" s="4" t="s">
        <v>163</v>
      </c>
      <c r="Z198" s="152">
        <v>59583.34</v>
      </c>
      <c r="AA198" s="152">
        <v>1</v>
      </c>
      <c r="AB198" s="152">
        <v>105.07</v>
      </c>
      <c r="AD198" s="152">
        <v>62.603999999999999</v>
      </c>
      <c r="AG198" s="2" t="s">
        <v>37</v>
      </c>
      <c r="AH198" s="165">
        <v>3.3E-4</v>
      </c>
      <c r="AI198" s="165">
        <v>4.5407927366048597E-3</v>
      </c>
      <c r="AJ198" s="165">
        <v>1.1075607843284299E-3</v>
      </c>
    </row>
    <row r="199" spans="1:36">
      <c r="A199" s="2" t="s">
        <v>26</v>
      </c>
      <c r="B199" s="2">
        <v>1451</v>
      </c>
      <c r="C199" s="2" t="s">
        <v>1748</v>
      </c>
      <c r="D199" s="2" t="s">
        <v>1749</v>
      </c>
      <c r="E199" s="4" t="s">
        <v>1347</v>
      </c>
      <c r="F199" s="2" t="s">
        <v>2048</v>
      </c>
      <c r="G199" s="2" t="s">
        <v>2049</v>
      </c>
      <c r="H199" s="2" t="s">
        <v>342</v>
      </c>
      <c r="I199" s="2" t="s">
        <v>777</v>
      </c>
      <c r="J199" s="2" t="s">
        <v>31</v>
      </c>
      <c r="K199" s="2" t="s">
        <v>31</v>
      </c>
      <c r="L199" s="2" t="s">
        <v>348</v>
      </c>
      <c r="M199" s="2" t="s">
        <v>40</v>
      </c>
      <c r="N199" s="2" t="s">
        <v>484</v>
      </c>
      <c r="O199" s="2" t="s">
        <v>163</v>
      </c>
      <c r="P199" s="2" t="s">
        <v>1981</v>
      </c>
      <c r="Q199" s="2" t="s">
        <v>435</v>
      </c>
      <c r="R199" s="2" t="s">
        <v>428</v>
      </c>
      <c r="S199" s="2" t="s">
        <v>35</v>
      </c>
      <c r="T199" s="152">
        <v>5.39</v>
      </c>
      <c r="U199" s="2" t="s">
        <v>2050</v>
      </c>
      <c r="V199" s="163">
        <v>1.8700000000000001E-2</v>
      </c>
      <c r="W199" s="165">
        <v>3.048E-2</v>
      </c>
      <c r="X199" s="4" t="s">
        <v>434</v>
      </c>
      <c r="Y199" s="4" t="s">
        <v>163</v>
      </c>
      <c r="Z199" s="152">
        <v>92120</v>
      </c>
      <c r="AA199" s="152">
        <v>1</v>
      </c>
      <c r="AB199" s="152">
        <v>101.36</v>
      </c>
      <c r="AD199" s="152">
        <v>93.373000000000005</v>
      </c>
      <c r="AG199" s="2" t="s">
        <v>37</v>
      </c>
      <c r="AH199" s="165">
        <v>1.65E-4</v>
      </c>
      <c r="AI199" s="165">
        <v>6.7724940733259404E-3</v>
      </c>
      <c r="AJ199" s="165">
        <v>1.65190293475517E-3</v>
      </c>
    </row>
    <row r="200" spans="1:36">
      <c r="A200" s="2" t="s">
        <v>26</v>
      </c>
      <c r="B200" s="2">
        <v>1451</v>
      </c>
      <c r="C200" s="2" t="s">
        <v>2059</v>
      </c>
      <c r="D200" s="2" t="s">
        <v>2060</v>
      </c>
      <c r="E200" s="4" t="s">
        <v>1347</v>
      </c>
      <c r="F200" s="2" t="s">
        <v>2061</v>
      </c>
      <c r="G200" s="2" t="s">
        <v>2062</v>
      </c>
      <c r="H200" s="2" t="s">
        <v>342</v>
      </c>
      <c r="I200" s="2" t="s">
        <v>990</v>
      </c>
      <c r="J200" s="2" t="s">
        <v>31</v>
      </c>
      <c r="K200" s="2" t="s">
        <v>31</v>
      </c>
      <c r="L200" s="2" t="s">
        <v>348</v>
      </c>
      <c r="M200" s="2" t="s">
        <v>40</v>
      </c>
      <c r="N200" s="2" t="s">
        <v>460</v>
      </c>
      <c r="O200" s="2" t="s">
        <v>163</v>
      </c>
      <c r="P200" s="2" t="s">
        <v>1987</v>
      </c>
      <c r="Q200" s="2" t="s">
        <v>437</v>
      </c>
      <c r="R200" s="2" t="s">
        <v>428</v>
      </c>
      <c r="S200" s="2" t="s">
        <v>35</v>
      </c>
      <c r="T200" s="152">
        <v>3.07</v>
      </c>
      <c r="U200" s="2" t="s">
        <v>1994</v>
      </c>
      <c r="V200" s="163">
        <v>7.2499999999999995E-2</v>
      </c>
      <c r="W200" s="165">
        <v>6.232E-2</v>
      </c>
      <c r="X200" s="4" t="s">
        <v>434</v>
      </c>
      <c r="Y200" s="4" t="s">
        <v>163</v>
      </c>
      <c r="Z200" s="152">
        <v>49768</v>
      </c>
      <c r="AA200" s="152">
        <v>1</v>
      </c>
      <c r="AB200" s="152">
        <v>108.29</v>
      </c>
      <c r="AD200" s="152">
        <v>53.893999999999998</v>
      </c>
      <c r="AG200" s="2" t="s">
        <v>37</v>
      </c>
      <c r="AH200" s="165">
        <v>8.6000000000000003E-5</v>
      </c>
      <c r="AI200" s="165">
        <v>3.9090087676810301E-3</v>
      </c>
      <c r="AJ200" s="165">
        <v>9.5346012641762999E-4</v>
      </c>
    </row>
    <row r="201" spans="1:36">
      <c r="A201" s="2" t="s">
        <v>26</v>
      </c>
      <c r="B201" s="2">
        <v>1451</v>
      </c>
      <c r="C201" s="2" t="s">
        <v>2063</v>
      </c>
      <c r="D201" s="2" t="s">
        <v>2064</v>
      </c>
      <c r="E201" s="4" t="s">
        <v>1347</v>
      </c>
      <c r="F201" s="2" t="s">
        <v>2065</v>
      </c>
      <c r="G201" s="2" t="s">
        <v>2066</v>
      </c>
      <c r="H201" s="2" t="s">
        <v>342</v>
      </c>
      <c r="I201" s="2" t="s">
        <v>777</v>
      </c>
      <c r="J201" s="2" t="s">
        <v>31</v>
      </c>
      <c r="K201" s="2" t="s">
        <v>31</v>
      </c>
      <c r="L201" s="2" t="s">
        <v>348</v>
      </c>
      <c r="M201" s="2" t="s">
        <v>40</v>
      </c>
      <c r="N201" s="2" t="s">
        <v>484</v>
      </c>
      <c r="O201" s="2" t="s">
        <v>163</v>
      </c>
      <c r="P201" s="2" t="s">
        <v>1991</v>
      </c>
      <c r="Q201" s="2" t="s">
        <v>435</v>
      </c>
      <c r="R201" s="2" t="s">
        <v>428</v>
      </c>
      <c r="S201" s="2" t="s">
        <v>35</v>
      </c>
      <c r="T201" s="152">
        <v>3.839</v>
      </c>
      <c r="U201" s="2" t="s">
        <v>2067</v>
      </c>
      <c r="V201" s="163">
        <v>5.0000000000000001E-3</v>
      </c>
      <c r="W201" s="165">
        <v>2.52E-2</v>
      </c>
      <c r="X201" s="4" t="s">
        <v>434</v>
      </c>
      <c r="Y201" s="4" t="s">
        <v>163</v>
      </c>
      <c r="Z201" s="152">
        <v>28224.85</v>
      </c>
      <c r="AA201" s="152">
        <v>1</v>
      </c>
      <c r="AB201" s="152">
        <v>103.12</v>
      </c>
      <c r="AD201" s="152">
        <v>29.105</v>
      </c>
      <c r="AG201" s="2" t="s">
        <v>37</v>
      </c>
      <c r="AH201" s="165">
        <v>1.5999999999999999E-5</v>
      </c>
      <c r="AI201" s="165">
        <v>2.1110700742277299E-3</v>
      </c>
      <c r="AJ201" s="165">
        <v>5.1491855339166404E-4</v>
      </c>
    </row>
    <row r="202" spans="1:36">
      <c r="A202" s="2" t="s">
        <v>26</v>
      </c>
      <c r="B202" s="2">
        <v>1451</v>
      </c>
      <c r="C202" s="2" t="s">
        <v>2063</v>
      </c>
      <c r="D202" s="2" t="s">
        <v>2064</v>
      </c>
      <c r="E202" s="4" t="s">
        <v>1347</v>
      </c>
      <c r="F202" s="2" t="s">
        <v>2068</v>
      </c>
      <c r="G202" s="2" t="s">
        <v>2069</v>
      </c>
      <c r="H202" s="2" t="s">
        <v>342</v>
      </c>
      <c r="I202" s="2" t="s">
        <v>777</v>
      </c>
      <c r="J202" s="2" t="s">
        <v>31</v>
      </c>
      <c r="K202" s="2" t="s">
        <v>31</v>
      </c>
      <c r="L202" s="2" t="s">
        <v>348</v>
      </c>
      <c r="M202" s="2" t="s">
        <v>40</v>
      </c>
      <c r="N202" s="2" t="s">
        <v>484</v>
      </c>
      <c r="O202" s="2" t="s">
        <v>163</v>
      </c>
      <c r="P202" s="2" t="s">
        <v>1991</v>
      </c>
      <c r="Q202" s="2" t="s">
        <v>435</v>
      </c>
      <c r="R202" s="2" t="s">
        <v>428</v>
      </c>
      <c r="S202" s="2" t="s">
        <v>35</v>
      </c>
      <c r="T202" s="152">
        <v>1.466</v>
      </c>
      <c r="U202" s="2" t="s">
        <v>1356</v>
      </c>
      <c r="V202" s="163">
        <v>4.7500000000000001E-2</v>
      </c>
      <c r="W202" s="165">
        <v>1.567E-2</v>
      </c>
      <c r="X202" s="4" t="s">
        <v>434</v>
      </c>
      <c r="Y202" s="4" t="s">
        <v>163</v>
      </c>
      <c r="Z202" s="152">
        <v>76040.37</v>
      </c>
      <c r="AA202" s="152">
        <v>1</v>
      </c>
      <c r="AB202" s="152">
        <v>141.47999999999999</v>
      </c>
      <c r="AD202" s="152">
        <v>107.58199999999999</v>
      </c>
      <c r="AG202" s="2" t="s">
        <v>37</v>
      </c>
      <c r="AH202" s="165">
        <v>5.8999999999999998E-5</v>
      </c>
      <c r="AI202" s="165">
        <v>7.803103636808E-3</v>
      </c>
      <c r="AJ202" s="165">
        <v>1.9032825511963399E-3</v>
      </c>
    </row>
    <row r="203" spans="1:36">
      <c r="A203" s="2" t="s">
        <v>26</v>
      </c>
      <c r="B203" s="2">
        <v>1451</v>
      </c>
      <c r="C203" s="2" t="s">
        <v>2078</v>
      </c>
      <c r="D203" s="2" t="s">
        <v>2079</v>
      </c>
      <c r="E203" s="4" t="s">
        <v>1347</v>
      </c>
      <c r="F203" s="2" t="s">
        <v>2080</v>
      </c>
      <c r="G203" s="2" t="s">
        <v>2081</v>
      </c>
      <c r="H203" s="2" t="s">
        <v>342</v>
      </c>
      <c r="I203" s="2" t="s">
        <v>990</v>
      </c>
      <c r="J203" s="2" t="s">
        <v>31</v>
      </c>
      <c r="K203" s="2" t="s">
        <v>31</v>
      </c>
      <c r="L203" s="2" t="s">
        <v>348</v>
      </c>
      <c r="M203" s="2" t="s">
        <v>40</v>
      </c>
      <c r="N203" s="2" t="s">
        <v>460</v>
      </c>
      <c r="O203" s="2" t="s">
        <v>163</v>
      </c>
      <c r="P203" s="2" t="s">
        <v>98</v>
      </c>
      <c r="Q203" s="2" t="s">
        <v>437</v>
      </c>
      <c r="R203" s="2" t="s">
        <v>428</v>
      </c>
      <c r="S203" s="2" t="s">
        <v>35</v>
      </c>
      <c r="T203" s="152">
        <v>1.91</v>
      </c>
      <c r="U203" s="2" t="s">
        <v>2082</v>
      </c>
      <c r="V203" s="163">
        <v>3.2899999999999999E-2</v>
      </c>
      <c r="W203" s="165">
        <v>5.1709999999999999E-2</v>
      </c>
      <c r="X203" s="4" t="s">
        <v>434</v>
      </c>
      <c r="Y203" s="4" t="s">
        <v>163</v>
      </c>
      <c r="Z203" s="152">
        <v>54000</v>
      </c>
      <c r="AA203" s="152">
        <v>1</v>
      </c>
      <c r="AB203" s="152">
        <v>96.66</v>
      </c>
      <c r="AD203" s="152">
        <v>52.195999999999998</v>
      </c>
      <c r="AG203" s="2" t="s">
        <v>37</v>
      </c>
      <c r="AH203" s="165">
        <v>8.8999999999999995E-5</v>
      </c>
      <c r="AI203" s="165">
        <v>3.7858957694348401E-3</v>
      </c>
      <c r="AJ203" s="165">
        <v>9.2343120045512695E-4</v>
      </c>
    </row>
    <row r="204" spans="1:36">
      <c r="A204" s="2" t="s">
        <v>26</v>
      </c>
      <c r="B204" s="2">
        <v>1451</v>
      </c>
      <c r="C204" s="2" t="s">
        <v>2083</v>
      </c>
      <c r="D204" s="2" t="s">
        <v>2084</v>
      </c>
      <c r="E204" s="4" t="s">
        <v>1347</v>
      </c>
      <c r="F204" s="2" t="s">
        <v>2085</v>
      </c>
      <c r="G204" s="2" t="s">
        <v>2086</v>
      </c>
      <c r="H204" s="2" t="s">
        <v>342</v>
      </c>
      <c r="I204" s="2" t="s">
        <v>777</v>
      </c>
      <c r="J204" s="2" t="s">
        <v>31</v>
      </c>
      <c r="K204" s="2" t="s">
        <v>31</v>
      </c>
      <c r="L204" s="2" t="s">
        <v>348</v>
      </c>
      <c r="M204" s="2" t="s">
        <v>40</v>
      </c>
      <c r="N204" s="2" t="s">
        <v>468</v>
      </c>
      <c r="O204" s="2" t="s">
        <v>163</v>
      </c>
      <c r="P204" s="2" t="s">
        <v>128</v>
      </c>
      <c r="Q204" s="2" t="s">
        <v>437</v>
      </c>
      <c r="R204" s="2" t="s">
        <v>428</v>
      </c>
      <c r="S204" s="2" t="s">
        <v>35</v>
      </c>
      <c r="T204" s="152">
        <v>4.2549999999999999</v>
      </c>
      <c r="U204" s="2" t="s">
        <v>2087</v>
      </c>
      <c r="V204" s="163">
        <v>2E-3</v>
      </c>
      <c r="W204" s="165">
        <v>1.9359999999999999E-2</v>
      </c>
      <c r="X204" s="4" t="s">
        <v>434</v>
      </c>
      <c r="Y204" s="4" t="s">
        <v>163</v>
      </c>
      <c r="Z204" s="152">
        <v>412340.64</v>
      </c>
      <c r="AA204" s="152">
        <v>1</v>
      </c>
      <c r="AB204" s="152">
        <v>101.27</v>
      </c>
      <c r="AD204" s="152">
        <v>417.577</v>
      </c>
      <c r="AG204" s="2" t="s">
        <v>37</v>
      </c>
      <c r="AH204" s="165">
        <v>9.5000000000000005E-5</v>
      </c>
      <c r="AI204" s="165">
        <v>3.02876133954782E-2</v>
      </c>
      <c r="AJ204" s="165">
        <v>7.3875586915279397E-3</v>
      </c>
    </row>
    <row r="205" spans="1:36">
      <c r="A205" s="2" t="s">
        <v>26</v>
      </c>
      <c r="B205" s="2">
        <v>1451</v>
      </c>
      <c r="C205" s="2" t="s">
        <v>2083</v>
      </c>
      <c r="D205" s="2" t="s">
        <v>2084</v>
      </c>
      <c r="E205" s="4" t="s">
        <v>1347</v>
      </c>
      <c r="F205" s="2" t="s">
        <v>2088</v>
      </c>
      <c r="G205" s="2" t="s">
        <v>2089</v>
      </c>
      <c r="H205" s="2" t="s">
        <v>342</v>
      </c>
      <c r="I205" s="2" t="s">
        <v>777</v>
      </c>
      <c r="J205" s="2" t="s">
        <v>31</v>
      </c>
      <c r="K205" s="2" t="s">
        <v>31</v>
      </c>
      <c r="L205" s="2" t="s">
        <v>348</v>
      </c>
      <c r="M205" s="2" t="s">
        <v>40</v>
      </c>
      <c r="N205" s="2" t="s">
        <v>468</v>
      </c>
      <c r="O205" s="2" t="s">
        <v>163</v>
      </c>
      <c r="P205" s="2" t="s">
        <v>128</v>
      </c>
      <c r="Q205" s="2" t="s">
        <v>437</v>
      </c>
      <c r="R205" s="2" t="s">
        <v>428</v>
      </c>
      <c r="S205" s="2" t="s">
        <v>35</v>
      </c>
      <c r="T205" s="152">
        <v>5.62</v>
      </c>
      <c r="U205" s="2" t="s">
        <v>2090</v>
      </c>
      <c r="V205" s="163">
        <v>2.47E-2</v>
      </c>
      <c r="W205" s="165">
        <v>2.0109999999999999E-2</v>
      </c>
      <c r="X205" s="4" t="s">
        <v>434</v>
      </c>
      <c r="Y205" s="4" t="s">
        <v>163</v>
      </c>
      <c r="Z205" s="152">
        <v>150000</v>
      </c>
      <c r="AA205" s="152">
        <v>1</v>
      </c>
      <c r="AB205" s="152">
        <v>101.35</v>
      </c>
      <c r="AD205" s="152">
        <v>152.02500000000001</v>
      </c>
      <c r="AG205" s="2" t="s">
        <v>37</v>
      </c>
      <c r="AH205" s="165">
        <v>9.6000000000000002E-5</v>
      </c>
      <c r="AI205" s="165">
        <v>1.10266379357261E-2</v>
      </c>
      <c r="AJ205" s="165">
        <v>2.6895461803724098E-3</v>
      </c>
    </row>
    <row r="206" spans="1:36">
      <c r="A206" s="2" t="s">
        <v>26</v>
      </c>
      <c r="B206" s="2">
        <v>1451</v>
      </c>
      <c r="C206" s="2" t="s">
        <v>1760</v>
      </c>
      <c r="D206" s="2" t="s">
        <v>1761</v>
      </c>
      <c r="E206" s="4" t="s">
        <v>1347</v>
      </c>
      <c r="F206" s="2" t="s">
        <v>2091</v>
      </c>
      <c r="G206" s="2" t="s">
        <v>2092</v>
      </c>
      <c r="H206" s="2" t="s">
        <v>342</v>
      </c>
      <c r="I206" s="2" t="s">
        <v>990</v>
      </c>
      <c r="J206" s="2" t="s">
        <v>31</v>
      </c>
      <c r="K206" s="2" t="s">
        <v>31</v>
      </c>
      <c r="L206" s="2" t="s">
        <v>348</v>
      </c>
      <c r="M206" s="2" t="s">
        <v>40</v>
      </c>
      <c r="N206" s="2" t="s">
        <v>457</v>
      </c>
      <c r="O206" s="2" t="s">
        <v>163</v>
      </c>
      <c r="P206" s="2" t="s">
        <v>2010</v>
      </c>
      <c r="Q206" s="2" t="s">
        <v>437</v>
      </c>
      <c r="R206" s="2" t="s">
        <v>428</v>
      </c>
      <c r="S206" s="2" t="s">
        <v>35</v>
      </c>
      <c r="T206" s="152">
        <v>2.258</v>
      </c>
      <c r="U206" s="2" t="s">
        <v>2093</v>
      </c>
      <c r="V206" s="163">
        <v>0.05</v>
      </c>
      <c r="W206" s="165">
        <v>4.8189999999999997E-2</v>
      </c>
      <c r="X206" s="4" t="s">
        <v>434</v>
      </c>
      <c r="Y206" s="4" t="s">
        <v>163</v>
      </c>
      <c r="Z206" s="152">
        <v>166666.74</v>
      </c>
      <c r="AA206" s="152">
        <v>1</v>
      </c>
      <c r="AB206" s="152">
        <v>100.95</v>
      </c>
      <c r="AD206" s="152">
        <v>168.25</v>
      </c>
      <c r="AG206" s="2" t="s">
        <v>37</v>
      </c>
      <c r="AH206" s="165">
        <v>4.9799999999999996E-4</v>
      </c>
      <c r="AI206" s="165">
        <v>1.2203470804064601E-2</v>
      </c>
      <c r="AJ206" s="165">
        <v>2.9765916392354001E-3</v>
      </c>
    </row>
    <row r="207" spans="1:36">
      <c r="A207" s="2" t="s">
        <v>26</v>
      </c>
      <c r="B207" s="2">
        <v>1451</v>
      </c>
      <c r="C207" s="2" t="s">
        <v>2094</v>
      </c>
      <c r="D207" s="2" t="s">
        <v>2095</v>
      </c>
      <c r="E207" s="4" t="s">
        <v>1347</v>
      </c>
      <c r="F207" s="2" t="s">
        <v>2096</v>
      </c>
      <c r="G207" s="2" t="s">
        <v>2097</v>
      </c>
      <c r="H207" s="2" t="s">
        <v>342</v>
      </c>
      <c r="I207" s="2" t="s">
        <v>777</v>
      </c>
      <c r="J207" s="2" t="s">
        <v>31</v>
      </c>
      <c r="K207" s="2" t="s">
        <v>31</v>
      </c>
      <c r="L207" s="2" t="s">
        <v>348</v>
      </c>
      <c r="M207" s="2" t="s">
        <v>40</v>
      </c>
      <c r="N207" s="2" t="s">
        <v>484</v>
      </c>
      <c r="O207" s="2" t="s">
        <v>163</v>
      </c>
      <c r="P207" s="2" t="s">
        <v>2098</v>
      </c>
      <c r="Q207" s="2" t="s">
        <v>435</v>
      </c>
      <c r="R207" s="2" t="s">
        <v>428</v>
      </c>
      <c r="S207" s="2" t="s">
        <v>35</v>
      </c>
      <c r="T207" s="152">
        <v>3.2709999999999999</v>
      </c>
      <c r="U207" s="2" t="s">
        <v>2099</v>
      </c>
      <c r="V207" s="163">
        <v>1.7999999999999999E-2</v>
      </c>
      <c r="W207" s="165">
        <v>2.4129999999999999E-2</v>
      </c>
      <c r="X207" s="4" t="s">
        <v>434</v>
      </c>
      <c r="Y207" s="4" t="s">
        <v>163</v>
      </c>
      <c r="Z207" s="152">
        <v>207003.74</v>
      </c>
      <c r="AA207" s="152">
        <v>1</v>
      </c>
      <c r="AB207" s="152">
        <v>110.59</v>
      </c>
      <c r="AD207" s="152">
        <v>228.92500000000001</v>
      </c>
      <c r="AG207" s="2" t="s">
        <v>37</v>
      </c>
      <c r="AH207" s="165">
        <v>2.4699999999999999E-4</v>
      </c>
      <c r="AI207" s="165">
        <v>1.6604360452412401E-2</v>
      </c>
      <c r="AJ207" s="165">
        <v>4.0500281674816603E-3</v>
      </c>
    </row>
    <row r="208" spans="1:36">
      <c r="A208" s="2" t="s">
        <v>26</v>
      </c>
      <c r="B208" s="2">
        <v>1451</v>
      </c>
      <c r="C208" s="2" t="s">
        <v>2094</v>
      </c>
      <c r="D208" s="2" t="s">
        <v>2095</v>
      </c>
      <c r="E208" s="4" t="s">
        <v>1347</v>
      </c>
      <c r="F208" s="2" t="s">
        <v>2100</v>
      </c>
      <c r="G208" s="2" t="s">
        <v>2101</v>
      </c>
      <c r="H208" s="2" t="s">
        <v>342</v>
      </c>
      <c r="I208" s="2" t="s">
        <v>777</v>
      </c>
      <c r="J208" s="2" t="s">
        <v>31</v>
      </c>
      <c r="K208" s="2" t="s">
        <v>31</v>
      </c>
      <c r="L208" s="2" t="s">
        <v>348</v>
      </c>
      <c r="M208" s="2" t="s">
        <v>40</v>
      </c>
      <c r="N208" s="2" t="s">
        <v>484</v>
      </c>
      <c r="O208" s="2" t="s">
        <v>163</v>
      </c>
      <c r="P208" s="2" t="s">
        <v>2102</v>
      </c>
      <c r="Q208" s="2" t="s">
        <v>435</v>
      </c>
      <c r="R208" s="2" t="s">
        <v>428</v>
      </c>
      <c r="S208" s="2" t="s">
        <v>35</v>
      </c>
      <c r="T208" s="152">
        <v>1.696</v>
      </c>
      <c r="U208" s="2" t="s">
        <v>2077</v>
      </c>
      <c r="V208" s="163">
        <v>2.2499999999999999E-2</v>
      </c>
      <c r="W208" s="165">
        <v>3.1060000000000001E-2</v>
      </c>
      <c r="X208" s="4" t="s">
        <v>434</v>
      </c>
      <c r="Y208" s="4" t="s">
        <v>163</v>
      </c>
      <c r="Z208" s="152">
        <v>80000.009999999995</v>
      </c>
      <c r="AA208" s="152">
        <v>1</v>
      </c>
      <c r="AB208" s="152">
        <v>110.87</v>
      </c>
      <c r="AD208" s="152">
        <v>88.695999999999998</v>
      </c>
      <c r="AG208" s="2" t="s">
        <v>37</v>
      </c>
      <c r="AH208" s="165">
        <v>1.6699999999999999E-4</v>
      </c>
      <c r="AI208" s="165">
        <v>6.4332761098470203E-3</v>
      </c>
      <c r="AJ208" s="165">
        <v>1.5691630839224501E-3</v>
      </c>
    </row>
    <row r="209" spans="1:36">
      <c r="A209" s="2" t="s">
        <v>26</v>
      </c>
      <c r="B209" s="2">
        <v>1451</v>
      </c>
      <c r="C209" s="2" t="s">
        <v>1644</v>
      </c>
      <c r="D209" s="2" t="s">
        <v>1645</v>
      </c>
      <c r="E209" s="4" t="s">
        <v>1347</v>
      </c>
      <c r="F209" s="2" t="s">
        <v>2103</v>
      </c>
      <c r="G209" s="2" t="s">
        <v>2104</v>
      </c>
      <c r="H209" s="2" t="s">
        <v>342</v>
      </c>
      <c r="I209" s="2" t="s">
        <v>777</v>
      </c>
      <c r="J209" s="2" t="s">
        <v>31</v>
      </c>
      <c r="K209" s="2" t="s">
        <v>31</v>
      </c>
      <c r="L209" s="2" t="s">
        <v>348</v>
      </c>
      <c r="M209" s="2" t="s">
        <v>40</v>
      </c>
      <c r="N209" s="2" t="s">
        <v>465</v>
      </c>
      <c r="O209" s="2" t="s">
        <v>163</v>
      </c>
      <c r="P209" s="2" t="s">
        <v>2022</v>
      </c>
      <c r="Q209" s="2" t="s">
        <v>437</v>
      </c>
      <c r="R209" s="2" t="s">
        <v>428</v>
      </c>
      <c r="S209" s="2" t="s">
        <v>35</v>
      </c>
      <c r="T209" s="152">
        <v>4.7969999999999997</v>
      </c>
      <c r="U209" s="2" t="s">
        <v>2105</v>
      </c>
      <c r="V209" s="163">
        <v>4.4000000000000003E-3</v>
      </c>
      <c r="W209" s="165">
        <v>2.2110000000000001E-2</v>
      </c>
      <c r="X209" s="4" t="s">
        <v>434</v>
      </c>
      <c r="Y209" s="4" t="s">
        <v>163</v>
      </c>
      <c r="Z209" s="152">
        <v>104903.63</v>
      </c>
      <c r="AA209" s="152">
        <v>1</v>
      </c>
      <c r="AB209" s="152">
        <v>102.43</v>
      </c>
      <c r="AD209" s="152">
        <v>107.453</v>
      </c>
      <c r="AG209" s="2" t="s">
        <v>37</v>
      </c>
      <c r="AH209" s="165">
        <v>1.3899999999999999E-4</v>
      </c>
      <c r="AI209" s="165">
        <v>7.7937378113132599E-3</v>
      </c>
      <c r="AJ209" s="165">
        <v>1.90099809964073E-3</v>
      </c>
    </row>
    <row r="210" spans="1:36">
      <c r="A210" s="2" t="s">
        <v>26</v>
      </c>
      <c r="B210" s="2">
        <v>1451</v>
      </c>
      <c r="C210" s="2" t="s">
        <v>1764</v>
      </c>
      <c r="D210" s="2" t="s">
        <v>1765</v>
      </c>
      <c r="E210" s="4" t="s">
        <v>1347</v>
      </c>
      <c r="F210" s="2" t="s">
        <v>2117</v>
      </c>
      <c r="G210" s="2" t="s">
        <v>2118</v>
      </c>
      <c r="H210" s="2" t="s">
        <v>342</v>
      </c>
      <c r="I210" s="2" t="s">
        <v>990</v>
      </c>
      <c r="J210" s="2" t="s">
        <v>31</v>
      </c>
      <c r="K210" s="2" t="s">
        <v>31</v>
      </c>
      <c r="L210" s="2" t="s">
        <v>348</v>
      </c>
      <c r="M210" s="2" t="s">
        <v>40</v>
      </c>
      <c r="N210" s="2" t="s">
        <v>465</v>
      </c>
      <c r="O210" s="2" t="s">
        <v>163</v>
      </c>
      <c r="P210" s="2" t="s">
        <v>2022</v>
      </c>
      <c r="Q210" s="2" t="s">
        <v>437</v>
      </c>
      <c r="R210" s="2" t="s">
        <v>428</v>
      </c>
      <c r="S210" s="2" t="s">
        <v>35</v>
      </c>
      <c r="T210" s="152">
        <v>5.2210000000000001</v>
      </c>
      <c r="U210" s="2" t="s">
        <v>2119</v>
      </c>
      <c r="V210" s="163">
        <v>1.95E-2</v>
      </c>
      <c r="W210" s="165">
        <v>5.008E-2</v>
      </c>
      <c r="X210" s="4" t="s">
        <v>434</v>
      </c>
      <c r="Y210" s="4" t="s">
        <v>163</v>
      </c>
      <c r="Z210" s="152">
        <v>172803.23</v>
      </c>
      <c r="AA210" s="152">
        <v>1</v>
      </c>
      <c r="AB210" s="152">
        <v>85.74</v>
      </c>
      <c r="AD210" s="152">
        <v>148.161</v>
      </c>
      <c r="AG210" s="2" t="s">
        <v>37</v>
      </c>
      <c r="AH210" s="165">
        <v>1.5200000000000001E-4</v>
      </c>
      <c r="AI210" s="165">
        <v>1.0746410785421901E-2</v>
      </c>
      <c r="AJ210" s="165">
        <v>2.6211949870050101E-3</v>
      </c>
    </row>
    <row r="211" spans="1:36">
      <c r="A211" s="2" t="s">
        <v>26</v>
      </c>
      <c r="B211" s="2">
        <v>1451</v>
      </c>
      <c r="C211" s="2" t="s">
        <v>2507</v>
      </c>
      <c r="D211" s="2" t="s">
        <v>2508</v>
      </c>
      <c r="E211" s="4" t="s">
        <v>1347</v>
      </c>
      <c r="F211" s="2" t="s">
        <v>2509</v>
      </c>
      <c r="G211" s="2" t="s">
        <v>2510</v>
      </c>
      <c r="H211" s="2" t="s">
        <v>342</v>
      </c>
      <c r="I211" s="2" t="s">
        <v>990</v>
      </c>
      <c r="J211" s="2" t="s">
        <v>31</v>
      </c>
      <c r="K211" s="2" t="s">
        <v>31</v>
      </c>
      <c r="L211" s="2" t="s">
        <v>348</v>
      </c>
      <c r="M211" s="2" t="s">
        <v>40</v>
      </c>
      <c r="N211" s="2" t="s">
        <v>484</v>
      </c>
      <c r="O211" s="2" t="s">
        <v>163</v>
      </c>
      <c r="P211" s="2" t="s">
        <v>1991</v>
      </c>
      <c r="Q211" s="2" t="s">
        <v>435</v>
      </c>
      <c r="R211" s="2" t="s">
        <v>428</v>
      </c>
      <c r="S211" s="2" t="s">
        <v>35</v>
      </c>
      <c r="T211" s="152">
        <v>0.56000000000000005</v>
      </c>
      <c r="U211" s="2" t="s">
        <v>2511</v>
      </c>
      <c r="V211" s="163">
        <v>2.5499999999999998E-2</v>
      </c>
      <c r="W211" s="165">
        <v>4.9910000000000003E-2</v>
      </c>
      <c r="X211" s="4" t="s">
        <v>434</v>
      </c>
      <c r="Y211" s="4" t="s">
        <v>163</v>
      </c>
      <c r="Z211" s="152">
        <v>21600</v>
      </c>
      <c r="AA211" s="152">
        <v>1</v>
      </c>
      <c r="AB211" s="152">
        <v>99.5</v>
      </c>
      <c r="AD211" s="152">
        <v>21.492000000000001</v>
      </c>
      <c r="AG211" s="2" t="s">
        <v>37</v>
      </c>
      <c r="AH211" s="165">
        <v>1.07E-4</v>
      </c>
      <c r="AI211" s="165">
        <v>1.55885217901414E-3</v>
      </c>
      <c r="AJ211" s="165">
        <v>3.8022513736927398E-4</v>
      </c>
    </row>
    <row r="212" spans="1:36">
      <c r="A212" s="2" t="s">
        <v>26</v>
      </c>
      <c r="B212" s="2">
        <v>1451</v>
      </c>
      <c r="C212" s="2" t="s">
        <v>2120</v>
      </c>
      <c r="D212" s="2" t="s">
        <v>2121</v>
      </c>
      <c r="E212" s="4" t="s">
        <v>1347</v>
      </c>
      <c r="F212" s="2" t="s">
        <v>2512</v>
      </c>
      <c r="G212" s="2" t="s">
        <v>2513</v>
      </c>
      <c r="H212" s="2" t="s">
        <v>342</v>
      </c>
      <c r="I212" s="2" t="s">
        <v>990</v>
      </c>
      <c r="J212" s="2" t="s">
        <v>31</v>
      </c>
      <c r="K212" s="2" t="s">
        <v>31</v>
      </c>
      <c r="L212" s="2" t="s">
        <v>348</v>
      </c>
      <c r="M212" s="2" t="s">
        <v>40</v>
      </c>
      <c r="N212" s="2" t="s">
        <v>471</v>
      </c>
      <c r="O212" s="2" t="s">
        <v>163</v>
      </c>
      <c r="P212" s="2" t="s">
        <v>1975</v>
      </c>
      <c r="Q212" s="2" t="s">
        <v>435</v>
      </c>
      <c r="R212" s="2" t="s">
        <v>428</v>
      </c>
      <c r="S212" s="2" t="s">
        <v>35</v>
      </c>
      <c r="T212" s="152">
        <v>1.4950000000000001</v>
      </c>
      <c r="U212" s="2" t="s">
        <v>2173</v>
      </c>
      <c r="V212" s="163">
        <v>3.5999999999999997E-2</v>
      </c>
      <c r="W212" s="165">
        <v>4.922E-2</v>
      </c>
      <c r="X212" s="4" t="s">
        <v>434</v>
      </c>
      <c r="Y212" s="4" t="s">
        <v>163</v>
      </c>
      <c r="Z212" s="152">
        <v>151724.14000000001</v>
      </c>
      <c r="AA212" s="152">
        <v>1</v>
      </c>
      <c r="AB212" s="152">
        <v>98.18</v>
      </c>
      <c r="AD212" s="152">
        <v>148.96299999999999</v>
      </c>
      <c r="AG212" s="2" t="s">
        <v>37</v>
      </c>
      <c r="AH212" s="165">
        <v>3.7800000000000003E-4</v>
      </c>
      <c r="AI212" s="165">
        <v>1.0804528384251401E-2</v>
      </c>
      <c r="AJ212" s="165">
        <v>2.6353706556771399E-3</v>
      </c>
    </row>
    <row r="213" spans="1:36">
      <c r="A213" s="2" t="s">
        <v>26</v>
      </c>
      <c r="B213" s="2">
        <v>1451</v>
      </c>
      <c r="C213" s="2" t="s">
        <v>2120</v>
      </c>
      <c r="D213" s="2" t="s">
        <v>2121</v>
      </c>
      <c r="E213" s="4" t="s">
        <v>1347</v>
      </c>
      <c r="F213" s="2" t="s">
        <v>2124</v>
      </c>
      <c r="G213" s="2" t="s">
        <v>2125</v>
      </c>
      <c r="H213" s="2" t="s">
        <v>342</v>
      </c>
      <c r="I213" s="2" t="s">
        <v>990</v>
      </c>
      <c r="J213" s="2" t="s">
        <v>31</v>
      </c>
      <c r="K213" s="2" t="s">
        <v>31</v>
      </c>
      <c r="L213" s="2" t="s">
        <v>348</v>
      </c>
      <c r="M213" s="2" t="s">
        <v>40</v>
      </c>
      <c r="N213" s="2" t="s">
        <v>471</v>
      </c>
      <c r="O213" s="2" t="s">
        <v>163</v>
      </c>
      <c r="P213" s="2" t="s">
        <v>1975</v>
      </c>
      <c r="Q213" s="2" t="s">
        <v>435</v>
      </c>
      <c r="R213" s="2" t="s">
        <v>428</v>
      </c>
      <c r="S213" s="2" t="s">
        <v>35</v>
      </c>
      <c r="T213" s="152">
        <v>2.6389999999999998</v>
      </c>
      <c r="U213" s="2" t="s">
        <v>2126</v>
      </c>
      <c r="V213" s="163">
        <v>2.1999999999999999E-2</v>
      </c>
      <c r="W213" s="165">
        <v>4.777E-2</v>
      </c>
      <c r="X213" s="4" t="s">
        <v>434</v>
      </c>
      <c r="Y213" s="4" t="s">
        <v>163</v>
      </c>
      <c r="Z213" s="152">
        <v>440570.4</v>
      </c>
      <c r="AA213" s="152">
        <v>1</v>
      </c>
      <c r="AB213" s="152">
        <v>94.15</v>
      </c>
      <c r="AD213" s="152">
        <v>414.79700000000003</v>
      </c>
      <c r="AG213" s="2" t="s">
        <v>37</v>
      </c>
      <c r="AH213" s="165">
        <v>3.39E-4</v>
      </c>
      <c r="AI213" s="165">
        <v>3.0085950891413402E-2</v>
      </c>
      <c r="AJ213" s="165">
        <v>7.3383704783397197E-3</v>
      </c>
    </row>
    <row r="214" spans="1:36">
      <c r="A214" s="2" t="s">
        <v>26</v>
      </c>
      <c r="B214" s="2">
        <v>1451</v>
      </c>
      <c r="C214" s="2" t="s">
        <v>2127</v>
      </c>
      <c r="D214" s="2" t="s">
        <v>2128</v>
      </c>
      <c r="E214" s="4" t="s">
        <v>1347</v>
      </c>
      <c r="F214" s="2" t="s">
        <v>2129</v>
      </c>
      <c r="G214" s="2" t="s">
        <v>2130</v>
      </c>
      <c r="H214" s="2" t="s">
        <v>342</v>
      </c>
      <c r="I214" s="2" t="s">
        <v>777</v>
      </c>
      <c r="J214" s="2" t="s">
        <v>31</v>
      </c>
      <c r="K214" s="2" t="s">
        <v>31</v>
      </c>
      <c r="L214" s="2" t="s">
        <v>348</v>
      </c>
      <c r="M214" s="2" t="s">
        <v>40</v>
      </c>
      <c r="N214" s="2" t="s">
        <v>460</v>
      </c>
      <c r="O214" s="2" t="s">
        <v>163</v>
      </c>
      <c r="P214" s="2" t="s">
        <v>2131</v>
      </c>
      <c r="Q214" s="2" t="s">
        <v>437</v>
      </c>
      <c r="R214" s="2" t="s">
        <v>428</v>
      </c>
      <c r="S214" s="2" t="s">
        <v>35</v>
      </c>
      <c r="T214" s="152">
        <v>1.383</v>
      </c>
      <c r="U214" s="2" t="s">
        <v>2132</v>
      </c>
      <c r="V214" s="163">
        <v>4.4999999999999998E-2</v>
      </c>
      <c r="W214" s="165">
        <v>1.524E-2</v>
      </c>
      <c r="X214" s="4" t="s">
        <v>434</v>
      </c>
      <c r="Y214" s="4" t="s">
        <v>163</v>
      </c>
      <c r="Z214" s="152">
        <v>236442</v>
      </c>
      <c r="AA214" s="152">
        <v>1</v>
      </c>
      <c r="AB214" s="152">
        <v>118.26</v>
      </c>
      <c r="AD214" s="152">
        <v>279.61599999999999</v>
      </c>
      <c r="AG214" s="2" t="s">
        <v>37</v>
      </c>
      <c r="AH214" s="165">
        <v>8.0000000000000007E-5</v>
      </c>
      <c r="AI214" s="165">
        <v>2.0281057737032902E-2</v>
      </c>
      <c r="AJ214" s="165">
        <v>4.9468243800604604E-3</v>
      </c>
    </row>
    <row r="215" spans="1:36">
      <c r="A215" s="2" t="s">
        <v>26</v>
      </c>
      <c r="B215" s="2">
        <v>1451</v>
      </c>
      <c r="C215" s="2" t="s">
        <v>2127</v>
      </c>
      <c r="D215" s="2" t="s">
        <v>2128</v>
      </c>
      <c r="E215" s="4" t="s">
        <v>1347</v>
      </c>
      <c r="F215" s="2" t="s">
        <v>2133</v>
      </c>
      <c r="G215" s="2" t="s">
        <v>2134</v>
      </c>
      <c r="H215" s="2" t="s">
        <v>342</v>
      </c>
      <c r="I215" s="2" t="s">
        <v>777</v>
      </c>
      <c r="J215" s="2" t="s">
        <v>31</v>
      </c>
      <c r="K215" s="2" t="s">
        <v>31</v>
      </c>
      <c r="L215" s="2" t="s">
        <v>348</v>
      </c>
      <c r="M215" s="2" t="s">
        <v>40</v>
      </c>
      <c r="N215" s="2" t="s">
        <v>460</v>
      </c>
      <c r="O215" s="2" t="s">
        <v>163</v>
      </c>
      <c r="P215" s="2" t="s">
        <v>2131</v>
      </c>
      <c r="Q215" s="2" t="s">
        <v>437</v>
      </c>
      <c r="R215" s="2" t="s">
        <v>428</v>
      </c>
      <c r="S215" s="2" t="s">
        <v>35</v>
      </c>
      <c r="T215" s="152">
        <v>3.883</v>
      </c>
      <c r="U215" s="2" t="s">
        <v>2135</v>
      </c>
      <c r="V215" s="163">
        <v>3.85E-2</v>
      </c>
      <c r="W215" s="165">
        <v>1.95E-2</v>
      </c>
      <c r="X215" s="4" t="s">
        <v>434</v>
      </c>
      <c r="Y215" s="4" t="s">
        <v>163</v>
      </c>
      <c r="Z215" s="152">
        <v>228577.36</v>
      </c>
      <c r="AA215" s="152">
        <v>1</v>
      </c>
      <c r="AB215" s="152">
        <v>120.49</v>
      </c>
      <c r="AC215" s="152">
        <v>7.7990000000000004</v>
      </c>
      <c r="AD215" s="152">
        <v>283.21199999999999</v>
      </c>
      <c r="AG215" s="2" t="s">
        <v>37</v>
      </c>
      <c r="AH215" s="165">
        <v>8.8999999999999995E-5</v>
      </c>
      <c r="AI215" s="165">
        <v>2.0541873309300501E-2</v>
      </c>
      <c r="AJ215" s="165">
        <v>5.0104408269105996E-3</v>
      </c>
    </row>
    <row r="216" spans="1:36">
      <c r="A216" s="2" t="s">
        <v>26</v>
      </c>
      <c r="B216" s="2">
        <v>1451</v>
      </c>
      <c r="C216" s="2" t="s">
        <v>2127</v>
      </c>
      <c r="D216" s="2" t="s">
        <v>2128</v>
      </c>
      <c r="E216" s="4" t="s">
        <v>1347</v>
      </c>
      <c r="F216" s="2" t="s">
        <v>2139</v>
      </c>
      <c r="G216" s="2" t="s">
        <v>2140</v>
      </c>
      <c r="H216" s="2" t="s">
        <v>342</v>
      </c>
      <c r="I216" s="2" t="s">
        <v>777</v>
      </c>
      <c r="J216" s="2" t="s">
        <v>31</v>
      </c>
      <c r="K216" s="2" t="s">
        <v>31</v>
      </c>
      <c r="L216" s="2" t="s">
        <v>348</v>
      </c>
      <c r="M216" s="2" t="s">
        <v>40</v>
      </c>
      <c r="N216" s="2" t="s">
        <v>460</v>
      </c>
      <c r="O216" s="2" t="s">
        <v>163</v>
      </c>
      <c r="P216" s="2" t="s">
        <v>2131</v>
      </c>
      <c r="Q216" s="2" t="s">
        <v>437</v>
      </c>
      <c r="R216" s="2" t="s">
        <v>428</v>
      </c>
      <c r="S216" s="2" t="s">
        <v>35</v>
      </c>
      <c r="T216" s="152">
        <v>11.125</v>
      </c>
      <c r="U216" s="2" t="s">
        <v>2141</v>
      </c>
      <c r="V216" s="163">
        <v>1.2500000000000001E-2</v>
      </c>
      <c r="W216" s="165">
        <v>2.955E-2</v>
      </c>
      <c r="X216" s="4" t="s">
        <v>434</v>
      </c>
      <c r="Y216" s="4" t="s">
        <v>163</v>
      </c>
      <c r="Z216" s="152">
        <v>155000</v>
      </c>
      <c r="AA216" s="152">
        <v>1</v>
      </c>
      <c r="AB216" s="152">
        <v>92.01</v>
      </c>
      <c r="AD216" s="152">
        <v>142.61500000000001</v>
      </c>
      <c r="AG216" s="2" t="s">
        <v>37</v>
      </c>
      <c r="AH216" s="165">
        <v>3.6000000000000001E-5</v>
      </c>
      <c r="AI216" s="165">
        <v>1.0344150518155199E-2</v>
      </c>
      <c r="AJ216" s="165">
        <v>2.5230782653307198E-3</v>
      </c>
    </row>
    <row r="217" spans="1:36">
      <c r="A217" s="2" t="s">
        <v>26</v>
      </c>
      <c r="B217" s="2">
        <v>1451</v>
      </c>
      <c r="C217" s="2" t="s">
        <v>2127</v>
      </c>
      <c r="D217" s="2" t="s">
        <v>2128</v>
      </c>
      <c r="E217" s="4" t="s">
        <v>1347</v>
      </c>
      <c r="F217" s="2" t="s">
        <v>2142</v>
      </c>
      <c r="G217" s="2" t="s">
        <v>2143</v>
      </c>
      <c r="H217" s="2" t="s">
        <v>342</v>
      </c>
      <c r="I217" s="2" t="s">
        <v>777</v>
      </c>
      <c r="J217" s="2" t="s">
        <v>31</v>
      </c>
      <c r="K217" s="2" t="s">
        <v>31</v>
      </c>
      <c r="L217" s="2" t="s">
        <v>348</v>
      </c>
      <c r="M217" s="2" t="s">
        <v>40</v>
      </c>
      <c r="N217" s="2" t="s">
        <v>460</v>
      </c>
      <c r="O217" s="2" t="s">
        <v>163</v>
      </c>
      <c r="P217" s="2" t="s">
        <v>2131</v>
      </c>
      <c r="Q217" s="2" t="s">
        <v>437</v>
      </c>
      <c r="R217" s="2" t="s">
        <v>428</v>
      </c>
      <c r="S217" s="2" t="s">
        <v>35</v>
      </c>
      <c r="T217" s="152">
        <v>8.06</v>
      </c>
      <c r="U217" s="2" t="s">
        <v>2144</v>
      </c>
      <c r="V217" s="163">
        <v>0.03</v>
      </c>
      <c r="W217" s="165">
        <v>2.7439999999999999E-2</v>
      </c>
      <c r="X217" s="4" t="s">
        <v>434</v>
      </c>
      <c r="Y217" s="4" t="s">
        <v>163</v>
      </c>
      <c r="Z217" s="152">
        <v>148000</v>
      </c>
      <c r="AA217" s="152">
        <v>1</v>
      </c>
      <c r="AB217" s="152">
        <v>104.51</v>
      </c>
      <c r="AD217" s="152">
        <v>154.67500000000001</v>
      </c>
      <c r="AG217" s="2" t="s">
        <v>37</v>
      </c>
      <c r="AH217" s="165">
        <v>5.8E-5</v>
      </c>
      <c r="AI217" s="165">
        <v>1.1218832543205701E-2</v>
      </c>
      <c r="AJ217" s="165">
        <v>2.7364250454850699E-3</v>
      </c>
    </row>
    <row r="218" spans="1:36">
      <c r="A218" s="2" t="s">
        <v>26</v>
      </c>
      <c r="B218" s="2">
        <v>1451</v>
      </c>
      <c r="C218" s="2" t="s">
        <v>1958</v>
      </c>
      <c r="D218" s="2" t="s">
        <v>1959</v>
      </c>
      <c r="E218" s="4" t="s">
        <v>1347</v>
      </c>
      <c r="F218" s="2" t="s">
        <v>2514</v>
      </c>
      <c r="G218" s="2" t="s">
        <v>2515</v>
      </c>
      <c r="H218" s="2" t="s">
        <v>342</v>
      </c>
      <c r="I218" s="2" t="s">
        <v>990</v>
      </c>
      <c r="J218" s="2" t="s">
        <v>31</v>
      </c>
      <c r="K218" s="2" t="s">
        <v>31</v>
      </c>
      <c r="L218" s="2" t="s">
        <v>348</v>
      </c>
      <c r="M218" s="2" t="s">
        <v>40</v>
      </c>
      <c r="N218" s="2" t="s">
        <v>474</v>
      </c>
      <c r="O218" s="2" t="s">
        <v>163</v>
      </c>
      <c r="P218" s="2" t="s">
        <v>1991</v>
      </c>
      <c r="Q218" s="2" t="s">
        <v>435</v>
      </c>
      <c r="R218" s="2" t="s">
        <v>428</v>
      </c>
      <c r="S218" s="2" t="s">
        <v>35</v>
      </c>
      <c r="T218" s="152">
        <v>3.5369999999999999</v>
      </c>
      <c r="U218" s="2" t="s">
        <v>2516</v>
      </c>
      <c r="V218" s="163">
        <v>2.24E-2</v>
      </c>
      <c r="W218" s="165">
        <v>4.8939999999999997E-2</v>
      </c>
      <c r="X218" s="4" t="s">
        <v>434</v>
      </c>
      <c r="Y218" s="4" t="s">
        <v>163</v>
      </c>
      <c r="Z218" s="152">
        <v>127419.36</v>
      </c>
      <c r="AA218" s="152">
        <v>1</v>
      </c>
      <c r="AB218" s="152">
        <v>92.24</v>
      </c>
      <c r="AD218" s="152">
        <v>117.532</v>
      </c>
      <c r="AG218" s="2" t="s">
        <v>37</v>
      </c>
      <c r="AH218" s="165">
        <v>1.9799999999999999E-4</v>
      </c>
      <c r="AI218" s="165">
        <v>8.5247728596027899E-3</v>
      </c>
      <c r="AJ218" s="165">
        <v>2.07930743865287E-3</v>
      </c>
    </row>
    <row r="219" spans="1:36">
      <c r="A219" s="2" t="s">
        <v>26</v>
      </c>
      <c r="B219" s="2">
        <v>1451</v>
      </c>
      <c r="C219" s="2" t="s">
        <v>1958</v>
      </c>
      <c r="D219" s="2" t="s">
        <v>1959</v>
      </c>
      <c r="E219" s="4" t="s">
        <v>1347</v>
      </c>
      <c r="F219" s="2" t="s">
        <v>2145</v>
      </c>
      <c r="G219" s="2" t="s">
        <v>2146</v>
      </c>
      <c r="H219" s="2" t="s">
        <v>342</v>
      </c>
      <c r="I219" s="2" t="s">
        <v>778</v>
      </c>
      <c r="J219" s="2" t="s">
        <v>31</v>
      </c>
      <c r="K219" s="2" t="s">
        <v>31</v>
      </c>
      <c r="L219" s="2" t="s">
        <v>348</v>
      </c>
      <c r="M219" s="2" t="s">
        <v>40</v>
      </c>
      <c r="N219" s="2" t="s">
        <v>474</v>
      </c>
      <c r="O219" s="2" t="s">
        <v>163</v>
      </c>
      <c r="P219" s="2" t="s">
        <v>1991</v>
      </c>
      <c r="Q219" s="2" t="s">
        <v>435</v>
      </c>
      <c r="R219" s="2" t="s">
        <v>428</v>
      </c>
      <c r="S219" s="2" t="s">
        <v>35</v>
      </c>
      <c r="T219" s="152">
        <v>0.76</v>
      </c>
      <c r="U219" s="2" t="s">
        <v>2147</v>
      </c>
      <c r="V219" s="163">
        <v>3.49E-2</v>
      </c>
      <c r="W219" s="165">
        <v>6.6479999999999997E-2</v>
      </c>
      <c r="X219" s="4" t="s">
        <v>434</v>
      </c>
      <c r="Y219" s="4" t="s">
        <v>163</v>
      </c>
      <c r="Z219" s="152">
        <v>130495.1</v>
      </c>
      <c r="AA219" s="152">
        <v>1</v>
      </c>
      <c r="AB219" s="152">
        <v>101.56</v>
      </c>
      <c r="AD219" s="152">
        <v>132.53100000000001</v>
      </c>
      <c r="AG219" s="2" t="s">
        <v>37</v>
      </c>
      <c r="AH219" s="165">
        <v>1.55E-4</v>
      </c>
      <c r="AI219" s="165">
        <v>9.6126913778635994E-3</v>
      </c>
      <c r="AJ219" s="165">
        <v>2.3446654845414102E-3</v>
      </c>
    </row>
    <row r="220" spans="1:36">
      <c r="A220" s="2" t="s">
        <v>26</v>
      </c>
      <c r="B220" s="2">
        <v>1451</v>
      </c>
      <c r="C220" s="2" t="s">
        <v>2148</v>
      </c>
      <c r="D220" s="2" t="s">
        <v>2149</v>
      </c>
      <c r="E220" s="4" t="s">
        <v>1347</v>
      </c>
      <c r="F220" s="2" t="s">
        <v>2150</v>
      </c>
      <c r="G220" s="2" t="s">
        <v>2151</v>
      </c>
      <c r="H220" s="2" t="s">
        <v>342</v>
      </c>
      <c r="I220" s="2" t="s">
        <v>777</v>
      </c>
      <c r="J220" s="2" t="s">
        <v>31</v>
      </c>
      <c r="K220" s="2" t="s">
        <v>31</v>
      </c>
      <c r="L220" s="2" t="s">
        <v>348</v>
      </c>
      <c r="M220" s="2" t="s">
        <v>40</v>
      </c>
      <c r="N220" s="2" t="s">
        <v>484</v>
      </c>
      <c r="O220" s="2" t="s">
        <v>163</v>
      </c>
      <c r="P220" s="2" t="s">
        <v>2022</v>
      </c>
      <c r="Q220" s="2" t="s">
        <v>437</v>
      </c>
      <c r="R220" s="2" t="s">
        <v>428</v>
      </c>
      <c r="S220" s="2" t="s">
        <v>35</v>
      </c>
      <c r="T220" s="152">
        <v>2.5910000000000002</v>
      </c>
      <c r="U220" s="2" t="s">
        <v>2152</v>
      </c>
      <c r="V220" s="163">
        <v>1.5800000000000002E-2</v>
      </c>
      <c r="W220" s="165">
        <v>2.0109999999999999E-2</v>
      </c>
      <c r="X220" s="4" t="s">
        <v>434</v>
      </c>
      <c r="Y220" s="4" t="s">
        <v>163</v>
      </c>
      <c r="Z220" s="152">
        <v>79010.289999999994</v>
      </c>
      <c r="AA220" s="152">
        <v>1</v>
      </c>
      <c r="AB220" s="152">
        <v>112.1</v>
      </c>
      <c r="AD220" s="152">
        <v>88.570999999999998</v>
      </c>
      <c r="AG220" s="2" t="s">
        <v>37</v>
      </c>
      <c r="AH220" s="165">
        <v>1.7000000000000001E-4</v>
      </c>
      <c r="AI220" s="165">
        <v>6.4241751173224797E-3</v>
      </c>
      <c r="AJ220" s="165">
        <v>1.5669432287114E-3</v>
      </c>
    </row>
    <row r="221" spans="1:36">
      <c r="A221" s="2" t="s">
        <v>26</v>
      </c>
      <c r="B221" s="2">
        <v>1451</v>
      </c>
      <c r="C221" s="2" t="s">
        <v>2153</v>
      </c>
      <c r="D221" s="2" t="s">
        <v>2154</v>
      </c>
      <c r="E221" s="4" t="s">
        <v>1347</v>
      </c>
      <c r="F221" s="2" t="s">
        <v>2155</v>
      </c>
      <c r="G221" s="2" t="s">
        <v>2156</v>
      </c>
      <c r="H221" s="2" t="s">
        <v>342</v>
      </c>
      <c r="I221" s="2" t="s">
        <v>990</v>
      </c>
      <c r="J221" s="2" t="s">
        <v>31</v>
      </c>
      <c r="K221" s="2" t="s">
        <v>31</v>
      </c>
      <c r="L221" s="2" t="s">
        <v>348</v>
      </c>
      <c r="M221" s="2" t="s">
        <v>40</v>
      </c>
      <c r="N221" s="2" t="s">
        <v>465</v>
      </c>
      <c r="O221" s="2" t="s">
        <v>163</v>
      </c>
      <c r="P221" s="2" t="s">
        <v>2010</v>
      </c>
      <c r="Q221" s="2" t="s">
        <v>437</v>
      </c>
      <c r="R221" s="2" t="s">
        <v>428</v>
      </c>
      <c r="S221" s="2" t="s">
        <v>35</v>
      </c>
      <c r="T221" s="152">
        <v>5.5540000000000003</v>
      </c>
      <c r="U221" s="2" t="s">
        <v>87</v>
      </c>
      <c r="V221" s="163">
        <v>2.64E-2</v>
      </c>
      <c r="W221" s="165">
        <v>5.0410000000000003E-2</v>
      </c>
      <c r="X221" s="4" t="s">
        <v>434</v>
      </c>
      <c r="Y221" s="4" t="s">
        <v>163</v>
      </c>
      <c r="Z221" s="152">
        <v>150000.21</v>
      </c>
      <c r="AA221" s="152">
        <v>1</v>
      </c>
      <c r="AB221" s="152">
        <v>88.01</v>
      </c>
      <c r="AD221" s="152">
        <v>132.01499999999999</v>
      </c>
      <c r="AG221" s="2" t="s">
        <v>37</v>
      </c>
      <c r="AH221" s="165">
        <v>9.2E-5</v>
      </c>
      <c r="AI221" s="165">
        <v>9.5752912023622794E-3</v>
      </c>
      <c r="AJ221" s="165">
        <v>2.3355430757209601E-3</v>
      </c>
    </row>
    <row r="222" spans="1:36">
      <c r="A222" s="2" t="s">
        <v>26</v>
      </c>
      <c r="B222" s="2">
        <v>1451</v>
      </c>
      <c r="C222" s="2" t="s">
        <v>1200</v>
      </c>
      <c r="D222" s="2" t="s">
        <v>1660</v>
      </c>
      <c r="E222" s="4" t="s">
        <v>1347</v>
      </c>
      <c r="F222" s="2" t="s">
        <v>2160</v>
      </c>
      <c r="G222" s="2" t="s">
        <v>2161</v>
      </c>
      <c r="H222" s="2" t="s">
        <v>342</v>
      </c>
      <c r="I222" s="2" t="s">
        <v>777</v>
      </c>
      <c r="J222" s="2" t="s">
        <v>31</v>
      </c>
      <c r="K222" s="2" t="s">
        <v>31</v>
      </c>
      <c r="L222" s="2" t="s">
        <v>348</v>
      </c>
      <c r="M222" s="2" t="s">
        <v>40</v>
      </c>
      <c r="N222" s="2" t="s">
        <v>468</v>
      </c>
      <c r="O222" s="2" t="s">
        <v>163</v>
      </c>
      <c r="P222" s="2" t="s">
        <v>128</v>
      </c>
      <c r="Q222" s="2" t="s">
        <v>437</v>
      </c>
      <c r="R222" s="2" t="s">
        <v>428</v>
      </c>
      <c r="S222" s="2" t="s">
        <v>35</v>
      </c>
      <c r="T222" s="152">
        <v>1.23</v>
      </c>
      <c r="U222" s="2" t="s">
        <v>2110</v>
      </c>
      <c r="V222" s="163">
        <v>8.3000000000000001E-3</v>
      </c>
      <c r="W222" s="165">
        <v>1.3979999999999999E-2</v>
      </c>
      <c r="X222" s="4" t="s">
        <v>434</v>
      </c>
      <c r="Y222" s="4" t="s">
        <v>163</v>
      </c>
      <c r="Z222" s="152">
        <v>344426</v>
      </c>
      <c r="AA222" s="152">
        <v>1</v>
      </c>
      <c r="AB222" s="152">
        <v>111.66</v>
      </c>
      <c r="AD222" s="152">
        <v>384.58600000000001</v>
      </c>
      <c r="AG222" s="2" t="s">
        <v>37</v>
      </c>
      <c r="AH222" s="165">
        <v>1.13E-4</v>
      </c>
      <c r="AI222" s="165">
        <v>2.78946973633049E-2</v>
      </c>
      <c r="AJ222" s="165">
        <v>6.8038940956830201E-3</v>
      </c>
    </row>
    <row r="223" spans="1:36">
      <c r="A223" s="2" t="s">
        <v>26</v>
      </c>
      <c r="B223" s="2">
        <v>1451</v>
      </c>
      <c r="C223" s="2" t="s">
        <v>1200</v>
      </c>
      <c r="D223" s="2" t="s">
        <v>1660</v>
      </c>
      <c r="E223" s="4" t="s">
        <v>1347</v>
      </c>
      <c r="F223" s="2" t="s">
        <v>2162</v>
      </c>
      <c r="G223" s="2" t="s">
        <v>2163</v>
      </c>
      <c r="H223" s="2" t="s">
        <v>342</v>
      </c>
      <c r="I223" s="2" t="s">
        <v>777</v>
      </c>
      <c r="J223" s="2" t="s">
        <v>31</v>
      </c>
      <c r="K223" s="2" t="s">
        <v>31</v>
      </c>
      <c r="L223" s="2" t="s">
        <v>348</v>
      </c>
      <c r="M223" s="2" t="s">
        <v>40</v>
      </c>
      <c r="N223" s="2" t="s">
        <v>468</v>
      </c>
      <c r="O223" s="2" t="s">
        <v>163</v>
      </c>
      <c r="P223" s="2" t="s">
        <v>1202</v>
      </c>
      <c r="Q223" s="2" t="s">
        <v>435</v>
      </c>
      <c r="R223" s="2" t="s">
        <v>428</v>
      </c>
      <c r="S223" s="2" t="s">
        <v>35</v>
      </c>
      <c r="T223" s="152">
        <v>3.6459999999999999</v>
      </c>
      <c r="U223" s="2" t="s">
        <v>2164</v>
      </c>
      <c r="V223" s="163">
        <v>1E-3</v>
      </c>
      <c r="W223" s="165">
        <v>1.8010000000000002E-2</v>
      </c>
      <c r="X223" s="4" t="s">
        <v>434</v>
      </c>
      <c r="Y223" s="4" t="s">
        <v>163</v>
      </c>
      <c r="Z223" s="152">
        <v>400000</v>
      </c>
      <c r="AA223" s="152">
        <v>1</v>
      </c>
      <c r="AB223" s="152">
        <v>102.55</v>
      </c>
      <c r="AD223" s="152">
        <v>410.2</v>
      </c>
      <c r="AG223" s="2" t="s">
        <v>37</v>
      </c>
      <c r="AH223" s="165">
        <v>1.27E-4</v>
      </c>
      <c r="AI223" s="165">
        <v>2.9752520185724898E-2</v>
      </c>
      <c r="AJ223" s="165">
        <v>7.2570422179823397E-3</v>
      </c>
    </row>
    <row r="224" spans="1:36">
      <c r="A224" s="2" t="s">
        <v>26</v>
      </c>
      <c r="B224" s="2">
        <v>1451</v>
      </c>
      <c r="C224" s="2" t="s">
        <v>1200</v>
      </c>
      <c r="D224" s="2" t="s">
        <v>1660</v>
      </c>
      <c r="E224" s="4" t="s">
        <v>1347</v>
      </c>
      <c r="F224" s="2" t="s">
        <v>2165</v>
      </c>
      <c r="G224" s="2" t="s">
        <v>2166</v>
      </c>
      <c r="H224" s="2" t="s">
        <v>342</v>
      </c>
      <c r="I224" s="2" t="s">
        <v>777</v>
      </c>
      <c r="J224" s="2" t="s">
        <v>31</v>
      </c>
      <c r="K224" s="2" t="s">
        <v>31</v>
      </c>
      <c r="L224" s="2" t="s">
        <v>348</v>
      </c>
      <c r="M224" s="2" t="s">
        <v>40</v>
      </c>
      <c r="N224" s="2" t="s">
        <v>468</v>
      </c>
      <c r="O224" s="2" t="s">
        <v>163</v>
      </c>
      <c r="P224" s="2" t="s">
        <v>1202</v>
      </c>
      <c r="Q224" s="2" t="s">
        <v>435</v>
      </c>
      <c r="R224" s="2" t="s">
        <v>428</v>
      </c>
      <c r="S224" s="2" t="s">
        <v>35</v>
      </c>
      <c r="T224" s="152">
        <v>5.54</v>
      </c>
      <c r="U224" s="2" t="s">
        <v>2167</v>
      </c>
      <c r="V224" s="163">
        <v>2.0199999999999999E-2</v>
      </c>
      <c r="W224" s="165">
        <v>2.0369999999999999E-2</v>
      </c>
      <c r="X224" s="4" t="s">
        <v>434</v>
      </c>
      <c r="Y224" s="4" t="s">
        <v>163</v>
      </c>
      <c r="Z224" s="152">
        <v>300000</v>
      </c>
      <c r="AA224" s="152">
        <v>1</v>
      </c>
      <c r="AB224" s="152">
        <v>100.75</v>
      </c>
      <c r="AD224" s="152">
        <v>302.25</v>
      </c>
      <c r="AG224" s="2" t="s">
        <v>37</v>
      </c>
      <c r="AH224" s="165">
        <v>1.4100000000000001E-4</v>
      </c>
      <c r="AI224" s="165">
        <v>2.1922718737531401E-2</v>
      </c>
      <c r="AJ224" s="165">
        <v>5.3472477093738698E-3</v>
      </c>
    </row>
    <row r="225" spans="1:36">
      <c r="A225" s="2" t="s">
        <v>26</v>
      </c>
      <c r="B225" s="2">
        <v>1451</v>
      </c>
      <c r="C225" s="2" t="s">
        <v>1200</v>
      </c>
      <c r="D225" s="2" t="s">
        <v>1660</v>
      </c>
      <c r="E225" s="4" t="s">
        <v>1347</v>
      </c>
      <c r="F225" s="2" t="s">
        <v>2168</v>
      </c>
      <c r="G225" s="2" t="s">
        <v>2169</v>
      </c>
      <c r="H225" s="2" t="s">
        <v>342</v>
      </c>
      <c r="I225" s="2" t="s">
        <v>777</v>
      </c>
      <c r="J225" s="2" t="s">
        <v>31</v>
      </c>
      <c r="K225" s="2" t="s">
        <v>31</v>
      </c>
      <c r="L225" s="2" t="s">
        <v>348</v>
      </c>
      <c r="M225" s="2" t="s">
        <v>40</v>
      </c>
      <c r="N225" s="2" t="s">
        <v>468</v>
      </c>
      <c r="O225" s="2" t="s">
        <v>163</v>
      </c>
      <c r="P225" s="2" t="s">
        <v>1202</v>
      </c>
      <c r="Q225" s="2" t="s">
        <v>435</v>
      </c>
      <c r="R225" s="2" t="s">
        <v>428</v>
      </c>
      <c r="S225" s="2" t="s">
        <v>35</v>
      </c>
      <c r="T225" s="152">
        <v>5.6390000000000002</v>
      </c>
      <c r="U225" s="2" t="s">
        <v>2170</v>
      </c>
      <c r="V225" s="163">
        <v>1E-3</v>
      </c>
      <c r="W225" s="165">
        <v>2.069E-2</v>
      </c>
      <c r="X225" s="4" t="s">
        <v>434</v>
      </c>
      <c r="Y225" s="4" t="s">
        <v>163</v>
      </c>
      <c r="Z225" s="152">
        <v>333000</v>
      </c>
      <c r="AA225" s="152">
        <v>1</v>
      </c>
      <c r="AB225" s="152">
        <v>97.7</v>
      </c>
      <c r="AD225" s="152">
        <v>325.34100000000001</v>
      </c>
      <c r="AG225" s="2" t="s">
        <v>37</v>
      </c>
      <c r="AH225" s="165">
        <v>3.3500000000000001E-4</v>
      </c>
      <c r="AI225" s="165">
        <v>2.3597549170511802E-2</v>
      </c>
      <c r="AJ225" s="165">
        <v>5.7557615120443504E-3</v>
      </c>
    </row>
    <row r="226" spans="1:36">
      <c r="A226" s="2" t="s">
        <v>26</v>
      </c>
      <c r="B226" s="2">
        <v>1451</v>
      </c>
      <c r="C226" s="2" t="s">
        <v>1780</v>
      </c>
      <c r="D226" s="2" t="s">
        <v>1781</v>
      </c>
      <c r="E226" s="4" t="s">
        <v>1347</v>
      </c>
      <c r="F226" s="2" t="s">
        <v>2174</v>
      </c>
      <c r="G226" s="2" t="s">
        <v>2175</v>
      </c>
      <c r="H226" s="2" t="s">
        <v>342</v>
      </c>
      <c r="I226" s="2" t="s">
        <v>990</v>
      </c>
      <c r="J226" s="2" t="s">
        <v>31</v>
      </c>
      <c r="K226" s="2" t="s">
        <v>31</v>
      </c>
      <c r="L226" s="2" t="s">
        <v>348</v>
      </c>
      <c r="M226" s="2" t="s">
        <v>40</v>
      </c>
      <c r="N226" s="2" t="s">
        <v>484</v>
      </c>
      <c r="O226" s="2" t="s">
        <v>163</v>
      </c>
      <c r="P226" s="2" t="s">
        <v>1991</v>
      </c>
      <c r="Q226" s="2" t="s">
        <v>435</v>
      </c>
      <c r="R226" s="2" t="s">
        <v>428</v>
      </c>
      <c r="S226" s="2" t="s">
        <v>35</v>
      </c>
      <c r="T226" s="152">
        <v>2.0840000000000001</v>
      </c>
      <c r="U226" s="2" t="s">
        <v>2126</v>
      </c>
      <c r="V226" s="163">
        <v>5.6500000000000002E-2</v>
      </c>
      <c r="W226" s="165">
        <v>4.6330000000000003E-2</v>
      </c>
      <c r="X226" s="4" t="s">
        <v>434</v>
      </c>
      <c r="Y226" s="4" t="s">
        <v>163</v>
      </c>
      <c r="Z226" s="152">
        <v>45609.57</v>
      </c>
      <c r="AA226" s="152">
        <v>1</v>
      </c>
      <c r="AB226" s="152">
        <v>103.65</v>
      </c>
      <c r="AD226" s="152">
        <v>47.274000000000001</v>
      </c>
      <c r="AG226" s="2" t="s">
        <v>37</v>
      </c>
      <c r="AH226" s="165">
        <v>1.95E-4</v>
      </c>
      <c r="AI226" s="165">
        <v>3.4288886869537302E-3</v>
      </c>
      <c r="AJ226" s="165">
        <v>8.3635234281511999E-4</v>
      </c>
    </row>
    <row r="227" spans="1:36">
      <c r="A227" s="2" t="s">
        <v>26</v>
      </c>
      <c r="B227" s="2">
        <v>1451</v>
      </c>
      <c r="C227" s="2" t="s">
        <v>1780</v>
      </c>
      <c r="D227" s="2" t="s">
        <v>1781</v>
      </c>
      <c r="E227" s="4" t="s">
        <v>1347</v>
      </c>
      <c r="F227" s="2" t="s">
        <v>2176</v>
      </c>
      <c r="G227" s="2" t="s">
        <v>2177</v>
      </c>
      <c r="H227" s="2" t="s">
        <v>342</v>
      </c>
      <c r="I227" s="2" t="s">
        <v>777</v>
      </c>
      <c r="J227" s="2" t="s">
        <v>31</v>
      </c>
      <c r="K227" s="2" t="s">
        <v>31</v>
      </c>
      <c r="L227" s="2" t="s">
        <v>348</v>
      </c>
      <c r="M227" s="2" t="s">
        <v>40</v>
      </c>
      <c r="N227" s="2" t="s">
        <v>484</v>
      </c>
      <c r="O227" s="2" t="s">
        <v>163</v>
      </c>
      <c r="P227" s="2" t="s">
        <v>2022</v>
      </c>
      <c r="Q227" s="2" t="s">
        <v>437</v>
      </c>
      <c r="R227" s="2" t="s">
        <v>428</v>
      </c>
      <c r="S227" s="2" t="s">
        <v>35</v>
      </c>
      <c r="T227" s="152">
        <v>2.1539999999999999</v>
      </c>
      <c r="U227" s="2" t="s">
        <v>2126</v>
      </c>
      <c r="V227" s="163">
        <v>3.6999999999999998E-2</v>
      </c>
      <c r="W227" s="165">
        <v>2.189E-2</v>
      </c>
      <c r="X227" s="4" t="s">
        <v>434</v>
      </c>
      <c r="Y227" s="4" t="s">
        <v>163</v>
      </c>
      <c r="Z227" s="152">
        <v>12840.44</v>
      </c>
      <c r="AA227" s="152">
        <v>1</v>
      </c>
      <c r="AB227" s="152">
        <v>116.15</v>
      </c>
      <c r="AD227" s="152">
        <v>14.914</v>
      </c>
      <c r="AG227" s="2" t="s">
        <v>37</v>
      </c>
      <c r="AH227" s="165">
        <v>3.4E-5</v>
      </c>
      <c r="AI227" s="165">
        <v>1.08175079355437E-3</v>
      </c>
      <c r="AJ227" s="165">
        <v>2.6385365438476402E-4</v>
      </c>
    </row>
    <row r="228" spans="1:36">
      <c r="A228" s="2" t="s">
        <v>26</v>
      </c>
      <c r="B228" s="2">
        <v>1451</v>
      </c>
      <c r="C228" s="2" t="s">
        <v>2178</v>
      </c>
      <c r="D228" s="2" t="s">
        <v>2179</v>
      </c>
      <c r="E228" s="4" t="s">
        <v>1347</v>
      </c>
      <c r="F228" s="2" t="s">
        <v>2517</v>
      </c>
      <c r="G228" s="2" t="s">
        <v>2518</v>
      </c>
      <c r="H228" s="2" t="s">
        <v>342</v>
      </c>
      <c r="I228" s="2" t="s">
        <v>990</v>
      </c>
      <c r="J228" s="2" t="s">
        <v>31</v>
      </c>
      <c r="K228" s="2" t="s">
        <v>31</v>
      </c>
      <c r="L228" s="2" t="s">
        <v>348</v>
      </c>
      <c r="M228" s="2" t="s">
        <v>40</v>
      </c>
      <c r="N228" s="2" t="s">
        <v>465</v>
      </c>
      <c r="O228" s="2" t="s">
        <v>163</v>
      </c>
      <c r="P228" s="2" t="s">
        <v>2182</v>
      </c>
      <c r="Q228" s="2" t="s">
        <v>437</v>
      </c>
      <c r="R228" s="2" t="s">
        <v>428</v>
      </c>
      <c r="S228" s="2" t="s">
        <v>35</v>
      </c>
      <c r="T228" s="152">
        <v>5.6280000000000001</v>
      </c>
      <c r="U228" s="2" t="s">
        <v>87</v>
      </c>
      <c r="V228" s="163">
        <v>2.3800000000000002E-2</v>
      </c>
      <c r="W228" s="165">
        <v>5.3010000000000002E-2</v>
      </c>
      <c r="X228" s="4" t="s">
        <v>434</v>
      </c>
      <c r="Y228" s="4" t="s">
        <v>163</v>
      </c>
      <c r="Z228" s="152">
        <v>130000</v>
      </c>
      <c r="AA228" s="152">
        <v>1</v>
      </c>
      <c r="AB228" s="152">
        <v>85.33</v>
      </c>
      <c r="AD228" s="152">
        <v>110.929</v>
      </c>
      <c r="AG228" s="2" t="s">
        <v>37</v>
      </c>
      <c r="AH228" s="165">
        <v>2.0000000000000001E-4</v>
      </c>
      <c r="AI228" s="165">
        <v>8.0458735048324695E-3</v>
      </c>
      <c r="AJ228" s="165">
        <v>1.9624974066274098E-3</v>
      </c>
    </row>
    <row r="229" spans="1:36">
      <c r="A229" s="2" t="s">
        <v>26</v>
      </c>
      <c r="B229" s="2">
        <v>1451</v>
      </c>
      <c r="C229" s="2" t="s">
        <v>2186</v>
      </c>
      <c r="D229" s="2" t="s">
        <v>2187</v>
      </c>
      <c r="E229" s="4" t="s">
        <v>1347</v>
      </c>
      <c r="F229" s="2" t="s">
        <v>2188</v>
      </c>
      <c r="G229" s="2" t="s">
        <v>2189</v>
      </c>
      <c r="H229" s="2" t="s">
        <v>342</v>
      </c>
      <c r="I229" s="2" t="s">
        <v>777</v>
      </c>
      <c r="J229" s="2" t="s">
        <v>31</v>
      </c>
      <c r="K229" s="2" t="s">
        <v>31</v>
      </c>
      <c r="L229" s="2" t="s">
        <v>348</v>
      </c>
      <c r="M229" s="2" t="s">
        <v>40</v>
      </c>
      <c r="N229" s="2" t="s">
        <v>484</v>
      </c>
      <c r="O229" s="2" t="s">
        <v>163</v>
      </c>
      <c r="P229" s="2" t="s">
        <v>1975</v>
      </c>
      <c r="Q229" s="2" t="s">
        <v>435</v>
      </c>
      <c r="R229" s="2" t="s">
        <v>428</v>
      </c>
      <c r="S229" s="2" t="s">
        <v>35</v>
      </c>
      <c r="T229" s="152">
        <v>2.077</v>
      </c>
      <c r="U229" s="2" t="s">
        <v>2190</v>
      </c>
      <c r="V229" s="163">
        <v>2.0500000000000001E-2</v>
      </c>
      <c r="W229" s="165">
        <v>2.3279999999999999E-2</v>
      </c>
      <c r="X229" s="4" t="s">
        <v>434</v>
      </c>
      <c r="Y229" s="4" t="s">
        <v>163</v>
      </c>
      <c r="Z229" s="152">
        <v>195598.44</v>
      </c>
      <c r="AA229" s="152">
        <v>1</v>
      </c>
      <c r="AB229" s="152">
        <v>112.41</v>
      </c>
      <c r="AD229" s="152">
        <v>219.87200000000001</v>
      </c>
      <c r="AG229" s="2" t="s">
        <v>37</v>
      </c>
      <c r="AH229" s="165">
        <v>2.5500000000000002E-4</v>
      </c>
      <c r="AI229" s="165">
        <v>1.5947713942747199E-2</v>
      </c>
      <c r="AJ229" s="165">
        <v>3.8898631994996398E-3</v>
      </c>
    </row>
    <row r="230" spans="1:36">
      <c r="A230" s="2" t="s">
        <v>26</v>
      </c>
      <c r="B230" s="2">
        <v>1451</v>
      </c>
      <c r="C230" s="2" t="s">
        <v>2191</v>
      </c>
      <c r="D230" s="2" t="s">
        <v>2192</v>
      </c>
      <c r="E230" s="4" t="s">
        <v>1347</v>
      </c>
      <c r="F230" s="2" t="s">
        <v>2193</v>
      </c>
      <c r="G230" s="2" t="s">
        <v>2194</v>
      </c>
      <c r="H230" s="2" t="s">
        <v>342</v>
      </c>
      <c r="I230" s="2" t="s">
        <v>777</v>
      </c>
      <c r="J230" s="2" t="s">
        <v>31</v>
      </c>
      <c r="K230" s="2" t="s">
        <v>31</v>
      </c>
      <c r="L230" s="2" t="s">
        <v>348</v>
      </c>
      <c r="M230" s="2" t="s">
        <v>40</v>
      </c>
      <c r="N230" s="2" t="s">
        <v>468</v>
      </c>
      <c r="O230" s="2" t="s">
        <v>163</v>
      </c>
      <c r="P230" s="2" t="s">
        <v>128</v>
      </c>
      <c r="Q230" s="2" t="s">
        <v>437</v>
      </c>
      <c r="R230" s="2" t="s">
        <v>428</v>
      </c>
      <c r="S230" s="2" t="s">
        <v>35</v>
      </c>
      <c r="T230" s="152">
        <v>3.4209999999999998</v>
      </c>
      <c r="U230" s="2" t="s">
        <v>2195</v>
      </c>
      <c r="V230" s="163">
        <v>1.2200000000000001E-2</v>
      </c>
      <c r="W230" s="165">
        <v>1.7999999999999999E-2</v>
      </c>
      <c r="X230" s="4" t="s">
        <v>434</v>
      </c>
      <c r="Y230" s="4" t="s">
        <v>163</v>
      </c>
      <c r="Z230" s="152">
        <v>181499</v>
      </c>
      <c r="AA230" s="152">
        <v>1</v>
      </c>
      <c r="AB230" s="152">
        <v>111.35</v>
      </c>
      <c r="AD230" s="152">
        <v>202.09899999999999</v>
      </c>
      <c r="AG230" s="2" t="s">
        <v>37</v>
      </c>
      <c r="AH230" s="165">
        <v>6.0000000000000002E-5</v>
      </c>
      <c r="AI230" s="165">
        <v>1.46586022385027E-2</v>
      </c>
      <c r="AJ230" s="165">
        <v>3.5754314134526402E-3</v>
      </c>
    </row>
    <row r="231" spans="1:36">
      <c r="A231" s="2" t="s">
        <v>26</v>
      </c>
      <c r="B231" s="2">
        <v>1451</v>
      </c>
      <c r="C231" s="2" t="s">
        <v>2191</v>
      </c>
      <c r="D231" s="2" t="s">
        <v>2192</v>
      </c>
      <c r="E231" s="4" t="s">
        <v>1347</v>
      </c>
      <c r="F231" s="2" t="s">
        <v>2196</v>
      </c>
      <c r="G231" s="2" t="s">
        <v>2197</v>
      </c>
      <c r="H231" s="2" t="s">
        <v>342</v>
      </c>
      <c r="I231" s="2" t="s">
        <v>777</v>
      </c>
      <c r="J231" s="2" t="s">
        <v>31</v>
      </c>
      <c r="K231" s="2" t="s">
        <v>31</v>
      </c>
      <c r="L231" s="2" t="s">
        <v>348</v>
      </c>
      <c r="M231" s="2" t="s">
        <v>40</v>
      </c>
      <c r="N231" s="2" t="s">
        <v>468</v>
      </c>
      <c r="O231" s="2" t="s">
        <v>163</v>
      </c>
      <c r="P231" s="2" t="s">
        <v>128</v>
      </c>
      <c r="Q231" s="2" t="s">
        <v>437</v>
      </c>
      <c r="R231" s="2" t="s">
        <v>428</v>
      </c>
      <c r="S231" s="2" t="s">
        <v>35</v>
      </c>
      <c r="T231" s="152">
        <v>4.5510000000000002</v>
      </c>
      <c r="U231" s="2" t="s">
        <v>2198</v>
      </c>
      <c r="V231" s="163">
        <v>1E-3</v>
      </c>
      <c r="W231" s="165">
        <v>1.9689999999999999E-2</v>
      </c>
      <c r="X231" s="4" t="s">
        <v>434</v>
      </c>
      <c r="Y231" s="4" t="s">
        <v>163</v>
      </c>
      <c r="Z231" s="152">
        <v>177000</v>
      </c>
      <c r="AA231" s="152">
        <v>1</v>
      </c>
      <c r="AB231" s="152">
        <v>100.35</v>
      </c>
      <c r="AD231" s="152">
        <v>177.619</v>
      </c>
      <c r="AG231" s="2" t="s">
        <v>37</v>
      </c>
      <c r="AH231" s="165">
        <v>5.1999999999999997E-5</v>
      </c>
      <c r="AI231" s="165">
        <v>1.2883051582468E-2</v>
      </c>
      <c r="AJ231" s="165">
        <v>3.1423505856579999E-3</v>
      </c>
    </row>
    <row r="232" spans="1:36">
      <c r="A232" s="2" t="s">
        <v>26</v>
      </c>
      <c r="B232" s="2">
        <v>1451</v>
      </c>
      <c r="C232" s="2" t="s">
        <v>2191</v>
      </c>
      <c r="D232" s="2" t="s">
        <v>2192</v>
      </c>
      <c r="E232" s="4" t="s">
        <v>1347</v>
      </c>
      <c r="F232" s="2" t="s">
        <v>2199</v>
      </c>
      <c r="G232" s="2" t="s">
        <v>2200</v>
      </c>
      <c r="H232" s="2" t="s">
        <v>342</v>
      </c>
      <c r="I232" s="2" t="s">
        <v>777</v>
      </c>
      <c r="J232" s="2" t="s">
        <v>31</v>
      </c>
      <c r="K232" s="2" t="s">
        <v>31</v>
      </c>
      <c r="L232" s="2" t="s">
        <v>348</v>
      </c>
      <c r="M232" s="2" t="s">
        <v>40</v>
      </c>
      <c r="N232" s="2" t="s">
        <v>468</v>
      </c>
      <c r="O232" s="2" t="s">
        <v>163</v>
      </c>
      <c r="P232" s="2" t="s">
        <v>128</v>
      </c>
      <c r="Q232" s="2" t="s">
        <v>437</v>
      </c>
      <c r="R232" s="2" t="s">
        <v>428</v>
      </c>
      <c r="S232" s="2" t="s">
        <v>35</v>
      </c>
      <c r="T232" s="152">
        <v>4.3949999999999996</v>
      </c>
      <c r="U232" s="2" t="s">
        <v>2144</v>
      </c>
      <c r="V232" s="163">
        <v>2.06E-2</v>
      </c>
      <c r="W232" s="165">
        <v>1.9730000000000001E-2</v>
      </c>
      <c r="X232" s="4" t="s">
        <v>434</v>
      </c>
      <c r="Y232" s="4" t="s">
        <v>163</v>
      </c>
      <c r="Z232" s="152">
        <v>150000</v>
      </c>
      <c r="AA232" s="152">
        <v>1</v>
      </c>
      <c r="AB232" s="152">
        <v>103.41</v>
      </c>
      <c r="AD232" s="152">
        <v>155.11500000000001</v>
      </c>
      <c r="AG232" s="2" t="s">
        <v>37</v>
      </c>
      <c r="AH232" s="165">
        <v>7.4999999999999993E-5</v>
      </c>
      <c r="AI232" s="165">
        <v>1.12507610156234E-2</v>
      </c>
      <c r="AJ232" s="165">
        <v>2.7442128318925598E-3</v>
      </c>
    </row>
    <row r="233" spans="1:36">
      <c r="A233" s="2" t="s">
        <v>26</v>
      </c>
      <c r="B233" s="2">
        <v>1451</v>
      </c>
      <c r="C233" s="2" t="s">
        <v>2191</v>
      </c>
      <c r="D233" s="2" t="s">
        <v>2192</v>
      </c>
      <c r="E233" s="4" t="s">
        <v>1347</v>
      </c>
      <c r="F233" s="2" t="s">
        <v>2201</v>
      </c>
      <c r="G233" s="2" t="s">
        <v>2202</v>
      </c>
      <c r="H233" s="2" t="s">
        <v>342</v>
      </c>
      <c r="I233" s="2" t="s">
        <v>777</v>
      </c>
      <c r="J233" s="2" t="s">
        <v>31</v>
      </c>
      <c r="K233" s="2" t="s">
        <v>31</v>
      </c>
      <c r="L233" s="2" t="s">
        <v>348</v>
      </c>
      <c r="M233" s="2" t="s">
        <v>40</v>
      </c>
      <c r="N233" s="2" t="s">
        <v>468</v>
      </c>
      <c r="O233" s="2" t="s">
        <v>163</v>
      </c>
      <c r="P233" s="2" t="s">
        <v>1202</v>
      </c>
      <c r="Q233" s="2" t="s">
        <v>435</v>
      </c>
      <c r="R233" s="2" t="s">
        <v>428</v>
      </c>
      <c r="S233" s="2" t="s">
        <v>35</v>
      </c>
      <c r="T233" s="152">
        <v>4.93</v>
      </c>
      <c r="U233" s="2" t="s">
        <v>2203</v>
      </c>
      <c r="V233" s="163">
        <v>1.9900000000000001E-2</v>
      </c>
      <c r="W233" s="165">
        <v>1.9460000000000002E-2</v>
      </c>
      <c r="X233" s="4" t="s">
        <v>434</v>
      </c>
      <c r="Y233" s="4" t="s">
        <v>163</v>
      </c>
      <c r="Z233" s="152">
        <v>300000</v>
      </c>
      <c r="AA233" s="152">
        <v>1</v>
      </c>
      <c r="AB233" s="152">
        <v>100.72</v>
      </c>
      <c r="AD233" s="152">
        <v>302.16000000000003</v>
      </c>
      <c r="AG233" s="2" t="s">
        <v>37</v>
      </c>
      <c r="AH233" s="165">
        <v>1.11E-4</v>
      </c>
      <c r="AI233" s="165">
        <v>2.1916190880835299E-2</v>
      </c>
      <c r="AJ233" s="165">
        <v>5.3456554768053204E-3</v>
      </c>
    </row>
    <row r="234" spans="1:36">
      <c r="A234" s="2" t="s">
        <v>26</v>
      </c>
      <c r="B234" s="2">
        <v>1451</v>
      </c>
      <c r="C234" s="2" t="s">
        <v>2191</v>
      </c>
      <c r="D234" s="2" t="s">
        <v>2192</v>
      </c>
      <c r="E234" s="4" t="s">
        <v>1347</v>
      </c>
      <c r="F234" s="2" t="s">
        <v>2207</v>
      </c>
      <c r="G234" s="2" t="s">
        <v>2208</v>
      </c>
      <c r="H234" s="2" t="s">
        <v>342</v>
      </c>
      <c r="I234" s="2" t="s">
        <v>777</v>
      </c>
      <c r="J234" s="2" t="s">
        <v>31</v>
      </c>
      <c r="K234" s="2" t="s">
        <v>31</v>
      </c>
      <c r="L234" s="2" t="s">
        <v>348</v>
      </c>
      <c r="M234" s="2" t="s">
        <v>40</v>
      </c>
      <c r="N234" s="2" t="s">
        <v>468</v>
      </c>
      <c r="O234" s="2" t="s">
        <v>163</v>
      </c>
      <c r="P234" s="2" t="s">
        <v>128</v>
      </c>
      <c r="Q234" s="2" t="s">
        <v>437</v>
      </c>
      <c r="R234" s="2" t="s">
        <v>428</v>
      </c>
      <c r="S234" s="2" t="s">
        <v>35</v>
      </c>
      <c r="T234" s="152">
        <v>2.6619999999999999</v>
      </c>
      <c r="U234" s="2" t="s">
        <v>2209</v>
      </c>
      <c r="V234" s="163">
        <v>5.0000000000000001E-3</v>
      </c>
      <c r="W234" s="165">
        <v>1.7579999999999998E-2</v>
      </c>
      <c r="X234" s="4" t="s">
        <v>434</v>
      </c>
      <c r="Y234" s="4" t="s">
        <v>163</v>
      </c>
      <c r="Z234" s="152">
        <v>104000</v>
      </c>
      <c r="AA234" s="152">
        <v>1</v>
      </c>
      <c r="AB234" s="152">
        <v>107.2</v>
      </c>
      <c r="AD234" s="152">
        <v>111.488</v>
      </c>
      <c r="AG234" s="2" t="s">
        <v>37</v>
      </c>
      <c r="AH234" s="165">
        <v>1.36E-4</v>
      </c>
      <c r="AI234" s="165">
        <v>8.0864187480889794E-3</v>
      </c>
      <c r="AJ234" s="165">
        <v>1.97238694002539E-3</v>
      </c>
    </row>
    <row r="235" spans="1:36">
      <c r="A235" s="2" t="s">
        <v>26</v>
      </c>
      <c r="B235" s="2">
        <v>1451</v>
      </c>
      <c r="C235" s="2" t="s">
        <v>2191</v>
      </c>
      <c r="D235" s="2" t="s">
        <v>2192</v>
      </c>
      <c r="E235" s="4" t="s">
        <v>1347</v>
      </c>
      <c r="F235" s="2" t="s">
        <v>2210</v>
      </c>
      <c r="G235" s="2" t="s">
        <v>2211</v>
      </c>
      <c r="H235" s="2" t="s">
        <v>342</v>
      </c>
      <c r="I235" s="2" t="s">
        <v>777</v>
      </c>
      <c r="J235" s="2" t="s">
        <v>31</v>
      </c>
      <c r="K235" s="2" t="s">
        <v>31</v>
      </c>
      <c r="L235" s="2" t="s">
        <v>348</v>
      </c>
      <c r="M235" s="2" t="s">
        <v>40</v>
      </c>
      <c r="N235" s="2" t="s">
        <v>468</v>
      </c>
      <c r="O235" s="2" t="s">
        <v>163</v>
      </c>
      <c r="P235" s="2" t="s">
        <v>128</v>
      </c>
      <c r="Q235" s="2" t="s">
        <v>437</v>
      </c>
      <c r="R235" s="2" t="s">
        <v>428</v>
      </c>
      <c r="S235" s="2" t="s">
        <v>35</v>
      </c>
      <c r="T235" s="152">
        <v>0.91800000000000004</v>
      </c>
      <c r="U235" s="2" t="s">
        <v>2212</v>
      </c>
      <c r="V235" s="163">
        <v>9.4999999999999998E-3</v>
      </c>
      <c r="W235" s="165">
        <v>1.9959999999999999E-2</v>
      </c>
      <c r="X235" s="4" t="s">
        <v>434</v>
      </c>
      <c r="Y235" s="4" t="s">
        <v>163</v>
      </c>
      <c r="Z235" s="152">
        <v>54310.720000000001</v>
      </c>
      <c r="AA235" s="152">
        <v>1</v>
      </c>
      <c r="AB235" s="152">
        <v>111.65</v>
      </c>
      <c r="AD235" s="152">
        <v>60.637999999999998</v>
      </c>
      <c r="AG235" s="2" t="s">
        <v>37</v>
      </c>
      <c r="AH235" s="165">
        <v>1.6899999999999999E-4</v>
      </c>
      <c r="AI235" s="165">
        <v>4.3981738310520501E-3</v>
      </c>
      <c r="AJ235" s="165">
        <v>1.0727741036634501E-3</v>
      </c>
    </row>
    <row r="236" spans="1:36">
      <c r="A236" s="2" t="s">
        <v>26</v>
      </c>
      <c r="B236" s="2">
        <v>1451</v>
      </c>
      <c r="C236" s="2" t="s">
        <v>2191</v>
      </c>
      <c r="D236" s="2" t="s">
        <v>2192</v>
      </c>
      <c r="E236" s="4" t="s">
        <v>1347</v>
      </c>
      <c r="F236" s="2" t="s">
        <v>2218</v>
      </c>
      <c r="G236" s="2" t="s">
        <v>2219</v>
      </c>
      <c r="H236" s="2" t="s">
        <v>342</v>
      </c>
      <c r="I236" s="2" t="s">
        <v>777</v>
      </c>
      <c r="J236" s="2" t="s">
        <v>31</v>
      </c>
      <c r="K236" s="2" t="s">
        <v>31</v>
      </c>
      <c r="L236" s="2" t="s">
        <v>348</v>
      </c>
      <c r="M236" s="2" t="s">
        <v>40</v>
      </c>
      <c r="N236" s="2" t="s">
        <v>468</v>
      </c>
      <c r="O236" s="2" t="s">
        <v>163</v>
      </c>
      <c r="P236" s="2" t="s">
        <v>128</v>
      </c>
      <c r="Q236" s="2" t="s">
        <v>437</v>
      </c>
      <c r="R236" s="2" t="s">
        <v>428</v>
      </c>
      <c r="S236" s="2" t="s">
        <v>35</v>
      </c>
      <c r="T236" s="152">
        <v>0.496</v>
      </c>
      <c r="U236" s="2" t="s">
        <v>2220</v>
      </c>
      <c r="V236" s="163">
        <v>8.6E-3</v>
      </c>
      <c r="W236" s="165">
        <v>1.3089999999999999E-2</v>
      </c>
      <c r="X236" s="4" t="s">
        <v>434</v>
      </c>
      <c r="Y236" s="4" t="s">
        <v>163</v>
      </c>
      <c r="Z236" s="152">
        <v>340000</v>
      </c>
      <c r="AA236" s="152">
        <v>1</v>
      </c>
      <c r="AB236" s="152">
        <v>113.09</v>
      </c>
      <c r="AD236" s="152">
        <v>384.50599999999997</v>
      </c>
      <c r="AG236" s="2" t="s">
        <v>37</v>
      </c>
      <c r="AH236" s="165">
        <v>1.36E-4</v>
      </c>
      <c r="AI236" s="165">
        <v>2.7888889630746799E-2</v>
      </c>
      <c r="AJ236" s="165">
        <v>6.8024775111348501E-3</v>
      </c>
    </row>
    <row r="237" spans="1:36">
      <c r="A237" s="2" t="s">
        <v>26</v>
      </c>
      <c r="B237" s="2">
        <v>1451</v>
      </c>
      <c r="C237" s="2" t="s">
        <v>2519</v>
      </c>
      <c r="D237" s="2" t="s">
        <v>2520</v>
      </c>
      <c r="E237" s="4" t="s">
        <v>1347</v>
      </c>
      <c r="F237" s="2" t="s">
        <v>2521</v>
      </c>
      <c r="G237" s="2" t="s">
        <v>2522</v>
      </c>
      <c r="H237" s="2" t="s">
        <v>342</v>
      </c>
      <c r="I237" s="2" t="s">
        <v>990</v>
      </c>
      <c r="J237" s="2" t="s">
        <v>31</v>
      </c>
      <c r="K237" s="2" t="s">
        <v>31</v>
      </c>
      <c r="L237" s="2" t="s">
        <v>348</v>
      </c>
      <c r="M237" s="2" t="s">
        <v>40</v>
      </c>
      <c r="N237" s="2" t="s">
        <v>499</v>
      </c>
      <c r="O237" s="2" t="s">
        <v>163</v>
      </c>
      <c r="P237" s="2" t="s">
        <v>2182</v>
      </c>
      <c r="Q237" s="2" t="s">
        <v>437</v>
      </c>
      <c r="R237" s="2" t="s">
        <v>428</v>
      </c>
      <c r="S237" s="2" t="s">
        <v>35</v>
      </c>
      <c r="T237" s="152">
        <v>3.5819999999999999</v>
      </c>
      <c r="U237" s="2" t="s">
        <v>2523</v>
      </c>
      <c r="V237" s="163">
        <v>2.1100000000000001E-2</v>
      </c>
      <c r="W237" s="165">
        <v>4.9669999999999999E-2</v>
      </c>
      <c r="X237" s="4" t="s">
        <v>434</v>
      </c>
      <c r="Y237" s="4" t="s">
        <v>163</v>
      </c>
      <c r="Z237" s="152">
        <v>122352.94</v>
      </c>
      <c r="AA237" s="152">
        <v>1</v>
      </c>
      <c r="AB237" s="152">
        <v>91.14</v>
      </c>
      <c r="AD237" s="152">
        <v>111.512</v>
      </c>
      <c r="AG237" s="2" t="s">
        <v>37</v>
      </c>
      <c r="AH237" s="165">
        <v>2.04E-4</v>
      </c>
      <c r="AI237" s="165">
        <v>8.0881935646875298E-3</v>
      </c>
      <c r="AJ237" s="165">
        <v>1.9728198418066298E-3</v>
      </c>
    </row>
    <row r="238" spans="1:36">
      <c r="A238" s="2" t="s">
        <v>26</v>
      </c>
      <c r="B238" s="2">
        <v>1451</v>
      </c>
      <c r="C238" s="2" t="s">
        <v>2519</v>
      </c>
      <c r="D238" s="2" t="s">
        <v>2520</v>
      </c>
      <c r="E238" s="4" t="s">
        <v>1347</v>
      </c>
      <c r="F238" s="2" t="s">
        <v>2524</v>
      </c>
      <c r="G238" s="2" t="s">
        <v>2525</v>
      </c>
      <c r="H238" s="2" t="s">
        <v>342</v>
      </c>
      <c r="I238" s="2" t="s">
        <v>777</v>
      </c>
      <c r="J238" s="2" t="s">
        <v>31</v>
      </c>
      <c r="K238" s="2" t="s">
        <v>31</v>
      </c>
      <c r="L238" s="2" t="s">
        <v>348</v>
      </c>
      <c r="M238" s="2" t="s">
        <v>40</v>
      </c>
      <c r="N238" s="2" t="s">
        <v>499</v>
      </c>
      <c r="O238" s="2" t="s">
        <v>163</v>
      </c>
      <c r="P238" s="2" t="s">
        <v>2182</v>
      </c>
      <c r="Q238" s="2" t="s">
        <v>437</v>
      </c>
      <c r="R238" s="2" t="s">
        <v>428</v>
      </c>
      <c r="S238" s="2" t="s">
        <v>35</v>
      </c>
      <c r="T238" s="152">
        <v>1.165</v>
      </c>
      <c r="U238" s="2" t="s">
        <v>2526</v>
      </c>
      <c r="V238" s="163">
        <v>3.95E-2</v>
      </c>
      <c r="W238" s="165">
        <v>1.9990000000000001E-2</v>
      </c>
      <c r="X238" s="4" t="s">
        <v>434</v>
      </c>
      <c r="Y238" s="4" t="s">
        <v>163</v>
      </c>
      <c r="Z238" s="152">
        <v>98111.98</v>
      </c>
      <c r="AA238" s="152">
        <v>1</v>
      </c>
      <c r="AB238" s="152">
        <v>122.48</v>
      </c>
      <c r="AD238" s="152">
        <v>120.16800000000001</v>
      </c>
      <c r="AG238" s="2" t="s">
        <v>37</v>
      </c>
      <c r="AH238" s="165">
        <v>4.0099999999999999E-4</v>
      </c>
      <c r="AI238" s="165">
        <v>8.71596184640646E-3</v>
      </c>
      <c r="AJ238" s="165">
        <v>2.1259410192768502E-3</v>
      </c>
    </row>
    <row r="239" spans="1:36">
      <c r="A239" s="2" t="s">
        <v>26</v>
      </c>
      <c r="B239" s="2">
        <v>1451</v>
      </c>
      <c r="C239" s="2" t="s">
        <v>2224</v>
      </c>
      <c r="D239" s="2" t="s">
        <v>2225</v>
      </c>
      <c r="E239" s="4" t="s">
        <v>1347</v>
      </c>
      <c r="F239" s="2" t="s">
        <v>2226</v>
      </c>
      <c r="G239" s="2" t="s">
        <v>2227</v>
      </c>
      <c r="H239" s="2" t="s">
        <v>342</v>
      </c>
      <c r="I239" s="2" t="s">
        <v>777</v>
      </c>
      <c r="J239" s="2" t="s">
        <v>31</v>
      </c>
      <c r="K239" s="2" t="s">
        <v>31</v>
      </c>
      <c r="L239" s="2" t="s">
        <v>348</v>
      </c>
      <c r="M239" s="2" t="s">
        <v>40</v>
      </c>
      <c r="N239" s="2" t="s">
        <v>463</v>
      </c>
      <c r="O239" s="2" t="s">
        <v>163</v>
      </c>
      <c r="P239" s="2" t="s">
        <v>2182</v>
      </c>
      <c r="Q239" s="2" t="s">
        <v>437</v>
      </c>
      <c r="R239" s="2" t="s">
        <v>428</v>
      </c>
      <c r="S239" s="2" t="s">
        <v>35</v>
      </c>
      <c r="T239" s="152">
        <v>1.044</v>
      </c>
      <c r="U239" s="2" t="s">
        <v>1976</v>
      </c>
      <c r="V239" s="163">
        <v>1.8499999999999999E-2</v>
      </c>
      <c r="W239" s="165">
        <v>1.9130000000000001E-2</v>
      </c>
      <c r="X239" s="4" t="s">
        <v>434</v>
      </c>
      <c r="Y239" s="4" t="s">
        <v>163</v>
      </c>
      <c r="Z239" s="152">
        <v>98325.71</v>
      </c>
      <c r="AA239" s="152">
        <v>1</v>
      </c>
      <c r="AB239" s="152">
        <v>111.87</v>
      </c>
      <c r="AD239" s="152">
        <v>109.997</v>
      </c>
      <c r="AG239" s="2" t="s">
        <v>37</v>
      </c>
      <c r="AH239" s="165">
        <v>1.6699999999999999E-4</v>
      </c>
      <c r="AI239" s="165">
        <v>7.9782718750946099E-3</v>
      </c>
      <c r="AJ239" s="165">
        <v>1.9460084545000001E-3</v>
      </c>
    </row>
    <row r="240" spans="1:36">
      <c r="A240" s="2" t="s">
        <v>26</v>
      </c>
      <c r="B240" s="2">
        <v>1451</v>
      </c>
      <c r="C240" s="2" t="s">
        <v>2224</v>
      </c>
      <c r="D240" s="2" t="s">
        <v>2225</v>
      </c>
      <c r="E240" s="4" t="s">
        <v>1347</v>
      </c>
      <c r="F240" s="2" t="s">
        <v>2228</v>
      </c>
      <c r="G240" s="2" t="s">
        <v>2229</v>
      </c>
      <c r="H240" s="2" t="s">
        <v>342</v>
      </c>
      <c r="I240" s="2" t="s">
        <v>777</v>
      </c>
      <c r="J240" s="2" t="s">
        <v>31</v>
      </c>
      <c r="K240" s="2" t="s">
        <v>31</v>
      </c>
      <c r="L240" s="2" t="s">
        <v>350</v>
      </c>
      <c r="M240" s="2" t="s">
        <v>40</v>
      </c>
      <c r="N240" s="2" t="s">
        <v>463</v>
      </c>
      <c r="O240" s="2" t="s">
        <v>163</v>
      </c>
      <c r="P240" s="2" t="s">
        <v>2182</v>
      </c>
      <c r="Q240" s="2" t="s">
        <v>437</v>
      </c>
      <c r="R240" s="2" t="s">
        <v>428</v>
      </c>
      <c r="S240" s="2" t="s">
        <v>35</v>
      </c>
      <c r="T240" s="152">
        <v>2.129</v>
      </c>
      <c r="U240" s="2" t="s">
        <v>110</v>
      </c>
      <c r="V240" s="163">
        <v>3.5400000000000001E-2</v>
      </c>
      <c r="W240" s="165">
        <v>3.3759999999999998E-2</v>
      </c>
      <c r="X240" s="4" t="s">
        <v>434</v>
      </c>
      <c r="Y240" s="4" t="s">
        <v>163</v>
      </c>
      <c r="Z240" s="152">
        <v>114000</v>
      </c>
      <c r="AA240" s="152">
        <v>1</v>
      </c>
      <c r="AB240" s="152">
        <v>104.17</v>
      </c>
      <c r="AD240" s="152">
        <v>118.754</v>
      </c>
      <c r="AG240" s="2" t="s">
        <v>37</v>
      </c>
      <c r="AH240" s="165">
        <v>0</v>
      </c>
      <c r="AI240" s="165">
        <v>8.6134198723343304E-3</v>
      </c>
      <c r="AJ240" s="165">
        <v>2.1009296444315698E-3</v>
      </c>
    </row>
    <row r="241" spans="1:36">
      <c r="A241" s="2" t="s">
        <v>26</v>
      </c>
      <c r="B241" s="2">
        <v>1451</v>
      </c>
      <c r="C241" s="2" t="s">
        <v>2224</v>
      </c>
      <c r="D241" s="2" t="s">
        <v>2225</v>
      </c>
      <c r="E241" s="4" t="s">
        <v>1347</v>
      </c>
      <c r="F241" s="2" t="s">
        <v>2230</v>
      </c>
      <c r="G241" s="2" t="s">
        <v>2229</v>
      </c>
      <c r="H241" s="2" t="s">
        <v>342</v>
      </c>
      <c r="I241" s="2" t="s">
        <v>777</v>
      </c>
      <c r="J241" s="2" t="s">
        <v>31</v>
      </c>
      <c r="K241" s="2" t="s">
        <v>31</v>
      </c>
      <c r="L241" s="2" t="s">
        <v>350</v>
      </c>
      <c r="M241" s="2" t="s">
        <v>40</v>
      </c>
      <c r="N241" s="2" t="s">
        <v>463</v>
      </c>
      <c r="O241" s="2" t="s">
        <v>163</v>
      </c>
      <c r="P241" s="2" t="s">
        <v>2182</v>
      </c>
      <c r="Q241" s="2" t="s">
        <v>437</v>
      </c>
      <c r="R241" s="2" t="s">
        <v>428</v>
      </c>
      <c r="S241" s="2" t="s">
        <v>35</v>
      </c>
      <c r="T241" s="152">
        <v>2.129</v>
      </c>
      <c r="U241" s="2" t="s">
        <v>110</v>
      </c>
      <c r="V241" s="163">
        <v>3.5400000000000001E-2</v>
      </c>
      <c r="W241" s="165">
        <v>3.3759999999999998E-2</v>
      </c>
      <c r="X241" s="4" t="s">
        <v>434</v>
      </c>
      <c r="Y241" s="4" t="s">
        <v>163</v>
      </c>
      <c r="Z241" s="152">
        <v>115000</v>
      </c>
      <c r="AA241" s="152">
        <v>1</v>
      </c>
      <c r="AB241" s="152">
        <v>104.17</v>
      </c>
      <c r="AD241" s="152">
        <v>119.79600000000001</v>
      </c>
      <c r="AG241" s="2" t="s">
        <v>37</v>
      </c>
      <c r="AH241" s="165">
        <v>0</v>
      </c>
      <c r="AI241" s="165">
        <v>8.6889761870039307E-3</v>
      </c>
      <c r="AJ241" s="165">
        <v>2.1193588518388698E-3</v>
      </c>
    </row>
    <row r="242" spans="1:36">
      <c r="A242" s="2" t="s">
        <v>26</v>
      </c>
      <c r="B242" s="2">
        <v>1451</v>
      </c>
      <c r="C242" s="2" t="s">
        <v>2224</v>
      </c>
      <c r="D242" s="2" t="s">
        <v>2225</v>
      </c>
      <c r="E242" s="4" t="s">
        <v>1347</v>
      </c>
      <c r="F242" s="2" t="s">
        <v>2231</v>
      </c>
      <c r="G242" s="2" t="s">
        <v>2232</v>
      </c>
      <c r="H242" s="2" t="s">
        <v>342</v>
      </c>
      <c r="I242" s="2" t="s">
        <v>777</v>
      </c>
      <c r="J242" s="2" t="s">
        <v>31</v>
      </c>
      <c r="K242" s="2" t="s">
        <v>31</v>
      </c>
      <c r="L242" s="2" t="s">
        <v>348</v>
      </c>
      <c r="M242" s="2" t="s">
        <v>40</v>
      </c>
      <c r="N242" s="2" t="s">
        <v>463</v>
      </c>
      <c r="O242" s="2" t="s">
        <v>163</v>
      </c>
      <c r="P242" s="2" t="s">
        <v>2182</v>
      </c>
      <c r="Q242" s="2" t="s">
        <v>437</v>
      </c>
      <c r="R242" s="2" t="s">
        <v>428</v>
      </c>
      <c r="S242" s="2" t="s">
        <v>35</v>
      </c>
      <c r="T242" s="152">
        <v>0.90300000000000002</v>
      </c>
      <c r="U242" s="2" t="s">
        <v>2233</v>
      </c>
      <c r="V242" s="163">
        <v>0.01</v>
      </c>
      <c r="W242" s="165">
        <v>2.2270000000000002E-2</v>
      </c>
      <c r="X242" s="4" t="s">
        <v>434</v>
      </c>
      <c r="Y242" s="4" t="s">
        <v>163</v>
      </c>
      <c r="Z242" s="152">
        <v>67080</v>
      </c>
      <c r="AA242" s="152">
        <v>1</v>
      </c>
      <c r="AB242" s="152">
        <v>109.27</v>
      </c>
      <c r="AD242" s="152">
        <v>73.298000000000002</v>
      </c>
      <c r="AG242" s="2" t="s">
        <v>37</v>
      </c>
      <c r="AH242" s="165">
        <v>7.1000000000000005E-5</v>
      </c>
      <c r="AI242" s="165">
        <v>5.3164544767665602E-3</v>
      </c>
      <c r="AJ242" s="165">
        <v>1.29675517727696E-3</v>
      </c>
    </row>
    <row r="243" spans="1:36">
      <c r="A243" s="2" t="s">
        <v>26</v>
      </c>
      <c r="B243" s="2">
        <v>1451</v>
      </c>
      <c r="C243" s="2" t="s">
        <v>1679</v>
      </c>
      <c r="D243" s="2" t="s">
        <v>1680</v>
      </c>
      <c r="E243" s="4" t="s">
        <v>1347</v>
      </c>
      <c r="F243" s="2" t="s">
        <v>2242</v>
      </c>
      <c r="G243" s="2" t="s">
        <v>2243</v>
      </c>
      <c r="H243" s="2" t="s">
        <v>342</v>
      </c>
      <c r="I243" s="2" t="s">
        <v>777</v>
      </c>
      <c r="J243" s="2" t="s">
        <v>31</v>
      </c>
      <c r="K243" s="2" t="s">
        <v>31</v>
      </c>
      <c r="L243" s="2" t="s">
        <v>348</v>
      </c>
      <c r="M243" s="2" t="s">
        <v>40</v>
      </c>
      <c r="N243" s="2" t="s">
        <v>484</v>
      </c>
      <c r="O243" s="2" t="s">
        <v>163</v>
      </c>
      <c r="P243" s="2" t="s">
        <v>1991</v>
      </c>
      <c r="Q243" s="2" t="s">
        <v>435</v>
      </c>
      <c r="R243" s="2" t="s">
        <v>428</v>
      </c>
      <c r="S243" s="2" t="s">
        <v>35</v>
      </c>
      <c r="T243" s="152">
        <v>1.24</v>
      </c>
      <c r="U243" s="2" t="s">
        <v>2241</v>
      </c>
      <c r="V243" s="163">
        <v>2.3E-2</v>
      </c>
      <c r="W243" s="165">
        <v>1.95E-2</v>
      </c>
      <c r="X243" s="4" t="s">
        <v>434</v>
      </c>
      <c r="Y243" s="4" t="s">
        <v>163</v>
      </c>
      <c r="Z243" s="152">
        <v>130073.53</v>
      </c>
      <c r="AA243" s="152">
        <v>1</v>
      </c>
      <c r="AB243" s="152">
        <v>114.63</v>
      </c>
      <c r="AD243" s="152">
        <v>149.10300000000001</v>
      </c>
      <c r="AG243" s="2" t="s">
        <v>37</v>
      </c>
      <c r="AH243" s="165">
        <v>1.35E-4</v>
      </c>
      <c r="AI243" s="165">
        <v>1.08147210367791E-2</v>
      </c>
      <c r="AJ243" s="165">
        <v>2.6378567815328602E-3</v>
      </c>
    </row>
    <row r="244" spans="1:36">
      <c r="A244" s="2" t="s">
        <v>26</v>
      </c>
      <c r="B244" s="2">
        <v>1451</v>
      </c>
      <c r="C244" s="2" t="s">
        <v>1679</v>
      </c>
      <c r="D244" s="2" t="s">
        <v>1680</v>
      </c>
      <c r="E244" s="4" t="s">
        <v>1347</v>
      </c>
      <c r="F244" s="2" t="s">
        <v>2423</v>
      </c>
      <c r="G244" s="2" t="s">
        <v>2424</v>
      </c>
      <c r="H244" s="2" t="s">
        <v>342</v>
      </c>
      <c r="I244" s="2" t="s">
        <v>777</v>
      </c>
      <c r="J244" s="2" t="s">
        <v>31</v>
      </c>
      <c r="K244" s="2" t="s">
        <v>31</v>
      </c>
      <c r="L244" s="2" t="s">
        <v>348</v>
      </c>
      <c r="M244" s="2" t="s">
        <v>40</v>
      </c>
      <c r="N244" s="2" t="s">
        <v>484</v>
      </c>
      <c r="O244" s="2" t="s">
        <v>163</v>
      </c>
      <c r="P244" s="2" t="s">
        <v>1991</v>
      </c>
      <c r="Q244" s="2" t="s">
        <v>435</v>
      </c>
      <c r="R244" s="2" t="s">
        <v>428</v>
      </c>
      <c r="S244" s="2" t="s">
        <v>35</v>
      </c>
      <c r="T244" s="152">
        <v>4.077</v>
      </c>
      <c r="U244" s="2" t="s">
        <v>2425</v>
      </c>
      <c r="V244" s="163">
        <v>2.2499999999999999E-2</v>
      </c>
      <c r="W244" s="165">
        <v>2.4230000000000002E-2</v>
      </c>
      <c r="X244" s="4" t="s">
        <v>434</v>
      </c>
      <c r="Y244" s="4" t="s">
        <v>163</v>
      </c>
      <c r="Z244" s="152">
        <v>124137.93</v>
      </c>
      <c r="AA244" s="152">
        <v>1</v>
      </c>
      <c r="AB244" s="152">
        <v>112.68</v>
      </c>
      <c r="AD244" s="152">
        <v>139.87899999999999</v>
      </c>
      <c r="AG244" s="2" t="s">
        <v>37</v>
      </c>
      <c r="AH244" s="165">
        <v>1.25E-4</v>
      </c>
      <c r="AI244" s="165">
        <v>1.0145639812138301E-2</v>
      </c>
      <c r="AJ244" s="165">
        <v>2.4746588183294899E-3</v>
      </c>
    </row>
    <row r="245" spans="1:36">
      <c r="A245" s="2" t="s">
        <v>26</v>
      </c>
      <c r="B245" s="2">
        <v>1451</v>
      </c>
      <c r="C245" s="2" t="s">
        <v>1679</v>
      </c>
      <c r="D245" s="2" t="s">
        <v>1680</v>
      </c>
      <c r="E245" s="4" t="s">
        <v>1347</v>
      </c>
      <c r="F245" s="2" t="s">
        <v>2527</v>
      </c>
      <c r="G245" s="2" t="s">
        <v>2528</v>
      </c>
      <c r="H245" s="2" t="s">
        <v>342</v>
      </c>
      <c r="I245" s="2" t="s">
        <v>777</v>
      </c>
      <c r="J245" s="2" t="s">
        <v>31</v>
      </c>
      <c r="K245" s="2" t="s">
        <v>31</v>
      </c>
      <c r="L245" s="2" t="s">
        <v>348</v>
      </c>
      <c r="M245" s="2" t="s">
        <v>40</v>
      </c>
      <c r="N245" s="2" t="s">
        <v>484</v>
      </c>
      <c r="O245" s="2" t="s">
        <v>163</v>
      </c>
      <c r="P245" s="2" t="s">
        <v>1991</v>
      </c>
      <c r="Q245" s="2" t="s">
        <v>435</v>
      </c>
      <c r="R245" s="2" t="s">
        <v>428</v>
      </c>
      <c r="S245" s="2" t="s">
        <v>35</v>
      </c>
      <c r="T245" s="152">
        <v>5.657</v>
      </c>
      <c r="U245" s="2" t="s">
        <v>2529</v>
      </c>
      <c r="V245" s="163">
        <v>2.5000000000000001E-3</v>
      </c>
      <c r="W245" s="165">
        <v>2.648E-2</v>
      </c>
      <c r="X245" s="4" t="s">
        <v>434</v>
      </c>
      <c r="Y245" s="4" t="s">
        <v>163</v>
      </c>
      <c r="Z245" s="152">
        <v>179081.64</v>
      </c>
      <c r="AA245" s="152">
        <v>1</v>
      </c>
      <c r="AB245" s="152">
        <v>95.66</v>
      </c>
      <c r="AD245" s="152">
        <v>171.309</v>
      </c>
      <c r="AG245" s="2" t="s">
        <v>37</v>
      </c>
      <c r="AH245" s="165">
        <v>1.3799999999999999E-4</v>
      </c>
      <c r="AI245" s="165">
        <v>1.2425376065973799E-2</v>
      </c>
      <c r="AJ245" s="165">
        <v>3.0307173349416799E-3</v>
      </c>
    </row>
    <row r="246" spans="1:36">
      <c r="A246" s="2" t="s">
        <v>26</v>
      </c>
      <c r="B246" s="2">
        <v>1451</v>
      </c>
      <c r="C246" s="2" t="s">
        <v>2530</v>
      </c>
      <c r="D246" s="2" t="s">
        <v>2531</v>
      </c>
      <c r="E246" s="4" t="s">
        <v>1347</v>
      </c>
      <c r="F246" s="2" t="s">
        <v>2532</v>
      </c>
      <c r="G246" s="2" t="s">
        <v>2533</v>
      </c>
      <c r="H246" s="2" t="s">
        <v>342</v>
      </c>
      <c r="I246" s="2" t="s">
        <v>990</v>
      </c>
      <c r="J246" s="2" t="s">
        <v>31</v>
      </c>
      <c r="K246" s="2" t="s">
        <v>31</v>
      </c>
      <c r="L246" s="2" t="s">
        <v>348</v>
      </c>
      <c r="M246" s="2" t="s">
        <v>40</v>
      </c>
      <c r="N246" s="2" t="s">
        <v>465</v>
      </c>
      <c r="O246" s="2" t="s">
        <v>163</v>
      </c>
      <c r="P246" s="2" t="s">
        <v>2010</v>
      </c>
      <c r="Q246" s="2" t="s">
        <v>437</v>
      </c>
      <c r="R246" s="2" t="s">
        <v>428</v>
      </c>
      <c r="S246" s="2" t="s">
        <v>35</v>
      </c>
      <c r="T246" s="152">
        <v>2.452</v>
      </c>
      <c r="U246" s="2" t="s">
        <v>2173</v>
      </c>
      <c r="V246" s="163">
        <v>1.84E-2</v>
      </c>
      <c r="W246" s="165">
        <v>4.5699999999999998E-2</v>
      </c>
      <c r="X246" s="4" t="s">
        <v>434</v>
      </c>
      <c r="Y246" s="4" t="s">
        <v>163</v>
      </c>
      <c r="Z246" s="152">
        <v>60824</v>
      </c>
      <c r="AA246" s="152">
        <v>1</v>
      </c>
      <c r="AB246" s="152">
        <v>93.75</v>
      </c>
      <c r="AD246" s="152">
        <v>57.023000000000003</v>
      </c>
      <c r="AG246" s="2" t="s">
        <v>37</v>
      </c>
      <c r="AH246" s="165">
        <v>2.03E-4</v>
      </c>
      <c r="AI246" s="165">
        <v>4.1359412049987799E-3</v>
      </c>
      <c r="AJ246" s="165">
        <v>1.0088120182225699E-3</v>
      </c>
    </row>
    <row r="247" spans="1:36">
      <c r="A247" s="2" t="s">
        <v>26</v>
      </c>
      <c r="B247" s="2">
        <v>1451</v>
      </c>
      <c r="C247" s="2" t="s">
        <v>2244</v>
      </c>
      <c r="D247" s="2" t="s">
        <v>2245</v>
      </c>
      <c r="E247" s="4" t="s">
        <v>1347</v>
      </c>
      <c r="F247" s="2" t="s">
        <v>2246</v>
      </c>
      <c r="G247" s="2" t="s">
        <v>2247</v>
      </c>
      <c r="H247" s="2" t="s">
        <v>342</v>
      </c>
      <c r="I247" s="2" t="s">
        <v>990</v>
      </c>
      <c r="J247" s="2" t="s">
        <v>31</v>
      </c>
      <c r="K247" s="2" t="s">
        <v>31</v>
      </c>
      <c r="L247" s="2" t="s">
        <v>348</v>
      </c>
      <c r="M247" s="2" t="s">
        <v>40</v>
      </c>
      <c r="N247" s="2" t="s">
        <v>465</v>
      </c>
      <c r="O247" s="2" t="s">
        <v>163</v>
      </c>
      <c r="P247" s="2" t="s">
        <v>2022</v>
      </c>
      <c r="Q247" s="2" t="s">
        <v>437</v>
      </c>
      <c r="R247" s="2" t="s">
        <v>428</v>
      </c>
      <c r="S247" s="2" t="s">
        <v>35</v>
      </c>
      <c r="T247" s="152">
        <v>1.4550000000000001</v>
      </c>
      <c r="U247" s="2" t="s">
        <v>2173</v>
      </c>
      <c r="V247" s="163">
        <v>2.9399999999999999E-2</v>
      </c>
      <c r="W247" s="165">
        <v>4.5580000000000002E-2</v>
      </c>
      <c r="X247" s="4" t="s">
        <v>434</v>
      </c>
      <c r="Y247" s="4" t="s">
        <v>163</v>
      </c>
      <c r="Z247" s="152">
        <v>60140.39</v>
      </c>
      <c r="AA247" s="152">
        <v>1</v>
      </c>
      <c r="AB247" s="152">
        <v>99.19</v>
      </c>
      <c r="AD247" s="152">
        <v>59.652999999999999</v>
      </c>
      <c r="AG247" s="2" t="s">
        <v>37</v>
      </c>
      <c r="AH247" s="165">
        <v>2.8200000000000002E-4</v>
      </c>
      <c r="AI247" s="165">
        <v>4.32675428887373E-3</v>
      </c>
      <c r="AJ247" s="165">
        <v>1.0553539110363501E-3</v>
      </c>
    </row>
    <row r="248" spans="1:36">
      <c r="A248" s="2" t="s">
        <v>26</v>
      </c>
      <c r="B248" s="2">
        <v>1451</v>
      </c>
      <c r="C248" s="2" t="s">
        <v>2248</v>
      </c>
      <c r="D248" s="2" t="s">
        <v>2249</v>
      </c>
      <c r="E248" s="4" t="s">
        <v>1347</v>
      </c>
      <c r="F248" s="2" t="s">
        <v>2250</v>
      </c>
      <c r="G248" s="2" t="s">
        <v>2251</v>
      </c>
      <c r="H248" s="2" t="s">
        <v>342</v>
      </c>
      <c r="I248" s="2" t="s">
        <v>777</v>
      </c>
      <c r="J248" s="2" t="s">
        <v>31</v>
      </c>
      <c r="K248" s="2" t="s">
        <v>31</v>
      </c>
      <c r="L248" s="2" t="s">
        <v>348</v>
      </c>
      <c r="M248" s="2" t="s">
        <v>40</v>
      </c>
      <c r="N248" s="2" t="s">
        <v>484</v>
      </c>
      <c r="O248" s="2" t="s">
        <v>163</v>
      </c>
      <c r="P248" s="2" t="s">
        <v>2098</v>
      </c>
      <c r="Q248" s="2" t="s">
        <v>435</v>
      </c>
      <c r="R248" s="2" t="s">
        <v>428</v>
      </c>
      <c r="S248" s="2" t="s">
        <v>35</v>
      </c>
      <c r="T248" s="152">
        <v>4.4139999999999997</v>
      </c>
      <c r="U248" s="2" t="s">
        <v>2252</v>
      </c>
      <c r="V248" s="163">
        <v>3.6200000000000003E-2</v>
      </c>
      <c r="W248" s="165">
        <v>3.5619999999999999E-2</v>
      </c>
      <c r="X248" s="4" t="s">
        <v>434</v>
      </c>
      <c r="Y248" s="4" t="s">
        <v>163</v>
      </c>
      <c r="Z248" s="152">
        <v>57230</v>
      </c>
      <c r="AA248" s="152">
        <v>1</v>
      </c>
      <c r="AB248" s="152">
        <v>103.98</v>
      </c>
      <c r="AD248" s="152">
        <v>59.508000000000003</v>
      </c>
      <c r="AG248" s="2" t="s">
        <v>37</v>
      </c>
      <c r="AH248" s="165">
        <v>3.1999999999999999E-5</v>
      </c>
      <c r="AI248" s="165">
        <v>4.3162010046127602E-3</v>
      </c>
      <c r="AJ248" s="165">
        <v>1.05277982222162E-3</v>
      </c>
    </row>
    <row r="249" spans="1:36">
      <c r="A249" s="2" t="s">
        <v>26</v>
      </c>
      <c r="B249" s="2">
        <v>1451</v>
      </c>
      <c r="C249" s="2" t="s">
        <v>2253</v>
      </c>
      <c r="D249" s="2" t="s">
        <v>2254</v>
      </c>
      <c r="E249" s="4" t="s">
        <v>1347</v>
      </c>
      <c r="F249" s="2" t="s">
        <v>2255</v>
      </c>
      <c r="G249" s="2" t="s">
        <v>2256</v>
      </c>
      <c r="H249" s="2" t="s">
        <v>342</v>
      </c>
      <c r="I249" s="2" t="s">
        <v>990</v>
      </c>
      <c r="J249" s="2" t="s">
        <v>31</v>
      </c>
      <c r="K249" s="2" t="s">
        <v>31</v>
      </c>
      <c r="L249" s="2" t="s">
        <v>348</v>
      </c>
      <c r="M249" s="2" t="s">
        <v>40</v>
      </c>
      <c r="N249" s="2" t="s">
        <v>474</v>
      </c>
      <c r="O249" s="2" t="s">
        <v>163</v>
      </c>
      <c r="P249" s="2" t="s">
        <v>1991</v>
      </c>
      <c r="Q249" s="2" t="s">
        <v>435</v>
      </c>
      <c r="R249" s="2" t="s">
        <v>428</v>
      </c>
      <c r="S249" s="2" t="s">
        <v>35</v>
      </c>
      <c r="T249" s="152">
        <v>0.56399999999999995</v>
      </c>
      <c r="U249" s="2" t="s">
        <v>2257</v>
      </c>
      <c r="V249" s="163">
        <v>2.3599999999999999E-2</v>
      </c>
      <c r="W249" s="165">
        <v>4.5929999999999999E-2</v>
      </c>
      <c r="X249" s="4" t="s">
        <v>434</v>
      </c>
      <c r="Y249" s="4" t="s">
        <v>163</v>
      </c>
      <c r="Z249" s="152">
        <v>6213</v>
      </c>
      <c r="AA249" s="152">
        <v>1</v>
      </c>
      <c r="AB249" s="152">
        <v>99.23</v>
      </c>
      <c r="AD249" s="152">
        <v>6.165</v>
      </c>
      <c r="AG249" s="2" t="s">
        <v>37</v>
      </c>
      <c r="AH249" s="165">
        <v>5.3999999999999998E-5</v>
      </c>
      <c r="AI249" s="165">
        <v>4.47169781504076E-4</v>
      </c>
      <c r="AJ249" s="165">
        <v>1.0907075981207199E-4</v>
      </c>
    </row>
    <row r="250" spans="1:36">
      <c r="A250" s="2" t="s">
        <v>26</v>
      </c>
      <c r="B250" s="2">
        <v>1451</v>
      </c>
      <c r="C250" s="2" t="s">
        <v>1788</v>
      </c>
      <c r="D250" s="2" t="s">
        <v>1789</v>
      </c>
      <c r="E250" s="4" t="s">
        <v>1347</v>
      </c>
      <c r="F250" s="2" t="s">
        <v>2258</v>
      </c>
      <c r="G250" s="2" t="s">
        <v>2259</v>
      </c>
      <c r="H250" s="2" t="s">
        <v>342</v>
      </c>
      <c r="I250" s="2" t="s">
        <v>990</v>
      </c>
      <c r="J250" s="2" t="s">
        <v>31</v>
      </c>
      <c r="K250" s="2" t="s">
        <v>31</v>
      </c>
      <c r="L250" s="2" t="s">
        <v>348</v>
      </c>
      <c r="M250" s="2" t="s">
        <v>40</v>
      </c>
      <c r="N250" s="2" t="s">
        <v>505</v>
      </c>
      <c r="O250" s="2" t="s">
        <v>163</v>
      </c>
      <c r="P250" s="2" t="s">
        <v>1975</v>
      </c>
      <c r="Q250" s="2" t="s">
        <v>435</v>
      </c>
      <c r="R250" s="2" t="s">
        <v>428</v>
      </c>
      <c r="S250" s="2" t="s">
        <v>35</v>
      </c>
      <c r="T250" s="152">
        <v>0.745</v>
      </c>
      <c r="U250" s="2" t="s">
        <v>2260</v>
      </c>
      <c r="V250" s="163">
        <v>4.1399999999999999E-2</v>
      </c>
      <c r="W250" s="165">
        <v>5.0970000000000001E-2</v>
      </c>
      <c r="X250" s="4" t="s">
        <v>434</v>
      </c>
      <c r="Y250" s="4" t="s">
        <v>163</v>
      </c>
      <c r="Z250" s="152">
        <v>133333.32999999999</v>
      </c>
      <c r="AA250" s="152">
        <v>1</v>
      </c>
      <c r="AB250" s="152">
        <v>100.34</v>
      </c>
      <c r="AD250" s="152">
        <v>133.78700000000001</v>
      </c>
      <c r="AG250" s="2" t="s">
        <v>37</v>
      </c>
      <c r="AH250" s="165">
        <v>5.9199999999999997E-4</v>
      </c>
      <c r="AI250" s="165">
        <v>9.7037796223027502E-3</v>
      </c>
      <c r="AJ250" s="165">
        <v>2.3668831397628998E-3</v>
      </c>
    </row>
    <row r="251" spans="1:36">
      <c r="A251" s="2" t="s">
        <v>26</v>
      </c>
      <c r="B251" s="2">
        <v>1451</v>
      </c>
      <c r="C251" s="2" t="s">
        <v>1696</v>
      </c>
      <c r="D251" s="2" t="s">
        <v>1697</v>
      </c>
      <c r="E251" s="4" t="s">
        <v>1347</v>
      </c>
      <c r="F251" s="2" t="s">
        <v>2264</v>
      </c>
      <c r="G251" s="2" t="s">
        <v>2265</v>
      </c>
      <c r="H251" s="2" t="s">
        <v>342</v>
      </c>
      <c r="I251" s="2" t="s">
        <v>777</v>
      </c>
      <c r="J251" s="2" t="s">
        <v>31</v>
      </c>
      <c r="K251" s="2" t="s">
        <v>31</v>
      </c>
      <c r="L251" s="2" t="s">
        <v>348</v>
      </c>
      <c r="M251" s="2" t="s">
        <v>40</v>
      </c>
      <c r="N251" s="2" t="s">
        <v>484</v>
      </c>
      <c r="O251" s="2" t="s">
        <v>163</v>
      </c>
      <c r="P251" s="2" t="s">
        <v>2131</v>
      </c>
      <c r="Q251" s="2" t="s">
        <v>437</v>
      </c>
      <c r="R251" s="2" t="s">
        <v>428</v>
      </c>
      <c r="S251" s="2" t="s">
        <v>35</v>
      </c>
      <c r="T251" s="152">
        <v>3.1419999999999999</v>
      </c>
      <c r="U251" s="2" t="s">
        <v>2266</v>
      </c>
      <c r="V251" s="163">
        <v>1.34E-2</v>
      </c>
      <c r="W251" s="165">
        <v>2.206E-2</v>
      </c>
      <c r="X251" s="4" t="s">
        <v>434</v>
      </c>
      <c r="Y251" s="4" t="s">
        <v>163</v>
      </c>
      <c r="Z251" s="152">
        <v>325258.38</v>
      </c>
      <c r="AA251" s="152">
        <v>1</v>
      </c>
      <c r="AB251" s="152">
        <v>110.26</v>
      </c>
      <c r="AD251" s="152">
        <v>358.63</v>
      </c>
      <c r="AG251" s="2" t="s">
        <v>37</v>
      </c>
      <c r="AH251" s="165">
        <v>1.05E-4</v>
      </c>
      <c r="AI251" s="165">
        <v>2.6012050305026301E-2</v>
      </c>
      <c r="AJ251" s="165">
        <v>6.3446910063916801E-3</v>
      </c>
    </row>
    <row r="252" spans="1:36">
      <c r="A252" s="2" t="s">
        <v>26</v>
      </c>
      <c r="B252" s="2">
        <v>1451</v>
      </c>
      <c r="C252" s="2" t="s">
        <v>1696</v>
      </c>
      <c r="D252" s="2" t="s">
        <v>1697</v>
      </c>
      <c r="E252" s="4" t="s">
        <v>1347</v>
      </c>
      <c r="F252" s="2" t="s">
        <v>2267</v>
      </c>
      <c r="G252" s="2" t="s">
        <v>2268</v>
      </c>
      <c r="H252" s="2" t="s">
        <v>342</v>
      </c>
      <c r="I252" s="2" t="s">
        <v>777</v>
      </c>
      <c r="J252" s="2" t="s">
        <v>31</v>
      </c>
      <c r="K252" s="2" t="s">
        <v>31</v>
      </c>
      <c r="L252" s="2" t="s">
        <v>348</v>
      </c>
      <c r="M252" s="2" t="s">
        <v>40</v>
      </c>
      <c r="N252" s="2" t="s">
        <v>484</v>
      </c>
      <c r="O252" s="2" t="s">
        <v>163</v>
      </c>
      <c r="P252" s="2" t="s">
        <v>2131</v>
      </c>
      <c r="Q252" s="2" t="s">
        <v>437</v>
      </c>
      <c r="R252" s="2" t="s">
        <v>428</v>
      </c>
      <c r="S252" s="2" t="s">
        <v>35</v>
      </c>
      <c r="T252" s="152">
        <v>2.8639999999999999</v>
      </c>
      <c r="U252" s="2" t="s">
        <v>2126</v>
      </c>
      <c r="V252" s="163">
        <v>1.77E-2</v>
      </c>
      <c r="W252" s="165">
        <v>2.0539999999999999E-2</v>
      </c>
      <c r="X252" s="4" t="s">
        <v>434</v>
      </c>
      <c r="Y252" s="4" t="s">
        <v>163</v>
      </c>
      <c r="Z252" s="152">
        <v>260237.84</v>
      </c>
      <c r="AA252" s="152">
        <v>1</v>
      </c>
      <c r="AB252" s="152">
        <v>111.11</v>
      </c>
      <c r="AD252" s="152">
        <v>289.14999999999998</v>
      </c>
      <c r="AG252" s="2" t="s">
        <v>37</v>
      </c>
      <c r="AH252" s="165">
        <v>9.3999999999999994E-5</v>
      </c>
      <c r="AI252" s="165">
        <v>2.0972572079672701E-2</v>
      </c>
      <c r="AJ252" s="165">
        <v>5.1154940842586703E-3</v>
      </c>
    </row>
    <row r="253" spans="1:36">
      <c r="A253" s="2" t="s">
        <v>26</v>
      </c>
      <c r="B253" s="2">
        <v>1451</v>
      </c>
      <c r="C253" s="2" t="s">
        <v>1696</v>
      </c>
      <c r="D253" s="2" t="s">
        <v>1697</v>
      </c>
      <c r="E253" s="4" t="s">
        <v>1347</v>
      </c>
      <c r="F253" s="2" t="s">
        <v>2269</v>
      </c>
      <c r="G253" s="2" t="s">
        <v>2270</v>
      </c>
      <c r="H253" s="2" t="s">
        <v>342</v>
      </c>
      <c r="I253" s="2" t="s">
        <v>777</v>
      </c>
      <c r="J253" s="2" t="s">
        <v>31</v>
      </c>
      <c r="K253" s="2" t="s">
        <v>31</v>
      </c>
      <c r="L253" s="2" t="s">
        <v>348</v>
      </c>
      <c r="M253" s="2" t="s">
        <v>40</v>
      </c>
      <c r="N253" s="2" t="s">
        <v>484</v>
      </c>
      <c r="O253" s="2" t="s">
        <v>163</v>
      </c>
      <c r="P253" s="2" t="s">
        <v>2271</v>
      </c>
      <c r="Q253" s="2" t="s">
        <v>435</v>
      </c>
      <c r="R253" s="2" t="s">
        <v>428</v>
      </c>
      <c r="S253" s="2" t="s">
        <v>35</v>
      </c>
      <c r="T253" s="152">
        <v>7.2489999999999997</v>
      </c>
      <c r="U253" s="2" t="s">
        <v>2272</v>
      </c>
      <c r="V253" s="163">
        <v>8.9999999999999993E-3</v>
      </c>
      <c r="W253" s="165">
        <v>2.8979999999999999E-2</v>
      </c>
      <c r="X253" s="4" t="s">
        <v>434</v>
      </c>
      <c r="Y253" s="4" t="s">
        <v>163</v>
      </c>
      <c r="Z253" s="152">
        <v>130000</v>
      </c>
      <c r="AA253" s="152">
        <v>1</v>
      </c>
      <c r="AB253" s="152">
        <v>95.37</v>
      </c>
      <c r="AD253" s="152">
        <v>123.98099999999999</v>
      </c>
      <c r="AG253" s="2" t="s">
        <v>37</v>
      </c>
      <c r="AH253" s="165">
        <v>6.7999999999999999E-5</v>
      </c>
      <c r="AI253" s="165">
        <v>8.9925577892402807E-3</v>
      </c>
      <c r="AJ253" s="165">
        <v>2.1934065120128399E-3</v>
      </c>
    </row>
    <row r="254" spans="1:36">
      <c r="A254" s="2" t="s">
        <v>26</v>
      </c>
      <c r="B254" s="2">
        <v>1451</v>
      </c>
      <c r="C254" s="2" t="s">
        <v>1696</v>
      </c>
      <c r="D254" s="2" t="s">
        <v>1697</v>
      </c>
      <c r="E254" s="4" t="s">
        <v>1347</v>
      </c>
      <c r="F254" s="2" t="s">
        <v>2534</v>
      </c>
      <c r="G254" s="2" t="s">
        <v>2535</v>
      </c>
      <c r="H254" s="2" t="s">
        <v>342</v>
      </c>
      <c r="I254" s="2" t="s">
        <v>777</v>
      </c>
      <c r="J254" s="2" t="s">
        <v>31</v>
      </c>
      <c r="K254" s="2" t="s">
        <v>31</v>
      </c>
      <c r="L254" s="2" t="s">
        <v>348</v>
      </c>
      <c r="M254" s="2" t="s">
        <v>40</v>
      </c>
      <c r="N254" s="2" t="s">
        <v>484</v>
      </c>
      <c r="O254" s="2" t="s">
        <v>163</v>
      </c>
      <c r="P254" s="2" t="s">
        <v>2271</v>
      </c>
      <c r="Q254" s="2" t="s">
        <v>435</v>
      </c>
      <c r="R254" s="2" t="s">
        <v>428</v>
      </c>
      <c r="S254" s="2" t="s">
        <v>35</v>
      </c>
      <c r="T254" s="152">
        <v>0.998</v>
      </c>
      <c r="U254" s="2" t="s">
        <v>2536</v>
      </c>
      <c r="V254" s="163">
        <v>6.4999999999999997E-3</v>
      </c>
      <c r="W254" s="165">
        <v>1.6490000000000001E-2</v>
      </c>
      <c r="X254" s="4" t="s">
        <v>434</v>
      </c>
      <c r="Y254" s="4" t="s">
        <v>163</v>
      </c>
      <c r="Z254" s="152">
        <v>104136.32000000001</v>
      </c>
      <c r="AA254" s="152">
        <v>1</v>
      </c>
      <c r="AB254" s="152">
        <v>110.63</v>
      </c>
      <c r="AC254" s="152">
        <v>117.09699999999999</v>
      </c>
      <c r="AD254" s="152">
        <v>232.303</v>
      </c>
      <c r="AG254" s="2" t="s">
        <v>37</v>
      </c>
      <c r="AH254" s="165">
        <v>3.4499999999999998E-4</v>
      </c>
      <c r="AI254" s="165">
        <v>1.68493396536619E-2</v>
      </c>
      <c r="AJ254" s="165">
        <v>4.1097819091780903E-3</v>
      </c>
    </row>
    <row r="255" spans="1:36">
      <c r="A255" s="2" t="s">
        <v>26</v>
      </c>
      <c r="B255" s="2">
        <v>1451</v>
      </c>
      <c r="C255" s="2" t="s">
        <v>1700</v>
      </c>
      <c r="D255" s="2" t="s">
        <v>1701</v>
      </c>
      <c r="E255" s="4" t="s">
        <v>1347</v>
      </c>
      <c r="F255" s="2" t="s">
        <v>2273</v>
      </c>
      <c r="G255" s="2" t="s">
        <v>2274</v>
      </c>
      <c r="H255" s="2" t="s">
        <v>342</v>
      </c>
      <c r="I255" s="2" t="s">
        <v>990</v>
      </c>
      <c r="J255" s="2" t="s">
        <v>31</v>
      </c>
      <c r="K255" s="2" t="s">
        <v>31</v>
      </c>
      <c r="L255" s="2" t="s">
        <v>348</v>
      </c>
      <c r="M255" s="2" t="s">
        <v>40</v>
      </c>
      <c r="N255" s="2" t="s">
        <v>468</v>
      </c>
      <c r="O255" s="2" t="s">
        <v>163</v>
      </c>
      <c r="P255" s="2" t="s">
        <v>128</v>
      </c>
      <c r="Q255" s="2" t="s">
        <v>437</v>
      </c>
      <c r="R255" s="2" t="s">
        <v>428</v>
      </c>
      <c r="S255" s="2" t="s">
        <v>35</v>
      </c>
      <c r="T255" s="152">
        <v>3.8450000000000002</v>
      </c>
      <c r="U255" s="2" t="s">
        <v>2275</v>
      </c>
      <c r="V255" s="163">
        <v>2.5000000000000001E-2</v>
      </c>
      <c r="W255" s="165">
        <v>4.514E-2</v>
      </c>
      <c r="X255" s="4" t="s">
        <v>434</v>
      </c>
      <c r="Y255" s="4" t="s">
        <v>163</v>
      </c>
      <c r="Z255" s="152">
        <v>145910.39999999999</v>
      </c>
      <c r="AA255" s="152">
        <v>1</v>
      </c>
      <c r="AB255" s="152">
        <v>93.42</v>
      </c>
      <c r="AD255" s="152">
        <v>136.309</v>
      </c>
      <c r="AG255" s="2" t="s">
        <v>37</v>
      </c>
      <c r="AH255" s="165">
        <v>4.8999999999999998E-5</v>
      </c>
      <c r="AI255" s="165">
        <v>9.8867650456489105E-3</v>
      </c>
      <c r="AJ255" s="165">
        <v>2.41151576026729E-3</v>
      </c>
    </row>
    <row r="256" spans="1:36">
      <c r="A256" s="2" t="s">
        <v>26</v>
      </c>
      <c r="B256" s="2">
        <v>1451</v>
      </c>
      <c r="C256" s="2" t="s">
        <v>1700</v>
      </c>
      <c r="D256" s="2" t="s">
        <v>1701</v>
      </c>
      <c r="E256" s="4" t="s">
        <v>1347</v>
      </c>
      <c r="F256" s="2" t="s">
        <v>2276</v>
      </c>
      <c r="G256" s="2" t="s">
        <v>2277</v>
      </c>
      <c r="H256" s="2" t="s">
        <v>342</v>
      </c>
      <c r="I256" s="2" t="s">
        <v>777</v>
      </c>
      <c r="J256" s="2" t="s">
        <v>31</v>
      </c>
      <c r="K256" s="2" t="s">
        <v>31</v>
      </c>
      <c r="L256" s="2" t="s">
        <v>348</v>
      </c>
      <c r="M256" s="2" t="s">
        <v>40</v>
      </c>
      <c r="N256" s="2" t="s">
        <v>468</v>
      </c>
      <c r="O256" s="2" t="s">
        <v>163</v>
      </c>
      <c r="P256" s="2" t="s">
        <v>128</v>
      </c>
      <c r="Q256" s="2" t="s">
        <v>437</v>
      </c>
      <c r="R256" s="2" t="s">
        <v>428</v>
      </c>
      <c r="S256" s="2" t="s">
        <v>35</v>
      </c>
      <c r="T256" s="152">
        <v>4.0890000000000004</v>
      </c>
      <c r="U256" s="2" t="s">
        <v>2275</v>
      </c>
      <c r="V256" s="163">
        <v>1E-3</v>
      </c>
      <c r="W256" s="165">
        <v>1.9650000000000001E-2</v>
      </c>
      <c r="X256" s="4" t="s">
        <v>434</v>
      </c>
      <c r="Y256" s="4" t="s">
        <v>163</v>
      </c>
      <c r="Z256" s="152">
        <v>253724.18</v>
      </c>
      <c r="AA256" s="152">
        <v>1</v>
      </c>
      <c r="AB256" s="152">
        <v>101.03</v>
      </c>
      <c r="AD256" s="152">
        <v>256.33800000000002</v>
      </c>
      <c r="AG256" s="2" t="s">
        <v>37</v>
      </c>
      <c r="AH256" s="165">
        <v>9.6000000000000002E-5</v>
      </c>
      <c r="AI256" s="165">
        <v>1.8592608008442701E-2</v>
      </c>
      <c r="AJ256" s="165">
        <v>4.5349886469248498E-3</v>
      </c>
    </row>
    <row r="257" spans="1:36">
      <c r="A257" s="2" t="s">
        <v>26</v>
      </c>
      <c r="B257" s="2">
        <v>1451</v>
      </c>
      <c r="C257" s="2" t="s">
        <v>1700</v>
      </c>
      <c r="D257" s="2" t="s">
        <v>1701</v>
      </c>
      <c r="E257" s="4" t="s">
        <v>1347</v>
      </c>
      <c r="F257" s="2" t="s">
        <v>2278</v>
      </c>
      <c r="G257" s="2" t="s">
        <v>2279</v>
      </c>
      <c r="H257" s="2" t="s">
        <v>342</v>
      </c>
      <c r="I257" s="2" t="s">
        <v>777</v>
      </c>
      <c r="J257" s="2" t="s">
        <v>31</v>
      </c>
      <c r="K257" s="2" t="s">
        <v>31</v>
      </c>
      <c r="L257" s="2" t="s">
        <v>348</v>
      </c>
      <c r="M257" s="2" t="s">
        <v>40</v>
      </c>
      <c r="N257" s="2" t="s">
        <v>468</v>
      </c>
      <c r="O257" s="2" t="s">
        <v>163</v>
      </c>
      <c r="P257" s="2" t="s">
        <v>128</v>
      </c>
      <c r="Q257" s="2" t="s">
        <v>437</v>
      </c>
      <c r="R257" s="2" t="s">
        <v>428</v>
      </c>
      <c r="S257" s="2" t="s">
        <v>35</v>
      </c>
      <c r="T257" s="152">
        <v>4.4530000000000003</v>
      </c>
      <c r="U257" s="2" t="s">
        <v>2280</v>
      </c>
      <c r="V257" s="163">
        <v>1.3899999999999999E-2</v>
      </c>
      <c r="W257" s="165">
        <v>1.992E-2</v>
      </c>
      <c r="X257" s="4" t="s">
        <v>434</v>
      </c>
      <c r="Y257" s="4" t="s">
        <v>163</v>
      </c>
      <c r="Z257" s="152">
        <v>114300</v>
      </c>
      <c r="AA257" s="152">
        <v>1</v>
      </c>
      <c r="AB257" s="152">
        <v>101.5</v>
      </c>
      <c r="AD257" s="152">
        <v>116.014</v>
      </c>
      <c r="AG257" s="2" t="s">
        <v>37</v>
      </c>
      <c r="AH257" s="165">
        <v>6.3E-5</v>
      </c>
      <c r="AI257" s="165">
        <v>8.4147336740292202E-3</v>
      </c>
      <c r="AJ257" s="165">
        <v>2.0524673924868599E-3</v>
      </c>
    </row>
    <row r="258" spans="1:36">
      <c r="A258" s="2" t="s">
        <v>26</v>
      </c>
      <c r="B258" s="2">
        <v>1451</v>
      </c>
      <c r="C258" s="2" t="s">
        <v>1700</v>
      </c>
      <c r="D258" s="2" t="s">
        <v>1701</v>
      </c>
      <c r="E258" s="4" t="s">
        <v>1347</v>
      </c>
      <c r="F258" s="2" t="s">
        <v>2281</v>
      </c>
      <c r="G258" s="2" t="s">
        <v>2282</v>
      </c>
      <c r="H258" s="2" t="s">
        <v>342</v>
      </c>
      <c r="I258" s="2" t="s">
        <v>777</v>
      </c>
      <c r="J258" s="2" t="s">
        <v>31</v>
      </c>
      <c r="K258" s="2" t="s">
        <v>31</v>
      </c>
      <c r="L258" s="2" t="s">
        <v>348</v>
      </c>
      <c r="M258" s="2" t="s">
        <v>40</v>
      </c>
      <c r="N258" s="2" t="s">
        <v>468</v>
      </c>
      <c r="O258" s="2" t="s">
        <v>163</v>
      </c>
      <c r="P258" s="2" t="s">
        <v>128</v>
      </c>
      <c r="Q258" s="2" t="s">
        <v>437</v>
      </c>
      <c r="R258" s="2" t="s">
        <v>428</v>
      </c>
      <c r="S258" s="2" t="s">
        <v>35</v>
      </c>
      <c r="T258" s="152">
        <v>3.54</v>
      </c>
      <c r="U258" s="2" t="s">
        <v>2283</v>
      </c>
      <c r="V258" s="163">
        <v>1.7500000000000002E-2</v>
      </c>
      <c r="W258" s="165">
        <v>1.8929999999999999E-2</v>
      </c>
      <c r="X258" s="4" t="s">
        <v>434</v>
      </c>
      <c r="Y258" s="4" t="s">
        <v>163</v>
      </c>
      <c r="Z258" s="152">
        <v>236615.59</v>
      </c>
      <c r="AA258" s="152">
        <v>1</v>
      </c>
      <c r="AB258" s="152">
        <v>111.16</v>
      </c>
      <c r="AD258" s="152">
        <v>263.02199999999999</v>
      </c>
      <c r="AG258" s="2" t="s">
        <v>37</v>
      </c>
      <c r="AH258" s="165">
        <v>8.2000000000000001E-5</v>
      </c>
      <c r="AI258" s="165">
        <v>1.90774356091446E-2</v>
      </c>
      <c r="AJ258" s="165">
        <v>4.6532446583408297E-3</v>
      </c>
    </row>
    <row r="259" spans="1:36">
      <c r="A259" s="2" t="s">
        <v>26</v>
      </c>
      <c r="B259" s="2">
        <v>1451</v>
      </c>
      <c r="C259" s="2" t="s">
        <v>1708</v>
      </c>
      <c r="D259" s="2" t="s">
        <v>1709</v>
      </c>
      <c r="E259" s="4" t="s">
        <v>1347</v>
      </c>
      <c r="F259" s="2" t="s">
        <v>2284</v>
      </c>
      <c r="G259" s="2" t="s">
        <v>2285</v>
      </c>
      <c r="H259" s="2" t="s">
        <v>342</v>
      </c>
      <c r="I259" s="2" t="s">
        <v>990</v>
      </c>
      <c r="J259" s="2" t="s">
        <v>31</v>
      </c>
      <c r="K259" s="2" t="s">
        <v>31</v>
      </c>
      <c r="L259" s="2" t="s">
        <v>348</v>
      </c>
      <c r="M259" s="2" t="s">
        <v>40</v>
      </c>
      <c r="N259" s="2" t="s">
        <v>497</v>
      </c>
      <c r="O259" s="2" t="s">
        <v>163</v>
      </c>
      <c r="P259" s="2" t="s">
        <v>2010</v>
      </c>
      <c r="Q259" s="2" t="s">
        <v>437</v>
      </c>
      <c r="R259" s="2" t="s">
        <v>428</v>
      </c>
      <c r="S259" s="2" t="s">
        <v>35</v>
      </c>
      <c r="T259" s="152">
        <v>1.8129999999999999</v>
      </c>
      <c r="U259" s="2" t="s">
        <v>2286</v>
      </c>
      <c r="V259" s="163">
        <v>2.29E-2</v>
      </c>
      <c r="W259" s="165">
        <v>4.5350000000000001E-2</v>
      </c>
      <c r="X259" s="4" t="s">
        <v>434</v>
      </c>
      <c r="Y259" s="4" t="s">
        <v>163</v>
      </c>
      <c r="Z259" s="152">
        <v>75384.62</v>
      </c>
      <c r="AA259" s="152">
        <v>1</v>
      </c>
      <c r="AB259" s="152">
        <v>96.89</v>
      </c>
      <c r="AD259" s="152">
        <v>73.040000000000006</v>
      </c>
      <c r="AG259" s="2" t="s">
        <v>37</v>
      </c>
      <c r="AH259" s="165">
        <v>1.5300000000000001E-4</v>
      </c>
      <c r="AI259" s="165">
        <v>5.2977298506212602E-3</v>
      </c>
      <c r="AJ259" s="165">
        <v>1.29218798762028E-3</v>
      </c>
    </row>
    <row r="260" spans="1:36">
      <c r="A260" s="2" t="s">
        <v>26</v>
      </c>
      <c r="B260" s="2">
        <v>1451</v>
      </c>
      <c r="C260" s="2" t="s">
        <v>2287</v>
      </c>
      <c r="D260" s="2" t="s">
        <v>2288</v>
      </c>
      <c r="E260" s="4" t="s">
        <v>1347</v>
      </c>
      <c r="F260" s="2" t="s">
        <v>2437</v>
      </c>
      <c r="G260" s="2" t="s">
        <v>2438</v>
      </c>
      <c r="H260" s="2" t="s">
        <v>342</v>
      </c>
      <c r="I260" s="2" t="s">
        <v>990</v>
      </c>
      <c r="J260" s="2" t="s">
        <v>31</v>
      </c>
      <c r="K260" s="2" t="s">
        <v>31</v>
      </c>
      <c r="L260" s="2" t="s">
        <v>348</v>
      </c>
      <c r="M260" s="2" t="s">
        <v>40</v>
      </c>
      <c r="N260" s="2" t="s">
        <v>460</v>
      </c>
      <c r="O260" s="2" t="s">
        <v>163</v>
      </c>
      <c r="P260" s="2" t="s">
        <v>1981</v>
      </c>
      <c r="Q260" s="2" t="s">
        <v>435</v>
      </c>
      <c r="R260" s="2" t="s">
        <v>428</v>
      </c>
      <c r="S260" s="2" t="s">
        <v>35</v>
      </c>
      <c r="T260" s="152">
        <v>4.2530000000000001</v>
      </c>
      <c r="U260" s="2" t="s">
        <v>58</v>
      </c>
      <c r="V260" s="163">
        <v>2.4299999999999999E-2</v>
      </c>
      <c r="W260" s="165">
        <v>5.0290000000000001E-2</v>
      </c>
      <c r="X260" s="4" t="s">
        <v>434</v>
      </c>
      <c r="Y260" s="4" t="s">
        <v>163</v>
      </c>
      <c r="Z260" s="152">
        <v>170000</v>
      </c>
      <c r="AA260" s="152">
        <v>1</v>
      </c>
      <c r="AB260" s="152">
        <v>90.42</v>
      </c>
      <c r="AD260" s="152">
        <v>153.714</v>
      </c>
      <c r="AG260" s="2" t="s">
        <v>37</v>
      </c>
      <c r="AH260" s="165">
        <v>1.16E-4</v>
      </c>
      <c r="AI260" s="165">
        <v>1.11491440463884E-2</v>
      </c>
      <c r="AJ260" s="165">
        <v>2.7194270782421701E-3</v>
      </c>
    </row>
    <row r="261" spans="1:36">
      <c r="A261" s="2" t="s">
        <v>26</v>
      </c>
      <c r="B261" s="2">
        <v>1451</v>
      </c>
      <c r="C261" s="2" t="s">
        <v>2292</v>
      </c>
      <c r="D261" s="2" t="s">
        <v>2293</v>
      </c>
      <c r="E261" s="4" t="s">
        <v>1347</v>
      </c>
      <c r="F261" s="2" t="s">
        <v>2294</v>
      </c>
      <c r="G261" s="2" t="s">
        <v>2295</v>
      </c>
      <c r="H261" s="2" t="s">
        <v>342</v>
      </c>
      <c r="I261" s="2" t="s">
        <v>990</v>
      </c>
      <c r="J261" s="2" t="s">
        <v>31</v>
      </c>
      <c r="K261" s="2" t="s">
        <v>31</v>
      </c>
      <c r="L261" s="2" t="s">
        <v>348</v>
      </c>
      <c r="M261" s="2" t="s">
        <v>40</v>
      </c>
      <c r="N261" s="2" t="s">
        <v>465</v>
      </c>
      <c r="O261" s="2" t="s">
        <v>163</v>
      </c>
      <c r="P261" s="2" t="s">
        <v>2010</v>
      </c>
      <c r="Q261" s="2" t="s">
        <v>435</v>
      </c>
      <c r="R261" s="2" t="s">
        <v>428</v>
      </c>
      <c r="S261" s="2" t="s">
        <v>35</v>
      </c>
      <c r="T261" s="152">
        <v>5.4459999999999997</v>
      </c>
      <c r="U261" s="2" t="s">
        <v>2296</v>
      </c>
      <c r="V261" s="163">
        <v>4.6899999999999997E-2</v>
      </c>
      <c r="W261" s="165">
        <v>4.9889999999999997E-2</v>
      </c>
      <c r="X261" s="4" t="s">
        <v>434</v>
      </c>
      <c r="Y261" s="4" t="s">
        <v>163</v>
      </c>
      <c r="Z261" s="152">
        <v>180000</v>
      </c>
      <c r="AA261" s="152">
        <v>1</v>
      </c>
      <c r="AB261" s="152">
        <v>98.9</v>
      </c>
      <c r="AD261" s="152">
        <v>178.02</v>
      </c>
      <c r="AG261" s="2" t="s">
        <v>37</v>
      </c>
      <c r="AH261" s="165">
        <v>0</v>
      </c>
      <c r="AI261" s="165">
        <v>1.29121005447654E-2</v>
      </c>
      <c r="AJ261" s="165">
        <v>3.1494360205880402E-3</v>
      </c>
    </row>
    <row r="262" spans="1:36">
      <c r="A262" s="2" t="s">
        <v>26</v>
      </c>
      <c r="B262" s="2">
        <v>1451</v>
      </c>
      <c r="C262" s="2" t="s">
        <v>2292</v>
      </c>
      <c r="D262" s="2" t="s">
        <v>2293</v>
      </c>
      <c r="E262" s="4" t="s">
        <v>1347</v>
      </c>
      <c r="F262" s="2" t="s">
        <v>2297</v>
      </c>
      <c r="G262" s="2" t="s">
        <v>2298</v>
      </c>
      <c r="H262" s="2" t="s">
        <v>342</v>
      </c>
      <c r="I262" s="2" t="s">
        <v>990</v>
      </c>
      <c r="J262" s="2" t="s">
        <v>31</v>
      </c>
      <c r="K262" s="2" t="s">
        <v>31</v>
      </c>
      <c r="L262" s="2" t="s">
        <v>348</v>
      </c>
      <c r="M262" s="2" t="s">
        <v>40</v>
      </c>
      <c r="N262" s="2" t="s">
        <v>465</v>
      </c>
      <c r="O262" s="2" t="s">
        <v>163</v>
      </c>
      <c r="P262" s="2" t="s">
        <v>2010</v>
      </c>
      <c r="Q262" s="2" t="s">
        <v>437</v>
      </c>
      <c r="R262" s="2" t="s">
        <v>428</v>
      </c>
      <c r="S262" s="2" t="s">
        <v>35</v>
      </c>
      <c r="T262" s="152">
        <v>4.7160000000000002</v>
      </c>
      <c r="U262" s="2" t="s">
        <v>1994</v>
      </c>
      <c r="V262" s="163">
        <v>2.6200000000000001E-2</v>
      </c>
      <c r="W262" s="165">
        <v>4.8320000000000002E-2</v>
      </c>
      <c r="X262" s="4" t="s">
        <v>434</v>
      </c>
      <c r="Y262" s="4" t="s">
        <v>163</v>
      </c>
      <c r="Z262" s="152">
        <v>9000</v>
      </c>
      <c r="AA262" s="152">
        <v>1</v>
      </c>
      <c r="AB262" s="152">
        <v>91.3</v>
      </c>
      <c r="AD262" s="152">
        <v>8.2170000000000005</v>
      </c>
      <c r="AG262" s="2" t="s">
        <v>37</v>
      </c>
      <c r="AH262" s="165">
        <v>6.9999999999999999E-6</v>
      </c>
      <c r="AI262" s="165">
        <v>5.9599331634837096E-4</v>
      </c>
      <c r="AJ262" s="165">
        <v>1.4537083350843699E-4</v>
      </c>
    </row>
    <row r="263" spans="1:36">
      <c r="A263" s="2" t="s">
        <v>26</v>
      </c>
      <c r="B263" s="2">
        <v>1451</v>
      </c>
      <c r="C263" s="2" t="s">
        <v>2292</v>
      </c>
      <c r="D263" s="2" t="s">
        <v>2293</v>
      </c>
      <c r="E263" s="4" t="s">
        <v>1347</v>
      </c>
      <c r="F263" s="2" t="s">
        <v>2537</v>
      </c>
      <c r="G263" s="2" t="s">
        <v>2538</v>
      </c>
      <c r="H263" s="2" t="s">
        <v>342</v>
      </c>
      <c r="I263" s="2" t="s">
        <v>990</v>
      </c>
      <c r="J263" s="2" t="s">
        <v>31</v>
      </c>
      <c r="K263" s="2" t="s">
        <v>31</v>
      </c>
      <c r="L263" s="2" t="s">
        <v>348</v>
      </c>
      <c r="M263" s="2" t="s">
        <v>40</v>
      </c>
      <c r="N263" s="2" t="s">
        <v>465</v>
      </c>
      <c r="O263" s="2" t="s">
        <v>163</v>
      </c>
      <c r="P263" s="2" t="s">
        <v>2010</v>
      </c>
      <c r="Q263" s="2" t="s">
        <v>437</v>
      </c>
      <c r="R263" s="2" t="s">
        <v>428</v>
      </c>
      <c r="S263" s="2" t="s">
        <v>35</v>
      </c>
      <c r="T263" s="152">
        <v>3.992</v>
      </c>
      <c r="U263" s="2" t="s">
        <v>81</v>
      </c>
      <c r="V263" s="163">
        <v>6.25E-2</v>
      </c>
      <c r="W263" s="165">
        <v>5.747E-2</v>
      </c>
      <c r="X263" s="4" t="s">
        <v>434</v>
      </c>
      <c r="Y263" s="4" t="s">
        <v>163</v>
      </c>
      <c r="Z263" s="152">
        <v>49000</v>
      </c>
      <c r="AA263" s="152">
        <v>1</v>
      </c>
      <c r="AB263" s="152">
        <v>103.56</v>
      </c>
      <c r="AD263" s="152">
        <v>50.744</v>
      </c>
      <c r="AG263" s="2" t="s">
        <v>37</v>
      </c>
      <c r="AH263" s="165">
        <v>2.4499999999999999E-4</v>
      </c>
      <c r="AI263" s="165">
        <v>3.6805796814054102E-3</v>
      </c>
      <c r="AJ263" s="165">
        <v>8.9774318168255203E-4</v>
      </c>
    </row>
    <row r="264" spans="1:36">
      <c r="A264" s="2" t="s">
        <v>26</v>
      </c>
      <c r="B264" s="2">
        <v>1451</v>
      </c>
      <c r="C264" s="2" t="s">
        <v>2299</v>
      </c>
      <c r="D264" s="2" t="s">
        <v>2300</v>
      </c>
      <c r="E264" s="4" t="s">
        <v>1347</v>
      </c>
      <c r="F264" s="2" t="s">
        <v>2301</v>
      </c>
      <c r="G264" s="2" t="s">
        <v>2302</v>
      </c>
      <c r="H264" s="2" t="s">
        <v>342</v>
      </c>
      <c r="I264" s="2" t="s">
        <v>990</v>
      </c>
      <c r="J264" s="2" t="s">
        <v>31</v>
      </c>
      <c r="K264" s="2" t="s">
        <v>31</v>
      </c>
      <c r="L264" s="2" t="s">
        <v>348</v>
      </c>
      <c r="M264" s="2" t="s">
        <v>40</v>
      </c>
      <c r="N264" s="2" t="s">
        <v>485</v>
      </c>
      <c r="O264" s="2" t="s">
        <v>163</v>
      </c>
      <c r="P264" s="2" t="s">
        <v>98</v>
      </c>
      <c r="Q264" s="2" t="s">
        <v>437</v>
      </c>
      <c r="R264" s="2" t="s">
        <v>428</v>
      </c>
      <c r="S264" s="2" t="s">
        <v>35</v>
      </c>
      <c r="T264" s="152">
        <v>0.86099999999999999</v>
      </c>
      <c r="U264" s="2" t="s">
        <v>2303</v>
      </c>
      <c r="V264" s="163">
        <v>3.5000000000000003E-2</v>
      </c>
      <c r="W264" s="165">
        <v>4.8309999999999999E-2</v>
      </c>
      <c r="X264" s="4" t="s">
        <v>434</v>
      </c>
      <c r="Y264" s="4" t="s">
        <v>163</v>
      </c>
      <c r="Z264" s="152">
        <v>66558.210000000006</v>
      </c>
      <c r="AA264" s="152">
        <v>1</v>
      </c>
      <c r="AB264" s="152">
        <v>99.35</v>
      </c>
      <c r="AD264" s="152">
        <v>66.126000000000005</v>
      </c>
      <c r="AG264" s="2" t="s">
        <v>37</v>
      </c>
      <c r="AH264" s="165">
        <v>2.7799999999999998E-4</v>
      </c>
      <c r="AI264" s="165">
        <v>4.7962035650612796E-3</v>
      </c>
      <c r="AJ264" s="165">
        <v>1.16985894103811E-3</v>
      </c>
    </row>
    <row r="265" spans="1:36">
      <c r="A265" s="2" t="s">
        <v>26</v>
      </c>
      <c r="B265" s="2">
        <v>1451</v>
      </c>
      <c r="C265" s="2" t="s">
        <v>2539</v>
      </c>
      <c r="D265" s="2" t="s">
        <v>2540</v>
      </c>
      <c r="E265" s="4" t="s">
        <v>1347</v>
      </c>
      <c r="F265" s="2" t="s">
        <v>2541</v>
      </c>
      <c r="G265" s="2" t="s">
        <v>2542</v>
      </c>
      <c r="H265" s="2" t="s">
        <v>342</v>
      </c>
      <c r="I265" s="2" t="s">
        <v>990</v>
      </c>
      <c r="J265" s="2" t="s">
        <v>31</v>
      </c>
      <c r="K265" s="2" t="s">
        <v>31</v>
      </c>
      <c r="L265" s="2" t="s">
        <v>348</v>
      </c>
      <c r="M265" s="2" t="s">
        <v>40</v>
      </c>
      <c r="N265" s="2" t="s">
        <v>481</v>
      </c>
      <c r="O265" s="2" t="s">
        <v>163</v>
      </c>
      <c r="P265" s="2" t="s">
        <v>98</v>
      </c>
      <c r="Q265" s="2" t="s">
        <v>437</v>
      </c>
      <c r="R265" s="2" t="s">
        <v>428</v>
      </c>
      <c r="S265" s="2" t="s">
        <v>35</v>
      </c>
      <c r="T265" s="152">
        <v>1.44</v>
      </c>
      <c r="U265" s="2" t="s">
        <v>2418</v>
      </c>
      <c r="V265" s="163">
        <v>3.2500000000000001E-2</v>
      </c>
      <c r="W265" s="165">
        <v>5.2010000000000001E-2</v>
      </c>
      <c r="X265" s="4" t="s">
        <v>434</v>
      </c>
      <c r="Y265" s="4" t="s">
        <v>163</v>
      </c>
      <c r="Z265" s="152">
        <v>5631.27</v>
      </c>
      <c r="AA265" s="152">
        <v>1</v>
      </c>
      <c r="AB265" s="152">
        <v>98.17</v>
      </c>
      <c r="AD265" s="152">
        <v>5.5279999999999996</v>
      </c>
      <c r="AG265" s="2" t="s">
        <v>37</v>
      </c>
      <c r="AH265" s="165">
        <v>1.5E-5</v>
      </c>
      <c r="AI265" s="165">
        <v>4.0097125905833898E-4</v>
      </c>
      <c r="AJ265" s="165">
        <v>9.7802315132283505E-5</v>
      </c>
    </row>
    <row r="266" spans="1:36">
      <c r="A266" s="2" t="s">
        <v>26</v>
      </c>
      <c r="B266" s="2">
        <v>1451</v>
      </c>
      <c r="C266" s="2" t="s">
        <v>2539</v>
      </c>
      <c r="D266" s="2" t="s">
        <v>2540</v>
      </c>
      <c r="E266" s="4" t="s">
        <v>1347</v>
      </c>
      <c r="F266" s="2" t="s">
        <v>2543</v>
      </c>
      <c r="G266" s="2" t="s">
        <v>2544</v>
      </c>
      <c r="H266" s="2" t="s">
        <v>342</v>
      </c>
      <c r="I266" s="2" t="s">
        <v>990</v>
      </c>
      <c r="J266" s="2" t="s">
        <v>31</v>
      </c>
      <c r="K266" s="2" t="s">
        <v>31</v>
      </c>
      <c r="L266" s="2" t="s">
        <v>348</v>
      </c>
      <c r="M266" s="2" t="s">
        <v>40</v>
      </c>
      <c r="N266" s="2" t="s">
        <v>481</v>
      </c>
      <c r="O266" s="2" t="s">
        <v>163</v>
      </c>
      <c r="P266" s="2" t="s">
        <v>98</v>
      </c>
      <c r="Q266" s="2" t="s">
        <v>437</v>
      </c>
      <c r="R266" s="2" t="s">
        <v>428</v>
      </c>
      <c r="S266" s="2" t="s">
        <v>35</v>
      </c>
      <c r="T266" s="152">
        <v>3.6070000000000002</v>
      </c>
      <c r="U266" s="2" t="s">
        <v>2545</v>
      </c>
      <c r="V266" s="163">
        <v>2.1600000000000001E-2</v>
      </c>
      <c r="W266" s="165">
        <v>5.6860000000000001E-2</v>
      </c>
      <c r="X266" s="4" t="s">
        <v>434</v>
      </c>
      <c r="Y266" s="4" t="s">
        <v>163</v>
      </c>
      <c r="Z266" s="152">
        <v>112912.1</v>
      </c>
      <c r="AA266" s="152">
        <v>1</v>
      </c>
      <c r="AB266" s="152">
        <v>88.45</v>
      </c>
      <c r="AD266" s="152">
        <v>99.870999999999995</v>
      </c>
      <c r="AG266" s="2" t="s">
        <v>37</v>
      </c>
      <c r="AH266" s="165">
        <v>1.37E-4</v>
      </c>
      <c r="AI266" s="165">
        <v>7.2437995568799696E-3</v>
      </c>
      <c r="AJ266" s="165">
        <v>1.7668607188476701E-3</v>
      </c>
    </row>
    <row r="267" spans="1:36">
      <c r="A267" s="2" t="s">
        <v>26</v>
      </c>
      <c r="B267" s="2">
        <v>1451</v>
      </c>
      <c r="C267" s="2" t="s">
        <v>1796</v>
      </c>
      <c r="D267" s="2" t="s">
        <v>1797</v>
      </c>
      <c r="E267" s="4" t="s">
        <v>1347</v>
      </c>
      <c r="F267" s="2" t="s">
        <v>2312</v>
      </c>
      <c r="G267" s="2" t="s">
        <v>2313</v>
      </c>
      <c r="H267" s="2" t="s">
        <v>342</v>
      </c>
      <c r="I267" s="2" t="s">
        <v>777</v>
      </c>
      <c r="J267" s="2" t="s">
        <v>31</v>
      </c>
      <c r="K267" s="2" t="s">
        <v>31</v>
      </c>
      <c r="L267" s="2" t="s">
        <v>348</v>
      </c>
      <c r="M267" s="2" t="s">
        <v>40</v>
      </c>
      <c r="N267" s="2" t="s">
        <v>484</v>
      </c>
      <c r="O267" s="2" t="s">
        <v>163</v>
      </c>
      <c r="P267" s="2" t="s">
        <v>1991</v>
      </c>
      <c r="Q267" s="2" t="s">
        <v>437</v>
      </c>
      <c r="R267" s="2" t="s">
        <v>428</v>
      </c>
      <c r="S267" s="2" t="s">
        <v>35</v>
      </c>
      <c r="T267" s="152">
        <v>1.65</v>
      </c>
      <c r="U267" s="2" t="s">
        <v>2311</v>
      </c>
      <c r="V267" s="163">
        <v>1.6E-2</v>
      </c>
      <c r="W267" s="165">
        <v>2.2440000000000002E-2</v>
      </c>
      <c r="X267" s="4" t="s">
        <v>434</v>
      </c>
      <c r="Y267" s="4" t="s">
        <v>163</v>
      </c>
      <c r="Z267" s="152">
        <v>28313.35</v>
      </c>
      <c r="AA267" s="152">
        <v>1</v>
      </c>
      <c r="AB267" s="152">
        <v>112.74</v>
      </c>
      <c r="AD267" s="152">
        <v>31.92</v>
      </c>
      <c r="AG267" s="2" t="s">
        <v>37</v>
      </c>
      <c r="AH267" s="165">
        <v>7.2999999999999999E-5</v>
      </c>
      <c r="AI267" s="165">
        <v>2.3152473220802499E-3</v>
      </c>
      <c r="AJ267" s="165">
        <v>5.6472014661360797E-4</v>
      </c>
    </row>
    <row r="268" spans="1:36">
      <c r="A268" s="2" t="s">
        <v>26</v>
      </c>
      <c r="B268" s="2">
        <v>1451</v>
      </c>
      <c r="C268" s="2" t="s">
        <v>2320</v>
      </c>
      <c r="D268" s="2" t="s">
        <v>2321</v>
      </c>
      <c r="E268" s="4" t="s">
        <v>1347</v>
      </c>
      <c r="F268" s="2" t="s">
        <v>2546</v>
      </c>
      <c r="G268" s="2" t="s">
        <v>2547</v>
      </c>
      <c r="H268" s="2" t="s">
        <v>342</v>
      </c>
      <c r="I268" s="2" t="s">
        <v>777</v>
      </c>
      <c r="J268" s="2" t="s">
        <v>31</v>
      </c>
      <c r="K268" s="2" t="s">
        <v>31</v>
      </c>
      <c r="L268" s="2" t="s">
        <v>348</v>
      </c>
      <c r="M268" s="2" t="s">
        <v>40</v>
      </c>
      <c r="N268" s="2" t="s">
        <v>496</v>
      </c>
      <c r="O268" s="2" t="s">
        <v>163</v>
      </c>
      <c r="P268" s="2" t="s">
        <v>1991</v>
      </c>
      <c r="Q268" s="2" t="s">
        <v>435</v>
      </c>
      <c r="R268" s="2" t="s">
        <v>428</v>
      </c>
      <c r="S268" s="2" t="s">
        <v>35</v>
      </c>
      <c r="T268" s="152">
        <v>2.4089999999999998</v>
      </c>
      <c r="U268" s="2" t="s">
        <v>2548</v>
      </c>
      <c r="V268" s="163">
        <v>4.2999999999999997E-2</v>
      </c>
      <c r="W268" s="165">
        <v>1.9650000000000001E-2</v>
      </c>
      <c r="X268" s="4" t="s">
        <v>434</v>
      </c>
      <c r="Y268" s="4" t="s">
        <v>163</v>
      </c>
      <c r="Z268" s="152">
        <v>120000</v>
      </c>
      <c r="AA268" s="152">
        <v>1</v>
      </c>
      <c r="AB268" s="152">
        <v>120.32</v>
      </c>
      <c r="AD268" s="152">
        <v>144.38399999999999</v>
      </c>
      <c r="AG268" s="2" t="s">
        <v>37</v>
      </c>
      <c r="AH268" s="165">
        <v>1.9599999999999999E-4</v>
      </c>
      <c r="AI268" s="165">
        <v>1.04724229022323E-2</v>
      </c>
      <c r="AJ268" s="165">
        <v>2.5543656353026801E-3</v>
      </c>
    </row>
    <row r="269" spans="1:36">
      <c r="A269" s="2" t="s">
        <v>26</v>
      </c>
      <c r="B269" s="2">
        <v>1451</v>
      </c>
      <c r="C269" s="2" t="s">
        <v>2325</v>
      </c>
      <c r="D269" s="2" t="s">
        <v>2326</v>
      </c>
      <c r="E269" s="4" t="s">
        <v>1347</v>
      </c>
      <c r="F269" s="2" t="s">
        <v>2327</v>
      </c>
      <c r="G269" s="2" t="s">
        <v>2328</v>
      </c>
      <c r="H269" s="2" t="s">
        <v>342</v>
      </c>
      <c r="I269" s="2" t="s">
        <v>990</v>
      </c>
      <c r="J269" s="2" t="s">
        <v>31</v>
      </c>
      <c r="K269" s="2" t="s">
        <v>31</v>
      </c>
      <c r="L269" s="2" t="s">
        <v>348</v>
      </c>
      <c r="M269" s="2" t="s">
        <v>40</v>
      </c>
      <c r="N269" s="2" t="s">
        <v>460</v>
      </c>
      <c r="O269" s="2" t="s">
        <v>163</v>
      </c>
      <c r="P269" s="2" t="s">
        <v>1987</v>
      </c>
      <c r="Q269" s="2" t="s">
        <v>437</v>
      </c>
      <c r="R269" s="2" t="s">
        <v>428</v>
      </c>
      <c r="S269" s="2" t="s">
        <v>35</v>
      </c>
      <c r="T269" s="152">
        <v>4.556</v>
      </c>
      <c r="U269" s="2" t="s">
        <v>2329</v>
      </c>
      <c r="V269" s="163">
        <v>6.7699999999999996E-2</v>
      </c>
      <c r="W269" s="165">
        <v>5.8840000000000003E-2</v>
      </c>
      <c r="X269" s="4" t="s">
        <v>434</v>
      </c>
      <c r="Y269" s="4" t="s">
        <v>163</v>
      </c>
      <c r="Z269" s="152">
        <v>110000</v>
      </c>
      <c r="AA269" s="152">
        <v>1</v>
      </c>
      <c r="AB269" s="152">
        <v>108.96</v>
      </c>
      <c r="AD269" s="152">
        <v>119.85599999999999</v>
      </c>
      <c r="AG269" s="2" t="s">
        <v>37</v>
      </c>
      <c r="AH269" s="165">
        <v>0</v>
      </c>
      <c r="AI269" s="165">
        <v>8.6933643573384907E-3</v>
      </c>
      <c r="AJ269" s="165">
        <v>2.12042918595439E-3</v>
      </c>
    </row>
    <row r="270" spans="1:36">
      <c r="A270" s="2" t="s">
        <v>26</v>
      </c>
      <c r="B270" s="2">
        <v>1451</v>
      </c>
      <c r="C270" s="2" t="s">
        <v>2330</v>
      </c>
      <c r="D270" s="2" t="s">
        <v>2331</v>
      </c>
      <c r="E270" s="4" t="s">
        <v>1347</v>
      </c>
      <c r="F270" s="2" t="s">
        <v>2332</v>
      </c>
      <c r="G270" s="2" t="s">
        <v>2333</v>
      </c>
      <c r="H270" s="2" t="s">
        <v>342</v>
      </c>
      <c r="I270" s="2" t="s">
        <v>990</v>
      </c>
      <c r="J270" s="2" t="s">
        <v>31</v>
      </c>
      <c r="K270" s="2" t="s">
        <v>31</v>
      </c>
      <c r="L270" s="2" t="s">
        <v>348</v>
      </c>
      <c r="M270" s="2" t="s">
        <v>40</v>
      </c>
      <c r="N270" s="2" t="s">
        <v>498</v>
      </c>
      <c r="O270" s="2" t="s">
        <v>163</v>
      </c>
      <c r="P270" s="2" t="s">
        <v>1991</v>
      </c>
      <c r="Q270" s="2" t="s">
        <v>435</v>
      </c>
      <c r="R270" s="2" t="s">
        <v>428</v>
      </c>
      <c r="S270" s="2" t="s">
        <v>35</v>
      </c>
      <c r="T270" s="152">
        <v>1.19</v>
      </c>
      <c r="U270" s="2" t="s">
        <v>2334</v>
      </c>
      <c r="V270" s="163">
        <v>2.7E-2</v>
      </c>
      <c r="W270" s="165">
        <v>4.8189999999999997E-2</v>
      </c>
      <c r="X270" s="4" t="s">
        <v>434</v>
      </c>
      <c r="Y270" s="4" t="s">
        <v>163</v>
      </c>
      <c r="Z270" s="152">
        <v>138447.91</v>
      </c>
      <c r="AA270" s="152">
        <v>1</v>
      </c>
      <c r="AB270" s="152">
        <v>97.87</v>
      </c>
      <c r="AD270" s="152">
        <v>135.499</v>
      </c>
      <c r="AG270" s="2" t="s">
        <v>37</v>
      </c>
      <c r="AH270" s="165">
        <v>7.3800000000000005E-4</v>
      </c>
      <c r="AI270" s="165">
        <v>9.8279761718660895E-3</v>
      </c>
      <c r="AJ270" s="165">
        <v>2.3971763585518501E-3</v>
      </c>
    </row>
    <row r="271" spans="1:36">
      <c r="A271" s="2" t="s">
        <v>26</v>
      </c>
      <c r="B271" s="2">
        <v>1451</v>
      </c>
      <c r="C271" s="2" t="s">
        <v>2330</v>
      </c>
      <c r="D271" s="2" t="s">
        <v>2331</v>
      </c>
      <c r="E271" s="4" t="s">
        <v>1347</v>
      </c>
      <c r="F271" s="2" t="s">
        <v>2337</v>
      </c>
      <c r="G271" s="2" t="s">
        <v>2338</v>
      </c>
      <c r="H271" s="2" t="s">
        <v>342</v>
      </c>
      <c r="I271" s="2" t="s">
        <v>990</v>
      </c>
      <c r="J271" s="2" t="s">
        <v>31</v>
      </c>
      <c r="K271" s="2" t="s">
        <v>31</v>
      </c>
      <c r="L271" s="2" t="s">
        <v>348</v>
      </c>
      <c r="M271" s="2" t="s">
        <v>40</v>
      </c>
      <c r="N271" s="2" t="s">
        <v>498</v>
      </c>
      <c r="O271" s="2" t="s">
        <v>163</v>
      </c>
      <c r="P271" s="2" t="s">
        <v>1991</v>
      </c>
      <c r="Q271" s="2" t="s">
        <v>435</v>
      </c>
      <c r="R271" s="2" t="s">
        <v>428</v>
      </c>
      <c r="S271" s="2" t="s">
        <v>35</v>
      </c>
      <c r="T271" s="152">
        <v>3.5329999999999999</v>
      </c>
      <c r="U271" s="2" t="s">
        <v>2339</v>
      </c>
      <c r="V271" s="163">
        <v>4.5600000000000002E-2</v>
      </c>
      <c r="W271" s="165">
        <v>5.1180000000000003E-2</v>
      </c>
      <c r="X271" s="4" t="s">
        <v>434</v>
      </c>
      <c r="Y271" s="4" t="s">
        <v>163</v>
      </c>
      <c r="Z271" s="152">
        <v>112727.3</v>
      </c>
      <c r="AA271" s="152">
        <v>1</v>
      </c>
      <c r="AB271" s="152">
        <v>98.66</v>
      </c>
      <c r="AD271" s="152">
        <v>111.217</v>
      </c>
      <c r="AG271" s="2" t="s">
        <v>37</v>
      </c>
      <c r="AH271" s="165">
        <v>2.12E-4</v>
      </c>
      <c r="AI271" s="165">
        <v>8.0667448165072098E-3</v>
      </c>
      <c r="AJ271" s="165">
        <v>1.96758820192887E-3</v>
      </c>
    </row>
    <row r="272" spans="1:36">
      <c r="A272" s="2" t="s">
        <v>26</v>
      </c>
      <c r="B272" s="2">
        <v>1451</v>
      </c>
      <c r="C272" s="2" t="s">
        <v>2340</v>
      </c>
      <c r="D272" s="2" t="s">
        <v>2341</v>
      </c>
      <c r="E272" s="4" t="s">
        <v>1347</v>
      </c>
      <c r="F272" s="2" t="s">
        <v>2549</v>
      </c>
      <c r="G272" s="2" t="s">
        <v>2550</v>
      </c>
      <c r="H272" s="2" t="s">
        <v>342</v>
      </c>
      <c r="I272" s="2" t="s">
        <v>778</v>
      </c>
      <c r="J272" s="2" t="s">
        <v>31</v>
      </c>
      <c r="K272" s="2" t="s">
        <v>31</v>
      </c>
      <c r="L272" s="2" t="s">
        <v>348</v>
      </c>
      <c r="M272" s="2" t="s">
        <v>40</v>
      </c>
      <c r="N272" s="2" t="s">
        <v>474</v>
      </c>
      <c r="O272" s="2" t="s">
        <v>163</v>
      </c>
      <c r="P272" s="2" t="s">
        <v>2182</v>
      </c>
      <c r="Q272" s="2" t="s">
        <v>437</v>
      </c>
      <c r="R272" s="2" t="s">
        <v>428</v>
      </c>
      <c r="S272" s="2" t="s">
        <v>35</v>
      </c>
      <c r="T272" s="152">
        <v>3.44</v>
      </c>
      <c r="U272" s="2" t="s">
        <v>2344</v>
      </c>
      <c r="V272" s="163">
        <v>4.6899999999999997E-2</v>
      </c>
      <c r="W272" s="165">
        <v>7.0639999999999994E-2</v>
      </c>
      <c r="X272" s="4" t="s">
        <v>434</v>
      </c>
      <c r="Y272" s="4" t="s">
        <v>163</v>
      </c>
      <c r="Z272" s="152">
        <v>252436.17</v>
      </c>
      <c r="AA272" s="152">
        <v>1</v>
      </c>
      <c r="AB272" s="152">
        <v>99.26</v>
      </c>
      <c r="AD272" s="152">
        <v>250.56800000000001</v>
      </c>
      <c r="AG272" s="2" t="s">
        <v>37</v>
      </c>
      <c r="AH272" s="165">
        <v>2.04E-4</v>
      </c>
      <c r="AI272" s="165">
        <v>1.8174143620014498E-2</v>
      </c>
      <c r="AJ272" s="165">
        <v>4.4329195208612903E-3</v>
      </c>
    </row>
    <row r="273" spans="1:36">
      <c r="A273" s="2" t="s">
        <v>26</v>
      </c>
      <c r="B273" s="2">
        <v>1451</v>
      </c>
      <c r="C273" s="2" t="s">
        <v>2340</v>
      </c>
      <c r="D273" s="2" t="s">
        <v>2341</v>
      </c>
      <c r="E273" s="4" t="s">
        <v>1347</v>
      </c>
      <c r="F273" s="2" t="s">
        <v>2342</v>
      </c>
      <c r="G273" s="2" t="s">
        <v>2343</v>
      </c>
      <c r="H273" s="2" t="s">
        <v>342</v>
      </c>
      <c r="I273" s="2" t="s">
        <v>778</v>
      </c>
      <c r="J273" s="2" t="s">
        <v>31</v>
      </c>
      <c r="K273" s="2" t="s">
        <v>31</v>
      </c>
      <c r="L273" s="2" t="s">
        <v>348</v>
      </c>
      <c r="M273" s="2" t="s">
        <v>40</v>
      </c>
      <c r="N273" s="2" t="s">
        <v>474</v>
      </c>
      <c r="O273" s="2" t="s">
        <v>163</v>
      </c>
      <c r="P273" s="2" t="s">
        <v>2182</v>
      </c>
      <c r="Q273" s="2" t="s">
        <v>437</v>
      </c>
      <c r="R273" s="2" t="s">
        <v>428</v>
      </c>
      <c r="S273" s="2" t="s">
        <v>35</v>
      </c>
      <c r="T273" s="152">
        <v>3.3</v>
      </c>
      <c r="U273" s="2" t="s">
        <v>2344</v>
      </c>
      <c r="V273" s="163">
        <v>4.6899999999999997E-2</v>
      </c>
      <c r="W273" s="165">
        <v>6.9029999999999994E-2</v>
      </c>
      <c r="X273" s="4" t="s">
        <v>434</v>
      </c>
      <c r="Y273" s="4" t="s">
        <v>163</v>
      </c>
      <c r="Z273" s="152">
        <v>203208.14</v>
      </c>
      <c r="AA273" s="152">
        <v>1</v>
      </c>
      <c r="AB273" s="152">
        <v>98.27</v>
      </c>
      <c r="AD273" s="152">
        <v>199.69300000000001</v>
      </c>
      <c r="AG273" s="2" t="s">
        <v>37</v>
      </c>
      <c r="AH273" s="165">
        <v>1.3899999999999999E-4</v>
      </c>
      <c r="AI273" s="165">
        <v>1.44840547978648E-2</v>
      </c>
      <c r="AJ273" s="165">
        <v>3.53285693109473E-3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63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347</v>
      </c>
      <c r="M1" s="22" t="s">
        <v>8</v>
      </c>
      <c r="N1" s="22" t="s">
        <v>172</v>
      </c>
      <c r="O1" s="22" t="s">
        <v>149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4" t="s">
        <v>23</v>
      </c>
      <c r="W1" s="164" t="s">
        <v>24</v>
      </c>
      <c r="X1" s="164" t="s">
        <v>25</v>
      </c>
    </row>
    <row r="2" spans="1:24">
      <c r="A2" s="21" t="s">
        <v>26</v>
      </c>
      <c r="B2" s="21">
        <v>288</v>
      </c>
      <c r="C2" s="21" t="s">
        <v>1604</v>
      </c>
      <c r="D2" s="21" t="s">
        <v>1605</v>
      </c>
      <c r="E2" s="21" t="s">
        <v>1347</v>
      </c>
      <c r="F2" s="21" t="s">
        <v>1606</v>
      </c>
      <c r="G2" s="21" t="s">
        <v>1607</v>
      </c>
      <c r="H2" s="21" t="s">
        <v>342</v>
      </c>
      <c r="I2" s="21" t="s">
        <v>954</v>
      </c>
      <c r="J2" s="21" t="s">
        <v>31</v>
      </c>
      <c r="K2" s="21" t="s">
        <v>319</v>
      </c>
      <c r="L2" s="23" t="s">
        <v>348</v>
      </c>
      <c r="M2" s="21" t="s">
        <v>367</v>
      </c>
      <c r="N2" s="23" t="s">
        <v>478</v>
      </c>
      <c r="O2" s="23" t="s">
        <v>163</v>
      </c>
      <c r="P2" s="21" t="s">
        <v>100</v>
      </c>
      <c r="Q2" s="155">
        <v>2956</v>
      </c>
      <c r="R2" s="155">
        <v>3.681</v>
      </c>
      <c r="S2" s="155">
        <v>177.38</v>
      </c>
      <c r="T2" s="23"/>
      <c r="U2" s="155">
        <v>1930.078</v>
      </c>
      <c r="V2" s="170">
        <v>1.05E-4</v>
      </c>
      <c r="W2" s="170">
        <v>4.9181554166661404E-3</v>
      </c>
      <c r="X2" s="170">
        <v>8.06060611314936E-4</v>
      </c>
    </row>
    <row r="3" spans="1:24">
      <c r="A3" s="21" t="s">
        <v>26</v>
      </c>
      <c r="B3" s="21">
        <v>288</v>
      </c>
      <c r="C3" s="21" t="s">
        <v>1608</v>
      </c>
      <c r="D3" s="21" t="s">
        <v>1609</v>
      </c>
      <c r="E3" s="21" t="s">
        <v>1347</v>
      </c>
      <c r="F3" s="21" t="s">
        <v>1610</v>
      </c>
      <c r="G3" s="21" t="s">
        <v>1611</v>
      </c>
      <c r="H3" s="21" t="s">
        <v>342</v>
      </c>
      <c r="I3" s="21" t="s">
        <v>954</v>
      </c>
      <c r="J3" s="21" t="s">
        <v>31</v>
      </c>
      <c r="K3" s="21" t="s">
        <v>31</v>
      </c>
      <c r="L3" s="23" t="s">
        <v>348</v>
      </c>
      <c r="M3" s="21" t="s">
        <v>40</v>
      </c>
      <c r="N3" s="23" t="s">
        <v>498</v>
      </c>
      <c r="O3" s="23" t="s">
        <v>163</v>
      </c>
      <c r="P3" s="21" t="s">
        <v>35</v>
      </c>
      <c r="Q3" s="155">
        <v>19200</v>
      </c>
      <c r="R3" s="155">
        <v>1</v>
      </c>
      <c r="S3" s="155">
        <v>1050</v>
      </c>
      <c r="T3" s="154">
        <v>3.0339999999999998</v>
      </c>
      <c r="U3" s="155">
        <v>204.63399999999999</v>
      </c>
      <c r="V3" s="170">
        <v>8.5800000000000004E-4</v>
      </c>
      <c r="W3" s="170">
        <v>5.21442083237008E-4</v>
      </c>
      <c r="X3" s="170">
        <v>8.5461700326719997E-5</v>
      </c>
    </row>
    <row r="4" spans="1:24">
      <c r="A4" s="21" t="s">
        <v>26</v>
      </c>
      <c r="B4" s="21">
        <v>288</v>
      </c>
      <c r="C4" s="21" t="s">
        <v>1612</v>
      </c>
      <c r="D4" s="21" t="s">
        <v>1613</v>
      </c>
      <c r="E4" s="21" t="s">
        <v>1347</v>
      </c>
      <c r="F4" s="21" t="s">
        <v>1614</v>
      </c>
      <c r="G4" s="21" t="s">
        <v>1615</v>
      </c>
      <c r="H4" s="21" t="s">
        <v>342</v>
      </c>
      <c r="I4" s="21" t="s">
        <v>954</v>
      </c>
      <c r="J4" s="21" t="s">
        <v>31</v>
      </c>
      <c r="K4" s="21" t="s">
        <v>31</v>
      </c>
      <c r="L4" s="23" t="s">
        <v>348</v>
      </c>
      <c r="M4" s="21" t="s">
        <v>40</v>
      </c>
      <c r="N4" s="23" t="s">
        <v>466</v>
      </c>
      <c r="O4" s="23" t="s">
        <v>163</v>
      </c>
      <c r="P4" s="21" t="s">
        <v>35</v>
      </c>
      <c r="Q4" s="155">
        <v>4360</v>
      </c>
      <c r="R4" s="155">
        <v>1</v>
      </c>
      <c r="S4" s="155">
        <v>77500</v>
      </c>
      <c r="T4" s="23"/>
      <c r="U4" s="155">
        <v>3379</v>
      </c>
      <c r="V4" s="170">
        <v>9.7999999999999997E-5</v>
      </c>
      <c r="W4" s="170">
        <v>8.6102456617656899E-3</v>
      </c>
      <c r="X4" s="170">
        <v>1.4111753886784E-3</v>
      </c>
    </row>
    <row r="5" spans="1:24">
      <c r="A5" s="21" t="s">
        <v>26</v>
      </c>
      <c r="B5" s="21">
        <v>288</v>
      </c>
      <c r="C5" s="21" t="s">
        <v>1616</v>
      </c>
      <c r="D5" s="21" t="s">
        <v>1617</v>
      </c>
      <c r="E5" s="21" t="s">
        <v>1347</v>
      </c>
      <c r="F5" s="21" t="s">
        <v>1618</v>
      </c>
      <c r="G5" s="21" t="s">
        <v>1619</v>
      </c>
      <c r="H5" s="21" t="s">
        <v>342</v>
      </c>
      <c r="I5" s="21" t="s">
        <v>954</v>
      </c>
      <c r="J5" s="21" t="s">
        <v>31</v>
      </c>
      <c r="K5" s="21" t="s">
        <v>31</v>
      </c>
      <c r="L5" s="23" t="s">
        <v>348</v>
      </c>
      <c r="M5" s="21" t="s">
        <v>40</v>
      </c>
      <c r="N5" s="23" t="s">
        <v>484</v>
      </c>
      <c r="O5" s="23" t="s">
        <v>163</v>
      </c>
      <c r="P5" s="21" t="s">
        <v>35</v>
      </c>
      <c r="Q5" s="155">
        <v>112100</v>
      </c>
      <c r="R5" s="155">
        <v>1</v>
      </c>
      <c r="S5" s="155">
        <v>2653</v>
      </c>
      <c r="T5" s="154">
        <v>20.178000000000001</v>
      </c>
      <c r="U5" s="155">
        <v>2994.1909999999998</v>
      </c>
      <c r="V5" s="170">
        <v>6.2299999999999996E-4</v>
      </c>
      <c r="W5" s="170">
        <v>7.6296892773743304E-3</v>
      </c>
      <c r="X5" s="170">
        <v>1.2504671939042201E-3</v>
      </c>
    </row>
    <row r="6" spans="1:24">
      <c r="A6" s="21" t="s">
        <v>26</v>
      </c>
      <c r="B6" s="21">
        <v>288</v>
      </c>
      <c r="C6" s="21" t="s">
        <v>1620</v>
      </c>
      <c r="D6" s="21" t="s">
        <v>1621</v>
      </c>
      <c r="E6" s="21" t="s">
        <v>1347</v>
      </c>
      <c r="F6" s="21" t="s">
        <v>1622</v>
      </c>
      <c r="G6" s="21" t="s">
        <v>1623</v>
      </c>
      <c r="H6" s="21" t="s">
        <v>342</v>
      </c>
      <c r="I6" s="21" t="s">
        <v>954</v>
      </c>
      <c r="J6" s="21" t="s">
        <v>31</v>
      </c>
      <c r="K6" s="21" t="s">
        <v>31</v>
      </c>
      <c r="L6" s="23" t="s">
        <v>348</v>
      </c>
      <c r="M6" s="21" t="s">
        <v>40</v>
      </c>
      <c r="N6" s="23" t="s">
        <v>484</v>
      </c>
      <c r="O6" s="23" t="s">
        <v>163</v>
      </c>
      <c r="P6" s="21" t="s">
        <v>35</v>
      </c>
      <c r="Q6" s="155">
        <v>134961</v>
      </c>
      <c r="R6" s="155">
        <v>1</v>
      </c>
      <c r="S6" s="155">
        <v>1749</v>
      </c>
      <c r="T6" s="23"/>
      <c r="U6" s="155">
        <v>2360.4679999999998</v>
      </c>
      <c r="V6" s="170">
        <v>2.8699999999999998E-4</v>
      </c>
      <c r="W6" s="170">
        <v>6.01485895519672E-3</v>
      </c>
      <c r="X6" s="170">
        <v>9.8580473280071991E-4</v>
      </c>
    </row>
    <row r="7" spans="1:24">
      <c r="A7" s="21" t="s">
        <v>26</v>
      </c>
      <c r="B7" s="21">
        <v>288</v>
      </c>
      <c r="C7" s="21" t="s">
        <v>1624</v>
      </c>
      <c r="D7" s="21" t="s">
        <v>1625</v>
      </c>
      <c r="E7" s="21" t="s">
        <v>1347</v>
      </c>
      <c r="F7" s="21" t="s">
        <v>1626</v>
      </c>
      <c r="G7" s="21" t="s">
        <v>1627</v>
      </c>
      <c r="H7" s="21" t="s">
        <v>342</v>
      </c>
      <c r="I7" s="21" t="s">
        <v>954</v>
      </c>
      <c r="J7" s="21" t="s">
        <v>31</v>
      </c>
      <c r="K7" s="21" t="s">
        <v>127</v>
      </c>
      <c r="L7" s="23" t="s">
        <v>348</v>
      </c>
      <c r="M7" s="21" t="s">
        <v>40</v>
      </c>
      <c r="N7" s="23" t="s">
        <v>461</v>
      </c>
      <c r="O7" s="23" t="s">
        <v>163</v>
      </c>
      <c r="P7" s="21" t="s">
        <v>35</v>
      </c>
      <c r="Q7" s="155">
        <v>81688.899999999994</v>
      </c>
      <c r="R7" s="155">
        <v>1</v>
      </c>
      <c r="S7" s="155">
        <v>6299</v>
      </c>
      <c r="T7" s="23"/>
      <c r="U7" s="155">
        <v>5145.5839999999998</v>
      </c>
      <c r="V7" s="170">
        <v>6.9200000000000002E-4</v>
      </c>
      <c r="W7" s="170">
        <v>1.31117906735468E-2</v>
      </c>
      <c r="X7" s="170">
        <v>2.1489556775570301E-3</v>
      </c>
    </row>
    <row r="8" spans="1:24">
      <c r="A8" s="21" t="s">
        <v>26</v>
      </c>
      <c r="B8" s="21">
        <v>288</v>
      </c>
      <c r="C8" s="21" t="s">
        <v>1628</v>
      </c>
      <c r="D8" s="21" t="s">
        <v>1629</v>
      </c>
      <c r="E8" s="21" t="s">
        <v>1347</v>
      </c>
      <c r="F8" s="21" t="s">
        <v>1630</v>
      </c>
      <c r="G8" s="21" t="s">
        <v>1631</v>
      </c>
      <c r="H8" s="21" t="s">
        <v>342</v>
      </c>
      <c r="I8" s="21" t="s">
        <v>954</v>
      </c>
      <c r="J8" s="21" t="s">
        <v>31</v>
      </c>
      <c r="K8" s="21" t="s">
        <v>31</v>
      </c>
      <c r="L8" s="23" t="s">
        <v>348</v>
      </c>
      <c r="M8" s="21" t="s">
        <v>40</v>
      </c>
      <c r="N8" s="23" t="s">
        <v>461</v>
      </c>
      <c r="O8" s="23" t="s">
        <v>163</v>
      </c>
      <c r="P8" s="21" t="s">
        <v>35</v>
      </c>
      <c r="Q8" s="155">
        <v>314000</v>
      </c>
      <c r="R8" s="155">
        <v>1</v>
      </c>
      <c r="S8" s="155">
        <v>1352</v>
      </c>
      <c r="T8" s="23"/>
      <c r="U8" s="155">
        <v>4245.28</v>
      </c>
      <c r="V8" s="170">
        <v>5.7300000000000005E-4</v>
      </c>
      <c r="W8" s="170">
        <v>1.0817669044978001E-2</v>
      </c>
      <c r="X8" s="170">
        <v>1.77296083280516E-3</v>
      </c>
    </row>
    <row r="9" spans="1:24">
      <c r="A9" s="21" t="s">
        <v>26</v>
      </c>
      <c r="B9" s="21">
        <v>288</v>
      </c>
      <c r="C9" s="21" t="s">
        <v>1632</v>
      </c>
      <c r="D9" s="21" t="s">
        <v>1633</v>
      </c>
      <c r="E9" s="21" t="s">
        <v>1347</v>
      </c>
      <c r="F9" s="21" t="s">
        <v>1634</v>
      </c>
      <c r="G9" s="21" t="s">
        <v>1635</v>
      </c>
      <c r="H9" s="21" t="s">
        <v>342</v>
      </c>
      <c r="I9" s="21" t="s">
        <v>954</v>
      </c>
      <c r="J9" s="21" t="s">
        <v>31</v>
      </c>
      <c r="K9" s="21" t="s">
        <v>31</v>
      </c>
      <c r="L9" s="23" t="s">
        <v>348</v>
      </c>
      <c r="M9" s="21" t="s">
        <v>40</v>
      </c>
      <c r="N9" s="23" t="s">
        <v>505</v>
      </c>
      <c r="O9" s="23" t="s">
        <v>163</v>
      </c>
      <c r="P9" s="21" t="s">
        <v>35</v>
      </c>
      <c r="Q9" s="155">
        <v>1360472</v>
      </c>
      <c r="R9" s="155">
        <v>1</v>
      </c>
      <c r="S9" s="155">
        <v>473</v>
      </c>
      <c r="T9" s="23"/>
      <c r="U9" s="155">
        <v>6435.0330000000004</v>
      </c>
      <c r="V9" s="170">
        <v>4.9200000000000003E-4</v>
      </c>
      <c r="W9" s="170">
        <v>1.6397517366990501E-2</v>
      </c>
      <c r="X9" s="170">
        <v>2.6874695395135099E-3</v>
      </c>
    </row>
    <row r="10" spans="1:24">
      <c r="A10" s="21" t="s">
        <v>26</v>
      </c>
      <c r="B10" s="21">
        <v>288</v>
      </c>
      <c r="C10" s="21" t="s">
        <v>1636</v>
      </c>
      <c r="D10" s="21" t="s">
        <v>1637</v>
      </c>
      <c r="E10" s="21" t="s">
        <v>1347</v>
      </c>
      <c r="F10" s="21" t="s">
        <v>1638</v>
      </c>
      <c r="G10" s="21" t="s">
        <v>1639</v>
      </c>
      <c r="H10" s="21" t="s">
        <v>342</v>
      </c>
      <c r="I10" s="21" t="s">
        <v>954</v>
      </c>
      <c r="J10" s="21" t="s">
        <v>31</v>
      </c>
      <c r="K10" s="21" t="s">
        <v>31</v>
      </c>
      <c r="L10" s="23" t="s">
        <v>348</v>
      </c>
      <c r="M10" s="21" t="s">
        <v>40</v>
      </c>
      <c r="N10" s="23" t="s">
        <v>468</v>
      </c>
      <c r="O10" s="23" t="s">
        <v>163</v>
      </c>
      <c r="P10" s="21" t="s">
        <v>35</v>
      </c>
      <c r="Q10" s="155">
        <v>584573</v>
      </c>
      <c r="R10" s="155">
        <v>1</v>
      </c>
      <c r="S10" s="155">
        <v>1946</v>
      </c>
      <c r="T10" s="154">
        <v>86.858000000000004</v>
      </c>
      <c r="U10" s="155">
        <v>11462.648999999999</v>
      </c>
      <c r="V10" s="170">
        <v>4.73E-4</v>
      </c>
      <c r="W10" s="170">
        <v>2.92087071363492E-2</v>
      </c>
      <c r="X10" s="170">
        <v>4.7871582606481104E-3</v>
      </c>
    </row>
    <row r="11" spans="1:24">
      <c r="A11" s="21" t="s">
        <v>26</v>
      </c>
      <c r="B11" s="21">
        <v>288</v>
      </c>
      <c r="C11" s="21" t="s">
        <v>1640</v>
      </c>
      <c r="D11" s="21" t="s">
        <v>1641</v>
      </c>
      <c r="E11" s="21" t="s">
        <v>1347</v>
      </c>
      <c r="F11" s="21" t="s">
        <v>1642</v>
      </c>
      <c r="G11" s="21" t="s">
        <v>1643</v>
      </c>
      <c r="H11" s="21" t="s">
        <v>342</v>
      </c>
      <c r="I11" s="21" t="s">
        <v>954</v>
      </c>
      <c r="J11" s="21" t="s">
        <v>31</v>
      </c>
      <c r="K11" s="21" t="s">
        <v>31</v>
      </c>
      <c r="L11" s="23" t="s">
        <v>348</v>
      </c>
      <c r="M11" s="21" t="s">
        <v>40</v>
      </c>
      <c r="N11" s="23" t="s">
        <v>467</v>
      </c>
      <c r="O11" s="23" t="s">
        <v>163</v>
      </c>
      <c r="P11" s="21" t="s">
        <v>35</v>
      </c>
      <c r="Q11" s="155">
        <v>19435</v>
      </c>
      <c r="R11" s="155">
        <v>1</v>
      </c>
      <c r="S11" s="155">
        <v>28600</v>
      </c>
      <c r="T11" s="23"/>
      <c r="U11" s="155">
        <v>5558.41</v>
      </c>
      <c r="V11" s="170">
        <v>1.039E-3</v>
      </c>
      <c r="W11" s="170">
        <v>1.4163739446231101E-2</v>
      </c>
      <c r="X11" s="170">
        <v>2.3213647209777799E-3</v>
      </c>
    </row>
    <row r="12" spans="1:24">
      <c r="A12" s="21" t="s">
        <v>26</v>
      </c>
      <c r="B12" s="21">
        <v>288</v>
      </c>
      <c r="C12" s="21" t="s">
        <v>1644</v>
      </c>
      <c r="D12" s="21" t="s">
        <v>1645</v>
      </c>
      <c r="E12" s="21" t="s">
        <v>1347</v>
      </c>
      <c r="F12" s="21" t="s">
        <v>1646</v>
      </c>
      <c r="G12" s="21" t="s">
        <v>1647</v>
      </c>
      <c r="H12" s="21" t="s">
        <v>342</v>
      </c>
      <c r="I12" s="21" t="s">
        <v>954</v>
      </c>
      <c r="J12" s="21" t="s">
        <v>31</v>
      </c>
      <c r="K12" s="21" t="s">
        <v>31</v>
      </c>
      <c r="L12" s="23" t="s">
        <v>348</v>
      </c>
      <c r="M12" s="21" t="s">
        <v>40</v>
      </c>
      <c r="N12" s="23" t="s">
        <v>465</v>
      </c>
      <c r="O12" s="23" t="s">
        <v>163</v>
      </c>
      <c r="P12" s="21" t="s">
        <v>35</v>
      </c>
      <c r="Q12" s="155">
        <v>73683</v>
      </c>
      <c r="R12" s="155">
        <v>1</v>
      </c>
      <c r="S12" s="155">
        <v>3810</v>
      </c>
      <c r="T12" s="23"/>
      <c r="U12" s="155">
        <v>2807.3220000000001</v>
      </c>
      <c r="V12" s="170">
        <v>2.8400000000000002E-4</v>
      </c>
      <c r="W12" s="170">
        <v>7.1535172106401501E-3</v>
      </c>
      <c r="X12" s="170">
        <v>1.1724250185996001E-3</v>
      </c>
    </row>
    <row r="13" spans="1:24">
      <c r="A13" s="21" t="s">
        <v>26</v>
      </c>
      <c r="B13" s="21">
        <v>288</v>
      </c>
      <c r="C13" s="21" t="s">
        <v>1648</v>
      </c>
      <c r="D13" s="21" t="s">
        <v>1649</v>
      </c>
      <c r="E13" s="21" t="s">
        <v>1347</v>
      </c>
      <c r="F13" s="21" t="s">
        <v>1650</v>
      </c>
      <c r="G13" s="21" t="s">
        <v>1651</v>
      </c>
      <c r="H13" s="21" t="s">
        <v>342</v>
      </c>
      <c r="I13" s="21" t="s">
        <v>954</v>
      </c>
      <c r="J13" s="21" t="s">
        <v>31</v>
      </c>
      <c r="K13" s="21" t="s">
        <v>31</v>
      </c>
      <c r="L13" s="23" t="s">
        <v>348</v>
      </c>
      <c r="M13" s="21" t="s">
        <v>40</v>
      </c>
      <c r="N13" s="23" t="s">
        <v>496</v>
      </c>
      <c r="O13" s="23" t="s">
        <v>163</v>
      </c>
      <c r="P13" s="21" t="s">
        <v>35</v>
      </c>
      <c r="Q13" s="155">
        <v>182267</v>
      </c>
      <c r="R13" s="155">
        <v>1</v>
      </c>
      <c r="S13" s="155">
        <v>283.8</v>
      </c>
      <c r="T13" s="23"/>
      <c r="U13" s="155">
        <v>517.274</v>
      </c>
      <c r="V13" s="170">
        <v>1.4599999999999999E-3</v>
      </c>
      <c r="W13" s="170">
        <v>1.31809826204255E-3</v>
      </c>
      <c r="X13" s="170">
        <v>2.1602958850686099E-4</v>
      </c>
    </row>
    <row r="14" spans="1:24">
      <c r="A14" s="21" t="s">
        <v>26</v>
      </c>
      <c r="B14" s="21">
        <v>288</v>
      </c>
      <c r="C14" s="21" t="s">
        <v>1652</v>
      </c>
      <c r="D14" s="21" t="s">
        <v>1653</v>
      </c>
      <c r="E14" s="21" t="s">
        <v>1347</v>
      </c>
      <c r="F14" s="21" t="s">
        <v>1654</v>
      </c>
      <c r="G14" s="21" t="s">
        <v>1655</v>
      </c>
      <c r="H14" s="21" t="s">
        <v>342</v>
      </c>
      <c r="I14" s="21" t="s">
        <v>954</v>
      </c>
      <c r="J14" s="21" t="s">
        <v>31</v>
      </c>
      <c r="K14" s="21" t="s">
        <v>31</v>
      </c>
      <c r="L14" s="23" t="s">
        <v>348</v>
      </c>
      <c r="M14" s="21" t="s">
        <v>40</v>
      </c>
      <c r="N14" s="23" t="s">
        <v>467</v>
      </c>
      <c r="O14" s="23" t="s">
        <v>163</v>
      </c>
      <c r="P14" s="21" t="s">
        <v>35</v>
      </c>
      <c r="Q14" s="155">
        <v>290000</v>
      </c>
      <c r="R14" s="155">
        <v>1</v>
      </c>
      <c r="S14" s="155">
        <v>1475</v>
      </c>
      <c r="T14" s="23"/>
      <c r="U14" s="155">
        <v>4277.5</v>
      </c>
      <c r="V14" s="170">
        <v>9.5799999999999998E-4</v>
      </c>
      <c r="W14" s="170">
        <v>1.08997708843453E-2</v>
      </c>
      <c r="X14" s="170">
        <v>1.7864169059105799E-3</v>
      </c>
    </row>
    <row r="15" spans="1:24">
      <c r="A15" s="21" t="s">
        <v>26</v>
      </c>
      <c r="B15" s="21">
        <v>288</v>
      </c>
      <c r="C15" s="21" t="s">
        <v>1656</v>
      </c>
      <c r="D15" s="21" t="s">
        <v>1657</v>
      </c>
      <c r="E15" s="21" t="s">
        <v>1347</v>
      </c>
      <c r="F15" s="21" t="s">
        <v>1658</v>
      </c>
      <c r="G15" s="21" t="s">
        <v>1659</v>
      </c>
      <c r="H15" s="21" t="s">
        <v>342</v>
      </c>
      <c r="I15" s="21" t="s">
        <v>954</v>
      </c>
      <c r="J15" s="21" t="s">
        <v>31</v>
      </c>
      <c r="K15" s="21" t="s">
        <v>31</v>
      </c>
      <c r="L15" s="23" t="s">
        <v>348</v>
      </c>
      <c r="M15" s="21" t="s">
        <v>40</v>
      </c>
      <c r="N15" s="23" t="s">
        <v>465</v>
      </c>
      <c r="O15" s="23" t="s">
        <v>163</v>
      </c>
      <c r="P15" s="21" t="s">
        <v>35</v>
      </c>
      <c r="Q15" s="155">
        <v>38740</v>
      </c>
      <c r="R15" s="155">
        <v>1</v>
      </c>
      <c r="S15" s="155">
        <v>6569</v>
      </c>
      <c r="T15" s="23"/>
      <c r="U15" s="155">
        <v>2544.8310000000001</v>
      </c>
      <c r="V15" s="170">
        <v>4.8999999999999998E-4</v>
      </c>
      <c r="W15" s="170">
        <v>6.4846453487950803E-3</v>
      </c>
      <c r="X15" s="170">
        <v>1.0628003288179E-3</v>
      </c>
    </row>
    <row r="16" spans="1:24">
      <c r="A16" s="21" t="s">
        <v>26</v>
      </c>
      <c r="B16" s="21">
        <v>288</v>
      </c>
      <c r="C16" s="21" t="s">
        <v>1200</v>
      </c>
      <c r="D16" s="21" t="s">
        <v>1660</v>
      </c>
      <c r="E16" s="21" t="s">
        <v>1347</v>
      </c>
      <c r="F16" s="21" t="s">
        <v>1661</v>
      </c>
      <c r="G16" s="21" t="s">
        <v>1662</v>
      </c>
      <c r="H16" s="21" t="s">
        <v>342</v>
      </c>
      <c r="I16" s="21" t="s">
        <v>954</v>
      </c>
      <c r="J16" s="21" t="s">
        <v>31</v>
      </c>
      <c r="K16" s="21" t="s">
        <v>31</v>
      </c>
      <c r="L16" s="23" t="s">
        <v>348</v>
      </c>
      <c r="M16" s="21" t="s">
        <v>40</v>
      </c>
      <c r="N16" s="23" t="s">
        <v>468</v>
      </c>
      <c r="O16" s="23" t="s">
        <v>163</v>
      </c>
      <c r="P16" s="21" t="s">
        <v>35</v>
      </c>
      <c r="Q16" s="155">
        <v>482566</v>
      </c>
      <c r="R16" s="155">
        <v>1</v>
      </c>
      <c r="S16" s="155">
        <v>3100</v>
      </c>
      <c r="T16" s="154">
        <v>115.675</v>
      </c>
      <c r="U16" s="155">
        <v>15075.221</v>
      </c>
      <c r="V16" s="170">
        <v>2.99E-4</v>
      </c>
      <c r="W16" s="170">
        <v>3.8414132576722403E-2</v>
      </c>
      <c r="X16" s="170">
        <v>6.2958805821788002E-3</v>
      </c>
    </row>
    <row r="17" spans="1:24">
      <c r="A17" s="21" t="s">
        <v>26</v>
      </c>
      <c r="B17" s="21">
        <v>288</v>
      </c>
      <c r="C17" s="21" t="s">
        <v>1663</v>
      </c>
      <c r="D17" s="21" t="s">
        <v>1664</v>
      </c>
      <c r="E17" s="21" t="s">
        <v>1347</v>
      </c>
      <c r="F17" s="21" t="s">
        <v>1665</v>
      </c>
      <c r="G17" s="21" t="s">
        <v>1666</v>
      </c>
      <c r="H17" s="21" t="s">
        <v>342</v>
      </c>
      <c r="I17" s="21" t="s">
        <v>954</v>
      </c>
      <c r="J17" s="21" t="s">
        <v>31</v>
      </c>
      <c r="K17" s="21" t="s">
        <v>31</v>
      </c>
      <c r="L17" s="23" t="s">
        <v>348</v>
      </c>
      <c r="M17" s="21" t="s">
        <v>40</v>
      </c>
      <c r="N17" s="23" t="s">
        <v>499</v>
      </c>
      <c r="O17" s="23" t="s">
        <v>361</v>
      </c>
      <c r="P17" s="21" t="s">
        <v>35</v>
      </c>
      <c r="Q17" s="155">
        <v>173100</v>
      </c>
      <c r="R17" s="155">
        <v>1</v>
      </c>
      <c r="S17" s="155">
        <v>848.3</v>
      </c>
      <c r="T17" s="23"/>
      <c r="U17" s="155">
        <v>1468.4069999999999</v>
      </c>
      <c r="V17" s="170">
        <v>2.4380000000000001E-3</v>
      </c>
      <c r="W17" s="170">
        <v>3.7417424044184902E-3</v>
      </c>
      <c r="X17" s="170">
        <v>6.1325251326300697E-4</v>
      </c>
    </row>
    <row r="18" spans="1:24">
      <c r="A18" s="21" t="s">
        <v>26</v>
      </c>
      <c r="B18" s="21">
        <v>288</v>
      </c>
      <c r="C18" s="21" t="s">
        <v>1667</v>
      </c>
      <c r="D18" s="21" t="s">
        <v>1668</v>
      </c>
      <c r="E18" s="21" t="s">
        <v>1347</v>
      </c>
      <c r="F18" s="21" t="s">
        <v>1669</v>
      </c>
      <c r="G18" s="21" t="s">
        <v>1670</v>
      </c>
      <c r="H18" s="21" t="s">
        <v>342</v>
      </c>
      <c r="I18" s="21" t="s">
        <v>954</v>
      </c>
      <c r="J18" s="21" t="s">
        <v>31</v>
      </c>
      <c r="K18" s="21" t="s">
        <v>31</v>
      </c>
      <c r="L18" s="23" t="s">
        <v>348</v>
      </c>
      <c r="M18" s="21" t="s">
        <v>40</v>
      </c>
      <c r="N18" s="23" t="s">
        <v>468</v>
      </c>
      <c r="O18" s="23" t="s">
        <v>163</v>
      </c>
      <c r="P18" s="21" t="s">
        <v>35</v>
      </c>
      <c r="Q18" s="155">
        <v>39740</v>
      </c>
      <c r="R18" s="155">
        <v>1</v>
      </c>
      <c r="S18" s="155">
        <v>14000</v>
      </c>
      <c r="T18" s="23"/>
      <c r="U18" s="155">
        <v>5563.6</v>
      </c>
      <c r="V18" s="170">
        <v>1.54E-4</v>
      </c>
      <c r="W18" s="170">
        <v>1.4176964416632E-2</v>
      </c>
      <c r="X18" s="170">
        <v>2.3235322262359099E-3</v>
      </c>
    </row>
    <row r="19" spans="1:24">
      <c r="A19" s="21" t="s">
        <v>26</v>
      </c>
      <c r="B19" s="21">
        <v>288</v>
      </c>
      <c r="C19" s="21" t="s">
        <v>1671</v>
      </c>
      <c r="D19" s="21" t="s">
        <v>1672</v>
      </c>
      <c r="E19" s="21" t="s">
        <v>1347</v>
      </c>
      <c r="F19" s="21" t="s">
        <v>1673</v>
      </c>
      <c r="G19" s="21" t="s">
        <v>1674</v>
      </c>
      <c r="H19" s="21" t="s">
        <v>342</v>
      </c>
      <c r="I19" s="21" t="s">
        <v>954</v>
      </c>
      <c r="J19" s="21" t="s">
        <v>31</v>
      </c>
      <c r="K19" s="21" t="s">
        <v>31</v>
      </c>
      <c r="L19" s="23" t="s">
        <v>348</v>
      </c>
      <c r="M19" s="21" t="s">
        <v>40</v>
      </c>
      <c r="N19" s="23" t="s">
        <v>497</v>
      </c>
      <c r="O19" s="23" t="s">
        <v>163</v>
      </c>
      <c r="P19" s="21" t="s">
        <v>35</v>
      </c>
      <c r="Q19" s="155">
        <v>43100</v>
      </c>
      <c r="R19" s="155">
        <v>1</v>
      </c>
      <c r="S19" s="155">
        <v>8160</v>
      </c>
      <c r="T19" s="154">
        <v>54.737000000000002</v>
      </c>
      <c r="U19" s="155">
        <v>3571.6970000000001</v>
      </c>
      <c r="V19" s="170">
        <v>6.7900000000000002E-4</v>
      </c>
      <c r="W19" s="170">
        <v>9.1012691918885801E-3</v>
      </c>
      <c r="X19" s="170">
        <v>1.49165164315374E-3</v>
      </c>
    </row>
    <row r="20" spans="1:24">
      <c r="A20" s="4" t="s">
        <v>26</v>
      </c>
      <c r="B20" s="4">
        <v>288</v>
      </c>
      <c r="C20" s="4" t="s">
        <v>1675</v>
      </c>
      <c r="D20" s="4" t="s">
        <v>1676</v>
      </c>
      <c r="E20" s="21" t="s">
        <v>1347</v>
      </c>
      <c r="F20" s="4" t="s">
        <v>1677</v>
      </c>
      <c r="G20" s="4" t="s">
        <v>1678</v>
      </c>
      <c r="H20" s="21" t="s">
        <v>342</v>
      </c>
      <c r="I20" s="4" t="s">
        <v>954</v>
      </c>
      <c r="J20" s="4" t="s">
        <v>31</v>
      </c>
      <c r="K20" s="21" t="s">
        <v>127</v>
      </c>
      <c r="L20" s="23" t="s">
        <v>348</v>
      </c>
      <c r="M20" s="21" t="s">
        <v>40</v>
      </c>
      <c r="N20" s="23" t="s">
        <v>494</v>
      </c>
      <c r="O20" s="4" t="s">
        <v>163</v>
      </c>
      <c r="P20" s="4" t="s">
        <v>35</v>
      </c>
      <c r="Q20" s="153">
        <v>78996</v>
      </c>
      <c r="R20" s="153">
        <v>1</v>
      </c>
      <c r="S20" s="153">
        <v>3622</v>
      </c>
      <c r="U20" s="153">
        <v>2861.2350000000001</v>
      </c>
      <c r="V20" s="167">
        <v>7.2000000000000005E-4</v>
      </c>
      <c r="W20" s="167">
        <v>7.2908959098169999E-3</v>
      </c>
      <c r="X20" s="167">
        <v>1.1949406873531499E-3</v>
      </c>
    </row>
    <row r="21" spans="1:24">
      <c r="A21" s="4" t="s">
        <v>26</v>
      </c>
      <c r="B21" s="4">
        <v>288</v>
      </c>
      <c r="C21" s="4" t="s">
        <v>1679</v>
      </c>
      <c r="D21" s="4" t="s">
        <v>1680</v>
      </c>
      <c r="E21" s="4" t="s">
        <v>1347</v>
      </c>
      <c r="F21" s="4" t="s">
        <v>1681</v>
      </c>
      <c r="G21" s="4" t="s">
        <v>1682</v>
      </c>
      <c r="H21" s="4" t="s">
        <v>342</v>
      </c>
      <c r="I21" s="4" t="s">
        <v>954</v>
      </c>
      <c r="J21" s="4" t="s">
        <v>31</v>
      </c>
      <c r="K21" s="4" t="s">
        <v>31</v>
      </c>
      <c r="L21" s="2" t="s">
        <v>348</v>
      </c>
      <c r="M21" s="4" t="s">
        <v>40</v>
      </c>
      <c r="N21" s="23" t="s">
        <v>484</v>
      </c>
      <c r="O21" s="4" t="s">
        <v>163</v>
      </c>
      <c r="P21" s="4" t="s">
        <v>35</v>
      </c>
      <c r="Q21" s="153">
        <v>10267</v>
      </c>
      <c r="R21" s="153">
        <v>1</v>
      </c>
      <c r="S21" s="153">
        <v>26900</v>
      </c>
      <c r="T21" s="152">
        <v>25.925999999999998</v>
      </c>
      <c r="U21" s="153">
        <v>2787.7489999999998</v>
      </c>
      <c r="V21" s="167">
        <v>2.1599999999999999E-4</v>
      </c>
      <c r="W21" s="167">
        <v>7.1036415153798898E-3</v>
      </c>
      <c r="X21" s="167">
        <v>1.16425064629835E-3</v>
      </c>
    </row>
    <row r="22" spans="1:24">
      <c r="A22" s="4" t="s">
        <v>26</v>
      </c>
      <c r="B22" s="4">
        <v>288</v>
      </c>
      <c r="C22" s="4" t="s">
        <v>1683</v>
      </c>
      <c r="D22" s="4" t="s">
        <v>1684</v>
      </c>
      <c r="E22" s="4" t="s">
        <v>1347</v>
      </c>
      <c r="F22" s="4" t="s">
        <v>1685</v>
      </c>
      <c r="G22" s="4" t="s">
        <v>1686</v>
      </c>
      <c r="H22" s="4" t="s">
        <v>342</v>
      </c>
      <c r="I22" s="4" t="s">
        <v>954</v>
      </c>
      <c r="J22" s="4" t="s">
        <v>31</v>
      </c>
      <c r="K22" s="4" t="s">
        <v>31</v>
      </c>
      <c r="L22" s="2" t="s">
        <v>348</v>
      </c>
      <c r="M22" s="4" t="s">
        <v>40</v>
      </c>
      <c r="N22" s="4" t="s">
        <v>484</v>
      </c>
      <c r="O22" s="4" t="s">
        <v>163</v>
      </c>
      <c r="P22" s="4" t="s">
        <v>35</v>
      </c>
      <c r="Q22" s="153">
        <v>464000</v>
      </c>
      <c r="R22" s="153">
        <v>1</v>
      </c>
      <c r="S22" s="153">
        <v>176.3</v>
      </c>
      <c r="U22" s="153">
        <v>818.03200000000004</v>
      </c>
      <c r="V22" s="167">
        <v>6.7199999999999996E-4</v>
      </c>
      <c r="W22" s="167">
        <v>2.0844795735973699E-3</v>
      </c>
      <c r="X22" s="167">
        <v>3.41635580216445E-4</v>
      </c>
    </row>
    <row r="23" spans="1:24">
      <c r="A23" s="4" t="s">
        <v>26</v>
      </c>
      <c r="B23" s="4">
        <v>288</v>
      </c>
      <c r="C23" s="4" t="s">
        <v>1604</v>
      </c>
      <c r="D23" s="4" t="s">
        <v>1605</v>
      </c>
      <c r="E23" s="4" t="s">
        <v>1347</v>
      </c>
      <c r="F23" s="4" t="s">
        <v>1687</v>
      </c>
      <c r="G23" s="4" t="s">
        <v>1607</v>
      </c>
      <c r="H23" s="4" t="s">
        <v>342</v>
      </c>
      <c r="I23" s="4" t="s">
        <v>954</v>
      </c>
      <c r="J23" s="4" t="s">
        <v>31</v>
      </c>
      <c r="K23" s="4" t="s">
        <v>319</v>
      </c>
      <c r="L23" s="2" t="s">
        <v>348</v>
      </c>
      <c r="M23" s="2" t="s">
        <v>40</v>
      </c>
      <c r="N23" s="4" t="s">
        <v>478</v>
      </c>
      <c r="O23" s="4" t="s">
        <v>163</v>
      </c>
      <c r="P23" s="4" t="s">
        <v>35</v>
      </c>
      <c r="Q23" s="153">
        <v>2700</v>
      </c>
      <c r="R23" s="153">
        <v>1</v>
      </c>
      <c r="S23" s="153">
        <v>64720</v>
      </c>
      <c r="U23" s="153">
        <v>1747.44</v>
      </c>
      <c r="V23" s="167">
        <v>9.3999999999999994E-5</v>
      </c>
      <c r="W23" s="167">
        <v>4.4527634445681698E-3</v>
      </c>
      <c r="X23" s="167">
        <v>7.2978523858898596E-4</v>
      </c>
    </row>
    <row r="24" spans="1:24">
      <c r="A24" s="4" t="s">
        <v>26</v>
      </c>
      <c r="B24" s="4">
        <v>288</v>
      </c>
      <c r="C24" s="4" t="s">
        <v>1688</v>
      </c>
      <c r="D24" s="4" t="s">
        <v>1689</v>
      </c>
      <c r="E24" s="4" t="s">
        <v>1347</v>
      </c>
      <c r="F24" s="4" t="s">
        <v>1690</v>
      </c>
      <c r="G24" s="4" t="s">
        <v>1691</v>
      </c>
      <c r="H24" s="4" t="s">
        <v>342</v>
      </c>
      <c r="I24" s="4" t="s">
        <v>954</v>
      </c>
      <c r="J24" s="4" t="s">
        <v>31</v>
      </c>
      <c r="K24" s="4" t="s">
        <v>31</v>
      </c>
      <c r="L24" s="2" t="s">
        <v>348</v>
      </c>
      <c r="M24" s="2" t="s">
        <v>40</v>
      </c>
      <c r="N24" s="4" t="s">
        <v>474</v>
      </c>
      <c r="O24" s="4" t="s">
        <v>163</v>
      </c>
      <c r="P24" s="4" t="s">
        <v>35</v>
      </c>
      <c r="Q24" s="153">
        <v>356234.85</v>
      </c>
      <c r="R24" s="153">
        <v>1</v>
      </c>
      <c r="S24" s="153">
        <v>935.3</v>
      </c>
      <c r="T24" s="152">
        <v>68.254000000000005</v>
      </c>
      <c r="U24" s="153">
        <v>3400.1179999999999</v>
      </c>
      <c r="V24" s="167">
        <v>3.0299999999999999E-4</v>
      </c>
      <c r="W24" s="167">
        <v>8.6640587340731899E-3</v>
      </c>
      <c r="X24" s="167">
        <v>1.4199950770139799E-3</v>
      </c>
    </row>
    <row r="25" spans="1:24">
      <c r="A25" s="4" t="s">
        <v>26</v>
      </c>
      <c r="B25" s="4">
        <v>288</v>
      </c>
      <c r="C25" s="4" t="s">
        <v>1692</v>
      </c>
      <c r="D25" s="4" t="s">
        <v>1693</v>
      </c>
      <c r="E25" s="4" t="s">
        <v>1347</v>
      </c>
      <c r="F25" s="4" t="s">
        <v>1694</v>
      </c>
      <c r="G25" s="4" t="s">
        <v>1695</v>
      </c>
      <c r="H25" s="4" t="s">
        <v>342</v>
      </c>
      <c r="I25" s="4" t="s">
        <v>954</v>
      </c>
      <c r="J25" s="4" t="s">
        <v>31</v>
      </c>
      <c r="K25" s="4" t="s">
        <v>127</v>
      </c>
      <c r="L25" s="2" t="s">
        <v>348</v>
      </c>
      <c r="M25" s="2" t="s">
        <v>40</v>
      </c>
      <c r="N25" s="4" t="s">
        <v>501</v>
      </c>
      <c r="O25" s="4" t="s">
        <v>163</v>
      </c>
      <c r="P25" s="4" t="s">
        <v>35</v>
      </c>
      <c r="Q25" s="153">
        <v>5275</v>
      </c>
      <c r="R25" s="153">
        <v>1</v>
      </c>
      <c r="S25" s="153">
        <v>95150</v>
      </c>
      <c r="U25" s="153">
        <v>5019.1629999999996</v>
      </c>
      <c r="V25" s="167">
        <v>8.2999999999999998E-5</v>
      </c>
      <c r="W25" s="167">
        <v>1.2789648458514999E-2</v>
      </c>
      <c r="X25" s="167">
        <v>2.0961582100555002E-3</v>
      </c>
    </row>
    <row r="26" spans="1:24">
      <c r="A26" s="4" t="s">
        <v>26</v>
      </c>
      <c r="B26" s="4">
        <v>288</v>
      </c>
      <c r="C26" s="4" t="s">
        <v>1696</v>
      </c>
      <c r="D26" s="4" t="s">
        <v>1697</v>
      </c>
      <c r="E26" s="4" t="s">
        <v>1347</v>
      </c>
      <c r="F26" s="4" t="s">
        <v>1698</v>
      </c>
      <c r="G26" s="4" t="s">
        <v>1699</v>
      </c>
      <c r="H26" s="4" t="s">
        <v>342</v>
      </c>
      <c r="I26" s="4" t="s">
        <v>954</v>
      </c>
      <c r="J26" s="4" t="s">
        <v>31</v>
      </c>
      <c r="K26" s="4" t="s">
        <v>31</v>
      </c>
      <c r="L26" s="2" t="s">
        <v>348</v>
      </c>
      <c r="M26" s="2" t="s">
        <v>40</v>
      </c>
      <c r="N26" s="4" t="s">
        <v>484</v>
      </c>
      <c r="O26" s="4" t="s">
        <v>163</v>
      </c>
      <c r="P26" s="4" t="s">
        <v>35</v>
      </c>
      <c r="Q26" s="153">
        <v>24989</v>
      </c>
      <c r="R26" s="153">
        <v>1</v>
      </c>
      <c r="S26" s="153">
        <v>26610</v>
      </c>
      <c r="U26" s="153">
        <v>6649.5730000000003</v>
      </c>
      <c r="V26" s="167">
        <v>2.0599999999999999E-4</v>
      </c>
      <c r="W26" s="167">
        <v>1.6944201306546201E-2</v>
      </c>
      <c r="X26" s="167">
        <v>2.7770682514657802E-3</v>
      </c>
    </row>
    <row r="27" spans="1:24">
      <c r="A27" s="4" t="s">
        <v>26</v>
      </c>
      <c r="B27" s="4">
        <v>288</v>
      </c>
      <c r="C27" s="4" t="s">
        <v>1700</v>
      </c>
      <c r="D27" s="4" t="s">
        <v>1701</v>
      </c>
      <c r="E27" s="4" t="s">
        <v>1347</v>
      </c>
      <c r="F27" s="4" t="s">
        <v>1702</v>
      </c>
      <c r="G27" s="4" t="s">
        <v>1703</v>
      </c>
      <c r="H27" s="4" t="s">
        <v>342</v>
      </c>
      <c r="I27" s="4" t="s">
        <v>954</v>
      </c>
      <c r="J27" s="4" t="s">
        <v>31</v>
      </c>
      <c r="K27" s="4" t="s">
        <v>31</v>
      </c>
      <c r="L27" s="2" t="s">
        <v>348</v>
      </c>
      <c r="M27" s="2" t="s">
        <v>40</v>
      </c>
      <c r="N27" s="4" t="s">
        <v>468</v>
      </c>
      <c r="O27" s="4" t="s">
        <v>163</v>
      </c>
      <c r="P27" s="4" t="s">
        <v>35</v>
      </c>
      <c r="Q27" s="153">
        <v>387802</v>
      </c>
      <c r="R27" s="153">
        <v>1</v>
      </c>
      <c r="S27" s="153">
        <v>3500</v>
      </c>
      <c r="T27" s="152">
        <v>102.077</v>
      </c>
      <c r="U27" s="153">
        <v>13675.147000000001</v>
      </c>
      <c r="V27" s="167">
        <v>2.9E-4</v>
      </c>
      <c r="W27" s="167">
        <v>3.4846516401085E-2</v>
      </c>
      <c r="X27" s="167">
        <v>5.7111664705168496E-3</v>
      </c>
    </row>
    <row r="28" spans="1:24">
      <c r="A28" s="4" t="s">
        <v>26</v>
      </c>
      <c r="B28" s="4">
        <v>288</v>
      </c>
      <c r="C28" s="4" t="s">
        <v>1704</v>
      </c>
      <c r="D28" s="4" t="s">
        <v>1705</v>
      </c>
      <c r="E28" s="4" t="s">
        <v>1347</v>
      </c>
      <c r="F28" s="4" t="s">
        <v>1706</v>
      </c>
      <c r="G28" s="4" t="s">
        <v>1707</v>
      </c>
      <c r="H28" s="4" t="s">
        <v>342</v>
      </c>
      <c r="I28" s="4" t="s">
        <v>954</v>
      </c>
      <c r="J28" s="4" t="s">
        <v>31</v>
      </c>
      <c r="K28" s="4" t="s">
        <v>31</v>
      </c>
      <c r="L28" s="2" t="s">
        <v>348</v>
      </c>
      <c r="M28" s="2" t="s">
        <v>40</v>
      </c>
      <c r="N28" s="4" t="s">
        <v>496</v>
      </c>
      <c r="O28" s="4" t="s">
        <v>163</v>
      </c>
      <c r="P28" s="4" t="s">
        <v>35</v>
      </c>
      <c r="Q28" s="153">
        <v>8738</v>
      </c>
      <c r="R28" s="153">
        <v>1</v>
      </c>
      <c r="S28" s="153">
        <v>34140</v>
      </c>
      <c r="U28" s="153">
        <v>2983.1529999999998</v>
      </c>
      <c r="V28" s="167">
        <v>6.3400000000000001E-4</v>
      </c>
      <c r="W28" s="167">
        <v>7.6015631543895901E-3</v>
      </c>
      <c r="X28" s="167">
        <v>1.2458574656694899E-3</v>
      </c>
    </row>
    <row r="29" spans="1:24">
      <c r="A29" s="4" t="s">
        <v>26</v>
      </c>
      <c r="B29" s="4">
        <v>288</v>
      </c>
      <c r="C29" s="4" t="s">
        <v>1708</v>
      </c>
      <c r="D29" s="4" t="s">
        <v>1709</v>
      </c>
      <c r="E29" s="4" t="s">
        <v>1347</v>
      </c>
      <c r="F29" s="4" t="s">
        <v>1710</v>
      </c>
      <c r="G29" s="4" t="s">
        <v>1711</v>
      </c>
      <c r="H29" s="4" t="s">
        <v>342</v>
      </c>
      <c r="I29" s="4" t="s">
        <v>954</v>
      </c>
      <c r="J29" s="4" t="s">
        <v>31</v>
      </c>
      <c r="K29" s="4" t="s">
        <v>31</v>
      </c>
      <c r="L29" s="2" t="s">
        <v>348</v>
      </c>
      <c r="M29" s="2" t="s">
        <v>40</v>
      </c>
      <c r="N29" s="4" t="s">
        <v>497</v>
      </c>
      <c r="O29" s="4" t="s">
        <v>163</v>
      </c>
      <c r="P29" s="4" t="s">
        <v>35</v>
      </c>
      <c r="Q29" s="153">
        <v>6250</v>
      </c>
      <c r="R29" s="153">
        <v>1</v>
      </c>
      <c r="S29" s="153">
        <v>30030</v>
      </c>
      <c r="U29" s="153">
        <v>1876.875</v>
      </c>
      <c r="V29" s="167">
        <v>4.08E-4</v>
      </c>
      <c r="W29" s="167">
        <v>4.7825850329761702E-3</v>
      </c>
      <c r="X29" s="167">
        <v>7.8384131625503796E-4</v>
      </c>
    </row>
    <row r="30" spans="1:24">
      <c r="A30" s="4" t="s">
        <v>26</v>
      </c>
      <c r="B30" s="4">
        <v>288</v>
      </c>
      <c r="C30" s="4" t="s">
        <v>1712</v>
      </c>
      <c r="D30" s="4" t="s">
        <v>1713</v>
      </c>
      <c r="E30" s="4" t="s">
        <v>1347</v>
      </c>
      <c r="F30" s="4" t="s">
        <v>1714</v>
      </c>
      <c r="G30" s="4" t="s">
        <v>1715</v>
      </c>
      <c r="H30" s="4" t="s">
        <v>342</v>
      </c>
      <c r="I30" s="4" t="s">
        <v>954</v>
      </c>
      <c r="J30" s="4" t="s">
        <v>31</v>
      </c>
      <c r="K30" s="4" t="s">
        <v>31</v>
      </c>
      <c r="L30" s="2" t="s">
        <v>348</v>
      </c>
      <c r="M30" s="2" t="s">
        <v>40</v>
      </c>
      <c r="N30" s="4" t="s">
        <v>484</v>
      </c>
      <c r="O30" s="4" t="s">
        <v>163</v>
      </c>
      <c r="P30" s="4" t="s">
        <v>35</v>
      </c>
      <c r="Q30" s="153">
        <v>51000</v>
      </c>
      <c r="R30" s="153">
        <v>1</v>
      </c>
      <c r="S30" s="153">
        <v>1566</v>
      </c>
      <c r="U30" s="153">
        <v>798.66</v>
      </c>
      <c r="V30" s="167">
        <v>2.63E-4</v>
      </c>
      <c r="W30" s="167">
        <v>2.0351165434228402E-3</v>
      </c>
      <c r="X30" s="167">
        <v>3.3354523111035501E-4</v>
      </c>
    </row>
    <row r="31" spans="1:24">
      <c r="A31" s="4" t="s">
        <v>26</v>
      </c>
      <c r="B31" s="4">
        <v>288</v>
      </c>
      <c r="C31" s="4" t="s">
        <v>1716</v>
      </c>
      <c r="D31" s="4" t="s">
        <v>1717</v>
      </c>
      <c r="E31" s="4" t="s">
        <v>1347</v>
      </c>
      <c r="F31" s="4" t="s">
        <v>1718</v>
      </c>
      <c r="G31" s="4" t="s">
        <v>1719</v>
      </c>
      <c r="H31" s="4" t="s">
        <v>342</v>
      </c>
      <c r="I31" s="4" t="s">
        <v>954</v>
      </c>
      <c r="J31" s="4" t="s">
        <v>31</v>
      </c>
      <c r="K31" s="4" t="s">
        <v>31</v>
      </c>
      <c r="L31" s="2" t="s">
        <v>348</v>
      </c>
      <c r="M31" s="2" t="s">
        <v>40</v>
      </c>
      <c r="N31" s="4" t="s">
        <v>474</v>
      </c>
      <c r="O31" s="4" t="s">
        <v>163</v>
      </c>
      <c r="P31" s="4" t="s">
        <v>35</v>
      </c>
      <c r="Q31" s="153">
        <v>546732</v>
      </c>
      <c r="R31" s="153">
        <v>1</v>
      </c>
      <c r="S31" s="153">
        <v>302.8</v>
      </c>
      <c r="U31" s="153">
        <v>1655.5039999999999</v>
      </c>
      <c r="V31" s="167">
        <v>4.86E-4</v>
      </c>
      <c r="W31" s="167">
        <v>4.2184967164005903E-3</v>
      </c>
      <c r="X31" s="167">
        <v>6.9139011559681495E-4</v>
      </c>
    </row>
    <row r="32" spans="1:24">
      <c r="A32" s="4" t="s">
        <v>26</v>
      </c>
      <c r="B32" s="4">
        <v>288</v>
      </c>
      <c r="C32" s="4" t="s">
        <v>1720</v>
      </c>
      <c r="D32" s="4" t="s">
        <v>1721</v>
      </c>
      <c r="E32" s="4" t="s">
        <v>1347</v>
      </c>
      <c r="F32" s="4" t="s">
        <v>1722</v>
      </c>
      <c r="G32" s="4" t="s">
        <v>1723</v>
      </c>
      <c r="H32" s="4" t="s">
        <v>342</v>
      </c>
      <c r="I32" s="4" t="s">
        <v>954</v>
      </c>
      <c r="J32" s="4" t="s">
        <v>31</v>
      </c>
      <c r="K32" s="4" t="s">
        <v>31</v>
      </c>
      <c r="L32" s="2" t="s">
        <v>348</v>
      </c>
      <c r="M32" s="2" t="s">
        <v>40</v>
      </c>
      <c r="N32" s="4" t="s">
        <v>482</v>
      </c>
      <c r="O32" s="4" t="s">
        <v>163</v>
      </c>
      <c r="P32" s="4" t="s">
        <v>35</v>
      </c>
      <c r="Q32" s="153">
        <v>5600</v>
      </c>
      <c r="R32" s="153">
        <v>1</v>
      </c>
      <c r="S32" s="153">
        <v>30040</v>
      </c>
      <c r="T32" s="152">
        <v>14.805999999999999</v>
      </c>
      <c r="U32" s="153">
        <v>1697.0450000000001</v>
      </c>
      <c r="V32" s="167">
        <v>6.5200000000000002E-4</v>
      </c>
      <c r="W32" s="167">
        <v>4.3243500012411897E-3</v>
      </c>
      <c r="X32" s="167">
        <v>7.0873892958491598E-4</v>
      </c>
    </row>
    <row r="33" spans="1:24">
      <c r="A33" s="4" t="s">
        <v>26</v>
      </c>
      <c r="B33" s="4">
        <v>288</v>
      </c>
      <c r="C33" s="4" t="s">
        <v>1724</v>
      </c>
      <c r="D33" s="4" t="s">
        <v>1725</v>
      </c>
      <c r="E33" s="4" t="s">
        <v>335</v>
      </c>
      <c r="F33" s="4" t="s">
        <v>1726</v>
      </c>
      <c r="G33" s="4" t="s">
        <v>1727</v>
      </c>
      <c r="H33" s="4" t="s">
        <v>342</v>
      </c>
      <c r="I33" s="4" t="s">
        <v>954</v>
      </c>
      <c r="J33" s="4" t="s">
        <v>120</v>
      </c>
      <c r="K33" s="4" t="s">
        <v>127</v>
      </c>
      <c r="L33" s="2" t="s">
        <v>348</v>
      </c>
      <c r="M33" s="2" t="s">
        <v>40</v>
      </c>
      <c r="N33" s="4" t="s">
        <v>507</v>
      </c>
      <c r="O33" s="4" t="s">
        <v>163</v>
      </c>
      <c r="P33" s="4" t="s">
        <v>35</v>
      </c>
      <c r="Q33" s="153">
        <v>8590</v>
      </c>
      <c r="R33" s="153">
        <v>1</v>
      </c>
      <c r="S33" s="153">
        <v>24060</v>
      </c>
      <c r="U33" s="153">
        <v>2066.7539999999999</v>
      </c>
      <c r="V33" s="167">
        <v>1.5300000000000001E-4</v>
      </c>
      <c r="W33" s="167">
        <v>5.2664278373592398E-3</v>
      </c>
      <c r="X33" s="167">
        <v>8.6314068637248801E-4</v>
      </c>
    </row>
    <row r="34" spans="1:24">
      <c r="A34" s="4" t="s">
        <v>26</v>
      </c>
      <c r="B34" s="4">
        <v>288</v>
      </c>
      <c r="C34" s="4" t="s">
        <v>1728</v>
      </c>
      <c r="D34" s="4" t="s">
        <v>1729</v>
      </c>
      <c r="E34" s="4" t="s">
        <v>1347</v>
      </c>
      <c r="F34" s="4" t="s">
        <v>1730</v>
      </c>
      <c r="G34" s="4" t="s">
        <v>1731</v>
      </c>
      <c r="H34" s="4" t="s">
        <v>342</v>
      </c>
      <c r="I34" s="4" t="s">
        <v>954</v>
      </c>
      <c r="J34" s="4" t="s">
        <v>31</v>
      </c>
      <c r="K34" s="4" t="s">
        <v>31</v>
      </c>
      <c r="L34" s="2" t="s">
        <v>348</v>
      </c>
      <c r="M34" s="2" t="s">
        <v>40</v>
      </c>
      <c r="N34" s="4" t="s">
        <v>476</v>
      </c>
      <c r="O34" s="4" t="s">
        <v>163</v>
      </c>
      <c r="P34" s="4" t="s">
        <v>35</v>
      </c>
      <c r="Q34" s="153">
        <v>69021</v>
      </c>
      <c r="R34" s="153">
        <v>1</v>
      </c>
      <c r="S34" s="153">
        <v>1951</v>
      </c>
      <c r="U34" s="153">
        <v>1346.6</v>
      </c>
      <c r="V34" s="167">
        <v>5.3999999999999998E-5</v>
      </c>
      <c r="W34" s="167">
        <v>3.4313567064700899E-3</v>
      </c>
      <c r="X34" s="167">
        <v>5.6238187900369105E-4</v>
      </c>
    </row>
    <row r="35" spans="1:24">
      <c r="A35" s="4" t="s">
        <v>26</v>
      </c>
      <c r="B35" s="4">
        <v>288</v>
      </c>
      <c r="C35" s="4" t="s">
        <v>1732</v>
      </c>
      <c r="D35" s="4" t="s">
        <v>1733</v>
      </c>
      <c r="E35" s="4" t="s">
        <v>1347</v>
      </c>
      <c r="F35" s="4" t="s">
        <v>1734</v>
      </c>
      <c r="G35" s="4" t="s">
        <v>1735</v>
      </c>
      <c r="H35" s="4" t="s">
        <v>342</v>
      </c>
      <c r="I35" s="4" t="s">
        <v>954</v>
      </c>
      <c r="J35" s="4" t="s">
        <v>31</v>
      </c>
      <c r="K35" s="4" t="s">
        <v>31</v>
      </c>
      <c r="L35" s="2" t="s">
        <v>348</v>
      </c>
      <c r="M35" s="2" t="s">
        <v>40</v>
      </c>
      <c r="N35" s="4" t="s">
        <v>484</v>
      </c>
      <c r="O35" s="4" t="s">
        <v>163</v>
      </c>
      <c r="P35" s="4" t="s">
        <v>35</v>
      </c>
      <c r="Q35" s="153">
        <v>22850</v>
      </c>
      <c r="R35" s="153">
        <v>1</v>
      </c>
      <c r="S35" s="153">
        <v>6077</v>
      </c>
      <c r="U35" s="153">
        <v>1388.5940000000001</v>
      </c>
      <c r="V35" s="167">
        <v>1.84E-4</v>
      </c>
      <c r="W35" s="167">
        <v>3.5383663123932201E-3</v>
      </c>
      <c r="X35" s="167">
        <v>5.7992020812494495E-4</v>
      </c>
    </row>
    <row r="36" spans="1:24">
      <c r="A36" s="4" t="s">
        <v>26</v>
      </c>
      <c r="B36" s="4">
        <v>288</v>
      </c>
      <c r="C36" s="4" t="s">
        <v>1612</v>
      </c>
      <c r="D36" s="4" t="s">
        <v>1613</v>
      </c>
      <c r="E36" s="4" t="s">
        <v>1347</v>
      </c>
      <c r="F36" s="4" t="s">
        <v>1614</v>
      </c>
      <c r="G36" s="4" t="s">
        <v>1615</v>
      </c>
      <c r="H36" s="4" t="s">
        <v>342</v>
      </c>
      <c r="I36" s="4" t="s">
        <v>954</v>
      </c>
      <c r="J36" s="4" t="s">
        <v>31</v>
      </c>
      <c r="K36" s="4" t="s">
        <v>31</v>
      </c>
      <c r="L36" s="2" t="s">
        <v>348</v>
      </c>
      <c r="M36" s="2" t="s">
        <v>40</v>
      </c>
      <c r="N36" s="4" t="s">
        <v>466</v>
      </c>
      <c r="O36" s="4" t="s">
        <v>163</v>
      </c>
      <c r="P36" s="4" t="s">
        <v>35</v>
      </c>
      <c r="Q36" s="153">
        <v>3278</v>
      </c>
      <c r="R36" s="153">
        <v>1</v>
      </c>
      <c r="S36" s="153">
        <v>77500</v>
      </c>
      <c r="U36" s="153">
        <v>2540.4499999999998</v>
      </c>
      <c r="V36" s="167">
        <v>7.3999999999999996E-5</v>
      </c>
      <c r="W36" s="167">
        <v>6.4734828622174103E-3</v>
      </c>
      <c r="X36" s="167">
        <v>1.06097085414858E-3</v>
      </c>
    </row>
    <row r="37" spans="1:24">
      <c r="A37" s="4" t="s">
        <v>26</v>
      </c>
      <c r="B37" s="4">
        <v>288</v>
      </c>
      <c r="C37" s="4" t="s">
        <v>1736</v>
      </c>
      <c r="D37" s="4" t="s">
        <v>1737</v>
      </c>
      <c r="E37" s="4" t="s">
        <v>1347</v>
      </c>
      <c r="F37" s="4" t="s">
        <v>1738</v>
      </c>
      <c r="G37" s="4" t="s">
        <v>1739</v>
      </c>
      <c r="H37" s="4" t="s">
        <v>342</v>
      </c>
      <c r="I37" s="4" t="s">
        <v>954</v>
      </c>
      <c r="J37" s="4" t="s">
        <v>31</v>
      </c>
      <c r="K37" s="4" t="s">
        <v>31</v>
      </c>
      <c r="L37" s="2" t="s">
        <v>348</v>
      </c>
      <c r="M37" s="2" t="s">
        <v>40</v>
      </c>
      <c r="N37" s="4" t="s">
        <v>475</v>
      </c>
      <c r="O37" s="4" t="s">
        <v>163</v>
      </c>
      <c r="P37" s="4" t="s">
        <v>35</v>
      </c>
      <c r="Q37" s="153">
        <v>205000</v>
      </c>
      <c r="R37" s="153">
        <v>1</v>
      </c>
      <c r="S37" s="153">
        <v>1028</v>
      </c>
      <c r="U37" s="153">
        <v>2107.4</v>
      </c>
      <c r="V37" s="167">
        <v>5.7130000000000002E-3</v>
      </c>
      <c r="W37" s="167">
        <v>5.3700005053580998E-3</v>
      </c>
      <c r="X37" s="167">
        <v>8.80115718881581E-4</v>
      </c>
    </row>
    <row r="38" spans="1:24">
      <c r="A38" s="4" t="s">
        <v>26</v>
      </c>
      <c r="B38" s="4">
        <v>288</v>
      </c>
      <c r="C38" s="4" t="s">
        <v>1624</v>
      </c>
      <c r="D38" s="4" t="s">
        <v>1625</v>
      </c>
      <c r="E38" s="4" t="s">
        <v>1347</v>
      </c>
      <c r="F38" s="4" t="s">
        <v>1626</v>
      </c>
      <c r="G38" s="4" t="s">
        <v>1627</v>
      </c>
      <c r="H38" s="4" t="s">
        <v>342</v>
      </c>
      <c r="I38" s="4" t="s">
        <v>954</v>
      </c>
      <c r="J38" s="4" t="s">
        <v>31</v>
      </c>
      <c r="K38" s="4" t="s">
        <v>127</v>
      </c>
      <c r="L38" s="2" t="s">
        <v>348</v>
      </c>
      <c r="M38" s="2" t="s">
        <v>40</v>
      </c>
      <c r="N38" s="4" t="s">
        <v>461</v>
      </c>
      <c r="O38" s="4" t="s">
        <v>163</v>
      </c>
      <c r="P38" s="4" t="s">
        <v>35</v>
      </c>
      <c r="Q38" s="153">
        <v>42760</v>
      </c>
      <c r="R38" s="153">
        <v>1</v>
      </c>
      <c r="S38" s="153">
        <v>6299</v>
      </c>
      <c r="U38" s="153">
        <v>2693.4520000000002</v>
      </c>
      <c r="V38" s="167">
        <v>3.6200000000000002E-4</v>
      </c>
      <c r="W38" s="167">
        <v>6.8633580474319004E-3</v>
      </c>
      <c r="X38" s="167">
        <v>1.1248694103157099E-3</v>
      </c>
    </row>
    <row r="39" spans="1:24">
      <c r="A39" s="4" t="s">
        <v>26</v>
      </c>
      <c r="B39" s="4">
        <v>288</v>
      </c>
      <c r="C39" s="4" t="s">
        <v>1740</v>
      </c>
      <c r="D39" s="4" t="s">
        <v>1741</v>
      </c>
      <c r="E39" s="4" t="s">
        <v>335</v>
      </c>
      <c r="F39" s="4" t="s">
        <v>1742</v>
      </c>
      <c r="G39" s="4" t="s">
        <v>1743</v>
      </c>
      <c r="H39" s="4" t="s">
        <v>342</v>
      </c>
      <c r="I39" s="4" t="s">
        <v>954</v>
      </c>
      <c r="J39" s="4" t="s">
        <v>120</v>
      </c>
      <c r="K39" s="4" t="s">
        <v>256</v>
      </c>
      <c r="L39" s="2" t="s">
        <v>348</v>
      </c>
      <c r="M39" s="2" t="s">
        <v>40</v>
      </c>
      <c r="N39" s="4" t="s">
        <v>507</v>
      </c>
      <c r="O39" s="4" t="s">
        <v>163</v>
      </c>
      <c r="P39" s="4" t="s">
        <v>35</v>
      </c>
      <c r="Q39" s="153">
        <v>56130</v>
      </c>
      <c r="R39" s="153">
        <v>1</v>
      </c>
      <c r="S39" s="153">
        <v>5008</v>
      </c>
      <c r="T39" s="152">
        <v>61.984000000000002</v>
      </c>
      <c r="U39" s="153">
        <v>2872.9749999999999</v>
      </c>
      <c r="V39" s="167">
        <v>3.1700000000000001E-4</v>
      </c>
      <c r="W39" s="167">
        <v>7.32081043357268E-3</v>
      </c>
      <c r="X39" s="167">
        <v>1.1998435253610701E-3</v>
      </c>
    </row>
    <row r="40" spans="1:24">
      <c r="A40" s="4" t="s">
        <v>26</v>
      </c>
      <c r="B40" s="4">
        <v>288</v>
      </c>
      <c r="C40" s="4" t="s">
        <v>1744</v>
      </c>
      <c r="D40" s="4" t="s">
        <v>1745</v>
      </c>
      <c r="E40" s="4" t="s">
        <v>1347</v>
      </c>
      <c r="F40" s="4" t="s">
        <v>1746</v>
      </c>
      <c r="G40" s="4" t="s">
        <v>1747</v>
      </c>
      <c r="H40" s="4" t="s">
        <v>342</v>
      </c>
      <c r="I40" s="4" t="s">
        <v>954</v>
      </c>
      <c r="J40" s="4" t="s">
        <v>31</v>
      </c>
      <c r="K40" s="4" t="s">
        <v>31</v>
      </c>
      <c r="L40" s="2" t="s">
        <v>348</v>
      </c>
      <c r="M40" s="2" t="s">
        <v>40</v>
      </c>
      <c r="N40" s="4" t="s">
        <v>460</v>
      </c>
      <c r="O40" s="4" t="s">
        <v>163</v>
      </c>
      <c r="P40" s="4" t="s">
        <v>35</v>
      </c>
      <c r="Q40" s="153">
        <v>1036169</v>
      </c>
      <c r="R40" s="153">
        <v>1</v>
      </c>
      <c r="S40" s="153">
        <v>122</v>
      </c>
      <c r="T40" s="152">
        <v>172.48099999999999</v>
      </c>
      <c r="U40" s="153">
        <v>1436.607</v>
      </c>
      <c r="V40" s="167">
        <v>3.2499999999999999E-4</v>
      </c>
      <c r="W40" s="167">
        <v>3.6607096981593002E-3</v>
      </c>
      <c r="X40" s="167">
        <v>5.9997166562601604E-4</v>
      </c>
    </row>
    <row r="41" spans="1:24">
      <c r="A41" s="4" t="s">
        <v>26</v>
      </c>
      <c r="B41" s="4">
        <v>288</v>
      </c>
      <c r="C41" s="4" t="s">
        <v>1632</v>
      </c>
      <c r="D41" s="4" t="s">
        <v>1633</v>
      </c>
      <c r="E41" s="4" t="s">
        <v>1347</v>
      </c>
      <c r="F41" s="4" t="s">
        <v>1634</v>
      </c>
      <c r="G41" s="4" t="s">
        <v>1635</v>
      </c>
      <c r="H41" s="4" t="s">
        <v>342</v>
      </c>
      <c r="I41" s="4" t="s">
        <v>954</v>
      </c>
      <c r="J41" s="4" t="s">
        <v>31</v>
      </c>
      <c r="K41" s="4" t="s">
        <v>31</v>
      </c>
      <c r="L41" s="2" t="s">
        <v>348</v>
      </c>
      <c r="M41" s="2" t="s">
        <v>40</v>
      </c>
      <c r="N41" s="4" t="s">
        <v>505</v>
      </c>
      <c r="O41" s="4" t="s">
        <v>163</v>
      </c>
      <c r="P41" s="4" t="s">
        <v>35</v>
      </c>
      <c r="Q41" s="153">
        <v>690080</v>
      </c>
      <c r="R41" s="153">
        <v>1</v>
      </c>
      <c r="S41" s="153">
        <v>473</v>
      </c>
      <c r="U41" s="153">
        <v>3264.078</v>
      </c>
      <c r="V41" s="167">
        <v>2.4899999999999998E-4</v>
      </c>
      <c r="W41" s="167">
        <v>8.3174065946324607E-3</v>
      </c>
      <c r="X41" s="167">
        <v>1.36318055779721E-3</v>
      </c>
    </row>
    <row r="42" spans="1:24">
      <c r="A42" s="4" t="s">
        <v>26</v>
      </c>
      <c r="B42" s="4">
        <v>288</v>
      </c>
      <c r="C42" s="4" t="s">
        <v>1748</v>
      </c>
      <c r="D42" s="4" t="s">
        <v>1749</v>
      </c>
      <c r="E42" s="4" t="s">
        <v>1347</v>
      </c>
      <c r="F42" s="4" t="s">
        <v>1750</v>
      </c>
      <c r="G42" s="4" t="s">
        <v>1751</v>
      </c>
      <c r="H42" s="4" t="s">
        <v>342</v>
      </c>
      <c r="I42" s="4" t="s">
        <v>954</v>
      </c>
      <c r="J42" s="4" t="s">
        <v>31</v>
      </c>
      <c r="K42" s="4" t="s">
        <v>31</v>
      </c>
      <c r="L42" s="2" t="s">
        <v>348</v>
      </c>
      <c r="M42" s="2" t="s">
        <v>40</v>
      </c>
      <c r="N42" s="4" t="s">
        <v>484</v>
      </c>
      <c r="O42" s="4" t="s">
        <v>163</v>
      </c>
      <c r="P42" s="4" t="s">
        <v>35</v>
      </c>
      <c r="Q42" s="153">
        <v>4889</v>
      </c>
      <c r="R42" s="153">
        <v>1</v>
      </c>
      <c r="S42" s="153">
        <v>41030</v>
      </c>
      <c r="U42" s="153">
        <v>2005.9570000000001</v>
      </c>
      <c r="V42" s="167">
        <v>1.9900000000000001E-4</v>
      </c>
      <c r="W42" s="167">
        <v>5.1115063550946499E-3</v>
      </c>
      <c r="X42" s="167">
        <v>8.3774984486372904E-4</v>
      </c>
    </row>
    <row r="43" spans="1:24">
      <c r="A43" s="4" t="s">
        <v>26</v>
      </c>
      <c r="B43" s="4">
        <v>288</v>
      </c>
      <c r="C43" s="4" t="s">
        <v>1752</v>
      </c>
      <c r="D43" s="4" t="s">
        <v>1753</v>
      </c>
      <c r="E43" s="4" t="s">
        <v>1347</v>
      </c>
      <c r="F43" s="4" t="s">
        <v>1754</v>
      </c>
      <c r="G43" s="4" t="s">
        <v>1755</v>
      </c>
      <c r="H43" s="4" t="s">
        <v>342</v>
      </c>
      <c r="I43" s="4" t="s">
        <v>954</v>
      </c>
      <c r="J43" s="4" t="s">
        <v>31</v>
      </c>
      <c r="K43" s="4" t="s">
        <v>31</v>
      </c>
      <c r="L43" s="2" t="s">
        <v>348</v>
      </c>
      <c r="M43" s="2" t="s">
        <v>40</v>
      </c>
      <c r="N43" s="4" t="s">
        <v>468</v>
      </c>
      <c r="O43" s="4" t="s">
        <v>163</v>
      </c>
      <c r="P43" s="4" t="s">
        <v>35</v>
      </c>
      <c r="Q43" s="153">
        <v>8519</v>
      </c>
      <c r="R43" s="153">
        <v>1</v>
      </c>
      <c r="S43" s="153">
        <v>15440</v>
      </c>
      <c r="U43" s="153">
        <v>1315.3340000000001</v>
      </c>
      <c r="V43" s="167">
        <v>8.5000000000000006E-5</v>
      </c>
      <c r="W43" s="167">
        <v>3.35168553512123E-3</v>
      </c>
      <c r="X43" s="167">
        <v>5.4932418000052101E-4</v>
      </c>
    </row>
    <row r="44" spans="1:24">
      <c r="A44" s="4" t="s">
        <v>26</v>
      </c>
      <c r="B44" s="4">
        <v>288</v>
      </c>
      <c r="C44" s="4" t="s">
        <v>1636</v>
      </c>
      <c r="D44" s="4" t="s">
        <v>1637</v>
      </c>
      <c r="E44" s="4" t="s">
        <v>1347</v>
      </c>
      <c r="F44" s="4" t="s">
        <v>1638</v>
      </c>
      <c r="G44" s="4" t="s">
        <v>1639</v>
      </c>
      <c r="H44" s="4" t="s">
        <v>342</v>
      </c>
      <c r="I44" s="4" t="s">
        <v>954</v>
      </c>
      <c r="J44" s="4" t="s">
        <v>31</v>
      </c>
      <c r="K44" s="4" t="s">
        <v>31</v>
      </c>
      <c r="L44" s="2" t="s">
        <v>348</v>
      </c>
      <c r="M44" s="2" t="s">
        <v>40</v>
      </c>
      <c r="N44" s="4" t="s">
        <v>468</v>
      </c>
      <c r="O44" s="4" t="s">
        <v>163</v>
      </c>
      <c r="P44" s="4" t="s">
        <v>35</v>
      </c>
      <c r="Q44" s="153">
        <v>287130</v>
      </c>
      <c r="R44" s="153">
        <v>1</v>
      </c>
      <c r="S44" s="153">
        <v>1946</v>
      </c>
      <c r="T44" s="152">
        <v>42.662999999999997</v>
      </c>
      <c r="U44" s="153">
        <v>5630.2129999999997</v>
      </c>
      <c r="V44" s="167">
        <v>2.32E-4</v>
      </c>
      <c r="W44" s="167">
        <v>1.43467044909716E-2</v>
      </c>
      <c r="X44" s="167">
        <v>2.3513517594745698E-3</v>
      </c>
    </row>
    <row r="45" spans="1:24">
      <c r="A45" s="4" t="s">
        <v>26</v>
      </c>
      <c r="B45" s="4">
        <v>288</v>
      </c>
      <c r="C45" s="4" t="s">
        <v>1756</v>
      </c>
      <c r="D45" s="4" t="s">
        <v>1757</v>
      </c>
      <c r="E45" s="4" t="s">
        <v>1347</v>
      </c>
      <c r="F45" s="4" t="s">
        <v>1758</v>
      </c>
      <c r="G45" s="4" t="s">
        <v>1759</v>
      </c>
      <c r="H45" s="4" t="s">
        <v>342</v>
      </c>
      <c r="I45" s="4" t="s">
        <v>954</v>
      </c>
      <c r="J45" s="4" t="s">
        <v>31</v>
      </c>
      <c r="K45" s="4" t="s">
        <v>31</v>
      </c>
      <c r="L45" s="2" t="s">
        <v>348</v>
      </c>
      <c r="M45" s="2" t="s">
        <v>40</v>
      </c>
      <c r="N45" s="4" t="s">
        <v>474</v>
      </c>
      <c r="O45" s="4" t="s">
        <v>163</v>
      </c>
      <c r="P45" s="4" t="s">
        <v>35</v>
      </c>
      <c r="Q45" s="153">
        <v>5340</v>
      </c>
      <c r="R45" s="153">
        <v>1</v>
      </c>
      <c r="S45" s="153">
        <v>48400</v>
      </c>
      <c r="U45" s="153">
        <v>2584.56</v>
      </c>
      <c r="V45" s="167">
        <v>2.9E-4</v>
      </c>
      <c r="W45" s="167">
        <v>6.5858823698055997E-3</v>
      </c>
      <c r="X45" s="167">
        <v>1.07939256068738E-3</v>
      </c>
    </row>
    <row r="46" spans="1:24">
      <c r="A46" s="4" t="s">
        <v>26</v>
      </c>
      <c r="B46" s="4">
        <v>288</v>
      </c>
      <c r="C46" s="4" t="s">
        <v>1760</v>
      </c>
      <c r="D46" s="4" t="s">
        <v>1761</v>
      </c>
      <c r="E46" s="4" t="s">
        <v>1347</v>
      </c>
      <c r="F46" s="4" t="s">
        <v>1762</v>
      </c>
      <c r="G46" s="4" t="s">
        <v>1763</v>
      </c>
      <c r="H46" s="4" t="s">
        <v>342</v>
      </c>
      <c r="I46" s="4" t="s">
        <v>954</v>
      </c>
      <c r="J46" s="4" t="s">
        <v>31</v>
      </c>
      <c r="K46" s="4" t="s">
        <v>31</v>
      </c>
      <c r="L46" s="2" t="s">
        <v>348</v>
      </c>
      <c r="M46" s="2" t="s">
        <v>40</v>
      </c>
      <c r="N46" s="4" t="s">
        <v>457</v>
      </c>
      <c r="O46" s="4" t="s">
        <v>163</v>
      </c>
      <c r="P46" s="4" t="s">
        <v>35</v>
      </c>
      <c r="Q46" s="153">
        <v>8117</v>
      </c>
      <c r="R46" s="153">
        <v>1</v>
      </c>
      <c r="S46" s="153">
        <v>16390</v>
      </c>
      <c r="U46" s="153">
        <v>1330.376</v>
      </c>
      <c r="V46" s="167">
        <v>3.1599999999999998E-4</v>
      </c>
      <c r="W46" s="167">
        <v>3.3900167995237901E-3</v>
      </c>
      <c r="X46" s="167">
        <v>5.5560647891122604E-4</v>
      </c>
    </row>
    <row r="47" spans="1:24">
      <c r="A47" s="4" t="s">
        <v>26</v>
      </c>
      <c r="B47" s="4">
        <v>288</v>
      </c>
      <c r="C47" s="4" t="s">
        <v>1764</v>
      </c>
      <c r="D47" s="4" t="s">
        <v>1765</v>
      </c>
      <c r="E47" s="4" t="s">
        <v>1347</v>
      </c>
      <c r="F47" s="4" t="s">
        <v>1766</v>
      </c>
      <c r="G47" s="4" t="s">
        <v>1767</v>
      </c>
      <c r="H47" s="4" t="s">
        <v>342</v>
      </c>
      <c r="I47" s="4" t="s">
        <v>954</v>
      </c>
      <c r="J47" s="4" t="s">
        <v>31</v>
      </c>
      <c r="K47" s="4" t="s">
        <v>31</v>
      </c>
      <c r="L47" s="2" t="s">
        <v>348</v>
      </c>
      <c r="M47" s="2" t="s">
        <v>40</v>
      </c>
      <c r="N47" s="4" t="s">
        <v>465</v>
      </c>
      <c r="O47" s="4" t="s">
        <v>163</v>
      </c>
      <c r="P47" s="4" t="s">
        <v>35</v>
      </c>
      <c r="Q47" s="153">
        <v>73800</v>
      </c>
      <c r="R47" s="153">
        <v>1</v>
      </c>
      <c r="S47" s="153">
        <v>3510</v>
      </c>
      <c r="U47" s="153">
        <v>2590.38</v>
      </c>
      <c r="V47" s="167">
        <v>3.5399999999999999E-4</v>
      </c>
      <c r="W47" s="167">
        <v>6.6007126834343299E-3</v>
      </c>
      <c r="X47" s="167">
        <v>1.0818231735201999E-3</v>
      </c>
    </row>
    <row r="48" spans="1:24">
      <c r="A48" s="4" t="s">
        <v>26</v>
      </c>
      <c r="B48" s="4">
        <v>288</v>
      </c>
      <c r="C48" s="4" t="s">
        <v>1768</v>
      </c>
      <c r="D48" s="4" t="s">
        <v>1769</v>
      </c>
      <c r="E48" s="4" t="s">
        <v>1347</v>
      </c>
      <c r="F48" s="4" t="s">
        <v>1770</v>
      </c>
      <c r="G48" s="4" t="s">
        <v>1771</v>
      </c>
      <c r="H48" s="4" t="s">
        <v>342</v>
      </c>
      <c r="I48" s="4" t="s">
        <v>954</v>
      </c>
      <c r="J48" s="4" t="s">
        <v>31</v>
      </c>
      <c r="K48" s="4" t="s">
        <v>319</v>
      </c>
      <c r="L48" s="2" t="s">
        <v>348</v>
      </c>
      <c r="M48" s="2" t="s">
        <v>40</v>
      </c>
      <c r="N48" s="4" t="s">
        <v>478</v>
      </c>
      <c r="O48" s="4" t="s">
        <v>163</v>
      </c>
      <c r="P48" s="4" t="s">
        <v>35</v>
      </c>
      <c r="Q48" s="153">
        <v>33000</v>
      </c>
      <c r="R48" s="153">
        <v>1</v>
      </c>
      <c r="S48" s="153">
        <v>12310</v>
      </c>
      <c r="U48" s="153">
        <v>4062.3</v>
      </c>
      <c r="V48" s="167">
        <v>2.9999999999999997E-4</v>
      </c>
      <c r="W48" s="167">
        <v>1.03514060230218E-2</v>
      </c>
      <c r="X48" s="167">
        <v>1.69654269944607E-3</v>
      </c>
    </row>
    <row r="49" spans="1:24">
      <c r="A49" s="4" t="s">
        <v>26</v>
      </c>
      <c r="B49" s="4">
        <v>288</v>
      </c>
      <c r="C49" s="4" t="s">
        <v>1772</v>
      </c>
      <c r="D49" s="4" t="s">
        <v>1773</v>
      </c>
      <c r="E49" s="4" t="s">
        <v>1347</v>
      </c>
      <c r="F49" s="4" t="s">
        <v>1774</v>
      </c>
      <c r="G49" s="4" t="s">
        <v>1775</v>
      </c>
      <c r="H49" s="4" t="s">
        <v>342</v>
      </c>
      <c r="I49" s="4" t="s">
        <v>954</v>
      </c>
      <c r="J49" s="4" t="s">
        <v>31</v>
      </c>
      <c r="K49" s="4" t="s">
        <v>127</v>
      </c>
      <c r="L49" s="2" t="s">
        <v>348</v>
      </c>
      <c r="M49" s="2" t="s">
        <v>40</v>
      </c>
      <c r="N49" s="4" t="s">
        <v>487</v>
      </c>
      <c r="O49" s="4" t="s">
        <v>163</v>
      </c>
      <c r="P49" s="4" t="s">
        <v>35</v>
      </c>
      <c r="Q49" s="153">
        <v>126481</v>
      </c>
      <c r="R49" s="153">
        <v>1</v>
      </c>
      <c r="S49" s="153">
        <v>5173</v>
      </c>
      <c r="U49" s="153">
        <v>6542.8620000000001</v>
      </c>
      <c r="V49" s="167">
        <v>1.13E-4</v>
      </c>
      <c r="W49" s="167">
        <v>1.6672284779628101E-2</v>
      </c>
      <c r="X49" s="167">
        <v>2.7325025183107198E-3</v>
      </c>
    </row>
    <row r="50" spans="1:24">
      <c r="A50" s="4" t="s">
        <v>26</v>
      </c>
      <c r="B50" s="4">
        <v>288</v>
      </c>
      <c r="C50" s="4" t="s">
        <v>1656</v>
      </c>
      <c r="D50" s="4" t="s">
        <v>1657</v>
      </c>
      <c r="E50" s="4" t="s">
        <v>1347</v>
      </c>
      <c r="F50" s="4" t="s">
        <v>1658</v>
      </c>
      <c r="G50" s="4" t="s">
        <v>1659</v>
      </c>
      <c r="H50" s="4" t="s">
        <v>342</v>
      </c>
      <c r="I50" s="4" t="s">
        <v>954</v>
      </c>
      <c r="J50" s="4" t="s">
        <v>31</v>
      </c>
      <c r="K50" s="4" t="s">
        <v>31</v>
      </c>
      <c r="L50" s="2" t="s">
        <v>348</v>
      </c>
      <c r="M50" s="2" t="s">
        <v>40</v>
      </c>
      <c r="N50" s="4" t="s">
        <v>465</v>
      </c>
      <c r="O50" s="4" t="s">
        <v>163</v>
      </c>
      <c r="P50" s="4" t="s">
        <v>35</v>
      </c>
      <c r="Q50" s="153">
        <v>39500</v>
      </c>
      <c r="R50" s="153">
        <v>1</v>
      </c>
      <c r="S50" s="153">
        <v>6569</v>
      </c>
      <c r="U50" s="153">
        <v>2594.7550000000001</v>
      </c>
      <c r="V50" s="167">
        <v>5.0000000000000001E-4</v>
      </c>
      <c r="W50" s="167">
        <v>6.61186090029441E-3</v>
      </c>
      <c r="X50" s="167">
        <v>1.08365030945553E-3</v>
      </c>
    </row>
    <row r="51" spans="1:24">
      <c r="A51" s="4" t="s">
        <v>26</v>
      </c>
      <c r="B51" s="4">
        <v>288</v>
      </c>
      <c r="C51" s="4" t="s">
        <v>1200</v>
      </c>
      <c r="D51" s="4" t="s">
        <v>1660</v>
      </c>
      <c r="E51" s="4" t="s">
        <v>1347</v>
      </c>
      <c r="F51" s="4" t="s">
        <v>1661</v>
      </c>
      <c r="G51" s="4" t="s">
        <v>1662</v>
      </c>
      <c r="H51" s="4" t="s">
        <v>342</v>
      </c>
      <c r="I51" s="4" t="s">
        <v>954</v>
      </c>
      <c r="J51" s="4" t="s">
        <v>31</v>
      </c>
      <c r="K51" s="4" t="s">
        <v>31</v>
      </c>
      <c r="L51" s="2" t="s">
        <v>348</v>
      </c>
      <c r="M51" s="2" t="s">
        <v>40</v>
      </c>
      <c r="N51" s="4" t="s">
        <v>468</v>
      </c>
      <c r="O51" s="4" t="s">
        <v>163</v>
      </c>
      <c r="P51" s="4" t="s">
        <v>35</v>
      </c>
      <c r="Q51" s="153">
        <v>225686</v>
      </c>
      <c r="R51" s="153">
        <v>1</v>
      </c>
      <c r="S51" s="153">
        <v>3100</v>
      </c>
      <c r="T51" s="152">
        <v>54.098999999999997</v>
      </c>
      <c r="U51" s="153">
        <v>7050.3649999999998</v>
      </c>
      <c r="V51" s="167">
        <v>1.3999999999999999E-4</v>
      </c>
      <c r="W51" s="167">
        <v>1.7965484356770801E-2</v>
      </c>
      <c r="X51" s="167">
        <v>2.9444513392388899E-3</v>
      </c>
    </row>
    <row r="52" spans="1:24">
      <c r="A52" s="4" t="s">
        <v>26</v>
      </c>
      <c r="B52" s="4">
        <v>288</v>
      </c>
      <c r="C52" s="4" t="s">
        <v>1776</v>
      </c>
      <c r="D52" s="4" t="s">
        <v>1777</v>
      </c>
      <c r="E52" s="4" t="s">
        <v>1347</v>
      </c>
      <c r="F52" s="4" t="s">
        <v>1778</v>
      </c>
      <c r="G52" s="4" t="s">
        <v>1779</v>
      </c>
      <c r="H52" s="4" t="s">
        <v>342</v>
      </c>
      <c r="I52" s="4" t="s">
        <v>954</v>
      </c>
      <c r="J52" s="4" t="s">
        <v>31</v>
      </c>
      <c r="K52" s="4" t="s">
        <v>31</v>
      </c>
      <c r="L52" s="2" t="s">
        <v>348</v>
      </c>
      <c r="M52" s="2" t="s">
        <v>40</v>
      </c>
      <c r="N52" s="4" t="s">
        <v>467</v>
      </c>
      <c r="O52" s="4" t="s">
        <v>163</v>
      </c>
      <c r="P52" s="4" t="s">
        <v>35</v>
      </c>
      <c r="Q52" s="153">
        <v>37754</v>
      </c>
      <c r="R52" s="153">
        <v>1</v>
      </c>
      <c r="S52" s="153">
        <v>303.5</v>
      </c>
      <c r="U52" s="153">
        <v>114.583</v>
      </c>
      <c r="V52" s="167">
        <v>7.4100000000000001E-4</v>
      </c>
      <c r="W52" s="167">
        <v>2.9197725263625497E-4</v>
      </c>
      <c r="X52" s="167">
        <v>4.7853583876690897E-5</v>
      </c>
    </row>
    <row r="53" spans="1:24">
      <c r="A53" s="4" t="s">
        <v>26</v>
      </c>
      <c r="B53" s="4">
        <v>288</v>
      </c>
      <c r="C53" s="4" t="s">
        <v>1780</v>
      </c>
      <c r="D53" s="4" t="s">
        <v>1781</v>
      </c>
      <c r="E53" s="4" t="s">
        <v>1347</v>
      </c>
      <c r="F53" s="4" t="s">
        <v>1782</v>
      </c>
      <c r="G53" s="4" t="s">
        <v>1783</v>
      </c>
      <c r="H53" s="4" t="s">
        <v>342</v>
      </c>
      <c r="I53" s="4" t="s">
        <v>954</v>
      </c>
      <c r="J53" s="4" t="s">
        <v>31</v>
      </c>
      <c r="K53" s="4" t="s">
        <v>31</v>
      </c>
      <c r="L53" s="2" t="s">
        <v>348</v>
      </c>
      <c r="M53" s="2" t="s">
        <v>40</v>
      </c>
      <c r="N53" s="4" t="s">
        <v>484</v>
      </c>
      <c r="O53" s="4" t="s">
        <v>163</v>
      </c>
      <c r="P53" s="4" t="s">
        <v>35</v>
      </c>
      <c r="Q53" s="153">
        <v>137930</v>
      </c>
      <c r="R53" s="153">
        <v>1</v>
      </c>
      <c r="S53" s="153">
        <v>907.1</v>
      </c>
      <c r="U53" s="153">
        <v>1251.163</v>
      </c>
      <c r="V53" s="167">
        <v>1.83E-4</v>
      </c>
      <c r="W53" s="167">
        <v>3.1881684081737499E-3</v>
      </c>
      <c r="X53" s="167">
        <v>5.2252455612911998E-4</v>
      </c>
    </row>
    <row r="54" spans="1:24">
      <c r="A54" s="4" t="s">
        <v>26</v>
      </c>
      <c r="B54" s="4">
        <v>288</v>
      </c>
      <c r="C54" s="4" t="s">
        <v>1671</v>
      </c>
      <c r="D54" s="4" t="s">
        <v>1672</v>
      </c>
      <c r="E54" s="4" t="s">
        <v>1347</v>
      </c>
      <c r="F54" s="4" t="s">
        <v>1673</v>
      </c>
      <c r="G54" s="4" t="s">
        <v>1674</v>
      </c>
      <c r="H54" s="4" t="s">
        <v>342</v>
      </c>
      <c r="I54" s="4" t="s">
        <v>954</v>
      </c>
      <c r="J54" s="4" t="s">
        <v>31</v>
      </c>
      <c r="K54" s="4" t="s">
        <v>31</v>
      </c>
      <c r="L54" s="2" t="s">
        <v>348</v>
      </c>
      <c r="M54" s="2" t="s">
        <v>40</v>
      </c>
      <c r="N54" s="4" t="s">
        <v>497</v>
      </c>
      <c r="O54" s="4" t="s">
        <v>163</v>
      </c>
      <c r="P54" s="4" t="s">
        <v>35</v>
      </c>
      <c r="Q54" s="153">
        <v>17957</v>
      </c>
      <c r="R54" s="153">
        <v>1</v>
      </c>
      <c r="S54" s="153">
        <v>8160</v>
      </c>
      <c r="T54" s="152">
        <v>22.805</v>
      </c>
      <c r="U54" s="153">
        <v>1488.097</v>
      </c>
      <c r="V54" s="167">
        <v>2.8299999999999999E-4</v>
      </c>
      <c r="W54" s="167">
        <v>3.7919139415021601E-3</v>
      </c>
      <c r="X54" s="167">
        <v>6.2147537253159305E-4</v>
      </c>
    </row>
    <row r="55" spans="1:24">
      <c r="A55" s="4" t="s">
        <v>26</v>
      </c>
      <c r="B55" s="4">
        <v>288</v>
      </c>
      <c r="C55" s="4" t="s">
        <v>1679</v>
      </c>
      <c r="D55" s="4" t="s">
        <v>1680</v>
      </c>
      <c r="E55" s="4" t="s">
        <v>1347</v>
      </c>
      <c r="F55" s="4" t="s">
        <v>1681</v>
      </c>
      <c r="G55" s="4" t="s">
        <v>1682</v>
      </c>
      <c r="H55" s="4" t="s">
        <v>342</v>
      </c>
      <c r="I55" s="4" t="s">
        <v>954</v>
      </c>
      <c r="J55" s="4" t="s">
        <v>31</v>
      </c>
      <c r="K55" s="4" t="s">
        <v>31</v>
      </c>
      <c r="L55" s="2" t="s">
        <v>348</v>
      </c>
      <c r="M55" s="2" t="s">
        <v>40</v>
      </c>
      <c r="N55" s="4" t="s">
        <v>484</v>
      </c>
      <c r="O55" s="4" t="s">
        <v>163</v>
      </c>
      <c r="P55" s="4" t="s">
        <v>35</v>
      </c>
      <c r="Q55" s="153">
        <v>4756</v>
      </c>
      <c r="R55" s="153">
        <v>1</v>
      </c>
      <c r="S55" s="153">
        <v>26900</v>
      </c>
      <c r="T55" s="152">
        <v>12.01</v>
      </c>
      <c r="U55" s="153">
        <v>1291.374</v>
      </c>
      <c r="V55" s="167">
        <v>1E-4</v>
      </c>
      <c r="W55" s="167">
        <v>3.2906320133369101E-3</v>
      </c>
      <c r="X55" s="167">
        <v>5.3931781889089898E-4</v>
      </c>
    </row>
    <row r="56" spans="1:24">
      <c r="A56" s="4" t="s">
        <v>26</v>
      </c>
      <c r="B56" s="4">
        <v>288</v>
      </c>
      <c r="C56" s="4" t="s">
        <v>1683</v>
      </c>
      <c r="D56" s="4" t="s">
        <v>1684</v>
      </c>
      <c r="E56" s="4" t="s">
        <v>1347</v>
      </c>
      <c r="F56" s="4" t="s">
        <v>1685</v>
      </c>
      <c r="G56" s="4" t="s">
        <v>1686</v>
      </c>
      <c r="H56" s="4" t="s">
        <v>342</v>
      </c>
      <c r="I56" s="4" t="s">
        <v>954</v>
      </c>
      <c r="J56" s="4" t="s">
        <v>31</v>
      </c>
      <c r="K56" s="4" t="s">
        <v>31</v>
      </c>
      <c r="L56" s="2" t="s">
        <v>348</v>
      </c>
      <c r="M56" s="2" t="s">
        <v>40</v>
      </c>
      <c r="N56" s="4" t="s">
        <v>484</v>
      </c>
      <c r="O56" s="4" t="s">
        <v>163</v>
      </c>
      <c r="P56" s="4" t="s">
        <v>35</v>
      </c>
      <c r="Q56" s="153">
        <v>784430</v>
      </c>
      <c r="R56" s="153">
        <v>1</v>
      </c>
      <c r="S56" s="153">
        <v>176.3</v>
      </c>
      <c r="U56" s="153">
        <v>1382.95</v>
      </c>
      <c r="V56" s="167">
        <v>1.137E-3</v>
      </c>
      <c r="W56" s="167">
        <v>3.52398343085557E-3</v>
      </c>
      <c r="X56" s="167">
        <v>5.7756292713186704E-4</v>
      </c>
    </row>
    <row r="57" spans="1:24">
      <c r="A57" s="4" t="s">
        <v>26</v>
      </c>
      <c r="B57" s="4">
        <v>288</v>
      </c>
      <c r="C57" s="4" t="s">
        <v>1604</v>
      </c>
      <c r="D57" s="4" t="s">
        <v>1605</v>
      </c>
      <c r="E57" s="4" t="s">
        <v>1347</v>
      </c>
      <c r="F57" s="4" t="s">
        <v>1687</v>
      </c>
      <c r="G57" s="4" t="s">
        <v>1607</v>
      </c>
      <c r="H57" s="4" t="s">
        <v>342</v>
      </c>
      <c r="I57" s="4" t="s">
        <v>954</v>
      </c>
      <c r="J57" s="4" t="s">
        <v>31</v>
      </c>
      <c r="K57" s="4" t="s">
        <v>319</v>
      </c>
      <c r="L57" s="2" t="s">
        <v>348</v>
      </c>
      <c r="M57" s="2" t="s">
        <v>40</v>
      </c>
      <c r="N57" s="4" t="s">
        <v>478</v>
      </c>
      <c r="O57" s="4" t="s">
        <v>163</v>
      </c>
      <c r="P57" s="4" t="s">
        <v>35</v>
      </c>
      <c r="Q57" s="153">
        <v>10349</v>
      </c>
      <c r="R57" s="153">
        <v>1</v>
      </c>
      <c r="S57" s="153">
        <v>64720</v>
      </c>
      <c r="U57" s="153">
        <v>6697.8729999999996</v>
      </c>
      <c r="V57" s="167">
        <v>3.6000000000000002E-4</v>
      </c>
      <c r="W57" s="167">
        <v>1.7067277365865201E-2</v>
      </c>
      <c r="X57" s="167">
        <v>2.79723979042867E-3</v>
      </c>
    </row>
    <row r="58" spans="1:24">
      <c r="A58" s="4" t="s">
        <v>26</v>
      </c>
      <c r="B58" s="4">
        <v>288</v>
      </c>
      <c r="C58" s="4" t="s">
        <v>1692</v>
      </c>
      <c r="D58" s="4" t="s">
        <v>1693</v>
      </c>
      <c r="E58" s="4" t="s">
        <v>1347</v>
      </c>
      <c r="F58" s="4" t="s">
        <v>1694</v>
      </c>
      <c r="G58" s="4" t="s">
        <v>1695</v>
      </c>
      <c r="H58" s="4" t="s">
        <v>342</v>
      </c>
      <c r="I58" s="4" t="s">
        <v>954</v>
      </c>
      <c r="J58" s="4" t="s">
        <v>31</v>
      </c>
      <c r="K58" s="4" t="s">
        <v>127</v>
      </c>
      <c r="L58" s="2" t="s">
        <v>348</v>
      </c>
      <c r="M58" s="2" t="s">
        <v>40</v>
      </c>
      <c r="N58" s="4" t="s">
        <v>501</v>
      </c>
      <c r="O58" s="4" t="s">
        <v>163</v>
      </c>
      <c r="P58" s="4" t="s">
        <v>35</v>
      </c>
      <c r="Q58" s="153">
        <v>7590</v>
      </c>
      <c r="R58" s="153">
        <v>1</v>
      </c>
      <c r="S58" s="153">
        <v>95150</v>
      </c>
      <c r="U58" s="153">
        <v>7221.8850000000002</v>
      </c>
      <c r="V58" s="167">
        <v>1.2E-4</v>
      </c>
      <c r="W58" s="167">
        <v>1.8402546312820602E-2</v>
      </c>
      <c r="X58" s="167">
        <v>3.0160835666959802E-3</v>
      </c>
    </row>
    <row r="59" spans="1:24">
      <c r="A59" s="4" t="s">
        <v>26</v>
      </c>
      <c r="B59" s="4">
        <v>288</v>
      </c>
      <c r="C59" s="4" t="s">
        <v>1784</v>
      </c>
      <c r="D59" s="4" t="s">
        <v>1785</v>
      </c>
      <c r="E59" s="4" t="s">
        <v>1347</v>
      </c>
      <c r="F59" s="4" t="s">
        <v>1786</v>
      </c>
      <c r="G59" s="4" t="s">
        <v>1787</v>
      </c>
      <c r="H59" s="4" t="s">
        <v>342</v>
      </c>
      <c r="I59" s="4" t="s">
        <v>954</v>
      </c>
      <c r="J59" s="4" t="s">
        <v>31</v>
      </c>
      <c r="K59" s="4" t="s">
        <v>319</v>
      </c>
      <c r="L59" s="2" t="s">
        <v>348</v>
      </c>
      <c r="M59" s="2" t="s">
        <v>40</v>
      </c>
      <c r="N59" s="4" t="s">
        <v>485</v>
      </c>
      <c r="O59" s="4" t="s">
        <v>163</v>
      </c>
      <c r="P59" s="4" t="s">
        <v>35</v>
      </c>
      <c r="Q59" s="153">
        <v>25810</v>
      </c>
      <c r="R59" s="153">
        <v>1</v>
      </c>
      <c r="S59" s="153">
        <v>4710</v>
      </c>
      <c r="U59" s="153">
        <v>1215.6510000000001</v>
      </c>
      <c r="V59" s="167">
        <v>3.4900000000000003E-4</v>
      </c>
      <c r="W59" s="167">
        <v>3.0976779369550501E-3</v>
      </c>
      <c r="X59" s="167">
        <v>5.0769362900925899E-4</v>
      </c>
    </row>
    <row r="60" spans="1:24">
      <c r="A60" s="4" t="s">
        <v>26</v>
      </c>
      <c r="B60" s="4">
        <v>288</v>
      </c>
      <c r="C60" s="4" t="s">
        <v>1788</v>
      </c>
      <c r="D60" s="4" t="s">
        <v>1789</v>
      </c>
      <c r="E60" s="4" t="s">
        <v>1347</v>
      </c>
      <c r="F60" s="4" t="s">
        <v>1790</v>
      </c>
      <c r="G60" s="4" t="s">
        <v>1791</v>
      </c>
      <c r="H60" s="4" t="s">
        <v>342</v>
      </c>
      <c r="I60" s="4" t="s">
        <v>954</v>
      </c>
      <c r="J60" s="4" t="s">
        <v>31</v>
      </c>
      <c r="K60" s="4" t="s">
        <v>31</v>
      </c>
      <c r="L60" s="2" t="s">
        <v>348</v>
      </c>
      <c r="M60" s="2" t="s">
        <v>40</v>
      </c>
      <c r="N60" s="4" t="s">
        <v>505</v>
      </c>
      <c r="O60" s="4" t="s">
        <v>163</v>
      </c>
      <c r="P60" s="4" t="s">
        <v>35</v>
      </c>
      <c r="Q60" s="153">
        <v>103776</v>
      </c>
      <c r="R60" s="153">
        <v>1</v>
      </c>
      <c r="S60" s="153">
        <v>1560</v>
      </c>
      <c r="U60" s="153">
        <v>1618.9059999999999</v>
      </c>
      <c r="V60" s="167">
        <v>6.2799999999999998E-4</v>
      </c>
      <c r="W60" s="167">
        <v>4.1252367325268404E-3</v>
      </c>
      <c r="X60" s="167">
        <v>6.7610527946541498E-4</v>
      </c>
    </row>
    <row r="61" spans="1:24">
      <c r="A61" s="4" t="s">
        <v>26</v>
      </c>
      <c r="B61" s="4">
        <v>288</v>
      </c>
      <c r="C61" s="4" t="s">
        <v>1696</v>
      </c>
      <c r="D61" s="4" t="s">
        <v>1697</v>
      </c>
      <c r="E61" s="4" t="s">
        <v>1347</v>
      </c>
      <c r="F61" s="4" t="s">
        <v>1698</v>
      </c>
      <c r="G61" s="4" t="s">
        <v>1699</v>
      </c>
      <c r="H61" s="4" t="s">
        <v>342</v>
      </c>
      <c r="I61" s="4" t="s">
        <v>954</v>
      </c>
      <c r="J61" s="4" t="s">
        <v>31</v>
      </c>
      <c r="K61" s="4" t="s">
        <v>31</v>
      </c>
      <c r="L61" s="2" t="s">
        <v>348</v>
      </c>
      <c r="M61" s="2" t="s">
        <v>40</v>
      </c>
      <c r="N61" s="4" t="s">
        <v>484</v>
      </c>
      <c r="O61" s="4" t="s">
        <v>163</v>
      </c>
      <c r="P61" s="4" t="s">
        <v>35</v>
      </c>
      <c r="Q61" s="153">
        <v>11624</v>
      </c>
      <c r="R61" s="153">
        <v>1</v>
      </c>
      <c r="S61" s="153">
        <v>26610</v>
      </c>
      <c r="U61" s="153">
        <v>3093.1460000000002</v>
      </c>
      <c r="V61" s="167">
        <v>9.6000000000000002E-5</v>
      </c>
      <c r="W61" s="167">
        <v>7.88184385078608E-3</v>
      </c>
      <c r="X61" s="167">
        <v>1.2917940435807E-3</v>
      </c>
    </row>
    <row r="62" spans="1:24">
      <c r="A62" s="4" t="s">
        <v>26</v>
      </c>
      <c r="B62" s="4">
        <v>288</v>
      </c>
      <c r="C62" s="4" t="s">
        <v>1700</v>
      </c>
      <c r="D62" s="4" t="s">
        <v>1701</v>
      </c>
      <c r="E62" s="4" t="s">
        <v>1347</v>
      </c>
      <c r="F62" s="4" t="s">
        <v>1702</v>
      </c>
      <c r="G62" s="4" t="s">
        <v>1703</v>
      </c>
      <c r="H62" s="4" t="s">
        <v>342</v>
      </c>
      <c r="I62" s="4" t="s">
        <v>954</v>
      </c>
      <c r="J62" s="4" t="s">
        <v>31</v>
      </c>
      <c r="K62" s="4" t="s">
        <v>31</v>
      </c>
      <c r="L62" s="2" t="s">
        <v>348</v>
      </c>
      <c r="M62" s="2" t="s">
        <v>40</v>
      </c>
      <c r="N62" s="4" t="s">
        <v>468</v>
      </c>
      <c r="O62" s="4" t="s">
        <v>163</v>
      </c>
      <c r="P62" s="4" t="s">
        <v>35</v>
      </c>
      <c r="Q62" s="153">
        <v>216360.4</v>
      </c>
      <c r="R62" s="153">
        <v>1</v>
      </c>
      <c r="S62" s="153">
        <v>3500</v>
      </c>
      <c r="T62" s="152">
        <v>56.95</v>
      </c>
      <c r="U62" s="153">
        <v>7629.5640000000003</v>
      </c>
      <c r="V62" s="167">
        <v>1.6200000000000001E-4</v>
      </c>
      <c r="W62" s="167">
        <v>1.9441380453147101E-2</v>
      </c>
      <c r="X62" s="167">
        <v>3.1863431887015898E-3</v>
      </c>
    </row>
    <row r="63" spans="1:24">
      <c r="A63" s="4" t="s">
        <v>26</v>
      </c>
      <c r="B63" s="4">
        <v>288</v>
      </c>
      <c r="C63" s="4" t="s">
        <v>1792</v>
      </c>
      <c r="D63" s="4" t="s">
        <v>1793</v>
      </c>
      <c r="E63" s="4" t="s">
        <v>1347</v>
      </c>
      <c r="F63" s="4" t="s">
        <v>1794</v>
      </c>
      <c r="G63" s="4" t="s">
        <v>1795</v>
      </c>
      <c r="H63" s="4" t="s">
        <v>342</v>
      </c>
      <c r="I63" s="4" t="s">
        <v>954</v>
      </c>
      <c r="J63" s="4" t="s">
        <v>31</v>
      </c>
      <c r="K63" s="4" t="s">
        <v>319</v>
      </c>
      <c r="L63" s="2" t="s">
        <v>348</v>
      </c>
      <c r="M63" s="2" t="s">
        <v>40</v>
      </c>
      <c r="N63" s="4" t="s">
        <v>478</v>
      </c>
      <c r="O63" s="4" t="s">
        <v>163</v>
      </c>
      <c r="P63" s="4" t="s">
        <v>35</v>
      </c>
      <c r="Q63" s="153">
        <v>9152</v>
      </c>
      <c r="R63" s="153">
        <v>1</v>
      </c>
      <c r="S63" s="153">
        <v>30800</v>
      </c>
      <c r="U63" s="153">
        <v>2818.8159999999998</v>
      </c>
      <c r="V63" s="167">
        <v>2.0699999999999999E-4</v>
      </c>
      <c r="W63" s="167">
        <v>7.1828050415258101E-3</v>
      </c>
      <c r="X63" s="167">
        <v>1.1772251448395701E-3</v>
      </c>
    </row>
    <row r="64" spans="1:24">
      <c r="A64" s="4" t="s">
        <v>26</v>
      </c>
      <c r="B64" s="4">
        <v>288</v>
      </c>
      <c r="C64" s="4" t="s">
        <v>1796</v>
      </c>
      <c r="D64" s="4" t="s">
        <v>1797</v>
      </c>
      <c r="E64" s="4" t="s">
        <v>1347</v>
      </c>
      <c r="F64" s="4" t="s">
        <v>1798</v>
      </c>
      <c r="G64" s="4" t="s">
        <v>1799</v>
      </c>
      <c r="H64" s="4" t="s">
        <v>342</v>
      </c>
      <c r="I64" s="4" t="s">
        <v>954</v>
      </c>
      <c r="J64" s="4" t="s">
        <v>31</v>
      </c>
      <c r="K64" s="4" t="s">
        <v>31</v>
      </c>
      <c r="L64" s="2" t="s">
        <v>348</v>
      </c>
      <c r="M64" s="2" t="s">
        <v>40</v>
      </c>
      <c r="N64" s="4" t="s">
        <v>484</v>
      </c>
      <c r="O64" s="4" t="s">
        <v>163</v>
      </c>
      <c r="P64" s="4" t="s">
        <v>35</v>
      </c>
      <c r="Q64" s="153">
        <v>5486</v>
      </c>
      <c r="R64" s="153">
        <v>1</v>
      </c>
      <c r="S64" s="153">
        <v>25090</v>
      </c>
      <c r="U64" s="153">
        <v>1376.4369999999999</v>
      </c>
      <c r="V64" s="167">
        <v>4.4999999999999999E-4</v>
      </c>
      <c r="W64" s="167">
        <v>3.5073880296070002E-3</v>
      </c>
      <c r="X64" s="167">
        <v>5.7484302543252003E-4</v>
      </c>
    </row>
    <row r="65" spans="1:24">
      <c r="A65" s="4" t="s">
        <v>26</v>
      </c>
      <c r="B65" s="4">
        <v>288</v>
      </c>
      <c r="C65" s="4" t="s">
        <v>1800</v>
      </c>
      <c r="D65" s="4" t="s">
        <v>1801</v>
      </c>
      <c r="E65" s="4" t="s">
        <v>335</v>
      </c>
      <c r="F65" s="4" t="s">
        <v>1802</v>
      </c>
      <c r="G65" s="4" t="s">
        <v>1803</v>
      </c>
      <c r="H65" s="4" t="s">
        <v>342</v>
      </c>
      <c r="I65" s="4" t="s">
        <v>954</v>
      </c>
      <c r="J65" s="4" t="s">
        <v>120</v>
      </c>
      <c r="K65" s="4" t="s">
        <v>127</v>
      </c>
      <c r="L65" s="2" t="s">
        <v>348</v>
      </c>
      <c r="M65" s="2" t="s">
        <v>367</v>
      </c>
      <c r="N65" s="4" t="s">
        <v>569</v>
      </c>
      <c r="O65" s="4" t="s">
        <v>163</v>
      </c>
      <c r="P65" s="4" t="s">
        <v>100</v>
      </c>
      <c r="Q65" s="153">
        <v>3450</v>
      </c>
      <c r="R65" s="153">
        <v>3.681</v>
      </c>
      <c r="S65" s="153">
        <v>18049</v>
      </c>
      <c r="U65" s="153">
        <v>2292.1239999999998</v>
      </c>
      <c r="V65" s="167">
        <v>1.9999999999999999E-6</v>
      </c>
      <c r="W65" s="167">
        <v>5.8407068383450203E-3</v>
      </c>
      <c r="X65" s="167">
        <v>9.5726208827680401E-4</v>
      </c>
    </row>
    <row r="66" spans="1:24">
      <c r="A66" s="4" t="s">
        <v>26</v>
      </c>
      <c r="B66" s="4">
        <v>288</v>
      </c>
      <c r="C66" s="4" t="s">
        <v>1804</v>
      </c>
      <c r="D66" s="4" t="s">
        <v>1805</v>
      </c>
      <c r="E66" s="4" t="s">
        <v>335</v>
      </c>
      <c r="F66" s="4" t="s">
        <v>1806</v>
      </c>
      <c r="G66" s="4" t="s">
        <v>1807</v>
      </c>
      <c r="H66" s="4" t="s">
        <v>342</v>
      </c>
      <c r="I66" s="4" t="s">
        <v>954</v>
      </c>
      <c r="J66" s="4" t="s">
        <v>120</v>
      </c>
      <c r="K66" s="4" t="s">
        <v>127</v>
      </c>
      <c r="L66" s="2" t="s">
        <v>348</v>
      </c>
      <c r="M66" s="2" t="s">
        <v>367</v>
      </c>
      <c r="N66" s="4" t="s">
        <v>536</v>
      </c>
      <c r="O66" s="4" t="s">
        <v>163</v>
      </c>
      <c r="P66" s="4" t="s">
        <v>100</v>
      </c>
      <c r="Q66" s="153">
        <v>6000</v>
      </c>
      <c r="R66" s="153">
        <v>3.681</v>
      </c>
      <c r="S66" s="153">
        <v>180.38</v>
      </c>
      <c r="U66" s="153">
        <v>3983.873</v>
      </c>
      <c r="V66" s="167">
        <v>9.9999999999999995E-7</v>
      </c>
      <c r="W66" s="167">
        <v>1.01515603610526E-2</v>
      </c>
      <c r="X66" s="167">
        <v>1.66378901380416E-3</v>
      </c>
    </row>
    <row r="67" spans="1:24">
      <c r="A67" s="4" t="s">
        <v>26</v>
      </c>
      <c r="B67" s="4">
        <v>288</v>
      </c>
      <c r="C67" s="4" t="s">
        <v>1808</v>
      </c>
      <c r="D67" s="4" t="s">
        <v>1809</v>
      </c>
      <c r="E67" s="4" t="s">
        <v>335</v>
      </c>
      <c r="F67" s="4" t="s">
        <v>1810</v>
      </c>
      <c r="G67" s="4" t="s">
        <v>1811</v>
      </c>
      <c r="H67" s="4" t="s">
        <v>342</v>
      </c>
      <c r="I67" s="4" t="s">
        <v>954</v>
      </c>
      <c r="J67" s="4" t="s">
        <v>120</v>
      </c>
      <c r="K67" s="4" t="s">
        <v>127</v>
      </c>
      <c r="L67" s="2" t="s">
        <v>348</v>
      </c>
      <c r="M67" s="2" t="s">
        <v>367</v>
      </c>
      <c r="N67" s="4" t="s">
        <v>569</v>
      </c>
      <c r="O67" s="4" t="s">
        <v>163</v>
      </c>
      <c r="P67" s="4" t="s">
        <v>100</v>
      </c>
      <c r="Q67" s="153">
        <v>2280</v>
      </c>
      <c r="R67" s="153">
        <v>3.681</v>
      </c>
      <c r="S67" s="153">
        <v>97047</v>
      </c>
      <c r="U67" s="153">
        <v>8144.8440000000001</v>
      </c>
      <c r="V67" s="167">
        <v>6.0000000000000002E-6</v>
      </c>
      <c r="W67" s="167">
        <v>2.0754397481785598E-2</v>
      </c>
      <c r="X67" s="167">
        <v>3.401539988946E-3</v>
      </c>
    </row>
    <row r="68" spans="1:24">
      <c r="A68" s="4" t="s">
        <v>26</v>
      </c>
      <c r="B68" s="4">
        <v>288</v>
      </c>
      <c r="C68" s="4" t="s">
        <v>1812</v>
      </c>
      <c r="D68" s="4" t="s">
        <v>1813</v>
      </c>
      <c r="E68" s="4" t="s">
        <v>34</v>
      </c>
      <c r="F68" s="4" t="s">
        <v>1812</v>
      </c>
      <c r="G68" s="4" t="s">
        <v>1814</v>
      </c>
      <c r="H68" s="4" t="s">
        <v>342</v>
      </c>
      <c r="I68" s="4" t="s">
        <v>954</v>
      </c>
      <c r="J68" s="4" t="s">
        <v>120</v>
      </c>
      <c r="K68" s="4" t="s">
        <v>127</v>
      </c>
      <c r="L68" s="2" t="s">
        <v>348</v>
      </c>
      <c r="M68" s="2" t="s">
        <v>367</v>
      </c>
      <c r="N68" s="4" t="s">
        <v>536</v>
      </c>
      <c r="O68" s="4" t="s">
        <v>163</v>
      </c>
      <c r="P68" s="4" t="s">
        <v>100</v>
      </c>
      <c r="Q68" s="153">
        <v>1590.92</v>
      </c>
      <c r="R68" s="153">
        <v>3.681</v>
      </c>
      <c r="S68" s="153">
        <v>276</v>
      </c>
      <c r="U68" s="153">
        <v>16.163</v>
      </c>
      <c r="V68" s="167">
        <v>2.0000000000000002E-5</v>
      </c>
      <c r="W68" s="167">
        <v>4.1186092628998203E-5</v>
      </c>
      <c r="X68" s="167">
        <v>6.7501907096518802E-6</v>
      </c>
    </row>
    <row r="69" spans="1:24">
      <c r="A69" s="4" t="s">
        <v>26</v>
      </c>
      <c r="B69" s="4">
        <v>288</v>
      </c>
      <c r="C69" s="4" t="s">
        <v>1815</v>
      </c>
      <c r="D69" s="4" t="s">
        <v>1816</v>
      </c>
      <c r="E69" s="4" t="s">
        <v>335</v>
      </c>
      <c r="F69" s="4" t="s">
        <v>1817</v>
      </c>
      <c r="G69" s="4" t="s">
        <v>1818</v>
      </c>
      <c r="H69" s="4" t="s">
        <v>342</v>
      </c>
      <c r="I69" s="4" t="s">
        <v>954</v>
      </c>
      <c r="J69" s="4" t="s">
        <v>120</v>
      </c>
      <c r="K69" s="4" t="s">
        <v>127</v>
      </c>
      <c r="L69" s="2" t="s">
        <v>348</v>
      </c>
      <c r="M69" s="2" t="s">
        <v>367</v>
      </c>
      <c r="N69" s="4" t="s">
        <v>569</v>
      </c>
      <c r="O69" s="4" t="s">
        <v>163</v>
      </c>
      <c r="P69" s="4" t="s">
        <v>100</v>
      </c>
      <c r="Q69" s="153">
        <v>510</v>
      </c>
      <c r="R69" s="153">
        <v>3.681</v>
      </c>
      <c r="S69" s="153">
        <v>132541</v>
      </c>
      <c r="U69" s="153">
        <v>2488.2049999999999</v>
      </c>
      <c r="V69" s="167">
        <v>9.9999999999999995E-7</v>
      </c>
      <c r="W69" s="167">
        <v>6.34035518096316E-3</v>
      </c>
      <c r="X69" s="167">
        <v>1.0391519055705999E-3</v>
      </c>
    </row>
    <row r="70" spans="1:24">
      <c r="A70" s="4" t="s">
        <v>26</v>
      </c>
      <c r="B70" s="4">
        <v>288</v>
      </c>
      <c r="C70" s="4" t="s">
        <v>1792</v>
      </c>
      <c r="D70" s="4" t="s">
        <v>1793</v>
      </c>
      <c r="E70" s="4" t="s">
        <v>1347</v>
      </c>
      <c r="F70" s="4" t="s">
        <v>1819</v>
      </c>
      <c r="G70" s="4" t="s">
        <v>1795</v>
      </c>
      <c r="H70" s="4" t="s">
        <v>342</v>
      </c>
      <c r="I70" s="4" t="s">
        <v>954</v>
      </c>
      <c r="J70" s="4" t="s">
        <v>120</v>
      </c>
      <c r="K70" s="4" t="s">
        <v>319</v>
      </c>
      <c r="L70" s="2" t="s">
        <v>348</v>
      </c>
      <c r="M70" s="2" t="s">
        <v>367</v>
      </c>
      <c r="N70" s="4" t="s">
        <v>569</v>
      </c>
      <c r="O70" s="4" t="s">
        <v>163</v>
      </c>
      <c r="P70" s="4" t="s">
        <v>100</v>
      </c>
      <c r="Q70" s="153">
        <v>22935</v>
      </c>
      <c r="R70" s="153">
        <v>3.681</v>
      </c>
      <c r="S70" s="153">
        <v>8377</v>
      </c>
      <c r="U70" s="153">
        <v>7072.1760000000004</v>
      </c>
      <c r="V70" s="167">
        <v>5.2999999999999998E-4</v>
      </c>
      <c r="W70" s="167">
        <v>1.8021063966348599E-2</v>
      </c>
      <c r="X70" s="167">
        <v>2.9535605540313E-3</v>
      </c>
    </row>
    <row r="71" spans="1:24">
      <c r="A71" s="4" t="s">
        <v>26</v>
      </c>
      <c r="B71" s="4">
        <v>288</v>
      </c>
      <c r="C71" s="4" t="s">
        <v>1820</v>
      </c>
      <c r="D71" s="4" t="s">
        <v>1821</v>
      </c>
      <c r="E71" s="4" t="s">
        <v>335</v>
      </c>
      <c r="F71" s="4" t="s">
        <v>1820</v>
      </c>
      <c r="G71" s="4" t="s">
        <v>1822</v>
      </c>
      <c r="H71" s="4" t="s">
        <v>342</v>
      </c>
      <c r="I71" s="4" t="s">
        <v>954</v>
      </c>
      <c r="J71" s="4" t="s">
        <v>120</v>
      </c>
      <c r="K71" s="4" t="s">
        <v>319</v>
      </c>
      <c r="L71" s="2" t="s">
        <v>348</v>
      </c>
      <c r="M71" s="2" t="s">
        <v>367</v>
      </c>
      <c r="N71" s="4" t="s">
        <v>1823</v>
      </c>
      <c r="O71" s="4" t="s">
        <v>163</v>
      </c>
      <c r="P71" s="4" t="s">
        <v>100</v>
      </c>
      <c r="Q71" s="153">
        <v>1350</v>
      </c>
      <c r="R71" s="153">
        <v>3.681</v>
      </c>
      <c r="S71" s="153">
        <v>73263</v>
      </c>
      <c r="U71" s="153">
        <v>3640.6950000000002</v>
      </c>
      <c r="V71" s="167">
        <v>3.0000000000000001E-6</v>
      </c>
      <c r="W71" s="167">
        <v>9.2770871224445509E-3</v>
      </c>
      <c r="X71" s="167">
        <v>1.52046730605528E-3</v>
      </c>
    </row>
    <row r="72" spans="1:24">
      <c r="A72" s="4" t="s">
        <v>26</v>
      </c>
      <c r="B72" s="4">
        <v>288</v>
      </c>
      <c r="C72" s="4" t="s">
        <v>1824</v>
      </c>
      <c r="D72" s="4" t="s">
        <v>1825</v>
      </c>
      <c r="E72" s="4" t="s">
        <v>335</v>
      </c>
      <c r="F72" s="4" t="s">
        <v>1826</v>
      </c>
      <c r="G72" s="4" t="s">
        <v>1827</v>
      </c>
      <c r="H72" s="4" t="s">
        <v>342</v>
      </c>
      <c r="I72" s="4" t="s">
        <v>954</v>
      </c>
      <c r="J72" s="4" t="s">
        <v>120</v>
      </c>
      <c r="K72" s="4" t="s">
        <v>127</v>
      </c>
      <c r="L72" s="2" t="s">
        <v>348</v>
      </c>
      <c r="M72" s="2" t="s">
        <v>367</v>
      </c>
      <c r="N72" s="4" t="s">
        <v>570</v>
      </c>
      <c r="O72" s="4" t="s">
        <v>163</v>
      </c>
      <c r="P72" s="4" t="s">
        <v>100</v>
      </c>
      <c r="Q72" s="153">
        <v>8300</v>
      </c>
      <c r="R72" s="153">
        <v>3.681</v>
      </c>
      <c r="S72" s="153">
        <v>150.93</v>
      </c>
      <c r="U72" s="153">
        <v>4611.259</v>
      </c>
      <c r="V72" s="167">
        <v>2.8E-5</v>
      </c>
      <c r="W72" s="167">
        <v>1.17502425841164E-2</v>
      </c>
      <c r="X72" s="167">
        <v>1.92580488374888E-3</v>
      </c>
    </row>
    <row r="73" spans="1:24">
      <c r="A73" s="4" t="s">
        <v>26</v>
      </c>
      <c r="B73" s="4">
        <v>288</v>
      </c>
      <c r="C73" s="4" t="s">
        <v>1824</v>
      </c>
      <c r="D73" s="4" t="s">
        <v>1825</v>
      </c>
      <c r="E73" s="4" t="s">
        <v>335</v>
      </c>
      <c r="F73" s="4" t="s">
        <v>1828</v>
      </c>
      <c r="G73" s="4" t="s">
        <v>1829</v>
      </c>
      <c r="H73" s="4" t="s">
        <v>342</v>
      </c>
      <c r="I73" s="4" t="s">
        <v>954</v>
      </c>
      <c r="J73" s="4" t="s">
        <v>120</v>
      </c>
      <c r="K73" s="4" t="s">
        <v>127</v>
      </c>
      <c r="L73" s="2" t="s">
        <v>348</v>
      </c>
      <c r="M73" s="2" t="s">
        <v>367</v>
      </c>
      <c r="N73" s="4" t="s">
        <v>570</v>
      </c>
      <c r="O73" s="4" t="s">
        <v>163</v>
      </c>
      <c r="P73" s="4" t="s">
        <v>100</v>
      </c>
      <c r="Q73" s="153">
        <v>21027</v>
      </c>
      <c r="R73" s="153">
        <v>3.681</v>
      </c>
      <c r="S73" s="153">
        <v>15226</v>
      </c>
      <c r="U73" s="153">
        <v>11784.983</v>
      </c>
      <c r="V73" s="167">
        <v>3.9999999999999998E-6</v>
      </c>
      <c r="W73" s="167">
        <v>3.0030067505383898E-2</v>
      </c>
      <c r="X73" s="167">
        <v>4.9217750397215002E-3</v>
      </c>
    </row>
    <row r="74" spans="1:24">
      <c r="A74" s="4" t="s">
        <v>26</v>
      </c>
      <c r="B74" s="4">
        <v>288</v>
      </c>
      <c r="C74" s="4" t="s">
        <v>1830</v>
      </c>
      <c r="D74" s="4" t="s">
        <v>1831</v>
      </c>
      <c r="E74" s="4" t="s">
        <v>335</v>
      </c>
      <c r="F74" s="4" t="s">
        <v>1832</v>
      </c>
      <c r="G74" s="4" t="s">
        <v>1833</v>
      </c>
      <c r="H74" s="4" t="s">
        <v>342</v>
      </c>
      <c r="I74" s="4" t="s">
        <v>954</v>
      </c>
      <c r="J74" s="4" t="s">
        <v>120</v>
      </c>
      <c r="K74" s="4" t="s">
        <v>291</v>
      </c>
      <c r="L74" s="2" t="s">
        <v>348</v>
      </c>
      <c r="M74" s="2" t="s">
        <v>391</v>
      </c>
      <c r="N74" s="4" t="s">
        <v>536</v>
      </c>
      <c r="O74" s="4" t="s">
        <v>163</v>
      </c>
      <c r="P74" s="4" t="s">
        <v>1206</v>
      </c>
      <c r="Q74" s="153">
        <v>334</v>
      </c>
      <c r="R74" s="153">
        <v>0.47</v>
      </c>
      <c r="S74" s="153">
        <v>107.9</v>
      </c>
      <c r="U74" s="153">
        <v>16.952999999999999</v>
      </c>
      <c r="V74" s="167">
        <v>0</v>
      </c>
      <c r="W74" s="167">
        <v>4.3197894096949899E-5</v>
      </c>
      <c r="X74" s="167">
        <v>7.0799147186992901E-6</v>
      </c>
    </row>
    <row r="75" spans="1:24">
      <c r="A75" s="4" t="s">
        <v>26</v>
      </c>
      <c r="B75" s="4">
        <v>288</v>
      </c>
      <c r="C75" s="4" t="s">
        <v>1834</v>
      </c>
      <c r="D75" s="4" t="s">
        <v>1835</v>
      </c>
      <c r="E75" s="4" t="s">
        <v>335</v>
      </c>
      <c r="F75" s="4" t="s">
        <v>1836</v>
      </c>
      <c r="G75" s="4" t="s">
        <v>1837</v>
      </c>
      <c r="H75" s="4" t="s">
        <v>342</v>
      </c>
      <c r="I75" s="4" t="s">
        <v>954</v>
      </c>
      <c r="J75" s="4" t="s">
        <v>120</v>
      </c>
      <c r="K75" s="4" t="s">
        <v>127</v>
      </c>
      <c r="L75" s="2" t="s">
        <v>348</v>
      </c>
      <c r="M75" s="2" t="s">
        <v>365</v>
      </c>
      <c r="N75" s="4" t="s">
        <v>1838</v>
      </c>
      <c r="O75" s="4" t="s">
        <v>163</v>
      </c>
      <c r="P75" s="4" t="s">
        <v>100</v>
      </c>
      <c r="Q75" s="153">
        <v>2130</v>
      </c>
      <c r="R75" s="153">
        <v>3.681</v>
      </c>
      <c r="S75" s="153">
        <v>481.57</v>
      </c>
      <c r="U75" s="153">
        <v>3775.7640000000001</v>
      </c>
      <c r="V75" s="167">
        <v>3.0000000000000001E-6</v>
      </c>
      <c r="W75" s="167">
        <v>9.6212654268244893E-3</v>
      </c>
      <c r="X75" s="167">
        <v>1.57687637631152E-3</v>
      </c>
    </row>
    <row r="76" spans="1:24">
      <c r="A76" s="4" t="s">
        <v>26</v>
      </c>
      <c r="B76" s="4">
        <v>288</v>
      </c>
      <c r="C76" s="4" t="s">
        <v>1839</v>
      </c>
      <c r="D76" s="4" t="s">
        <v>1840</v>
      </c>
      <c r="E76" s="4" t="s">
        <v>335</v>
      </c>
      <c r="F76" s="4" t="s">
        <v>1841</v>
      </c>
      <c r="G76" s="4" t="s">
        <v>1842</v>
      </c>
      <c r="H76" s="4" t="s">
        <v>342</v>
      </c>
      <c r="I76" s="4" t="s">
        <v>954</v>
      </c>
      <c r="J76" s="4" t="s">
        <v>120</v>
      </c>
      <c r="K76" s="4" t="s">
        <v>127</v>
      </c>
      <c r="L76" s="2" t="s">
        <v>348</v>
      </c>
      <c r="M76" s="2" t="s">
        <v>367</v>
      </c>
      <c r="N76" s="4" t="s">
        <v>565</v>
      </c>
      <c r="O76" s="4" t="s">
        <v>163</v>
      </c>
      <c r="P76" s="4" t="s">
        <v>100</v>
      </c>
      <c r="Q76" s="153">
        <v>7514</v>
      </c>
      <c r="R76" s="153">
        <v>3.681</v>
      </c>
      <c r="S76" s="153">
        <v>420.72</v>
      </c>
      <c r="U76" s="153">
        <v>11636.709000000001</v>
      </c>
      <c r="V76" s="167">
        <v>9.9999999999999995E-7</v>
      </c>
      <c r="W76" s="167">
        <v>2.9652240701035702E-2</v>
      </c>
      <c r="X76" s="167">
        <v>4.8598511517833403E-3</v>
      </c>
    </row>
    <row r="77" spans="1:24">
      <c r="A77" s="4" t="s">
        <v>26</v>
      </c>
      <c r="B77" s="4">
        <v>288</v>
      </c>
      <c r="C77" s="4" t="s">
        <v>1843</v>
      </c>
      <c r="D77" s="4" t="s">
        <v>1844</v>
      </c>
      <c r="E77" s="4" t="s">
        <v>335</v>
      </c>
      <c r="F77" s="4" t="s">
        <v>1845</v>
      </c>
      <c r="G77" s="4" t="s">
        <v>1846</v>
      </c>
      <c r="H77" s="4" t="s">
        <v>342</v>
      </c>
      <c r="I77" s="4" t="s">
        <v>954</v>
      </c>
      <c r="J77" s="4" t="s">
        <v>120</v>
      </c>
      <c r="K77" s="4" t="s">
        <v>31</v>
      </c>
      <c r="L77" s="2" t="s">
        <v>348</v>
      </c>
      <c r="M77" s="2" t="s">
        <v>367</v>
      </c>
      <c r="N77" s="4" t="s">
        <v>571</v>
      </c>
      <c r="O77" s="4" t="s">
        <v>163</v>
      </c>
      <c r="P77" s="4" t="s">
        <v>100</v>
      </c>
      <c r="Q77" s="153">
        <v>1810</v>
      </c>
      <c r="R77" s="153">
        <v>3.681</v>
      </c>
      <c r="S77" s="153">
        <v>26062</v>
      </c>
      <c r="U77" s="153">
        <v>1736.4090000000001</v>
      </c>
      <c r="V77" s="167">
        <v>3.0000000000000001E-5</v>
      </c>
      <c r="W77" s="167">
        <v>4.42465571473976E-3</v>
      </c>
      <c r="X77" s="167">
        <v>7.2517852489885196E-4</v>
      </c>
    </row>
    <row r="78" spans="1:24">
      <c r="A78" s="4" t="s">
        <v>26</v>
      </c>
      <c r="B78" s="4">
        <v>288</v>
      </c>
      <c r="C78" s="4" t="s">
        <v>1847</v>
      </c>
      <c r="D78" s="4" t="s">
        <v>1848</v>
      </c>
      <c r="E78" s="4" t="s">
        <v>335</v>
      </c>
      <c r="F78" s="4" t="s">
        <v>1849</v>
      </c>
      <c r="G78" s="4" t="s">
        <v>1850</v>
      </c>
      <c r="H78" s="4" t="s">
        <v>342</v>
      </c>
      <c r="I78" s="4" t="s">
        <v>954</v>
      </c>
      <c r="J78" s="4" t="s">
        <v>120</v>
      </c>
      <c r="K78" s="4" t="s">
        <v>305</v>
      </c>
      <c r="L78" s="2" t="s">
        <v>348</v>
      </c>
      <c r="M78" s="2" t="s">
        <v>365</v>
      </c>
      <c r="N78" s="4" t="s">
        <v>510</v>
      </c>
      <c r="O78" s="4" t="s">
        <v>163</v>
      </c>
      <c r="P78" s="4" t="s">
        <v>100</v>
      </c>
      <c r="Q78" s="153">
        <v>5080</v>
      </c>
      <c r="R78" s="153">
        <v>3.681</v>
      </c>
      <c r="S78" s="153">
        <v>54.31</v>
      </c>
      <c r="T78" s="152">
        <v>2.0950000000000002</v>
      </c>
      <c r="U78" s="153">
        <v>1023.28</v>
      </c>
      <c r="V78" s="167">
        <v>1.0000000000000001E-5</v>
      </c>
      <c r="W78" s="167">
        <v>2.6074848503742898E-3</v>
      </c>
      <c r="X78" s="167">
        <v>4.2735347999878199E-4</v>
      </c>
    </row>
    <row r="79" spans="1:24">
      <c r="A79" s="4" t="s">
        <v>26</v>
      </c>
      <c r="B79" s="4">
        <v>288</v>
      </c>
      <c r="C79" s="4" t="s">
        <v>1851</v>
      </c>
      <c r="D79" s="4" t="s">
        <v>1852</v>
      </c>
      <c r="E79" s="4" t="s">
        <v>335</v>
      </c>
      <c r="F79" s="4" t="s">
        <v>1853</v>
      </c>
      <c r="G79" s="4" t="s">
        <v>1854</v>
      </c>
      <c r="H79" s="4" t="s">
        <v>342</v>
      </c>
      <c r="I79" s="4" t="s">
        <v>954</v>
      </c>
      <c r="J79" s="4" t="s">
        <v>120</v>
      </c>
      <c r="K79" s="4" t="s">
        <v>127</v>
      </c>
      <c r="L79" s="2" t="s">
        <v>348</v>
      </c>
      <c r="M79" s="2" t="s">
        <v>367</v>
      </c>
      <c r="N79" s="4" t="s">
        <v>569</v>
      </c>
      <c r="O79" s="4" t="s">
        <v>163</v>
      </c>
      <c r="P79" s="4" t="s">
        <v>100</v>
      </c>
      <c r="Q79" s="153">
        <v>3124</v>
      </c>
      <c r="R79" s="153">
        <v>3.681</v>
      </c>
      <c r="S79" s="153">
        <v>90356</v>
      </c>
      <c r="U79" s="153">
        <v>10390.438</v>
      </c>
      <c r="V79" s="167">
        <v>9.9999999999999995E-7</v>
      </c>
      <c r="W79" s="167">
        <v>2.6476537569388201E-2</v>
      </c>
      <c r="X79" s="167">
        <v>4.33936959095748E-3</v>
      </c>
    </row>
    <row r="80" spans="1:24">
      <c r="A80" s="4" t="s">
        <v>26</v>
      </c>
      <c r="B80" s="4">
        <v>288</v>
      </c>
      <c r="C80" s="4" t="s">
        <v>1724</v>
      </c>
      <c r="D80" s="4" t="s">
        <v>1725</v>
      </c>
      <c r="E80" s="4" t="s">
        <v>335</v>
      </c>
      <c r="F80" s="4" t="s">
        <v>1855</v>
      </c>
      <c r="G80" s="4" t="s">
        <v>1727</v>
      </c>
      <c r="H80" s="4" t="s">
        <v>342</v>
      </c>
      <c r="I80" s="4" t="s">
        <v>954</v>
      </c>
      <c r="J80" s="4" t="s">
        <v>120</v>
      </c>
      <c r="K80" s="4" t="s">
        <v>127</v>
      </c>
      <c r="L80" s="2" t="s">
        <v>348</v>
      </c>
      <c r="M80" s="2" t="s">
        <v>365</v>
      </c>
      <c r="N80" s="4" t="s">
        <v>578</v>
      </c>
      <c r="O80" s="4" t="s">
        <v>163</v>
      </c>
      <c r="P80" s="4" t="s">
        <v>100</v>
      </c>
      <c r="Q80" s="153">
        <v>24534</v>
      </c>
      <c r="R80" s="153">
        <v>3.681</v>
      </c>
      <c r="S80" s="153">
        <v>66.19</v>
      </c>
      <c r="U80" s="153">
        <v>5977.5959999999995</v>
      </c>
      <c r="V80" s="167">
        <v>4.7600000000000002E-4</v>
      </c>
      <c r="W80" s="167">
        <v>1.5231894054988499E-2</v>
      </c>
      <c r="X80" s="167">
        <v>2.4964298183506998E-3</v>
      </c>
    </row>
    <row r="81" spans="1:24">
      <c r="A81" s="4" t="s">
        <v>26</v>
      </c>
      <c r="B81" s="4">
        <v>288</v>
      </c>
      <c r="C81" s="4" t="s">
        <v>1856</v>
      </c>
      <c r="D81" s="4" t="s">
        <v>1857</v>
      </c>
      <c r="E81" s="4" t="s">
        <v>335</v>
      </c>
      <c r="F81" s="4" t="s">
        <v>1858</v>
      </c>
      <c r="G81" s="4" t="s">
        <v>1859</v>
      </c>
      <c r="H81" s="4" t="s">
        <v>342</v>
      </c>
      <c r="I81" s="4" t="s">
        <v>954</v>
      </c>
      <c r="J81" s="4" t="s">
        <v>120</v>
      </c>
      <c r="K81" s="4" t="s">
        <v>127</v>
      </c>
      <c r="L81" s="2" t="s">
        <v>348</v>
      </c>
      <c r="M81" s="2" t="s">
        <v>367</v>
      </c>
      <c r="N81" s="4" t="s">
        <v>1838</v>
      </c>
      <c r="O81" s="4" t="s">
        <v>163</v>
      </c>
      <c r="P81" s="4" t="s">
        <v>100</v>
      </c>
      <c r="Q81" s="153">
        <v>3250</v>
      </c>
      <c r="R81" s="153">
        <v>3.681</v>
      </c>
      <c r="S81" s="153">
        <v>66.989999999999995</v>
      </c>
      <c r="U81" s="153">
        <v>801.41800000000001</v>
      </c>
      <c r="V81" s="167">
        <v>3.0000000000000001E-6</v>
      </c>
      <c r="W81" s="167">
        <v>2.04214467874069E-3</v>
      </c>
      <c r="X81" s="167">
        <v>3.34697106675636E-4</v>
      </c>
    </row>
    <row r="82" spans="1:24">
      <c r="A82" s="4" t="s">
        <v>26</v>
      </c>
      <c r="B82" s="4">
        <v>288</v>
      </c>
      <c r="C82" s="4" t="s">
        <v>1860</v>
      </c>
      <c r="D82" s="4" t="s">
        <v>1861</v>
      </c>
      <c r="E82" s="4" t="s">
        <v>335</v>
      </c>
      <c r="F82" s="4" t="s">
        <v>1862</v>
      </c>
      <c r="G82" s="4" t="s">
        <v>1863</v>
      </c>
      <c r="H82" s="4" t="s">
        <v>342</v>
      </c>
      <c r="I82" s="4" t="s">
        <v>954</v>
      </c>
      <c r="J82" s="4" t="s">
        <v>120</v>
      </c>
      <c r="K82" s="4" t="s">
        <v>127</v>
      </c>
      <c r="L82" s="2" t="s">
        <v>348</v>
      </c>
      <c r="M82" s="2" t="s">
        <v>401</v>
      </c>
      <c r="N82" s="4" t="s">
        <v>567</v>
      </c>
      <c r="O82" s="4" t="s">
        <v>163</v>
      </c>
      <c r="P82" s="4" t="s">
        <v>100</v>
      </c>
      <c r="Q82" s="153">
        <v>310</v>
      </c>
      <c r="R82" s="153">
        <v>3.681</v>
      </c>
      <c r="S82" s="153">
        <v>148700</v>
      </c>
      <c r="U82" s="153">
        <v>1696.8309999999999</v>
      </c>
      <c r="V82" s="167">
        <v>9.9999999999999995E-7</v>
      </c>
      <c r="W82" s="167">
        <v>4.3238023243841097E-3</v>
      </c>
      <c r="X82" s="167">
        <v>7.0864916813883998E-4</v>
      </c>
    </row>
    <row r="83" spans="1:24">
      <c r="A83" s="4" t="s">
        <v>26</v>
      </c>
      <c r="B83" s="4">
        <v>288</v>
      </c>
      <c r="C83" s="4" t="s">
        <v>1352</v>
      </c>
      <c r="D83" s="4" t="s">
        <v>1353</v>
      </c>
      <c r="E83" s="4" t="s">
        <v>335</v>
      </c>
      <c r="F83" s="4" t="s">
        <v>1864</v>
      </c>
      <c r="G83" s="4" t="s">
        <v>1865</v>
      </c>
      <c r="H83" s="4" t="s">
        <v>342</v>
      </c>
      <c r="I83" s="4" t="s">
        <v>954</v>
      </c>
      <c r="J83" s="4" t="s">
        <v>120</v>
      </c>
      <c r="K83" s="4" t="s">
        <v>31</v>
      </c>
      <c r="L83" s="2" t="s">
        <v>348</v>
      </c>
      <c r="M83" s="2" t="s">
        <v>367</v>
      </c>
      <c r="N83" s="4" t="s">
        <v>567</v>
      </c>
      <c r="O83" s="4" t="s">
        <v>163</v>
      </c>
      <c r="P83" s="4" t="s">
        <v>100</v>
      </c>
      <c r="Q83" s="153">
        <v>15184</v>
      </c>
      <c r="R83" s="153">
        <v>3.681</v>
      </c>
      <c r="S83" s="153">
        <v>750</v>
      </c>
      <c r="U83" s="153">
        <v>419.19200000000001</v>
      </c>
      <c r="V83" s="167">
        <v>2.52E-4</v>
      </c>
      <c r="W83" s="167">
        <v>1.06817061566016E-3</v>
      </c>
      <c r="X83" s="167">
        <v>1.7506772082272399E-4</v>
      </c>
    </row>
    <row r="84" spans="1:24">
      <c r="A84" s="4" t="s">
        <v>26</v>
      </c>
      <c r="B84" s="4">
        <v>288</v>
      </c>
      <c r="C84" s="4" t="s">
        <v>1866</v>
      </c>
      <c r="D84" s="4" t="s">
        <v>1867</v>
      </c>
      <c r="E84" s="4" t="s">
        <v>335</v>
      </c>
      <c r="F84" s="4" t="s">
        <v>1866</v>
      </c>
      <c r="G84" s="4" t="s">
        <v>1868</v>
      </c>
      <c r="H84" s="4" t="s">
        <v>342</v>
      </c>
      <c r="I84" s="4" t="s">
        <v>954</v>
      </c>
      <c r="J84" s="4" t="s">
        <v>120</v>
      </c>
      <c r="K84" s="4" t="s">
        <v>127</v>
      </c>
      <c r="L84" s="2" t="s">
        <v>348</v>
      </c>
      <c r="M84" s="2" t="s">
        <v>367</v>
      </c>
      <c r="N84" s="4" t="s">
        <v>533</v>
      </c>
      <c r="O84" s="4" t="s">
        <v>163</v>
      </c>
      <c r="P84" s="4" t="s">
        <v>100</v>
      </c>
      <c r="Q84" s="153">
        <v>3500</v>
      </c>
      <c r="R84" s="153">
        <v>3.681</v>
      </c>
      <c r="S84" s="153">
        <v>17579</v>
      </c>
      <c r="U84" s="153">
        <v>2264.79</v>
      </c>
      <c r="V84" s="167">
        <v>9.9999999999999995E-7</v>
      </c>
      <c r="W84" s="167">
        <v>5.7710571991934096E-3</v>
      </c>
      <c r="X84" s="167">
        <v>9.4584686733397696E-4</v>
      </c>
    </row>
    <row r="85" spans="1:24">
      <c r="A85" s="4" t="s">
        <v>26</v>
      </c>
      <c r="B85" s="4">
        <v>288</v>
      </c>
      <c r="C85" s="4" t="s">
        <v>1869</v>
      </c>
      <c r="D85" s="4" t="s">
        <v>1870</v>
      </c>
      <c r="E85" s="4" t="s">
        <v>335</v>
      </c>
      <c r="F85" s="4" t="s">
        <v>1871</v>
      </c>
      <c r="G85" s="4" t="s">
        <v>1872</v>
      </c>
      <c r="H85" s="4" t="s">
        <v>342</v>
      </c>
      <c r="I85" s="4" t="s">
        <v>954</v>
      </c>
      <c r="J85" s="4" t="s">
        <v>120</v>
      </c>
      <c r="K85" s="4" t="s">
        <v>127</v>
      </c>
      <c r="L85" s="2" t="s">
        <v>348</v>
      </c>
      <c r="M85" s="2" t="s">
        <v>365</v>
      </c>
      <c r="N85" s="4" t="s">
        <v>1838</v>
      </c>
      <c r="O85" s="4" t="s">
        <v>163</v>
      </c>
      <c r="P85" s="4" t="s">
        <v>100</v>
      </c>
      <c r="Q85" s="153">
        <v>5612</v>
      </c>
      <c r="R85" s="153">
        <v>3.681</v>
      </c>
      <c r="S85" s="153">
        <v>27908</v>
      </c>
      <c r="U85" s="153">
        <v>5765.1710000000003</v>
      </c>
      <c r="V85" s="167">
        <v>3.9999999999999998E-6</v>
      </c>
      <c r="W85" s="167">
        <v>1.4690600377663E-2</v>
      </c>
      <c r="X85" s="167">
        <v>2.4077145429107802E-3</v>
      </c>
    </row>
    <row r="86" spans="1:24">
      <c r="A86" s="4" t="s">
        <v>26</v>
      </c>
      <c r="B86" s="4">
        <v>288</v>
      </c>
      <c r="C86" s="4" t="s">
        <v>1873</v>
      </c>
      <c r="D86" s="4" t="s">
        <v>1874</v>
      </c>
      <c r="E86" s="4" t="s">
        <v>335</v>
      </c>
      <c r="F86" s="4" t="s">
        <v>1875</v>
      </c>
      <c r="G86" s="4" t="s">
        <v>1876</v>
      </c>
      <c r="H86" s="4" t="s">
        <v>342</v>
      </c>
      <c r="I86" s="4" t="s">
        <v>954</v>
      </c>
      <c r="J86" s="4" t="s">
        <v>120</v>
      </c>
      <c r="K86" s="4" t="s">
        <v>127</v>
      </c>
      <c r="L86" s="2" t="s">
        <v>348</v>
      </c>
      <c r="M86" s="2" t="s">
        <v>365</v>
      </c>
      <c r="N86" s="4" t="s">
        <v>1823</v>
      </c>
      <c r="O86" s="4" t="s">
        <v>163</v>
      </c>
      <c r="P86" s="4" t="s">
        <v>100</v>
      </c>
      <c r="Q86" s="153">
        <v>9000</v>
      </c>
      <c r="R86" s="153">
        <v>3.681</v>
      </c>
      <c r="S86" s="153">
        <v>6017</v>
      </c>
      <c r="T86" s="152">
        <v>1.867</v>
      </c>
      <c r="U86" s="153">
        <v>2000.2460000000001</v>
      </c>
      <c r="V86" s="167">
        <v>1.9999999999999999E-6</v>
      </c>
      <c r="W86" s="167">
        <v>5.0969550590374904E-3</v>
      </c>
      <c r="X86" s="167">
        <v>8.3536496158909601E-4</v>
      </c>
    </row>
    <row r="87" spans="1:24">
      <c r="A87" s="4" t="s">
        <v>26</v>
      </c>
      <c r="B87" s="4">
        <v>288</v>
      </c>
      <c r="C87" s="4" t="s">
        <v>1877</v>
      </c>
      <c r="D87" s="4" t="s">
        <v>1878</v>
      </c>
      <c r="E87" s="4" t="s">
        <v>335</v>
      </c>
      <c r="F87" s="4" t="s">
        <v>1879</v>
      </c>
      <c r="G87" s="4" t="s">
        <v>1880</v>
      </c>
      <c r="H87" s="4" t="s">
        <v>342</v>
      </c>
      <c r="I87" s="4" t="s">
        <v>954</v>
      </c>
      <c r="J87" s="4" t="s">
        <v>120</v>
      </c>
      <c r="K87" s="4" t="s">
        <v>127</v>
      </c>
      <c r="L87" s="2" t="s">
        <v>348</v>
      </c>
      <c r="M87" s="2" t="s">
        <v>367</v>
      </c>
      <c r="N87" s="4" t="s">
        <v>565</v>
      </c>
      <c r="O87" s="4" t="s">
        <v>163</v>
      </c>
      <c r="P87" s="4" t="s">
        <v>100</v>
      </c>
      <c r="Q87" s="153">
        <v>876</v>
      </c>
      <c r="R87" s="153">
        <v>3.681</v>
      </c>
      <c r="S87" s="153">
        <v>50460</v>
      </c>
      <c r="U87" s="153">
        <v>1627.1110000000001</v>
      </c>
      <c r="V87" s="167">
        <v>1.9999999999999999E-6</v>
      </c>
      <c r="W87" s="167">
        <v>4.1461453281701104E-3</v>
      </c>
      <c r="X87" s="167">
        <v>6.7953209174728202E-4</v>
      </c>
    </row>
    <row r="88" spans="1:24">
      <c r="A88" s="4" t="s">
        <v>26</v>
      </c>
      <c r="B88" s="4">
        <v>288</v>
      </c>
      <c r="C88" s="4" t="s">
        <v>1804</v>
      </c>
      <c r="D88" s="4" t="s">
        <v>1805</v>
      </c>
      <c r="E88" s="4" t="s">
        <v>335</v>
      </c>
      <c r="F88" s="4" t="s">
        <v>1806</v>
      </c>
      <c r="G88" s="4" t="s">
        <v>1807</v>
      </c>
      <c r="H88" s="4" t="s">
        <v>342</v>
      </c>
      <c r="I88" s="4" t="s">
        <v>954</v>
      </c>
      <c r="J88" s="4" t="s">
        <v>120</v>
      </c>
      <c r="K88" s="4" t="s">
        <v>127</v>
      </c>
      <c r="L88" s="2" t="s">
        <v>348</v>
      </c>
      <c r="M88" s="2" t="s">
        <v>367</v>
      </c>
      <c r="N88" s="4" t="s">
        <v>536</v>
      </c>
      <c r="O88" s="4" t="s">
        <v>163</v>
      </c>
      <c r="P88" s="4" t="s">
        <v>100</v>
      </c>
      <c r="Q88" s="153">
        <v>5166</v>
      </c>
      <c r="R88" s="153">
        <v>3.681</v>
      </c>
      <c r="S88" s="153">
        <v>180.38</v>
      </c>
      <c r="U88" s="153">
        <v>3430.114</v>
      </c>
      <c r="V88" s="167">
        <v>9.9999999999999995E-7</v>
      </c>
      <c r="W88" s="167">
        <v>8.7404934708663201E-3</v>
      </c>
      <c r="X88" s="167">
        <v>1.4325223408853799E-3</v>
      </c>
    </row>
    <row r="89" spans="1:24">
      <c r="A89" s="4" t="s">
        <v>26</v>
      </c>
      <c r="B89" s="4">
        <v>288</v>
      </c>
      <c r="C89" s="4" t="s">
        <v>1881</v>
      </c>
      <c r="D89" s="4" t="s">
        <v>1882</v>
      </c>
      <c r="E89" s="4" t="s">
        <v>335</v>
      </c>
      <c r="F89" s="4" t="s">
        <v>1883</v>
      </c>
      <c r="G89" s="4" t="s">
        <v>1884</v>
      </c>
      <c r="H89" s="4" t="s">
        <v>342</v>
      </c>
      <c r="I89" s="4" t="s">
        <v>954</v>
      </c>
      <c r="J89" s="4" t="s">
        <v>120</v>
      </c>
      <c r="K89" s="4" t="s">
        <v>127</v>
      </c>
      <c r="L89" s="2" t="s">
        <v>348</v>
      </c>
      <c r="M89" s="2" t="s">
        <v>367</v>
      </c>
      <c r="N89" s="4" t="s">
        <v>567</v>
      </c>
      <c r="O89" s="4" t="s">
        <v>163</v>
      </c>
      <c r="P89" s="4" t="s">
        <v>100</v>
      </c>
      <c r="Q89" s="153">
        <v>6696</v>
      </c>
      <c r="R89" s="153">
        <v>3.681</v>
      </c>
      <c r="S89" s="153">
        <v>171.48</v>
      </c>
      <c r="U89" s="153">
        <v>4226.6350000000002</v>
      </c>
      <c r="V89" s="167">
        <v>0</v>
      </c>
      <c r="W89" s="167">
        <v>1.07701583374878E-2</v>
      </c>
      <c r="X89" s="167">
        <v>1.7651740699481399E-3</v>
      </c>
    </row>
    <row r="90" spans="1:24">
      <c r="A90" s="4" t="s">
        <v>26</v>
      </c>
      <c r="B90" s="4">
        <v>288</v>
      </c>
      <c r="C90" s="4" t="s">
        <v>1808</v>
      </c>
      <c r="D90" s="4" t="s">
        <v>1809</v>
      </c>
      <c r="E90" s="4" t="s">
        <v>335</v>
      </c>
      <c r="F90" s="4" t="s">
        <v>1810</v>
      </c>
      <c r="G90" s="4" t="s">
        <v>1811</v>
      </c>
      <c r="H90" s="4" t="s">
        <v>342</v>
      </c>
      <c r="I90" s="4" t="s">
        <v>954</v>
      </c>
      <c r="J90" s="4" t="s">
        <v>120</v>
      </c>
      <c r="K90" s="4" t="s">
        <v>127</v>
      </c>
      <c r="L90" s="2" t="s">
        <v>348</v>
      </c>
      <c r="M90" s="2" t="s">
        <v>367</v>
      </c>
      <c r="N90" s="4" t="s">
        <v>569</v>
      </c>
      <c r="O90" s="4" t="s">
        <v>163</v>
      </c>
      <c r="P90" s="4" t="s">
        <v>100</v>
      </c>
      <c r="Q90" s="153">
        <v>467</v>
      </c>
      <c r="R90" s="153">
        <v>3.681</v>
      </c>
      <c r="S90" s="153">
        <v>97047</v>
      </c>
      <c r="U90" s="153">
        <v>1668.2639999999999</v>
      </c>
      <c r="V90" s="167">
        <v>9.9999999999999995E-7</v>
      </c>
      <c r="W90" s="167">
        <v>4.2510103614008202E-3</v>
      </c>
      <c r="X90" s="167">
        <v>6.9671893633235999E-4</v>
      </c>
    </row>
    <row r="91" spans="1:24">
      <c r="A91" s="4" t="s">
        <v>26</v>
      </c>
      <c r="B91" s="4">
        <v>288</v>
      </c>
      <c r="C91" s="4" t="s">
        <v>1885</v>
      </c>
      <c r="D91" s="4" t="s">
        <v>1886</v>
      </c>
      <c r="E91" s="4" t="s">
        <v>335</v>
      </c>
      <c r="F91" s="4" t="s">
        <v>1887</v>
      </c>
      <c r="G91" s="4" t="s">
        <v>1888</v>
      </c>
      <c r="H91" s="4" t="s">
        <v>342</v>
      </c>
      <c r="I91" s="4" t="s">
        <v>954</v>
      </c>
      <c r="J91" s="4" t="s">
        <v>120</v>
      </c>
      <c r="K91" s="4" t="s">
        <v>127</v>
      </c>
      <c r="L91" s="2" t="s">
        <v>348</v>
      </c>
      <c r="M91" s="2" t="s">
        <v>367</v>
      </c>
      <c r="N91" s="4" t="s">
        <v>1838</v>
      </c>
      <c r="O91" s="4" t="s">
        <v>163</v>
      </c>
      <c r="P91" s="4" t="s">
        <v>100</v>
      </c>
      <c r="Q91" s="153">
        <v>1371</v>
      </c>
      <c r="R91" s="153">
        <v>3.681</v>
      </c>
      <c r="S91" s="153">
        <v>42052</v>
      </c>
      <c r="U91" s="153">
        <v>2122.2179999999998</v>
      </c>
      <c r="V91" s="167">
        <v>9.9999999999999995E-7</v>
      </c>
      <c r="W91" s="167">
        <v>5.4077583781590001E-3</v>
      </c>
      <c r="X91" s="167">
        <v>8.86304041830611E-4</v>
      </c>
    </row>
    <row r="92" spans="1:24">
      <c r="A92" s="4" t="s">
        <v>26</v>
      </c>
      <c r="B92" s="4">
        <v>288</v>
      </c>
      <c r="C92" s="4" t="s">
        <v>1889</v>
      </c>
      <c r="D92" s="4" t="s">
        <v>1890</v>
      </c>
      <c r="E92" s="4" t="s">
        <v>335</v>
      </c>
      <c r="F92" s="4" t="s">
        <v>1891</v>
      </c>
      <c r="G92" s="4" t="s">
        <v>1892</v>
      </c>
      <c r="H92" s="4" t="s">
        <v>342</v>
      </c>
      <c r="I92" s="4" t="s">
        <v>954</v>
      </c>
      <c r="J92" s="4" t="s">
        <v>120</v>
      </c>
      <c r="K92" s="4" t="s">
        <v>127</v>
      </c>
      <c r="L92" s="2" t="s">
        <v>348</v>
      </c>
      <c r="M92" s="2" t="s">
        <v>365</v>
      </c>
      <c r="N92" s="4" t="s">
        <v>1823</v>
      </c>
      <c r="O92" s="4" t="s">
        <v>163</v>
      </c>
      <c r="P92" s="4" t="s">
        <v>100</v>
      </c>
      <c r="Q92" s="153">
        <v>2351</v>
      </c>
      <c r="R92" s="153">
        <v>3.681</v>
      </c>
      <c r="S92" s="153">
        <v>19299</v>
      </c>
      <c r="U92" s="153">
        <v>1670.1410000000001</v>
      </c>
      <c r="V92" s="167">
        <v>3.9999999999999998E-6</v>
      </c>
      <c r="W92" s="167">
        <v>4.2557940548850698E-3</v>
      </c>
      <c r="X92" s="167">
        <v>6.9750295931813103E-4</v>
      </c>
    </row>
    <row r="93" spans="1:24">
      <c r="A93" s="4" t="s">
        <v>26</v>
      </c>
      <c r="B93" s="4">
        <v>288</v>
      </c>
      <c r="C93" s="4" t="s">
        <v>1820</v>
      </c>
      <c r="D93" s="4" t="s">
        <v>1821</v>
      </c>
      <c r="E93" s="4" t="s">
        <v>335</v>
      </c>
      <c r="F93" s="4" t="s">
        <v>1820</v>
      </c>
      <c r="G93" s="4" t="s">
        <v>1822</v>
      </c>
      <c r="H93" s="4" t="s">
        <v>342</v>
      </c>
      <c r="I93" s="4" t="s">
        <v>954</v>
      </c>
      <c r="J93" s="4" t="s">
        <v>120</v>
      </c>
      <c r="K93" s="4" t="s">
        <v>319</v>
      </c>
      <c r="L93" s="2" t="s">
        <v>348</v>
      </c>
      <c r="M93" s="2" t="s">
        <v>367</v>
      </c>
      <c r="N93" s="4" t="s">
        <v>1823</v>
      </c>
      <c r="O93" s="4" t="s">
        <v>163</v>
      </c>
      <c r="P93" s="4" t="s">
        <v>100</v>
      </c>
      <c r="Q93" s="153">
        <v>615</v>
      </c>
      <c r="R93" s="153">
        <v>3.681</v>
      </c>
      <c r="S93" s="153">
        <v>73263</v>
      </c>
      <c r="U93" s="153">
        <v>1658.539</v>
      </c>
      <c r="V93" s="167">
        <v>9.9999999999999995E-7</v>
      </c>
      <c r="W93" s="167">
        <v>4.2262285780025203E-3</v>
      </c>
      <c r="X93" s="167">
        <v>6.9265732831407401E-4</v>
      </c>
    </row>
    <row r="94" spans="1:24">
      <c r="A94" s="4" t="s">
        <v>26</v>
      </c>
      <c r="B94" s="4">
        <v>288</v>
      </c>
      <c r="C94" s="4" t="s">
        <v>1893</v>
      </c>
      <c r="D94" s="4" t="s">
        <v>1894</v>
      </c>
      <c r="E94" s="4" t="s">
        <v>335</v>
      </c>
      <c r="F94" s="4" t="s">
        <v>1895</v>
      </c>
      <c r="G94" s="4" t="s">
        <v>1896</v>
      </c>
      <c r="H94" s="4" t="s">
        <v>342</v>
      </c>
      <c r="I94" s="4" t="s">
        <v>954</v>
      </c>
      <c r="J94" s="4" t="s">
        <v>120</v>
      </c>
      <c r="K94" s="4" t="s">
        <v>127</v>
      </c>
      <c r="L94" s="2" t="s">
        <v>348</v>
      </c>
      <c r="M94" s="2" t="s">
        <v>365</v>
      </c>
      <c r="N94" s="4" t="s">
        <v>530</v>
      </c>
      <c r="O94" s="4" t="s">
        <v>163</v>
      </c>
      <c r="P94" s="4" t="s">
        <v>100</v>
      </c>
      <c r="Q94" s="153">
        <v>8557</v>
      </c>
      <c r="R94" s="153">
        <v>3.681</v>
      </c>
      <c r="S94" s="153">
        <v>4787</v>
      </c>
      <c r="U94" s="153">
        <v>1507.8240000000001</v>
      </c>
      <c r="V94" s="167">
        <v>1.2999999999999999E-5</v>
      </c>
      <c r="W94" s="167">
        <v>3.8421837225081101E-3</v>
      </c>
      <c r="X94" s="167">
        <v>6.2971433347841597E-4</v>
      </c>
    </row>
    <row r="95" spans="1:24">
      <c r="A95" s="4" t="s">
        <v>26</v>
      </c>
      <c r="B95" s="4">
        <v>288</v>
      </c>
      <c r="C95" s="4" t="s">
        <v>1897</v>
      </c>
      <c r="D95" s="4" t="s">
        <v>1898</v>
      </c>
      <c r="E95" s="4" t="s">
        <v>335</v>
      </c>
      <c r="F95" s="4" t="s">
        <v>1897</v>
      </c>
      <c r="G95" s="4" t="s">
        <v>1899</v>
      </c>
      <c r="H95" s="4" t="s">
        <v>342</v>
      </c>
      <c r="I95" s="4" t="s">
        <v>954</v>
      </c>
      <c r="J95" s="4" t="s">
        <v>120</v>
      </c>
      <c r="K95" s="4" t="s">
        <v>127</v>
      </c>
      <c r="L95" s="2" t="s">
        <v>348</v>
      </c>
      <c r="M95" s="2" t="s">
        <v>365</v>
      </c>
      <c r="N95" s="4" t="s">
        <v>507</v>
      </c>
      <c r="O95" s="4" t="s">
        <v>163</v>
      </c>
      <c r="P95" s="4" t="s">
        <v>100</v>
      </c>
      <c r="Q95" s="153">
        <v>2747</v>
      </c>
      <c r="R95" s="153">
        <v>3.681</v>
      </c>
      <c r="S95" s="153">
        <v>11624</v>
      </c>
      <c r="U95" s="153">
        <v>1175.385</v>
      </c>
      <c r="V95" s="167">
        <v>9.9999999999999995E-7</v>
      </c>
      <c r="W95" s="167">
        <v>2.9950731168320401E-3</v>
      </c>
      <c r="X95" s="167">
        <v>4.9087722183514804E-4</v>
      </c>
    </row>
    <row r="96" spans="1:24">
      <c r="A96" s="4" t="s">
        <v>26</v>
      </c>
      <c r="B96" s="4">
        <v>288</v>
      </c>
      <c r="C96" s="4" t="s">
        <v>1900</v>
      </c>
      <c r="D96" s="4" t="s">
        <v>1901</v>
      </c>
      <c r="E96" s="4" t="s">
        <v>335</v>
      </c>
      <c r="F96" s="4" t="s">
        <v>1902</v>
      </c>
      <c r="G96" s="4" t="s">
        <v>1903</v>
      </c>
      <c r="H96" s="4" t="s">
        <v>342</v>
      </c>
      <c r="I96" s="4" t="s">
        <v>954</v>
      </c>
      <c r="J96" s="4" t="s">
        <v>120</v>
      </c>
      <c r="K96" s="4" t="s">
        <v>127</v>
      </c>
      <c r="L96" s="2" t="s">
        <v>348</v>
      </c>
      <c r="M96" s="2" t="s">
        <v>367</v>
      </c>
      <c r="N96" s="4" t="s">
        <v>570</v>
      </c>
      <c r="O96" s="4" t="s">
        <v>163</v>
      </c>
      <c r="P96" s="4" t="s">
        <v>100</v>
      </c>
      <c r="Q96" s="153">
        <v>2797</v>
      </c>
      <c r="R96" s="153">
        <v>3.681</v>
      </c>
      <c r="S96" s="153">
        <v>48558</v>
      </c>
      <c r="U96" s="153">
        <v>4999.4139999999998</v>
      </c>
      <c r="V96" s="167">
        <v>9.9999999999999995E-7</v>
      </c>
      <c r="W96" s="167">
        <v>1.27393252395826E-2</v>
      </c>
      <c r="X96" s="167">
        <v>2.0879104909048499E-3</v>
      </c>
    </row>
    <row r="97" spans="1:24">
      <c r="A97" s="4" t="s">
        <v>26</v>
      </c>
      <c r="B97" s="4">
        <v>288</v>
      </c>
      <c r="C97" s="4" t="s">
        <v>1904</v>
      </c>
      <c r="D97" s="4" t="s">
        <v>1905</v>
      </c>
      <c r="E97" s="4" t="s">
        <v>335</v>
      </c>
      <c r="F97" s="4" t="s">
        <v>1906</v>
      </c>
      <c r="G97" s="4" t="s">
        <v>1907</v>
      </c>
      <c r="H97" s="4" t="s">
        <v>342</v>
      </c>
      <c r="I97" s="4" t="s">
        <v>954</v>
      </c>
      <c r="J97" s="4" t="s">
        <v>120</v>
      </c>
      <c r="K97" s="4" t="s">
        <v>127</v>
      </c>
      <c r="L97" s="2" t="s">
        <v>348</v>
      </c>
      <c r="M97" s="2" t="s">
        <v>365</v>
      </c>
      <c r="N97" s="4" t="s">
        <v>510</v>
      </c>
      <c r="O97" s="4" t="s">
        <v>163</v>
      </c>
      <c r="P97" s="4" t="s">
        <v>100</v>
      </c>
      <c r="Q97" s="153">
        <v>4536</v>
      </c>
      <c r="R97" s="153">
        <v>3.681</v>
      </c>
      <c r="S97" s="153">
        <v>4702</v>
      </c>
      <c r="U97" s="153">
        <v>785.09400000000005</v>
      </c>
      <c r="V97" s="167">
        <v>3.0000000000000001E-6</v>
      </c>
      <c r="W97" s="167">
        <v>2.0005473685640401E-3</v>
      </c>
      <c r="X97" s="167">
        <v>3.27879519505367E-4</v>
      </c>
    </row>
    <row r="98" spans="1:24">
      <c r="A98" s="4" t="s">
        <v>26</v>
      </c>
      <c r="B98" s="4">
        <v>288</v>
      </c>
      <c r="C98" s="4" t="s">
        <v>1908</v>
      </c>
      <c r="D98" s="4" t="s">
        <v>1909</v>
      </c>
      <c r="E98" s="4" t="s">
        <v>335</v>
      </c>
      <c r="F98" s="4" t="s">
        <v>1910</v>
      </c>
      <c r="G98" s="4" t="s">
        <v>1911</v>
      </c>
      <c r="H98" s="4" t="s">
        <v>342</v>
      </c>
      <c r="I98" s="4" t="s">
        <v>954</v>
      </c>
      <c r="J98" s="4" t="s">
        <v>120</v>
      </c>
      <c r="K98" s="4" t="s">
        <v>127</v>
      </c>
      <c r="L98" s="2" t="s">
        <v>348</v>
      </c>
      <c r="M98" s="2" t="s">
        <v>365</v>
      </c>
      <c r="N98" s="4" t="s">
        <v>1823</v>
      </c>
      <c r="O98" s="4" t="s">
        <v>163</v>
      </c>
      <c r="P98" s="4" t="s">
        <v>100</v>
      </c>
      <c r="Q98" s="153">
        <v>2904</v>
      </c>
      <c r="R98" s="153">
        <v>3.681</v>
      </c>
      <c r="S98" s="153">
        <v>17553</v>
      </c>
      <c r="U98" s="153">
        <v>1876.35</v>
      </c>
      <c r="V98" s="167">
        <v>3.0000000000000001E-6</v>
      </c>
      <c r="W98" s="167">
        <v>4.7812464843384802E-3</v>
      </c>
      <c r="X98" s="167">
        <v>7.83621934954172E-4</v>
      </c>
    </row>
    <row r="99" spans="1:24">
      <c r="A99" s="4" t="s">
        <v>26</v>
      </c>
      <c r="B99" s="4">
        <v>288</v>
      </c>
      <c r="C99" s="4" t="s">
        <v>1824</v>
      </c>
      <c r="D99" s="4" t="s">
        <v>1825</v>
      </c>
      <c r="E99" s="4" t="s">
        <v>335</v>
      </c>
      <c r="F99" s="4" t="s">
        <v>1826</v>
      </c>
      <c r="G99" s="4" t="s">
        <v>1827</v>
      </c>
      <c r="H99" s="4" t="s">
        <v>342</v>
      </c>
      <c r="I99" s="4" t="s">
        <v>954</v>
      </c>
      <c r="J99" s="4" t="s">
        <v>120</v>
      </c>
      <c r="K99" s="4" t="s">
        <v>127</v>
      </c>
      <c r="L99" s="2" t="s">
        <v>348</v>
      </c>
      <c r="M99" s="2" t="s">
        <v>367</v>
      </c>
      <c r="N99" s="4" t="s">
        <v>570</v>
      </c>
      <c r="O99" s="4" t="s">
        <v>163</v>
      </c>
      <c r="P99" s="4" t="s">
        <v>100</v>
      </c>
      <c r="Q99" s="153">
        <v>6724</v>
      </c>
      <c r="R99" s="153">
        <v>3.681</v>
      </c>
      <c r="S99" s="153">
        <v>150.93</v>
      </c>
      <c r="U99" s="153">
        <v>3735.6750000000002</v>
      </c>
      <c r="V99" s="167">
        <v>2.1999999999999999E-5</v>
      </c>
      <c r="W99" s="167">
        <v>9.5191121850118892E-3</v>
      </c>
      <c r="X99" s="167">
        <v>1.56013398052138E-3</v>
      </c>
    </row>
    <row r="100" spans="1:24">
      <c r="A100" s="4" t="s">
        <v>26</v>
      </c>
      <c r="B100" s="4">
        <v>288</v>
      </c>
      <c r="C100" s="4" t="s">
        <v>1912</v>
      </c>
      <c r="D100" s="4" t="s">
        <v>1913</v>
      </c>
      <c r="E100" s="4" t="s">
        <v>335</v>
      </c>
      <c r="F100" s="4" t="s">
        <v>1914</v>
      </c>
      <c r="G100" s="4" t="s">
        <v>1915</v>
      </c>
      <c r="H100" s="4" t="s">
        <v>342</v>
      </c>
      <c r="I100" s="4" t="s">
        <v>954</v>
      </c>
      <c r="J100" s="4" t="s">
        <v>120</v>
      </c>
      <c r="K100" s="4" t="s">
        <v>295</v>
      </c>
      <c r="L100" s="2" t="s">
        <v>348</v>
      </c>
      <c r="M100" s="2" t="s">
        <v>415</v>
      </c>
      <c r="N100" s="4" t="s">
        <v>589</v>
      </c>
      <c r="O100" s="4" t="s">
        <v>163</v>
      </c>
      <c r="P100" s="4" t="s">
        <v>1208</v>
      </c>
      <c r="Q100" s="153">
        <v>4000000</v>
      </c>
      <c r="R100" s="153">
        <v>3.9790000000000001</v>
      </c>
      <c r="S100" s="153">
        <v>106</v>
      </c>
      <c r="U100" s="153">
        <v>16871.383999999998</v>
      </c>
      <c r="V100" s="167">
        <v>7.7577999999999994E-2</v>
      </c>
      <c r="W100" s="167">
        <v>4.29910508712587E-2</v>
      </c>
      <c r="X100" s="167">
        <v>7.0460141680208799E-3</v>
      </c>
    </row>
    <row r="101" spans="1:24">
      <c r="A101" s="4" t="s">
        <v>26</v>
      </c>
      <c r="B101" s="4">
        <v>288</v>
      </c>
      <c r="C101" s="4" t="s">
        <v>1916</v>
      </c>
      <c r="D101" s="4" t="s">
        <v>1917</v>
      </c>
      <c r="E101" s="4" t="s">
        <v>335</v>
      </c>
      <c r="F101" s="4" t="s">
        <v>1916</v>
      </c>
      <c r="G101" s="4" t="s">
        <v>1918</v>
      </c>
      <c r="H101" s="4" t="s">
        <v>342</v>
      </c>
      <c r="I101" s="4" t="s">
        <v>954</v>
      </c>
      <c r="J101" s="4" t="s">
        <v>120</v>
      </c>
      <c r="K101" s="4" t="s">
        <v>127</v>
      </c>
      <c r="L101" s="2" t="s">
        <v>348</v>
      </c>
      <c r="M101" s="2" t="s">
        <v>121</v>
      </c>
      <c r="N101" s="4" t="s">
        <v>1919</v>
      </c>
      <c r="O101" s="4" t="s">
        <v>163</v>
      </c>
      <c r="P101" s="4" t="s">
        <v>100</v>
      </c>
      <c r="Q101" s="153">
        <v>458</v>
      </c>
      <c r="R101" s="153">
        <v>3.681</v>
      </c>
      <c r="S101" s="153">
        <v>65000</v>
      </c>
      <c r="U101" s="153">
        <v>1095.8340000000001</v>
      </c>
      <c r="V101" s="167">
        <v>1.9999999999999999E-6</v>
      </c>
      <c r="W101" s="167">
        <v>2.7923638240431002E-3</v>
      </c>
      <c r="X101" s="167">
        <v>4.5765420169410802E-4</v>
      </c>
    </row>
    <row r="102" spans="1:24">
      <c r="A102" s="4" t="s">
        <v>26</v>
      </c>
      <c r="B102" s="4">
        <v>288</v>
      </c>
      <c r="C102" s="4" t="s">
        <v>1920</v>
      </c>
      <c r="D102" s="4" t="s">
        <v>1921</v>
      </c>
      <c r="E102" s="4" t="s">
        <v>335</v>
      </c>
      <c r="F102" s="4" t="s">
        <v>1922</v>
      </c>
      <c r="G102" s="4" t="s">
        <v>1923</v>
      </c>
      <c r="H102" s="4" t="s">
        <v>342</v>
      </c>
      <c r="I102" s="4" t="s">
        <v>954</v>
      </c>
      <c r="J102" s="4" t="s">
        <v>120</v>
      </c>
      <c r="K102" s="4" t="s">
        <v>127</v>
      </c>
      <c r="L102" s="2" t="s">
        <v>348</v>
      </c>
      <c r="M102" s="2" t="s">
        <v>365</v>
      </c>
      <c r="N102" s="4" t="s">
        <v>557</v>
      </c>
      <c r="O102" s="4" t="s">
        <v>163</v>
      </c>
      <c r="P102" s="4" t="s">
        <v>100</v>
      </c>
      <c r="Q102" s="153">
        <v>2800</v>
      </c>
      <c r="R102" s="153">
        <v>3.681</v>
      </c>
      <c r="S102" s="153">
        <v>200.3</v>
      </c>
      <c r="U102" s="153">
        <v>2064.4520000000002</v>
      </c>
      <c r="V102" s="167">
        <v>9.9999999999999995E-7</v>
      </c>
      <c r="W102" s="167">
        <v>5.2605620660945004E-3</v>
      </c>
      <c r="X102" s="167">
        <v>8.62179316352446E-4</v>
      </c>
    </row>
    <row r="103" spans="1:24">
      <c r="A103" s="4" t="s">
        <v>26</v>
      </c>
      <c r="B103" s="4">
        <v>288</v>
      </c>
      <c r="C103" s="4" t="s">
        <v>1834</v>
      </c>
      <c r="D103" s="4" t="s">
        <v>1835</v>
      </c>
      <c r="E103" s="4" t="s">
        <v>335</v>
      </c>
      <c r="F103" s="4" t="s">
        <v>1836</v>
      </c>
      <c r="G103" s="4" t="s">
        <v>1837</v>
      </c>
      <c r="H103" s="4" t="s">
        <v>342</v>
      </c>
      <c r="I103" s="4" t="s">
        <v>954</v>
      </c>
      <c r="J103" s="4" t="s">
        <v>120</v>
      </c>
      <c r="K103" s="4" t="s">
        <v>127</v>
      </c>
      <c r="L103" s="2" t="s">
        <v>348</v>
      </c>
      <c r="M103" s="2" t="s">
        <v>365</v>
      </c>
      <c r="N103" s="4" t="s">
        <v>1838</v>
      </c>
      <c r="O103" s="4" t="s">
        <v>163</v>
      </c>
      <c r="P103" s="4" t="s">
        <v>100</v>
      </c>
      <c r="Q103" s="153">
        <v>1265</v>
      </c>
      <c r="R103" s="153">
        <v>3.681</v>
      </c>
      <c r="S103" s="153">
        <v>481.57</v>
      </c>
      <c r="U103" s="153">
        <v>2242.4140000000002</v>
      </c>
      <c r="V103" s="167">
        <v>1.9999999999999999E-6</v>
      </c>
      <c r="W103" s="167">
        <v>5.7140379178089104E-3</v>
      </c>
      <c r="X103" s="167">
        <v>9.3650169766858096E-4</v>
      </c>
    </row>
    <row r="104" spans="1:24">
      <c r="A104" s="4" t="s">
        <v>26</v>
      </c>
      <c r="B104" s="4">
        <v>288</v>
      </c>
      <c r="C104" s="4" t="s">
        <v>1924</v>
      </c>
      <c r="D104" s="4" t="s">
        <v>1925</v>
      </c>
      <c r="E104" s="4" t="s">
        <v>335</v>
      </c>
      <c r="F104" s="4" t="s">
        <v>1924</v>
      </c>
      <c r="G104" s="4" t="s">
        <v>1926</v>
      </c>
      <c r="H104" s="4" t="s">
        <v>342</v>
      </c>
      <c r="I104" s="4" t="s">
        <v>954</v>
      </c>
      <c r="J104" s="4" t="s">
        <v>120</v>
      </c>
      <c r="K104" s="4" t="s">
        <v>127</v>
      </c>
      <c r="L104" s="2" t="s">
        <v>348</v>
      </c>
      <c r="M104" s="2" t="s">
        <v>365</v>
      </c>
      <c r="N104" s="4" t="s">
        <v>551</v>
      </c>
      <c r="O104" s="4" t="s">
        <v>163</v>
      </c>
      <c r="P104" s="4" t="s">
        <v>100</v>
      </c>
      <c r="Q104" s="153">
        <v>834</v>
      </c>
      <c r="R104" s="153">
        <v>3.681</v>
      </c>
      <c r="S104" s="153">
        <v>53685</v>
      </c>
      <c r="T104" s="152">
        <v>0.51700000000000002</v>
      </c>
      <c r="U104" s="153">
        <v>1650.008</v>
      </c>
      <c r="V104" s="167">
        <v>6.0000000000000002E-6</v>
      </c>
      <c r="W104" s="167">
        <v>4.2044911934163397E-3</v>
      </c>
      <c r="X104" s="167">
        <v>6.8909468174773196E-4</v>
      </c>
    </row>
    <row r="105" spans="1:24">
      <c r="A105" s="4" t="s">
        <v>26</v>
      </c>
      <c r="B105" s="4">
        <v>288</v>
      </c>
      <c r="C105" s="4" t="s">
        <v>1839</v>
      </c>
      <c r="D105" s="4" t="s">
        <v>1840</v>
      </c>
      <c r="E105" s="4" t="s">
        <v>335</v>
      </c>
      <c r="F105" s="4" t="s">
        <v>1841</v>
      </c>
      <c r="G105" s="4" t="s">
        <v>1842</v>
      </c>
      <c r="H105" s="4" t="s">
        <v>342</v>
      </c>
      <c r="I105" s="4" t="s">
        <v>954</v>
      </c>
      <c r="J105" s="4" t="s">
        <v>120</v>
      </c>
      <c r="K105" s="4" t="s">
        <v>127</v>
      </c>
      <c r="L105" s="2" t="s">
        <v>348</v>
      </c>
      <c r="M105" s="2" t="s">
        <v>367</v>
      </c>
      <c r="N105" s="4" t="s">
        <v>565</v>
      </c>
      <c r="O105" s="4" t="s">
        <v>163</v>
      </c>
      <c r="P105" s="4" t="s">
        <v>100</v>
      </c>
      <c r="Q105" s="153">
        <v>3116</v>
      </c>
      <c r="R105" s="153">
        <v>3.681</v>
      </c>
      <c r="S105" s="153">
        <v>420.72</v>
      </c>
      <c r="U105" s="153">
        <v>4825.6570000000002</v>
      </c>
      <c r="V105" s="167">
        <v>0</v>
      </c>
      <c r="W105" s="167">
        <v>1.2296564017091701E-2</v>
      </c>
      <c r="X105" s="167">
        <v>2.0153441827198402E-3</v>
      </c>
    </row>
    <row r="106" spans="1:24">
      <c r="A106" s="4" t="s">
        <v>26</v>
      </c>
      <c r="B106" s="4">
        <v>288</v>
      </c>
      <c r="C106" s="4" t="s">
        <v>1927</v>
      </c>
      <c r="D106" s="4" t="s">
        <v>1928</v>
      </c>
      <c r="E106" s="4" t="s">
        <v>335</v>
      </c>
      <c r="F106" s="4" t="s">
        <v>1927</v>
      </c>
      <c r="G106" s="4" t="s">
        <v>1929</v>
      </c>
      <c r="H106" s="4" t="s">
        <v>342</v>
      </c>
      <c r="I106" s="4" t="s">
        <v>954</v>
      </c>
      <c r="J106" s="4" t="s">
        <v>120</v>
      </c>
      <c r="K106" s="4" t="s">
        <v>127</v>
      </c>
      <c r="L106" s="2" t="s">
        <v>348</v>
      </c>
      <c r="M106" s="2" t="s">
        <v>365</v>
      </c>
      <c r="N106" s="4" t="s">
        <v>536</v>
      </c>
      <c r="O106" s="4" t="s">
        <v>163</v>
      </c>
      <c r="P106" s="4" t="s">
        <v>100</v>
      </c>
      <c r="Q106" s="153">
        <v>3000</v>
      </c>
      <c r="R106" s="153">
        <v>3.681</v>
      </c>
      <c r="S106" s="153">
        <v>9398</v>
      </c>
      <c r="T106" s="152">
        <v>1.1100000000000001</v>
      </c>
      <c r="U106" s="153">
        <v>1041.9069999999999</v>
      </c>
      <c r="V106" s="167">
        <v>3.0000000000000001E-6</v>
      </c>
      <c r="W106" s="167">
        <v>2.6549498837601599E-3</v>
      </c>
      <c r="X106" s="167">
        <v>4.3513275710284599E-4</v>
      </c>
    </row>
    <row r="107" spans="1:24">
      <c r="A107" s="4" t="s">
        <v>26</v>
      </c>
      <c r="B107" s="4">
        <v>288</v>
      </c>
      <c r="C107" s="4" t="s">
        <v>1851</v>
      </c>
      <c r="D107" s="4" t="s">
        <v>1852</v>
      </c>
      <c r="E107" s="4" t="s">
        <v>335</v>
      </c>
      <c r="F107" s="4" t="s">
        <v>1853</v>
      </c>
      <c r="G107" s="4" t="s">
        <v>1854</v>
      </c>
      <c r="H107" s="4" t="s">
        <v>342</v>
      </c>
      <c r="I107" s="4" t="s">
        <v>954</v>
      </c>
      <c r="J107" s="4" t="s">
        <v>120</v>
      </c>
      <c r="K107" s="4" t="s">
        <v>127</v>
      </c>
      <c r="L107" s="2" t="s">
        <v>348</v>
      </c>
      <c r="M107" s="2" t="s">
        <v>367</v>
      </c>
      <c r="N107" s="4" t="s">
        <v>569</v>
      </c>
      <c r="O107" s="4" t="s">
        <v>163</v>
      </c>
      <c r="P107" s="4" t="s">
        <v>100</v>
      </c>
      <c r="Q107" s="153">
        <v>1278</v>
      </c>
      <c r="R107" s="153">
        <v>3.681</v>
      </c>
      <c r="S107" s="153">
        <v>90356</v>
      </c>
      <c r="U107" s="153">
        <v>4250.634</v>
      </c>
      <c r="V107" s="167">
        <v>9.9999999999999995E-7</v>
      </c>
      <c r="W107" s="167">
        <v>1.08313108238406E-2</v>
      </c>
      <c r="X107" s="167">
        <v>1.7751966508462399E-3</v>
      </c>
    </row>
    <row r="108" spans="1:24">
      <c r="A108" s="4" t="s">
        <v>26</v>
      </c>
      <c r="B108" s="4">
        <v>288</v>
      </c>
      <c r="C108" s="4" t="s">
        <v>1930</v>
      </c>
      <c r="D108" s="4" t="s">
        <v>1931</v>
      </c>
      <c r="E108" s="4" t="s">
        <v>335</v>
      </c>
      <c r="F108" s="4" t="s">
        <v>1932</v>
      </c>
      <c r="G108" s="4" t="s">
        <v>1933</v>
      </c>
      <c r="H108" s="4" t="s">
        <v>342</v>
      </c>
      <c r="I108" s="4" t="s">
        <v>954</v>
      </c>
      <c r="J108" s="4" t="s">
        <v>120</v>
      </c>
      <c r="K108" s="4" t="s">
        <v>127</v>
      </c>
      <c r="L108" s="2" t="s">
        <v>348</v>
      </c>
      <c r="M108" s="2" t="s">
        <v>367</v>
      </c>
      <c r="N108" s="4" t="s">
        <v>565</v>
      </c>
      <c r="O108" s="4" t="s">
        <v>163</v>
      </c>
      <c r="P108" s="4" t="s">
        <v>100</v>
      </c>
      <c r="Q108" s="153">
        <v>1663</v>
      </c>
      <c r="R108" s="153">
        <v>3.681</v>
      </c>
      <c r="S108" s="153">
        <v>28413</v>
      </c>
      <c r="U108" s="153">
        <v>1739.3030000000001</v>
      </c>
      <c r="V108" s="167">
        <v>5.0000000000000004E-6</v>
      </c>
      <c r="W108" s="167">
        <v>4.4320281367822801E-3</v>
      </c>
      <c r="X108" s="167">
        <v>7.2638682730392196E-4</v>
      </c>
    </row>
    <row r="109" spans="1:24">
      <c r="A109" s="4" t="s">
        <v>26</v>
      </c>
      <c r="B109" s="4">
        <v>288</v>
      </c>
      <c r="C109" s="4" t="s">
        <v>1934</v>
      </c>
      <c r="D109" s="4" t="s">
        <v>1935</v>
      </c>
      <c r="E109" s="4" t="s">
        <v>335</v>
      </c>
      <c r="F109" s="4" t="s">
        <v>1936</v>
      </c>
      <c r="G109" s="4" t="s">
        <v>1937</v>
      </c>
      <c r="H109" s="4" t="s">
        <v>342</v>
      </c>
      <c r="I109" s="4" t="s">
        <v>954</v>
      </c>
      <c r="J109" s="4" t="s">
        <v>120</v>
      </c>
      <c r="K109" s="4" t="s">
        <v>268</v>
      </c>
      <c r="L109" s="2" t="s">
        <v>348</v>
      </c>
      <c r="M109" s="2" t="s">
        <v>401</v>
      </c>
      <c r="N109" s="4" t="s">
        <v>507</v>
      </c>
      <c r="O109" s="4" t="s">
        <v>163</v>
      </c>
      <c r="P109" s="4" t="s">
        <v>1210</v>
      </c>
      <c r="Q109" s="153">
        <v>20230</v>
      </c>
      <c r="R109" s="153">
        <v>4.6539999999999999</v>
      </c>
      <c r="S109" s="153">
        <v>2625</v>
      </c>
      <c r="U109" s="153">
        <v>2471.183</v>
      </c>
      <c r="V109" s="167">
        <v>3.0000000000000001E-6</v>
      </c>
      <c r="W109" s="167">
        <v>6.2969792124868799E-3</v>
      </c>
      <c r="X109" s="167">
        <v>1.03204280536854E-3</v>
      </c>
    </row>
    <row r="110" spans="1:24">
      <c r="A110" s="4" t="s">
        <v>26</v>
      </c>
      <c r="B110" s="4">
        <v>288</v>
      </c>
      <c r="C110" s="4" t="s">
        <v>1938</v>
      </c>
      <c r="D110" s="4" t="s">
        <v>1939</v>
      </c>
      <c r="E110" s="4" t="s">
        <v>335</v>
      </c>
      <c r="F110" s="4" t="s">
        <v>1940</v>
      </c>
      <c r="G110" s="4" t="s">
        <v>1941</v>
      </c>
      <c r="H110" s="4" t="s">
        <v>342</v>
      </c>
      <c r="I110" s="4" t="s">
        <v>954</v>
      </c>
      <c r="J110" s="4" t="s">
        <v>120</v>
      </c>
      <c r="K110" s="4" t="s">
        <v>291</v>
      </c>
      <c r="L110" s="2" t="s">
        <v>348</v>
      </c>
      <c r="M110" s="2" t="s">
        <v>365</v>
      </c>
      <c r="N110" s="4" t="s">
        <v>569</v>
      </c>
      <c r="O110" s="4" t="s">
        <v>163</v>
      </c>
      <c r="P110" s="4" t="s">
        <v>100</v>
      </c>
      <c r="Q110" s="153">
        <v>3574</v>
      </c>
      <c r="R110" s="153">
        <v>3.681</v>
      </c>
      <c r="S110" s="153">
        <v>13605</v>
      </c>
      <c r="T110" s="152">
        <v>1.569</v>
      </c>
      <c r="U110" s="153">
        <v>1795.633</v>
      </c>
      <c r="V110" s="167">
        <v>9.9999999999999995E-7</v>
      </c>
      <c r="W110" s="167">
        <v>4.57556725474837E-3</v>
      </c>
      <c r="X110" s="167">
        <v>7.4991215730534403E-4</v>
      </c>
    </row>
    <row r="111" spans="1:24">
      <c r="A111" s="4" t="s">
        <v>26</v>
      </c>
      <c r="B111" s="4">
        <v>288</v>
      </c>
      <c r="C111" s="4" t="s">
        <v>1866</v>
      </c>
      <c r="D111" s="4" t="s">
        <v>1867</v>
      </c>
      <c r="E111" s="4" t="s">
        <v>335</v>
      </c>
      <c r="F111" s="4" t="s">
        <v>1866</v>
      </c>
      <c r="G111" s="4" t="s">
        <v>1868</v>
      </c>
      <c r="H111" s="4" t="s">
        <v>342</v>
      </c>
      <c r="I111" s="4" t="s">
        <v>954</v>
      </c>
      <c r="J111" s="4" t="s">
        <v>120</v>
      </c>
      <c r="K111" s="4" t="s">
        <v>127</v>
      </c>
      <c r="L111" s="2" t="s">
        <v>348</v>
      </c>
      <c r="M111" s="2" t="s">
        <v>367</v>
      </c>
      <c r="N111" s="4" t="s">
        <v>533</v>
      </c>
      <c r="O111" s="4" t="s">
        <v>163</v>
      </c>
      <c r="P111" s="4" t="s">
        <v>100</v>
      </c>
      <c r="Q111" s="153">
        <v>1201</v>
      </c>
      <c r="R111" s="153">
        <v>3.681</v>
      </c>
      <c r="S111" s="153">
        <v>17579</v>
      </c>
      <c r="U111" s="153">
        <v>777.14700000000005</v>
      </c>
      <c r="V111" s="167">
        <v>0</v>
      </c>
      <c r="W111" s="167">
        <v>1.98029705606608E-3</v>
      </c>
      <c r="X111" s="167">
        <v>3.2456059647660199E-4</v>
      </c>
    </row>
    <row r="112" spans="1:24">
      <c r="A112" s="4" t="s">
        <v>26</v>
      </c>
      <c r="B112" s="4">
        <v>288</v>
      </c>
      <c r="C112" s="4" t="s">
        <v>1942</v>
      </c>
      <c r="D112" s="4" t="s">
        <v>1943</v>
      </c>
      <c r="E112" s="4" t="s">
        <v>335</v>
      </c>
      <c r="F112" s="4" t="s">
        <v>1944</v>
      </c>
      <c r="G112" s="4" t="s">
        <v>1945</v>
      </c>
      <c r="H112" s="4" t="s">
        <v>342</v>
      </c>
      <c r="I112" s="4" t="s">
        <v>954</v>
      </c>
      <c r="J112" s="4" t="s">
        <v>120</v>
      </c>
      <c r="K112" s="4" t="s">
        <v>127</v>
      </c>
      <c r="L112" s="2" t="s">
        <v>348</v>
      </c>
      <c r="M112" s="2" t="s">
        <v>365</v>
      </c>
      <c r="N112" s="4" t="s">
        <v>530</v>
      </c>
      <c r="O112" s="4" t="s">
        <v>163</v>
      </c>
      <c r="P112" s="4" t="s">
        <v>100</v>
      </c>
      <c r="Q112" s="153">
        <v>6327</v>
      </c>
      <c r="R112" s="153">
        <v>3.681</v>
      </c>
      <c r="S112" s="153">
        <v>7699</v>
      </c>
      <c r="U112" s="153">
        <v>1793.0730000000001</v>
      </c>
      <c r="V112" s="167">
        <v>3.0000000000000001E-6</v>
      </c>
      <c r="W112" s="167">
        <v>4.5690438111331798E-3</v>
      </c>
      <c r="X112" s="167">
        <v>7.4884299813836905E-4</v>
      </c>
    </row>
    <row r="113" spans="1:24">
      <c r="A113" s="4" t="s">
        <v>26</v>
      </c>
      <c r="B113" s="4">
        <v>288</v>
      </c>
      <c r="C113" s="4" t="s">
        <v>1946</v>
      </c>
      <c r="D113" s="4" t="s">
        <v>1947</v>
      </c>
      <c r="E113" s="4" t="s">
        <v>335</v>
      </c>
      <c r="F113" s="4" t="s">
        <v>1948</v>
      </c>
      <c r="G113" s="4" t="s">
        <v>1949</v>
      </c>
      <c r="H113" s="4" t="s">
        <v>342</v>
      </c>
      <c r="I113" s="4" t="s">
        <v>954</v>
      </c>
      <c r="J113" s="4" t="s">
        <v>120</v>
      </c>
      <c r="K113" s="4" t="s">
        <v>127</v>
      </c>
      <c r="L113" s="2" t="s">
        <v>348</v>
      </c>
      <c r="M113" s="2" t="s">
        <v>365</v>
      </c>
      <c r="N113" s="4" t="s">
        <v>551</v>
      </c>
      <c r="O113" s="4" t="s">
        <v>163</v>
      </c>
      <c r="P113" s="4" t="s">
        <v>100</v>
      </c>
      <c r="Q113" s="153">
        <v>600</v>
      </c>
      <c r="R113" s="153">
        <v>3.681</v>
      </c>
      <c r="S113" s="153">
        <v>49470</v>
      </c>
      <c r="U113" s="153">
        <v>1092.5940000000001</v>
      </c>
      <c r="V113" s="167">
        <v>9.9999999999999995E-7</v>
      </c>
      <c r="W113" s="167">
        <v>2.7841096078349802E-3</v>
      </c>
      <c r="X113" s="167">
        <v>4.5630137771866E-4</v>
      </c>
    </row>
    <row r="114" spans="1:24">
      <c r="A114" s="4" t="s">
        <v>26</v>
      </c>
      <c r="B114" s="4">
        <v>288</v>
      </c>
      <c r="C114" s="4" t="s">
        <v>1869</v>
      </c>
      <c r="D114" s="4" t="s">
        <v>1870</v>
      </c>
      <c r="E114" s="4" t="s">
        <v>335</v>
      </c>
      <c r="F114" s="4" t="s">
        <v>1871</v>
      </c>
      <c r="G114" s="4" t="s">
        <v>1872</v>
      </c>
      <c r="H114" s="4" t="s">
        <v>342</v>
      </c>
      <c r="I114" s="4" t="s">
        <v>954</v>
      </c>
      <c r="J114" s="4" t="s">
        <v>120</v>
      </c>
      <c r="K114" s="4" t="s">
        <v>127</v>
      </c>
      <c r="L114" s="2" t="s">
        <v>348</v>
      </c>
      <c r="M114" s="2" t="s">
        <v>365</v>
      </c>
      <c r="N114" s="4" t="s">
        <v>1838</v>
      </c>
      <c r="O114" s="4" t="s">
        <v>163</v>
      </c>
      <c r="P114" s="4" t="s">
        <v>100</v>
      </c>
      <c r="Q114" s="153">
        <v>2978</v>
      </c>
      <c r="R114" s="153">
        <v>3.681</v>
      </c>
      <c r="S114" s="153">
        <v>27908</v>
      </c>
      <c r="U114" s="153">
        <v>3059.28</v>
      </c>
      <c r="V114" s="167">
        <v>1.9999999999999999E-6</v>
      </c>
      <c r="W114" s="167">
        <v>7.7955466722524E-3</v>
      </c>
      <c r="X114" s="167">
        <v>1.2776503757641301E-3</v>
      </c>
    </row>
    <row r="115" spans="1:24">
      <c r="A115" s="4" t="s">
        <v>26</v>
      </c>
      <c r="B115" s="4">
        <v>288</v>
      </c>
      <c r="C115" s="4" t="s">
        <v>1950</v>
      </c>
      <c r="D115" s="4" t="s">
        <v>1951</v>
      </c>
      <c r="E115" s="4" t="s">
        <v>335</v>
      </c>
      <c r="F115" s="4" t="s">
        <v>1952</v>
      </c>
      <c r="G115" s="4" t="s">
        <v>1953</v>
      </c>
      <c r="H115" s="4" t="s">
        <v>342</v>
      </c>
      <c r="I115" s="4" t="s">
        <v>954</v>
      </c>
      <c r="J115" s="4" t="s">
        <v>120</v>
      </c>
      <c r="K115" s="4" t="s">
        <v>127</v>
      </c>
      <c r="L115" s="2" t="s">
        <v>348</v>
      </c>
      <c r="M115" s="2" t="s">
        <v>365</v>
      </c>
      <c r="N115" s="4" t="s">
        <v>570</v>
      </c>
      <c r="O115" s="4" t="s">
        <v>163</v>
      </c>
      <c r="P115" s="4" t="s">
        <v>100</v>
      </c>
      <c r="Q115" s="153">
        <v>3910</v>
      </c>
      <c r="R115" s="153">
        <v>3.681</v>
      </c>
      <c r="S115" s="153">
        <v>12236</v>
      </c>
      <c r="U115" s="153">
        <v>1761.0920000000001</v>
      </c>
      <c r="V115" s="167">
        <v>1.9999999999999999E-6</v>
      </c>
      <c r="W115" s="167">
        <v>4.4875509662874197E-3</v>
      </c>
      <c r="X115" s="167">
        <v>7.3548673613176995E-4</v>
      </c>
    </row>
    <row r="116" spans="1:24">
      <c r="A116" s="4" t="s">
        <v>26</v>
      </c>
      <c r="B116" s="4">
        <v>288</v>
      </c>
      <c r="C116" s="4" t="s">
        <v>1954</v>
      </c>
      <c r="D116" s="4" t="s">
        <v>1955</v>
      </c>
      <c r="E116" s="4" t="s">
        <v>335</v>
      </c>
      <c r="F116" s="4" t="s">
        <v>1956</v>
      </c>
      <c r="G116" s="4" t="s">
        <v>1957</v>
      </c>
      <c r="H116" s="4" t="s">
        <v>342</v>
      </c>
      <c r="I116" s="4" t="s">
        <v>954</v>
      </c>
      <c r="J116" s="4" t="s">
        <v>120</v>
      </c>
      <c r="K116" s="4" t="s">
        <v>127</v>
      </c>
      <c r="L116" s="2" t="s">
        <v>348</v>
      </c>
      <c r="M116" s="2" t="s">
        <v>365</v>
      </c>
      <c r="N116" s="4" t="s">
        <v>557</v>
      </c>
      <c r="O116" s="4" t="s">
        <v>163</v>
      </c>
      <c r="P116" s="4" t="s">
        <v>100</v>
      </c>
      <c r="Q116" s="153">
        <v>7648</v>
      </c>
      <c r="R116" s="153">
        <v>3.681</v>
      </c>
      <c r="S116" s="153">
        <v>5796</v>
      </c>
      <c r="U116" s="153">
        <v>1631.7070000000001</v>
      </c>
      <c r="V116" s="167">
        <v>1.9999999999999999E-6</v>
      </c>
      <c r="W116" s="167">
        <v>4.1578558098195597E-3</v>
      </c>
      <c r="X116" s="167">
        <v>6.8145138001644899E-4</v>
      </c>
    </row>
    <row r="117" spans="1:24">
      <c r="A117" s="4" t="s">
        <v>26</v>
      </c>
      <c r="B117" s="4">
        <v>288</v>
      </c>
      <c r="C117" s="4" t="s">
        <v>1873</v>
      </c>
      <c r="D117" s="4" t="s">
        <v>1874</v>
      </c>
      <c r="E117" s="4" t="s">
        <v>335</v>
      </c>
      <c r="F117" s="4" t="s">
        <v>1875</v>
      </c>
      <c r="G117" s="4" t="s">
        <v>1876</v>
      </c>
      <c r="H117" s="4" t="s">
        <v>342</v>
      </c>
      <c r="I117" s="4" t="s">
        <v>954</v>
      </c>
      <c r="J117" s="4" t="s">
        <v>120</v>
      </c>
      <c r="K117" s="4" t="s">
        <v>127</v>
      </c>
      <c r="L117" s="2" t="s">
        <v>348</v>
      </c>
      <c r="M117" s="2" t="s">
        <v>365</v>
      </c>
      <c r="N117" s="4" t="s">
        <v>1823</v>
      </c>
      <c r="O117" s="4" t="s">
        <v>163</v>
      </c>
      <c r="P117" s="4" t="s">
        <v>100</v>
      </c>
      <c r="Q117" s="153">
        <v>9534</v>
      </c>
      <c r="R117" s="153">
        <v>3.681</v>
      </c>
      <c r="S117" s="153">
        <v>6017</v>
      </c>
      <c r="T117" s="152">
        <v>1.978</v>
      </c>
      <c r="U117" s="153">
        <v>2118.9270000000001</v>
      </c>
      <c r="V117" s="167">
        <v>1.9999999999999999E-6</v>
      </c>
      <c r="W117" s="167">
        <v>5.3993744394393401E-3</v>
      </c>
      <c r="X117" s="167">
        <v>8.8492995699654897E-4</v>
      </c>
    </row>
    <row r="118" spans="1:24">
      <c r="A118" s="4" t="s">
        <v>26</v>
      </c>
      <c r="B118" s="4">
        <v>1452</v>
      </c>
      <c r="C118" s="4" t="s">
        <v>1604</v>
      </c>
      <c r="D118" s="4" t="s">
        <v>1605</v>
      </c>
      <c r="E118" s="4" t="s">
        <v>1347</v>
      </c>
      <c r="F118" s="4" t="s">
        <v>1606</v>
      </c>
      <c r="G118" s="4" t="s">
        <v>1607</v>
      </c>
      <c r="H118" s="4" t="s">
        <v>342</v>
      </c>
      <c r="I118" s="4" t="s">
        <v>954</v>
      </c>
      <c r="J118" s="4" t="s">
        <v>31</v>
      </c>
      <c r="K118" s="4" t="s">
        <v>319</v>
      </c>
      <c r="L118" s="2" t="s">
        <v>348</v>
      </c>
      <c r="M118" s="2" t="s">
        <v>367</v>
      </c>
      <c r="N118" s="4" t="s">
        <v>478</v>
      </c>
      <c r="O118" s="4" t="s">
        <v>163</v>
      </c>
      <c r="P118" s="4" t="s">
        <v>100</v>
      </c>
      <c r="Q118" s="153">
        <v>220</v>
      </c>
      <c r="R118" s="153">
        <v>3.681</v>
      </c>
      <c r="S118" s="153">
        <v>177.38</v>
      </c>
      <c r="U118" s="153">
        <v>143.64599999999999</v>
      </c>
      <c r="V118" s="167">
        <v>7.9999999999999996E-6</v>
      </c>
      <c r="W118" s="167">
        <v>1.33679304283695E-2</v>
      </c>
      <c r="X118" s="167">
        <v>2.8966390335672799E-3</v>
      </c>
    </row>
    <row r="119" spans="1:24">
      <c r="A119" s="4" t="s">
        <v>26</v>
      </c>
      <c r="B119" s="4">
        <v>1452</v>
      </c>
      <c r="C119" s="4" t="s">
        <v>1612</v>
      </c>
      <c r="D119" s="4" t="s">
        <v>1613</v>
      </c>
      <c r="E119" s="4" t="s">
        <v>1347</v>
      </c>
      <c r="F119" s="4" t="s">
        <v>1614</v>
      </c>
      <c r="G119" s="4" t="s">
        <v>1615</v>
      </c>
      <c r="H119" s="4" t="s">
        <v>342</v>
      </c>
      <c r="I119" s="4" t="s">
        <v>954</v>
      </c>
      <c r="J119" s="4" t="s">
        <v>31</v>
      </c>
      <c r="K119" s="4" t="s">
        <v>31</v>
      </c>
      <c r="L119" s="2" t="s">
        <v>348</v>
      </c>
      <c r="M119" s="2" t="s">
        <v>40</v>
      </c>
      <c r="N119" s="4" t="s">
        <v>466</v>
      </c>
      <c r="O119" s="4" t="s">
        <v>163</v>
      </c>
      <c r="P119" s="4" t="s">
        <v>35</v>
      </c>
      <c r="Q119" s="153">
        <v>240</v>
      </c>
      <c r="R119" s="153">
        <v>1</v>
      </c>
      <c r="S119" s="153">
        <v>77500</v>
      </c>
      <c r="U119" s="153">
        <v>186</v>
      </c>
      <c r="V119" s="167">
        <v>5.0000000000000004E-6</v>
      </c>
      <c r="W119" s="167">
        <v>1.73094780377713E-2</v>
      </c>
      <c r="X119" s="167">
        <v>3.7507159394305398E-3</v>
      </c>
    </row>
    <row r="120" spans="1:24">
      <c r="A120" s="4" t="s">
        <v>26</v>
      </c>
      <c r="B120" s="4">
        <v>1452</v>
      </c>
      <c r="C120" s="4" t="s">
        <v>1616</v>
      </c>
      <c r="D120" s="4" t="s">
        <v>1617</v>
      </c>
      <c r="E120" s="4" t="s">
        <v>1347</v>
      </c>
      <c r="F120" s="4" t="s">
        <v>1618</v>
      </c>
      <c r="G120" s="4" t="s">
        <v>1619</v>
      </c>
      <c r="H120" s="4" t="s">
        <v>342</v>
      </c>
      <c r="I120" s="4" t="s">
        <v>954</v>
      </c>
      <c r="J120" s="4" t="s">
        <v>31</v>
      </c>
      <c r="K120" s="4" t="s">
        <v>31</v>
      </c>
      <c r="L120" s="2" t="s">
        <v>348</v>
      </c>
      <c r="M120" s="2" t="s">
        <v>40</v>
      </c>
      <c r="N120" s="4" t="s">
        <v>484</v>
      </c>
      <c r="O120" s="4" t="s">
        <v>163</v>
      </c>
      <c r="P120" s="4" t="s">
        <v>35</v>
      </c>
      <c r="Q120" s="153">
        <v>5000</v>
      </c>
      <c r="R120" s="153">
        <v>1</v>
      </c>
      <c r="S120" s="153">
        <v>2653</v>
      </c>
      <c r="T120" s="152">
        <v>0.9</v>
      </c>
      <c r="U120" s="153">
        <v>133.55000000000001</v>
      </c>
      <c r="V120" s="167">
        <v>2.8E-5</v>
      </c>
      <c r="W120" s="167">
        <v>1.24283913545396E-2</v>
      </c>
      <c r="X120" s="167">
        <v>2.69305437479005E-3</v>
      </c>
    </row>
    <row r="121" spans="1:24">
      <c r="A121" s="4" t="s">
        <v>26</v>
      </c>
      <c r="B121" s="4">
        <v>1452</v>
      </c>
      <c r="C121" s="4" t="s">
        <v>1620</v>
      </c>
      <c r="D121" s="4" t="s">
        <v>1621</v>
      </c>
      <c r="E121" s="4" t="s">
        <v>1347</v>
      </c>
      <c r="F121" s="4" t="s">
        <v>1622</v>
      </c>
      <c r="G121" s="4" t="s">
        <v>1623</v>
      </c>
      <c r="H121" s="4" t="s">
        <v>342</v>
      </c>
      <c r="I121" s="4" t="s">
        <v>954</v>
      </c>
      <c r="J121" s="4" t="s">
        <v>31</v>
      </c>
      <c r="K121" s="4" t="s">
        <v>31</v>
      </c>
      <c r="L121" s="2" t="s">
        <v>348</v>
      </c>
      <c r="M121" s="2" t="s">
        <v>40</v>
      </c>
      <c r="N121" s="4" t="s">
        <v>484</v>
      </c>
      <c r="O121" s="4" t="s">
        <v>163</v>
      </c>
      <c r="P121" s="4" t="s">
        <v>35</v>
      </c>
      <c r="Q121" s="153">
        <v>11863</v>
      </c>
      <c r="R121" s="153">
        <v>1</v>
      </c>
      <c r="S121" s="153">
        <v>1749</v>
      </c>
      <c r="U121" s="153">
        <v>207.48400000000001</v>
      </c>
      <c r="V121" s="167">
        <v>2.5000000000000001E-5</v>
      </c>
      <c r="W121" s="167">
        <v>1.93088037148215E-2</v>
      </c>
      <c r="X121" s="167">
        <v>4.1839411741061002E-3</v>
      </c>
    </row>
    <row r="122" spans="1:24">
      <c r="A122" s="4" t="s">
        <v>26</v>
      </c>
      <c r="B122" s="4">
        <v>1452</v>
      </c>
      <c r="C122" s="4" t="s">
        <v>1624</v>
      </c>
      <c r="D122" s="4" t="s">
        <v>1625</v>
      </c>
      <c r="E122" s="4" t="s">
        <v>1347</v>
      </c>
      <c r="F122" s="4" t="s">
        <v>1626</v>
      </c>
      <c r="G122" s="4" t="s">
        <v>1627</v>
      </c>
      <c r="H122" s="4" t="s">
        <v>342</v>
      </c>
      <c r="I122" s="4" t="s">
        <v>954</v>
      </c>
      <c r="J122" s="4" t="s">
        <v>31</v>
      </c>
      <c r="K122" s="4" t="s">
        <v>127</v>
      </c>
      <c r="L122" s="2" t="s">
        <v>348</v>
      </c>
      <c r="M122" s="2" t="s">
        <v>40</v>
      </c>
      <c r="N122" s="4" t="s">
        <v>461</v>
      </c>
      <c r="O122" s="4" t="s">
        <v>163</v>
      </c>
      <c r="P122" s="4" t="s">
        <v>35</v>
      </c>
      <c r="Q122" s="153">
        <v>4014.6</v>
      </c>
      <c r="R122" s="153">
        <v>1</v>
      </c>
      <c r="S122" s="153">
        <v>6299</v>
      </c>
      <c r="U122" s="153">
        <v>252.88</v>
      </c>
      <c r="V122" s="167">
        <v>3.4E-5</v>
      </c>
      <c r="W122" s="167">
        <v>2.3533412995227002E-2</v>
      </c>
      <c r="X122" s="167">
        <v>5.0993534893305397E-3</v>
      </c>
    </row>
    <row r="123" spans="1:24">
      <c r="A123" s="4" t="s">
        <v>26</v>
      </c>
      <c r="B123" s="4">
        <v>1452</v>
      </c>
      <c r="C123" s="4" t="s">
        <v>1632</v>
      </c>
      <c r="D123" s="4" t="s">
        <v>1633</v>
      </c>
      <c r="E123" s="4" t="s">
        <v>1347</v>
      </c>
      <c r="F123" s="4" t="s">
        <v>1634</v>
      </c>
      <c r="G123" s="4" t="s">
        <v>1635</v>
      </c>
      <c r="H123" s="4" t="s">
        <v>342</v>
      </c>
      <c r="I123" s="4" t="s">
        <v>954</v>
      </c>
      <c r="J123" s="4" t="s">
        <v>31</v>
      </c>
      <c r="K123" s="4" t="s">
        <v>31</v>
      </c>
      <c r="L123" s="2" t="s">
        <v>348</v>
      </c>
      <c r="M123" s="2" t="s">
        <v>40</v>
      </c>
      <c r="N123" s="4" t="s">
        <v>505</v>
      </c>
      <c r="O123" s="4" t="s">
        <v>163</v>
      </c>
      <c r="P123" s="4" t="s">
        <v>35</v>
      </c>
      <c r="Q123" s="153">
        <v>81427</v>
      </c>
      <c r="R123" s="153">
        <v>1</v>
      </c>
      <c r="S123" s="153">
        <v>473</v>
      </c>
      <c r="U123" s="153">
        <v>385.15</v>
      </c>
      <c r="V123" s="167">
        <v>2.9E-5</v>
      </c>
      <c r="W123" s="167">
        <v>3.5842690572575303E-2</v>
      </c>
      <c r="X123" s="167">
        <v>7.7665976148605003E-3</v>
      </c>
    </row>
    <row r="124" spans="1:24">
      <c r="A124" s="4" t="s">
        <v>26</v>
      </c>
      <c r="B124" s="4">
        <v>1452</v>
      </c>
      <c r="C124" s="4" t="s">
        <v>1636</v>
      </c>
      <c r="D124" s="4" t="s">
        <v>1637</v>
      </c>
      <c r="E124" s="4" t="s">
        <v>1347</v>
      </c>
      <c r="F124" s="4" t="s">
        <v>1638</v>
      </c>
      <c r="G124" s="4" t="s">
        <v>1639</v>
      </c>
      <c r="H124" s="4" t="s">
        <v>342</v>
      </c>
      <c r="I124" s="4" t="s">
        <v>954</v>
      </c>
      <c r="J124" s="4" t="s">
        <v>31</v>
      </c>
      <c r="K124" s="4" t="s">
        <v>31</v>
      </c>
      <c r="L124" s="2" t="s">
        <v>348</v>
      </c>
      <c r="M124" s="2" t="s">
        <v>40</v>
      </c>
      <c r="N124" s="4" t="s">
        <v>468</v>
      </c>
      <c r="O124" s="4" t="s">
        <v>163</v>
      </c>
      <c r="P124" s="4" t="s">
        <v>35</v>
      </c>
      <c r="Q124" s="153">
        <v>35075</v>
      </c>
      <c r="R124" s="153">
        <v>1</v>
      </c>
      <c r="S124" s="153">
        <v>1946</v>
      </c>
      <c r="T124" s="152">
        <v>5.2119999999999997</v>
      </c>
      <c r="U124" s="153">
        <v>687.77099999999996</v>
      </c>
      <c r="V124" s="167">
        <v>2.8E-5</v>
      </c>
      <c r="W124" s="167">
        <v>6.4005152711151994E-2</v>
      </c>
      <c r="X124" s="167">
        <v>1.3868999744276101E-2</v>
      </c>
    </row>
    <row r="125" spans="1:24">
      <c r="A125" s="4" t="s">
        <v>26</v>
      </c>
      <c r="B125" s="4">
        <v>1452</v>
      </c>
      <c r="C125" s="4" t="s">
        <v>1640</v>
      </c>
      <c r="D125" s="4" t="s">
        <v>1641</v>
      </c>
      <c r="E125" s="4" t="s">
        <v>1347</v>
      </c>
      <c r="F125" s="4" t="s">
        <v>1642</v>
      </c>
      <c r="G125" s="4" t="s">
        <v>1643</v>
      </c>
      <c r="H125" s="4" t="s">
        <v>342</v>
      </c>
      <c r="I125" s="4" t="s">
        <v>954</v>
      </c>
      <c r="J125" s="4" t="s">
        <v>31</v>
      </c>
      <c r="K125" s="4" t="s">
        <v>31</v>
      </c>
      <c r="L125" s="2" t="s">
        <v>348</v>
      </c>
      <c r="M125" s="2" t="s">
        <v>40</v>
      </c>
      <c r="N125" s="4" t="s">
        <v>467</v>
      </c>
      <c r="O125" s="4" t="s">
        <v>163</v>
      </c>
      <c r="P125" s="4" t="s">
        <v>35</v>
      </c>
      <c r="Q125" s="153">
        <v>350</v>
      </c>
      <c r="R125" s="153">
        <v>1</v>
      </c>
      <c r="S125" s="153">
        <v>28600</v>
      </c>
      <c r="U125" s="153">
        <v>100.1</v>
      </c>
      <c r="V125" s="167">
        <v>1.9000000000000001E-5</v>
      </c>
      <c r="W125" s="167">
        <v>9.3154771590371506E-3</v>
      </c>
      <c r="X125" s="167">
        <v>2.0185304598763299E-3</v>
      </c>
    </row>
    <row r="126" spans="1:24">
      <c r="A126" s="4" t="s">
        <v>26</v>
      </c>
      <c r="B126" s="4">
        <v>1452</v>
      </c>
      <c r="C126" s="4" t="s">
        <v>1644</v>
      </c>
      <c r="D126" s="4" t="s">
        <v>1645</v>
      </c>
      <c r="E126" s="4" t="s">
        <v>1347</v>
      </c>
      <c r="F126" s="4" t="s">
        <v>1646</v>
      </c>
      <c r="G126" s="4" t="s">
        <v>1647</v>
      </c>
      <c r="H126" s="4" t="s">
        <v>342</v>
      </c>
      <c r="I126" s="4" t="s">
        <v>954</v>
      </c>
      <c r="J126" s="4" t="s">
        <v>31</v>
      </c>
      <c r="K126" s="4" t="s">
        <v>31</v>
      </c>
      <c r="L126" s="2" t="s">
        <v>348</v>
      </c>
      <c r="M126" s="2" t="s">
        <v>40</v>
      </c>
      <c r="N126" s="4" t="s">
        <v>465</v>
      </c>
      <c r="O126" s="4" t="s">
        <v>163</v>
      </c>
      <c r="P126" s="4" t="s">
        <v>35</v>
      </c>
      <c r="Q126" s="153">
        <v>4670</v>
      </c>
      <c r="R126" s="153">
        <v>1</v>
      </c>
      <c r="S126" s="153">
        <v>3810</v>
      </c>
      <c r="U126" s="153">
        <v>177.92699999999999</v>
      </c>
      <c r="V126" s="167">
        <v>1.8E-5</v>
      </c>
      <c r="W126" s="167">
        <v>1.6558190853906099E-2</v>
      </c>
      <c r="X126" s="167">
        <v>3.5879227685755798E-3</v>
      </c>
    </row>
    <row r="127" spans="1:24">
      <c r="A127" s="4" t="s">
        <v>26</v>
      </c>
      <c r="B127" s="4">
        <v>1452</v>
      </c>
      <c r="C127" s="4" t="s">
        <v>1648</v>
      </c>
      <c r="D127" s="4" t="s">
        <v>1649</v>
      </c>
      <c r="E127" s="4" t="s">
        <v>1347</v>
      </c>
      <c r="F127" s="4" t="s">
        <v>1650</v>
      </c>
      <c r="G127" s="4" t="s">
        <v>1651</v>
      </c>
      <c r="H127" s="4" t="s">
        <v>342</v>
      </c>
      <c r="I127" s="4" t="s">
        <v>954</v>
      </c>
      <c r="J127" s="4" t="s">
        <v>31</v>
      </c>
      <c r="K127" s="4" t="s">
        <v>31</v>
      </c>
      <c r="L127" s="2" t="s">
        <v>348</v>
      </c>
      <c r="M127" s="2" t="s">
        <v>40</v>
      </c>
      <c r="N127" s="4" t="s">
        <v>496</v>
      </c>
      <c r="O127" s="4" t="s">
        <v>163</v>
      </c>
      <c r="P127" s="4" t="s">
        <v>35</v>
      </c>
      <c r="Q127" s="153">
        <v>5119</v>
      </c>
      <c r="R127" s="153">
        <v>1</v>
      </c>
      <c r="S127" s="153">
        <v>283.8</v>
      </c>
      <c r="U127" s="153">
        <v>14.528</v>
      </c>
      <c r="V127" s="167">
        <v>4.1E-5</v>
      </c>
      <c r="W127" s="167">
        <v>1.35197464998843E-3</v>
      </c>
      <c r="X127" s="167">
        <v>2.9295354015599902E-4</v>
      </c>
    </row>
    <row r="128" spans="1:24">
      <c r="A128" s="4" t="s">
        <v>26</v>
      </c>
      <c r="B128" s="4">
        <v>1452</v>
      </c>
      <c r="C128" s="4" t="s">
        <v>1652</v>
      </c>
      <c r="D128" s="4" t="s">
        <v>1653</v>
      </c>
      <c r="E128" s="4" t="s">
        <v>1347</v>
      </c>
      <c r="F128" s="4" t="s">
        <v>1654</v>
      </c>
      <c r="G128" s="4" t="s">
        <v>1655</v>
      </c>
      <c r="H128" s="4" t="s">
        <v>342</v>
      </c>
      <c r="I128" s="4" t="s">
        <v>954</v>
      </c>
      <c r="J128" s="4" t="s">
        <v>31</v>
      </c>
      <c r="K128" s="4" t="s">
        <v>31</v>
      </c>
      <c r="L128" s="2" t="s">
        <v>348</v>
      </c>
      <c r="M128" s="2" t="s">
        <v>40</v>
      </c>
      <c r="N128" s="4" t="s">
        <v>467</v>
      </c>
      <c r="O128" s="4" t="s">
        <v>163</v>
      </c>
      <c r="P128" s="4" t="s">
        <v>35</v>
      </c>
      <c r="Q128" s="153">
        <v>17000</v>
      </c>
      <c r="R128" s="153">
        <v>1</v>
      </c>
      <c r="S128" s="153">
        <v>1475</v>
      </c>
      <c r="U128" s="153">
        <v>250.75</v>
      </c>
      <c r="V128" s="167">
        <v>5.5999999999999999E-5</v>
      </c>
      <c r="W128" s="167">
        <v>2.33352237525331E-2</v>
      </c>
      <c r="X128" s="167">
        <v>5.0564087194204799E-3</v>
      </c>
    </row>
    <row r="129" spans="1:24">
      <c r="A129" s="4" t="s">
        <v>26</v>
      </c>
      <c r="B129" s="4">
        <v>1452</v>
      </c>
      <c r="C129" s="4" t="s">
        <v>1958</v>
      </c>
      <c r="D129" s="4" t="s">
        <v>1959</v>
      </c>
      <c r="E129" s="4" t="s">
        <v>1347</v>
      </c>
      <c r="F129" s="4" t="s">
        <v>1960</v>
      </c>
      <c r="G129" s="4" t="s">
        <v>1961</v>
      </c>
      <c r="H129" s="4" t="s">
        <v>342</v>
      </c>
      <c r="I129" s="4" t="s">
        <v>954</v>
      </c>
      <c r="J129" s="4" t="s">
        <v>31</v>
      </c>
      <c r="K129" s="4" t="s">
        <v>31</v>
      </c>
      <c r="L129" s="2" t="s">
        <v>348</v>
      </c>
      <c r="M129" s="2" t="s">
        <v>40</v>
      </c>
      <c r="N129" s="4" t="s">
        <v>474</v>
      </c>
      <c r="O129" s="4" t="s">
        <v>163</v>
      </c>
      <c r="P129" s="4" t="s">
        <v>35</v>
      </c>
      <c r="Q129" s="153">
        <v>0.01</v>
      </c>
      <c r="R129" s="153">
        <v>1</v>
      </c>
      <c r="S129" s="153">
        <v>179</v>
      </c>
      <c r="U129" s="153">
        <v>0</v>
      </c>
      <c r="V129" s="167">
        <v>0</v>
      </c>
      <c r="W129" s="167">
        <v>1.6658046068607901E-9</v>
      </c>
      <c r="X129" s="167">
        <v>3.6095599632154201E-10</v>
      </c>
    </row>
    <row r="130" spans="1:24">
      <c r="A130" s="4" t="s">
        <v>26</v>
      </c>
      <c r="B130" s="4">
        <v>1452</v>
      </c>
      <c r="C130" s="4" t="s">
        <v>1656</v>
      </c>
      <c r="D130" s="4" t="s">
        <v>1657</v>
      </c>
      <c r="E130" s="4" t="s">
        <v>1347</v>
      </c>
      <c r="F130" s="4" t="s">
        <v>1658</v>
      </c>
      <c r="G130" s="4" t="s">
        <v>1659</v>
      </c>
      <c r="H130" s="4" t="s">
        <v>342</v>
      </c>
      <c r="I130" s="4" t="s">
        <v>954</v>
      </c>
      <c r="J130" s="4" t="s">
        <v>31</v>
      </c>
      <c r="K130" s="4" t="s">
        <v>31</v>
      </c>
      <c r="L130" s="2" t="s">
        <v>348</v>
      </c>
      <c r="M130" s="2" t="s">
        <v>40</v>
      </c>
      <c r="N130" s="4" t="s">
        <v>465</v>
      </c>
      <c r="O130" s="4" t="s">
        <v>163</v>
      </c>
      <c r="P130" s="4" t="s">
        <v>35</v>
      </c>
      <c r="Q130" s="153">
        <v>2600</v>
      </c>
      <c r="R130" s="153">
        <v>1</v>
      </c>
      <c r="S130" s="153">
        <v>6569</v>
      </c>
      <c r="U130" s="153">
        <v>170.79400000000001</v>
      </c>
      <c r="V130" s="167">
        <v>3.3000000000000003E-5</v>
      </c>
      <c r="W130" s="167">
        <v>1.5894381677328599E-2</v>
      </c>
      <c r="X130" s="167">
        <v>3.4440848288123699E-3</v>
      </c>
    </row>
    <row r="131" spans="1:24">
      <c r="A131" s="4" t="s">
        <v>26</v>
      </c>
      <c r="B131" s="4">
        <v>1452</v>
      </c>
      <c r="C131" s="4" t="s">
        <v>1200</v>
      </c>
      <c r="D131" s="4" t="s">
        <v>1660</v>
      </c>
      <c r="E131" s="4" t="s">
        <v>1347</v>
      </c>
      <c r="F131" s="4" t="s">
        <v>1661</v>
      </c>
      <c r="G131" s="4" t="s">
        <v>1662</v>
      </c>
      <c r="H131" s="4" t="s">
        <v>342</v>
      </c>
      <c r="I131" s="4" t="s">
        <v>954</v>
      </c>
      <c r="J131" s="4" t="s">
        <v>31</v>
      </c>
      <c r="K131" s="4" t="s">
        <v>31</v>
      </c>
      <c r="L131" s="2" t="s">
        <v>348</v>
      </c>
      <c r="M131" s="2" t="s">
        <v>40</v>
      </c>
      <c r="N131" s="4" t="s">
        <v>468</v>
      </c>
      <c r="O131" s="4" t="s">
        <v>163</v>
      </c>
      <c r="P131" s="4" t="s">
        <v>35</v>
      </c>
      <c r="Q131" s="153">
        <v>25000</v>
      </c>
      <c r="R131" s="153">
        <v>1</v>
      </c>
      <c r="S131" s="153">
        <v>3100</v>
      </c>
      <c r="T131" s="152">
        <v>5.9930000000000003</v>
      </c>
      <c r="U131" s="153">
        <v>780.99300000000005</v>
      </c>
      <c r="V131" s="167">
        <v>1.5E-5</v>
      </c>
      <c r="W131" s="167">
        <v>7.26805151355642E-2</v>
      </c>
      <c r="X131" s="167">
        <v>1.5748826510547001E-2</v>
      </c>
    </row>
    <row r="132" spans="1:24">
      <c r="A132" s="4" t="s">
        <v>26</v>
      </c>
      <c r="B132" s="4">
        <v>1452</v>
      </c>
      <c r="C132" s="4" t="s">
        <v>1663</v>
      </c>
      <c r="D132" s="4" t="s">
        <v>1664</v>
      </c>
      <c r="E132" s="4" t="s">
        <v>1347</v>
      </c>
      <c r="F132" s="4" t="s">
        <v>1665</v>
      </c>
      <c r="G132" s="4" t="s">
        <v>1666</v>
      </c>
      <c r="H132" s="4" t="s">
        <v>342</v>
      </c>
      <c r="I132" s="4" t="s">
        <v>954</v>
      </c>
      <c r="J132" s="4" t="s">
        <v>31</v>
      </c>
      <c r="K132" s="4" t="s">
        <v>31</v>
      </c>
      <c r="L132" s="2" t="s">
        <v>348</v>
      </c>
      <c r="M132" s="2" t="s">
        <v>40</v>
      </c>
      <c r="N132" s="4" t="s">
        <v>499</v>
      </c>
      <c r="O132" s="4" t="s">
        <v>361</v>
      </c>
      <c r="P132" s="4" t="s">
        <v>35</v>
      </c>
      <c r="Q132" s="153">
        <v>12200</v>
      </c>
      <c r="R132" s="153">
        <v>1</v>
      </c>
      <c r="S132" s="153">
        <v>848.3</v>
      </c>
      <c r="U132" s="153">
        <v>103.49299999999999</v>
      </c>
      <c r="V132" s="167">
        <v>1.7200000000000001E-4</v>
      </c>
      <c r="W132" s="167">
        <v>9.6311983159776994E-3</v>
      </c>
      <c r="X132" s="167">
        <v>2.0869427120059699E-3</v>
      </c>
    </row>
    <row r="133" spans="1:24">
      <c r="A133" s="4" t="s">
        <v>26</v>
      </c>
      <c r="B133" s="4">
        <v>1452</v>
      </c>
      <c r="C133" s="4" t="s">
        <v>1667</v>
      </c>
      <c r="D133" s="4" t="s">
        <v>1668</v>
      </c>
      <c r="E133" s="4" t="s">
        <v>1347</v>
      </c>
      <c r="F133" s="4" t="s">
        <v>1669</v>
      </c>
      <c r="G133" s="4" t="s">
        <v>1670</v>
      </c>
      <c r="H133" s="4" t="s">
        <v>342</v>
      </c>
      <c r="I133" s="4" t="s">
        <v>954</v>
      </c>
      <c r="J133" s="4" t="s">
        <v>31</v>
      </c>
      <c r="K133" s="4" t="s">
        <v>31</v>
      </c>
      <c r="L133" s="2" t="s">
        <v>348</v>
      </c>
      <c r="M133" s="2" t="s">
        <v>40</v>
      </c>
      <c r="N133" s="4" t="s">
        <v>468</v>
      </c>
      <c r="O133" s="4" t="s">
        <v>163</v>
      </c>
      <c r="P133" s="4" t="s">
        <v>35</v>
      </c>
      <c r="Q133" s="153">
        <v>3581</v>
      </c>
      <c r="R133" s="153">
        <v>1</v>
      </c>
      <c r="S133" s="153">
        <v>14000</v>
      </c>
      <c r="U133" s="153">
        <v>501.34</v>
      </c>
      <c r="V133" s="167">
        <v>1.4E-5</v>
      </c>
      <c r="W133" s="167">
        <v>4.6655557631485399E-2</v>
      </c>
      <c r="X133" s="167">
        <v>1.0109591016527499E-2</v>
      </c>
    </row>
    <row r="134" spans="1:24">
      <c r="A134" s="4" t="s">
        <v>26</v>
      </c>
      <c r="B134" s="4">
        <v>1452</v>
      </c>
      <c r="C134" s="4" t="s">
        <v>1671</v>
      </c>
      <c r="D134" s="4" t="s">
        <v>1672</v>
      </c>
      <c r="E134" s="4" t="s">
        <v>1347</v>
      </c>
      <c r="F134" s="4" t="s">
        <v>1673</v>
      </c>
      <c r="G134" s="4" t="s">
        <v>1674</v>
      </c>
      <c r="H134" s="4" t="s">
        <v>342</v>
      </c>
      <c r="I134" s="4" t="s">
        <v>954</v>
      </c>
      <c r="J134" s="4" t="s">
        <v>31</v>
      </c>
      <c r="K134" s="4" t="s">
        <v>31</v>
      </c>
      <c r="L134" s="2" t="s">
        <v>348</v>
      </c>
      <c r="M134" s="2" t="s">
        <v>40</v>
      </c>
      <c r="N134" s="4" t="s">
        <v>497</v>
      </c>
      <c r="O134" s="4" t="s">
        <v>163</v>
      </c>
      <c r="P134" s="4" t="s">
        <v>35</v>
      </c>
      <c r="Q134" s="153">
        <v>2600</v>
      </c>
      <c r="R134" s="153">
        <v>1</v>
      </c>
      <c r="S134" s="153">
        <v>8160</v>
      </c>
      <c r="T134" s="152">
        <v>3.302</v>
      </c>
      <c r="U134" s="153">
        <v>215.46199999999999</v>
      </c>
      <c r="V134" s="167">
        <v>4.1E-5</v>
      </c>
      <c r="W134" s="167">
        <v>2.0051262134270401E-2</v>
      </c>
      <c r="X134" s="167">
        <v>4.3448212781805598E-3</v>
      </c>
    </row>
    <row r="135" spans="1:24">
      <c r="A135" s="4" t="s">
        <v>26</v>
      </c>
      <c r="B135" s="4">
        <v>1452</v>
      </c>
      <c r="C135" s="4" t="s">
        <v>1675</v>
      </c>
      <c r="D135" s="4" t="s">
        <v>1676</v>
      </c>
      <c r="E135" s="4" t="s">
        <v>1347</v>
      </c>
      <c r="F135" s="4" t="s">
        <v>1677</v>
      </c>
      <c r="G135" s="4" t="s">
        <v>1678</v>
      </c>
      <c r="H135" s="4" t="s">
        <v>342</v>
      </c>
      <c r="I135" s="4" t="s">
        <v>954</v>
      </c>
      <c r="J135" s="4" t="s">
        <v>31</v>
      </c>
      <c r="K135" s="4" t="s">
        <v>127</v>
      </c>
      <c r="L135" s="2" t="s">
        <v>348</v>
      </c>
      <c r="M135" s="2" t="s">
        <v>40</v>
      </c>
      <c r="N135" s="4" t="s">
        <v>494</v>
      </c>
      <c r="O135" s="4" t="s">
        <v>163</v>
      </c>
      <c r="P135" s="4" t="s">
        <v>35</v>
      </c>
      <c r="Q135" s="153">
        <v>2172</v>
      </c>
      <c r="R135" s="153">
        <v>1</v>
      </c>
      <c r="S135" s="153">
        <v>3622</v>
      </c>
      <c r="U135" s="153">
        <v>78.67</v>
      </c>
      <c r="V135" s="167">
        <v>2.0000000000000002E-5</v>
      </c>
      <c r="W135" s="167">
        <v>7.32114982642465E-3</v>
      </c>
      <c r="X135" s="167">
        <v>1.58638829484113E-3</v>
      </c>
    </row>
    <row r="136" spans="1:24">
      <c r="A136" s="4" t="s">
        <v>26</v>
      </c>
      <c r="B136" s="4">
        <v>1452</v>
      </c>
      <c r="C136" s="4" t="s">
        <v>1679</v>
      </c>
      <c r="D136" s="4" t="s">
        <v>1680</v>
      </c>
      <c r="E136" s="4" t="s">
        <v>1347</v>
      </c>
      <c r="F136" s="4" t="s">
        <v>1681</v>
      </c>
      <c r="G136" s="4" t="s">
        <v>1682</v>
      </c>
      <c r="H136" s="4" t="s">
        <v>342</v>
      </c>
      <c r="I136" s="4" t="s">
        <v>954</v>
      </c>
      <c r="J136" s="4" t="s">
        <v>31</v>
      </c>
      <c r="K136" s="4" t="s">
        <v>31</v>
      </c>
      <c r="L136" s="2" t="s">
        <v>348</v>
      </c>
      <c r="M136" s="2" t="s">
        <v>40</v>
      </c>
      <c r="N136" s="4" t="s">
        <v>484</v>
      </c>
      <c r="O136" s="4" t="s">
        <v>163</v>
      </c>
      <c r="P136" s="4" t="s">
        <v>35</v>
      </c>
      <c r="Q136" s="153">
        <v>812</v>
      </c>
      <c r="R136" s="153">
        <v>1</v>
      </c>
      <c r="S136" s="153">
        <v>26900</v>
      </c>
      <c r="T136" s="152">
        <v>2.0499999999999998</v>
      </c>
      <c r="U136" s="153">
        <v>220.47800000000001</v>
      </c>
      <c r="V136" s="167">
        <v>1.7E-5</v>
      </c>
      <c r="W136" s="167">
        <v>2.0518101548800301E-2</v>
      </c>
      <c r="X136" s="167">
        <v>4.4459786920211797E-3</v>
      </c>
    </row>
    <row r="137" spans="1:24">
      <c r="A137" s="4" t="s">
        <v>26</v>
      </c>
      <c r="B137" s="4">
        <v>1452</v>
      </c>
      <c r="C137" s="4" t="s">
        <v>1604</v>
      </c>
      <c r="D137" s="4" t="s">
        <v>1605</v>
      </c>
      <c r="E137" s="4" t="s">
        <v>1347</v>
      </c>
      <c r="F137" s="4" t="s">
        <v>1687</v>
      </c>
      <c r="G137" s="4" t="s">
        <v>1607</v>
      </c>
      <c r="H137" s="4" t="s">
        <v>342</v>
      </c>
      <c r="I137" s="4" t="s">
        <v>954</v>
      </c>
      <c r="J137" s="4" t="s">
        <v>31</v>
      </c>
      <c r="K137" s="4" t="s">
        <v>319</v>
      </c>
      <c r="L137" s="2" t="s">
        <v>348</v>
      </c>
      <c r="M137" s="2" t="s">
        <v>40</v>
      </c>
      <c r="N137" s="4" t="s">
        <v>478</v>
      </c>
      <c r="O137" s="4" t="s">
        <v>163</v>
      </c>
      <c r="P137" s="4" t="s">
        <v>35</v>
      </c>
      <c r="Q137" s="153">
        <v>211</v>
      </c>
      <c r="R137" s="153">
        <v>1</v>
      </c>
      <c r="S137" s="153">
        <v>64720</v>
      </c>
      <c r="U137" s="153">
        <v>136.559</v>
      </c>
      <c r="V137" s="167">
        <v>6.9999999999999999E-6</v>
      </c>
      <c r="W137" s="167">
        <v>1.2708432651912E-2</v>
      </c>
      <c r="X137" s="167">
        <v>2.7537353124509902E-3</v>
      </c>
    </row>
    <row r="138" spans="1:24">
      <c r="A138" s="4" t="s">
        <v>26</v>
      </c>
      <c r="B138" s="4">
        <v>1452</v>
      </c>
      <c r="C138" s="4" t="s">
        <v>1688</v>
      </c>
      <c r="D138" s="4" t="s">
        <v>1689</v>
      </c>
      <c r="E138" s="4" t="s">
        <v>1347</v>
      </c>
      <c r="F138" s="4" t="s">
        <v>1690</v>
      </c>
      <c r="G138" s="4" t="s">
        <v>1691</v>
      </c>
      <c r="H138" s="4" t="s">
        <v>342</v>
      </c>
      <c r="I138" s="4" t="s">
        <v>954</v>
      </c>
      <c r="J138" s="4" t="s">
        <v>31</v>
      </c>
      <c r="K138" s="4" t="s">
        <v>31</v>
      </c>
      <c r="L138" s="2" t="s">
        <v>348</v>
      </c>
      <c r="M138" s="2" t="s">
        <v>40</v>
      </c>
      <c r="N138" s="4" t="s">
        <v>474</v>
      </c>
      <c r="O138" s="4" t="s">
        <v>163</v>
      </c>
      <c r="P138" s="4" t="s">
        <v>35</v>
      </c>
      <c r="Q138" s="153">
        <v>10722</v>
      </c>
      <c r="R138" s="153">
        <v>1</v>
      </c>
      <c r="S138" s="153">
        <v>935.3</v>
      </c>
      <c r="T138" s="152">
        <v>2.0539999999999998</v>
      </c>
      <c r="U138" s="153">
        <v>102.337</v>
      </c>
      <c r="V138" s="167">
        <v>9.0000000000000002E-6</v>
      </c>
      <c r="W138" s="167">
        <v>9.5236735135178496E-3</v>
      </c>
      <c r="X138" s="167">
        <v>2.0636436275627301E-3</v>
      </c>
    </row>
    <row r="139" spans="1:24">
      <c r="A139" s="4" t="s">
        <v>26</v>
      </c>
      <c r="B139" s="4">
        <v>1452</v>
      </c>
      <c r="C139" s="4" t="s">
        <v>1692</v>
      </c>
      <c r="D139" s="4" t="s">
        <v>1693</v>
      </c>
      <c r="E139" s="4" t="s">
        <v>1347</v>
      </c>
      <c r="F139" s="4" t="s">
        <v>1694</v>
      </c>
      <c r="G139" s="4" t="s">
        <v>1695</v>
      </c>
      <c r="H139" s="4" t="s">
        <v>342</v>
      </c>
      <c r="I139" s="4" t="s">
        <v>954</v>
      </c>
      <c r="J139" s="4" t="s">
        <v>31</v>
      </c>
      <c r="K139" s="4" t="s">
        <v>127</v>
      </c>
      <c r="L139" s="2" t="s">
        <v>348</v>
      </c>
      <c r="M139" s="2" t="s">
        <v>40</v>
      </c>
      <c r="N139" s="4" t="s">
        <v>501</v>
      </c>
      <c r="O139" s="4" t="s">
        <v>163</v>
      </c>
      <c r="P139" s="4" t="s">
        <v>35</v>
      </c>
      <c r="Q139" s="153">
        <v>201</v>
      </c>
      <c r="R139" s="153">
        <v>1</v>
      </c>
      <c r="S139" s="153">
        <v>95150</v>
      </c>
      <c r="U139" s="153">
        <v>191.251</v>
      </c>
      <c r="V139" s="167">
        <v>3.0000000000000001E-6</v>
      </c>
      <c r="W139" s="167">
        <v>1.7798191607208701E-2</v>
      </c>
      <c r="X139" s="167">
        <v>3.8566131693010802E-3</v>
      </c>
    </row>
    <row r="140" spans="1:24">
      <c r="A140" s="4" t="s">
        <v>26</v>
      </c>
      <c r="B140" s="4">
        <v>1452</v>
      </c>
      <c r="C140" s="4" t="s">
        <v>1696</v>
      </c>
      <c r="D140" s="4" t="s">
        <v>1697</v>
      </c>
      <c r="E140" s="4" t="s">
        <v>1347</v>
      </c>
      <c r="F140" s="4" t="s">
        <v>1698</v>
      </c>
      <c r="G140" s="4" t="s">
        <v>1699</v>
      </c>
      <c r="H140" s="4" t="s">
        <v>342</v>
      </c>
      <c r="I140" s="4" t="s">
        <v>954</v>
      </c>
      <c r="J140" s="4" t="s">
        <v>31</v>
      </c>
      <c r="K140" s="4" t="s">
        <v>31</v>
      </c>
      <c r="L140" s="2" t="s">
        <v>348</v>
      </c>
      <c r="M140" s="2" t="s">
        <v>40</v>
      </c>
      <c r="N140" s="4" t="s">
        <v>484</v>
      </c>
      <c r="O140" s="4" t="s">
        <v>163</v>
      </c>
      <c r="P140" s="4" t="s">
        <v>35</v>
      </c>
      <c r="Q140" s="153">
        <v>1706</v>
      </c>
      <c r="R140" s="153">
        <v>1</v>
      </c>
      <c r="S140" s="153">
        <v>26610</v>
      </c>
      <c r="U140" s="153">
        <v>453.96699999999998</v>
      </c>
      <c r="V140" s="167">
        <v>1.4E-5</v>
      </c>
      <c r="W140" s="167">
        <v>4.22469080246329E-2</v>
      </c>
      <c r="X140" s="167">
        <v>9.1542997988660803E-3</v>
      </c>
    </row>
    <row r="141" spans="1:24">
      <c r="A141" s="4" t="s">
        <v>26</v>
      </c>
      <c r="B141" s="4">
        <v>1452</v>
      </c>
      <c r="C141" s="4" t="s">
        <v>1700</v>
      </c>
      <c r="D141" s="4" t="s">
        <v>1701</v>
      </c>
      <c r="E141" s="4" t="s">
        <v>1347</v>
      </c>
      <c r="F141" s="4" t="s">
        <v>1702</v>
      </c>
      <c r="G141" s="4" t="s">
        <v>1703</v>
      </c>
      <c r="H141" s="4" t="s">
        <v>342</v>
      </c>
      <c r="I141" s="4" t="s">
        <v>954</v>
      </c>
      <c r="J141" s="4" t="s">
        <v>31</v>
      </c>
      <c r="K141" s="4" t="s">
        <v>31</v>
      </c>
      <c r="L141" s="2" t="s">
        <v>348</v>
      </c>
      <c r="M141" s="2" t="s">
        <v>40</v>
      </c>
      <c r="N141" s="4" t="s">
        <v>468</v>
      </c>
      <c r="O141" s="4" t="s">
        <v>163</v>
      </c>
      <c r="P141" s="4" t="s">
        <v>35</v>
      </c>
      <c r="Q141" s="153">
        <v>19590</v>
      </c>
      <c r="R141" s="153">
        <v>1</v>
      </c>
      <c r="S141" s="153">
        <v>3500</v>
      </c>
      <c r="T141" s="152">
        <v>5.1559999999999997</v>
      </c>
      <c r="U141" s="153">
        <v>690.80600000000004</v>
      </c>
      <c r="V141" s="167">
        <v>1.5E-5</v>
      </c>
      <c r="W141" s="167">
        <v>6.4287633155940299E-2</v>
      </c>
      <c r="X141" s="167">
        <v>1.39302092102423E-2</v>
      </c>
    </row>
    <row r="142" spans="1:24">
      <c r="A142" s="4" t="s">
        <v>26</v>
      </c>
      <c r="B142" s="4">
        <v>1452</v>
      </c>
      <c r="C142" s="4" t="s">
        <v>1704</v>
      </c>
      <c r="D142" s="4" t="s">
        <v>1705</v>
      </c>
      <c r="E142" s="4" t="s">
        <v>1347</v>
      </c>
      <c r="F142" s="4" t="s">
        <v>1706</v>
      </c>
      <c r="G142" s="4" t="s">
        <v>1707</v>
      </c>
      <c r="H142" s="4" t="s">
        <v>342</v>
      </c>
      <c r="I142" s="4" t="s">
        <v>954</v>
      </c>
      <c r="J142" s="4" t="s">
        <v>31</v>
      </c>
      <c r="K142" s="4" t="s">
        <v>31</v>
      </c>
      <c r="L142" s="2" t="s">
        <v>348</v>
      </c>
      <c r="M142" s="2" t="s">
        <v>40</v>
      </c>
      <c r="N142" s="4" t="s">
        <v>496</v>
      </c>
      <c r="O142" s="4" t="s">
        <v>163</v>
      </c>
      <c r="P142" s="4" t="s">
        <v>35</v>
      </c>
      <c r="Q142" s="153">
        <v>589</v>
      </c>
      <c r="R142" s="153">
        <v>1</v>
      </c>
      <c r="S142" s="153">
        <v>34140</v>
      </c>
      <c r="U142" s="153">
        <v>201.08500000000001</v>
      </c>
      <c r="V142" s="167">
        <v>4.3000000000000002E-5</v>
      </c>
      <c r="W142" s="167">
        <v>1.8713276706634599E-2</v>
      </c>
      <c r="X142" s="167">
        <v>4.05489900211836E-3</v>
      </c>
    </row>
    <row r="143" spans="1:24">
      <c r="A143" s="4" t="s">
        <v>26</v>
      </c>
      <c r="B143" s="4">
        <v>1452</v>
      </c>
      <c r="C143" s="4" t="s">
        <v>1708</v>
      </c>
      <c r="D143" s="4" t="s">
        <v>1709</v>
      </c>
      <c r="E143" s="4" t="s">
        <v>1347</v>
      </c>
      <c r="F143" s="4" t="s">
        <v>1710</v>
      </c>
      <c r="G143" s="4" t="s">
        <v>1711</v>
      </c>
      <c r="H143" s="4" t="s">
        <v>342</v>
      </c>
      <c r="I143" s="4" t="s">
        <v>954</v>
      </c>
      <c r="J143" s="4" t="s">
        <v>31</v>
      </c>
      <c r="K143" s="4" t="s">
        <v>31</v>
      </c>
      <c r="L143" s="2" t="s">
        <v>348</v>
      </c>
      <c r="M143" s="2" t="s">
        <v>40</v>
      </c>
      <c r="N143" s="4" t="s">
        <v>497</v>
      </c>
      <c r="O143" s="4" t="s">
        <v>163</v>
      </c>
      <c r="P143" s="4" t="s">
        <v>35</v>
      </c>
      <c r="Q143" s="153">
        <v>400</v>
      </c>
      <c r="R143" s="153">
        <v>1</v>
      </c>
      <c r="S143" s="153">
        <v>30030</v>
      </c>
      <c r="U143" s="153">
        <v>120.12</v>
      </c>
      <c r="V143" s="167">
        <v>2.5999999999999998E-5</v>
      </c>
      <c r="W143" s="167">
        <v>1.11785725908446E-2</v>
      </c>
      <c r="X143" s="167">
        <v>2.4222365518515999E-3</v>
      </c>
    </row>
    <row r="144" spans="1:24">
      <c r="A144" s="4" t="s">
        <v>26</v>
      </c>
      <c r="B144" s="4">
        <v>1452</v>
      </c>
      <c r="C144" s="4" t="s">
        <v>1792</v>
      </c>
      <c r="D144" s="4" t="s">
        <v>1793</v>
      </c>
      <c r="E144" s="4" t="s">
        <v>1347</v>
      </c>
      <c r="F144" s="4" t="s">
        <v>1794</v>
      </c>
      <c r="G144" s="4" t="s">
        <v>1795</v>
      </c>
      <c r="H144" s="4" t="s">
        <v>342</v>
      </c>
      <c r="I144" s="4" t="s">
        <v>954</v>
      </c>
      <c r="J144" s="4" t="s">
        <v>31</v>
      </c>
      <c r="K144" s="4" t="s">
        <v>319</v>
      </c>
      <c r="L144" s="2" t="s">
        <v>348</v>
      </c>
      <c r="M144" s="2" t="s">
        <v>40</v>
      </c>
      <c r="N144" s="4" t="s">
        <v>478</v>
      </c>
      <c r="O144" s="4" t="s">
        <v>163</v>
      </c>
      <c r="P144" s="4" t="s">
        <v>35</v>
      </c>
      <c r="Q144" s="153">
        <v>1200</v>
      </c>
      <c r="R144" s="153">
        <v>1</v>
      </c>
      <c r="S144" s="153">
        <v>30800</v>
      </c>
      <c r="U144" s="153">
        <v>369.6</v>
      </c>
      <c r="V144" s="167">
        <v>2.6999999999999999E-5</v>
      </c>
      <c r="W144" s="167">
        <v>3.43956079718295E-2</v>
      </c>
      <c r="X144" s="167">
        <v>7.4530355441587599E-3</v>
      </c>
    </row>
    <row r="145" spans="1:24">
      <c r="A145" s="4" t="s">
        <v>26</v>
      </c>
      <c r="B145" s="4">
        <v>1452</v>
      </c>
      <c r="C145" s="4" t="s">
        <v>1712</v>
      </c>
      <c r="D145" s="4" t="s">
        <v>1713</v>
      </c>
      <c r="E145" s="4" t="s">
        <v>1347</v>
      </c>
      <c r="F145" s="4" t="s">
        <v>1714</v>
      </c>
      <c r="G145" s="4" t="s">
        <v>1715</v>
      </c>
      <c r="H145" s="4" t="s">
        <v>342</v>
      </c>
      <c r="I145" s="4" t="s">
        <v>954</v>
      </c>
      <c r="J145" s="4" t="s">
        <v>31</v>
      </c>
      <c r="K145" s="4" t="s">
        <v>31</v>
      </c>
      <c r="L145" s="2" t="s">
        <v>348</v>
      </c>
      <c r="M145" s="2" t="s">
        <v>40</v>
      </c>
      <c r="N145" s="4" t="s">
        <v>484</v>
      </c>
      <c r="O145" s="4" t="s">
        <v>163</v>
      </c>
      <c r="P145" s="4" t="s">
        <v>35</v>
      </c>
      <c r="Q145" s="153">
        <v>8025</v>
      </c>
      <c r="R145" s="153">
        <v>1</v>
      </c>
      <c r="S145" s="153">
        <v>1566</v>
      </c>
      <c r="U145" s="153">
        <v>125.67100000000001</v>
      </c>
      <c r="V145" s="167">
        <v>4.1E-5</v>
      </c>
      <c r="W145" s="167">
        <v>1.16952046732461E-2</v>
      </c>
      <c r="X145" s="167">
        <v>2.5341833235599199E-3</v>
      </c>
    </row>
    <row r="146" spans="1:24">
      <c r="A146" s="4" t="s">
        <v>26</v>
      </c>
      <c r="B146" s="4">
        <v>1452</v>
      </c>
      <c r="C146" s="4" t="s">
        <v>1716</v>
      </c>
      <c r="D146" s="4" t="s">
        <v>1717</v>
      </c>
      <c r="E146" s="4" t="s">
        <v>1347</v>
      </c>
      <c r="F146" s="4" t="s">
        <v>1718</v>
      </c>
      <c r="G146" s="4" t="s">
        <v>1719</v>
      </c>
      <c r="H146" s="4" t="s">
        <v>342</v>
      </c>
      <c r="I146" s="4" t="s">
        <v>954</v>
      </c>
      <c r="J146" s="4" t="s">
        <v>31</v>
      </c>
      <c r="K146" s="4" t="s">
        <v>31</v>
      </c>
      <c r="L146" s="2" t="s">
        <v>348</v>
      </c>
      <c r="M146" s="2" t="s">
        <v>40</v>
      </c>
      <c r="N146" s="4" t="s">
        <v>474</v>
      </c>
      <c r="O146" s="4" t="s">
        <v>163</v>
      </c>
      <c r="P146" s="4" t="s">
        <v>35</v>
      </c>
      <c r="Q146" s="153">
        <v>109035</v>
      </c>
      <c r="R146" s="153">
        <v>1</v>
      </c>
      <c r="S146" s="153">
        <v>302.8</v>
      </c>
      <c r="U146" s="153">
        <v>330.15800000000002</v>
      </c>
      <c r="V146" s="167">
        <v>9.7E-5</v>
      </c>
      <c r="W146" s="167">
        <v>3.0725066149489E-2</v>
      </c>
      <c r="X146" s="167">
        <v>6.6576817103020996E-3</v>
      </c>
    </row>
    <row r="147" spans="1:24">
      <c r="A147" s="4" t="s">
        <v>26</v>
      </c>
      <c r="B147" s="4">
        <v>1452</v>
      </c>
      <c r="C147" s="4" t="s">
        <v>1720</v>
      </c>
      <c r="D147" s="4" t="s">
        <v>1721</v>
      </c>
      <c r="E147" s="4" t="s">
        <v>1347</v>
      </c>
      <c r="F147" s="4" t="s">
        <v>1722</v>
      </c>
      <c r="G147" s="4" t="s">
        <v>1723</v>
      </c>
      <c r="H147" s="4" t="s">
        <v>342</v>
      </c>
      <c r="I147" s="4" t="s">
        <v>954</v>
      </c>
      <c r="J147" s="4" t="s">
        <v>31</v>
      </c>
      <c r="K147" s="4" t="s">
        <v>31</v>
      </c>
      <c r="L147" s="2" t="s">
        <v>348</v>
      </c>
      <c r="M147" s="2" t="s">
        <v>40</v>
      </c>
      <c r="N147" s="4" t="s">
        <v>482</v>
      </c>
      <c r="O147" s="4" t="s">
        <v>163</v>
      </c>
      <c r="P147" s="4" t="s">
        <v>35</v>
      </c>
      <c r="Q147" s="153">
        <v>350</v>
      </c>
      <c r="R147" s="153">
        <v>1</v>
      </c>
      <c r="S147" s="153">
        <v>30040</v>
      </c>
      <c r="T147" s="152">
        <v>0.92500000000000004</v>
      </c>
      <c r="U147" s="153">
        <v>106.065</v>
      </c>
      <c r="V147" s="167">
        <v>4.1E-5</v>
      </c>
      <c r="W147" s="167">
        <v>9.8706218994556397E-3</v>
      </c>
      <c r="X147" s="167">
        <v>2.1388223728985001E-3</v>
      </c>
    </row>
    <row r="148" spans="1:24">
      <c r="A148" s="4" t="s">
        <v>26</v>
      </c>
      <c r="B148" s="4">
        <v>1452</v>
      </c>
      <c r="C148" s="4" t="s">
        <v>1800</v>
      </c>
      <c r="D148" s="4" t="s">
        <v>1801</v>
      </c>
      <c r="E148" s="4" t="s">
        <v>335</v>
      </c>
      <c r="F148" s="4" t="s">
        <v>1802</v>
      </c>
      <c r="G148" s="4" t="s">
        <v>1803</v>
      </c>
      <c r="H148" s="4" t="s">
        <v>342</v>
      </c>
      <c r="I148" s="4" t="s">
        <v>954</v>
      </c>
      <c r="J148" s="4" t="s">
        <v>120</v>
      </c>
      <c r="K148" s="4" t="s">
        <v>127</v>
      </c>
      <c r="L148" s="2" t="s">
        <v>348</v>
      </c>
      <c r="M148" s="2" t="s">
        <v>367</v>
      </c>
      <c r="N148" s="4" t="s">
        <v>569</v>
      </c>
      <c r="O148" s="4" t="s">
        <v>163</v>
      </c>
      <c r="P148" s="4" t="s">
        <v>100</v>
      </c>
      <c r="Q148" s="153">
        <v>170</v>
      </c>
      <c r="R148" s="153">
        <v>3.681</v>
      </c>
      <c r="S148" s="153">
        <v>18049</v>
      </c>
      <c r="U148" s="153">
        <v>112.94499999999999</v>
      </c>
      <c r="V148" s="167">
        <v>0</v>
      </c>
      <c r="W148" s="167">
        <v>1.0510875975378701E-2</v>
      </c>
      <c r="X148" s="167">
        <v>2.2775562597672902E-3</v>
      </c>
    </row>
    <row r="149" spans="1:24">
      <c r="A149" s="4" t="s">
        <v>26</v>
      </c>
      <c r="B149" s="4">
        <v>1452</v>
      </c>
      <c r="C149" s="4" t="s">
        <v>1804</v>
      </c>
      <c r="D149" s="4" t="s">
        <v>1805</v>
      </c>
      <c r="E149" s="4" t="s">
        <v>335</v>
      </c>
      <c r="F149" s="4" t="s">
        <v>1806</v>
      </c>
      <c r="G149" s="4" t="s">
        <v>1807</v>
      </c>
      <c r="H149" s="4" t="s">
        <v>342</v>
      </c>
      <c r="I149" s="4" t="s">
        <v>954</v>
      </c>
      <c r="J149" s="4" t="s">
        <v>120</v>
      </c>
      <c r="K149" s="4" t="s">
        <v>127</v>
      </c>
      <c r="L149" s="2" t="s">
        <v>348</v>
      </c>
      <c r="M149" s="2" t="s">
        <v>367</v>
      </c>
      <c r="N149" s="4" t="s">
        <v>536</v>
      </c>
      <c r="O149" s="4" t="s">
        <v>163</v>
      </c>
      <c r="P149" s="4" t="s">
        <v>100</v>
      </c>
      <c r="Q149" s="153">
        <v>330</v>
      </c>
      <c r="R149" s="153">
        <v>3.681</v>
      </c>
      <c r="S149" s="153">
        <v>180.38</v>
      </c>
      <c r="U149" s="153">
        <v>219.113</v>
      </c>
      <c r="V149" s="167">
        <v>0</v>
      </c>
      <c r="W149" s="167">
        <v>2.03910301950836E-2</v>
      </c>
      <c r="X149" s="167">
        <v>4.4184441499171201E-3</v>
      </c>
    </row>
    <row r="150" spans="1:24">
      <c r="A150" s="4" t="s">
        <v>26</v>
      </c>
      <c r="B150" s="4">
        <v>1452</v>
      </c>
      <c r="C150" s="4" t="s">
        <v>1808</v>
      </c>
      <c r="D150" s="4" t="s">
        <v>1809</v>
      </c>
      <c r="E150" s="4" t="s">
        <v>335</v>
      </c>
      <c r="F150" s="4" t="s">
        <v>1810</v>
      </c>
      <c r="G150" s="4" t="s">
        <v>1811</v>
      </c>
      <c r="H150" s="4" t="s">
        <v>342</v>
      </c>
      <c r="I150" s="4" t="s">
        <v>954</v>
      </c>
      <c r="J150" s="4" t="s">
        <v>120</v>
      </c>
      <c r="K150" s="4" t="s">
        <v>127</v>
      </c>
      <c r="L150" s="2" t="s">
        <v>348</v>
      </c>
      <c r="M150" s="2" t="s">
        <v>367</v>
      </c>
      <c r="N150" s="4" t="s">
        <v>569</v>
      </c>
      <c r="O150" s="4" t="s">
        <v>163</v>
      </c>
      <c r="P150" s="4" t="s">
        <v>100</v>
      </c>
      <c r="Q150" s="153">
        <v>65</v>
      </c>
      <c r="R150" s="153">
        <v>3.681</v>
      </c>
      <c r="S150" s="153">
        <v>97047</v>
      </c>
      <c r="U150" s="153">
        <v>232.2</v>
      </c>
      <c r="V150" s="167">
        <v>0</v>
      </c>
      <c r="W150" s="167">
        <v>2.16088829268259E-2</v>
      </c>
      <c r="X150" s="167">
        <v>4.6823353916320403E-3</v>
      </c>
    </row>
    <row r="151" spans="1:24">
      <c r="A151" s="4" t="s">
        <v>26</v>
      </c>
      <c r="B151" s="4">
        <v>1452</v>
      </c>
      <c r="C151" s="4" t="s">
        <v>1815</v>
      </c>
      <c r="D151" s="4" t="s">
        <v>1816</v>
      </c>
      <c r="E151" s="4" t="s">
        <v>335</v>
      </c>
      <c r="F151" s="4" t="s">
        <v>1817</v>
      </c>
      <c r="G151" s="4" t="s">
        <v>1818</v>
      </c>
      <c r="H151" s="4" t="s">
        <v>342</v>
      </c>
      <c r="I151" s="4" t="s">
        <v>954</v>
      </c>
      <c r="J151" s="4" t="s">
        <v>120</v>
      </c>
      <c r="K151" s="4" t="s">
        <v>127</v>
      </c>
      <c r="L151" s="2" t="s">
        <v>348</v>
      </c>
      <c r="M151" s="2" t="s">
        <v>367</v>
      </c>
      <c r="N151" s="4" t="s">
        <v>569</v>
      </c>
      <c r="O151" s="4" t="s">
        <v>163</v>
      </c>
      <c r="P151" s="4" t="s">
        <v>100</v>
      </c>
      <c r="Q151" s="153">
        <v>36</v>
      </c>
      <c r="R151" s="153">
        <v>3.681</v>
      </c>
      <c r="S151" s="153">
        <v>132541</v>
      </c>
      <c r="U151" s="153">
        <v>175.63800000000001</v>
      </c>
      <c r="V151" s="167">
        <v>0</v>
      </c>
      <c r="W151" s="167">
        <v>1.6345175537017202E-2</v>
      </c>
      <c r="X151" s="167">
        <v>3.5417654007650402E-3</v>
      </c>
    </row>
    <row r="152" spans="1:24">
      <c r="A152" s="4" t="s">
        <v>26</v>
      </c>
      <c r="B152" s="4">
        <v>1452</v>
      </c>
      <c r="C152" s="4" t="s">
        <v>1792</v>
      </c>
      <c r="D152" s="4" t="s">
        <v>1793</v>
      </c>
      <c r="E152" s="4" t="s">
        <v>1347</v>
      </c>
      <c r="F152" s="4" t="s">
        <v>1819</v>
      </c>
      <c r="G152" s="4" t="s">
        <v>1795</v>
      </c>
      <c r="H152" s="4" t="s">
        <v>342</v>
      </c>
      <c r="I152" s="4" t="s">
        <v>954</v>
      </c>
      <c r="J152" s="4" t="s">
        <v>120</v>
      </c>
      <c r="K152" s="4" t="s">
        <v>319</v>
      </c>
      <c r="L152" s="2" t="s">
        <v>348</v>
      </c>
      <c r="M152" s="2" t="s">
        <v>367</v>
      </c>
      <c r="N152" s="4" t="s">
        <v>569</v>
      </c>
      <c r="O152" s="4" t="s">
        <v>163</v>
      </c>
      <c r="P152" s="4" t="s">
        <v>100</v>
      </c>
      <c r="Q152" s="153">
        <v>750</v>
      </c>
      <c r="R152" s="153">
        <v>3.681</v>
      </c>
      <c r="S152" s="153">
        <v>8377</v>
      </c>
      <c r="U152" s="153">
        <v>231.268</v>
      </c>
      <c r="V152" s="167">
        <v>1.7E-5</v>
      </c>
      <c r="W152" s="167">
        <v>2.1522198079838399E-2</v>
      </c>
      <c r="X152" s="167">
        <v>4.6635520270156498E-3</v>
      </c>
    </row>
    <row r="153" spans="1:24">
      <c r="A153" s="4" t="s">
        <v>26</v>
      </c>
      <c r="B153" s="4">
        <v>1452</v>
      </c>
      <c r="C153" s="4" t="s">
        <v>1820</v>
      </c>
      <c r="D153" s="4" t="s">
        <v>1821</v>
      </c>
      <c r="E153" s="4" t="s">
        <v>335</v>
      </c>
      <c r="F153" s="4" t="s">
        <v>1820</v>
      </c>
      <c r="G153" s="4" t="s">
        <v>1822</v>
      </c>
      <c r="H153" s="4" t="s">
        <v>342</v>
      </c>
      <c r="I153" s="4" t="s">
        <v>954</v>
      </c>
      <c r="J153" s="4" t="s">
        <v>120</v>
      </c>
      <c r="K153" s="4" t="s">
        <v>319</v>
      </c>
      <c r="L153" s="2" t="s">
        <v>348</v>
      </c>
      <c r="M153" s="2" t="s">
        <v>367</v>
      </c>
      <c r="N153" s="4" t="s">
        <v>1823</v>
      </c>
      <c r="O153" s="4" t="s">
        <v>163</v>
      </c>
      <c r="P153" s="4" t="s">
        <v>100</v>
      </c>
      <c r="Q153" s="153">
        <v>105</v>
      </c>
      <c r="R153" s="153">
        <v>3.681</v>
      </c>
      <c r="S153" s="153">
        <v>73263</v>
      </c>
      <c r="U153" s="153">
        <v>283.16500000000002</v>
      </c>
      <c r="V153" s="167">
        <v>0</v>
      </c>
      <c r="W153" s="167">
        <v>2.63518337960187E-2</v>
      </c>
      <c r="X153" s="167">
        <v>5.7100649041106196E-3</v>
      </c>
    </row>
    <row r="154" spans="1:24">
      <c r="A154" s="4" t="s">
        <v>26</v>
      </c>
      <c r="B154" s="4">
        <v>1452</v>
      </c>
      <c r="C154" s="4" t="s">
        <v>1824</v>
      </c>
      <c r="D154" s="4" t="s">
        <v>1825</v>
      </c>
      <c r="E154" s="4" t="s">
        <v>335</v>
      </c>
      <c r="F154" s="4" t="s">
        <v>1826</v>
      </c>
      <c r="G154" s="4" t="s">
        <v>1827</v>
      </c>
      <c r="H154" s="4" t="s">
        <v>342</v>
      </c>
      <c r="I154" s="4" t="s">
        <v>954</v>
      </c>
      <c r="J154" s="4" t="s">
        <v>120</v>
      </c>
      <c r="K154" s="4" t="s">
        <v>127</v>
      </c>
      <c r="L154" s="2" t="s">
        <v>348</v>
      </c>
      <c r="M154" s="2" t="s">
        <v>367</v>
      </c>
      <c r="N154" s="4" t="s">
        <v>570</v>
      </c>
      <c r="O154" s="4" t="s">
        <v>163</v>
      </c>
      <c r="P154" s="4" t="s">
        <v>100</v>
      </c>
      <c r="Q154" s="153">
        <v>480</v>
      </c>
      <c r="R154" s="153">
        <v>3.681</v>
      </c>
      <c r="S154" s="153">
        <v>150.93</v>
      </c>
      <c r="U154" s="153">
        <v>266.67500000000001</v>
      </c>
      <c r="V154" s="167">
        <v>1.9999999999999999E-6</v>
      </c>
      <c r="W154" s="167">
        <v>2.4817249945823201E-2</v>
      </c>
      <c r="X154" s="167">
        <v>5.3775425660735603E-3</v>
      </c>
    </row>
    <row r="155" spans="1:24">
      <c r="A155" s="4" t="s">
        <v>26</v>
      </c>
      <c r="B155" s="4">
        <v>1452</v>
      </c>
      <c r="C155" s="4" t="s">
        <v>1824</v>
      </c>
      <c r="D155" s="4" t="s">
        <v>1825</v>
      </c>
      <c r="E155" s="4" t="s">
        <v>335</v>
      </c>
      <c r="F155" s="4" t="s">
        <v>1828</v>
      </c>
      <c r="G155" s="4" t="s">
        <v>1829</v>
      </c>
      <c r="H155" s="4" t="s">
        <v>342</v>
      </c>
      <c r="I155" s="4" t="s">
        <v>954</v>
      </c>
      <c r="J155" s="4" t="s">
        <v>120</v>
      </c>
      <c r="K155" s="4" t="s">
        <v>127</v>
      </c>
      <c r="L155" s="2" t="s">
        <v>348</v>
      </c>
      <c r="M155" s="2" t="s">
        <v>367</v>
      </c>
      <c r="N155" s="4" t="s">
        <v>570</v>
      </c>
      <c r="O155" s="4" t="s">
        <v>163</v>
      </c>
      <c r="P155" s="4" t="s">
        <v>100</v>
      </c>
      <c r="Q155" s="153">
        <v>122</v>
      </c>
      <c r="R155" s="153">
        <v>3.681</v>
      </c>
      <c r="S155" s="153">
        <v>15226</v>
      </c>
      <c r="U155" s="153">
        <v>68.376999999999995</v>
      </c>
      <c r="V155" s="167">
        <v>0</v>
      </c>
      <c r="W155" s="167">
        <v>6.3633015051627996E-3</v>
      </c>
      <c r="X155" s="167">
        <v>1.3788362844180499E-3</v>
      </c>
    </row>
    <row r="156" spans="1:24">
      <c r="A156" s="4" t="s">
        <v>26</v>
      </c>
      <c r="B156" s="4">
        <v>1452</v>
      </c>
      <c r="C156" s="4" t="s">
        <v>1962</v>
      </c>
      <c r="D156" s="4" t="s">
        <v>1963</v>
      </c>
      <c r="E156" s="4" t="s">
        <v>335</v>
      </c>
      <c r="F156" s="4" t="s">
        <v>1962</v>
      </c>
      <c r="G156" s="4" t="s">
        <v>1964</v>
      </c>
      <c r="H156" s="4" t="s">
        <v>342</v>
      </c>
      <c r="I156" s="4" t="s">
        <v>954</v>
      </c>
      <c r="J156" s="4" t="s">
        <v>120</v>
      </c>
      <c r="K156" s="4" t="s">
        <v>127</v>
      </c>
      <c r="L156" s="2" t="s">
        <v>348</v>
      </c>
      <c r="M156" s="2" t="s">
        <v>365</v>
      </c>
      <c r="N156" s="4" t="s">
        <v>555</v>
      </c>
      <c r="O156" s="4" t="s">
        <v>163</v>
      </c>
      <c r="P156" s="4" t="s">
        <v>100</v>
      </c>
      <c r="Q156" s="153">
        <v>169</v>
      </c>
      <c r="R156" s="153">
        <v>3.681</v>
      </c>
      <c r="S156" s="153">
        <v>15819</v>
      </c>
      <c r="U156" s="153">
        <v>98.408000000000001</v>
      </c>
      <c r="V156" s="167">
        <v>0</v>
      </c>
      <c r="W156" s="167">
        <v>9.1580408405266701E-3</v>
      </c>
      <c r="X156" s="167">
        <v>1.9844162648674502E-3</v>
      </c>
    </row>
    <row r="157" spans="1:24">
      <c r="A157" s="4" t="s">
        <v>26</v>
      </c>
      <c r="B157" s="4">
        <v>1452</v>
      </c>
      <c r="C157" s="4" t="s">
        <v>1834</v>
      </c>
      <c r="D157" s="4" t="s">
        <v>1835</v>
      </c>
      <c r="E157" s="4" t="s">
        <v>335</v>
      </c>
      <c r="F157" s="4" t="s">
        <v>1836</v>
      </c>
      <c r="G157" s="4" t="s">
        <v>1837</v>
      </c>
      <c r="H157" s="4" t="s">
        <v>342</v>
      </c>
      <c r="I157" s="4" t="s">
        <v>954</v>
      </c>
      <c r="J157" s="4" t="s">
        <v>120</v>
      </c>
      <c r="K157" s="4" t="s">
        <v>127</v>
      </c>
      <c r="L157" s="2" t="s">
        <v>348</v>
      </c>
      <c r="M157" s="2" t="s">
        <v>365</v>
      </c>
      <c r="N157" s="4" t="s">
        <v>1838</v>
      </c>
      <c r="O157" s="4" t="s">
        <v>163</v>
      </c>
      <c r="P157" s="4" t="s">
        <v>100</v>
      </c>
      <c r="Q157" s="153">
        <v>140</v>
      </c>
      <c r="R157" s="153">
        <v>3.681</v>
      </c>
      <c r="S157" s="153">
        <v>481.57</v>
      </c>
      <c r="U157" s="153">
        <v>248.172</v>
      </c>
      <c r="V157" s="167">
        <v>0</v>
      </c>
      <c r="W157" s="167">
        <v>2.3095337075374499E-2</v>
      </c>
      <c r="X157" s="167">
        <v>5.00442871276097E-3</v>
      </c>
    </row>
    <row r="158" spans="1:24">
      <c r="A158" s="4" t="s">
        <v>26</v>
      </c>
      <c r="B158" s="4">
        <v>1452</v>
      </c>
      <c r="C158" s="4" t="s">
        <v>1839</v>
      </c>
      <c r="D158" s="4" t="s">
        <v>1840</v>
      </c>
      <c r="E158" s="4" t="s">
        <v>335</v>
      </c>
      <c r="F158" s="4" t="s">
        <v>1841</v>
      </c>
      <c r="G158" s="4" t="s">
        <v>1842</v>
      </c>
      <c r="H158" s="4" t="s">
        <v>342</v>
      </c>
      <c r="I158" s="4" t="s">
        <v>954</v>
      </c>
      <c r="J158" s="4" t="s">
        <v>120</v>
      </c>
      <c r="K158" s="4" t="s">
        <v>127</v>
      </c>
      <c r="L158" s="2" t="s">
        <v>348</v>
      </c>
      <c r="M158" s="2" t="s">
        <v>367</v>
      </c>
      <c r="N158" s="4" t="s">
        <v>565</v>
      </c>
      <c r="O158" s="4" t="s">
        <v>163</v>
      </c>
      <c r="P158" s="4" t="s">
        <v>100</v>
      </c>
      <c r="Q158" s="153">
        <v>226</v>
      </c>
      <c r="R158" s="153">
        <v>3.681</v>
      </c>
      <c r="S158" s="153">
        <v>420.72</v>
      </c>
      <c r="U158" s="153">
        <v>349.99900000000002</v>
      </c>
      <c r="V158" s="167">
        <v>0</v>
      </c>
      <c r="W158" s="167">
        <v>3.2571551212603002E-2</v>
      </c>
      <c r="X158" s="167">
        <v>7.0577885733184003E-3</v>
      </c>
    </row>
    <row r="159" spans="1:24">
      <c r="A159" s="4" t="s">
        <v>26</v>
      </c>
      <c r="B159" s="4">
        <v>1452</v>
      </c>
      <c r="C159" s="4" t="s">
        <v>1843</v>
      </c>
      <c r="D159" s="4" t="s">
        <v>1844</v>
      </c>
      <c r="E159" s="4" t="s">
        <v>335</v>
      </c>
      <c r="F159" s="4" t="s">
        <v>1845</v>
      </c>
      <c r="G159" s="4" t="s">
        <v>1846</v>
      </c>
      <c r="H159" s="4" t="s">
        <v>342</v>
      </c>
      <c r="I159" s="4" t="s">
        <v>954</v>
      </c>
      <c r="J159" s="4" t="s">
        <v>120</v>
      </c>
      <c r="K159" s="4" t="s">
        <v>31</v>
      </c>
      <c r="L159" s="2" t="s">
        <v>348</v>
      </c>
      <c r="M159" s="2" t="s">
        <v>367</v>
      </c>
      <c r="N159" s="4" t="s">
        <v>571</v>
      </c>
      <c r="O159" s="4" t="s">
        <v>163</v>
      </c>
      <c r="P159" s="4" t="s">
        <v>100</v>
      </c>
      <c r="Q159" s="153">
        <v>105</v>
      </c>
      <c r="R159" s="153">
        <v>3.681</v>
      </c>
      <c r="S159" s="153">
        <v>26062</v>
      </c>
      <c r="U159" s="153">
        <v>100.73099999999999</v>
      </c>
      <c r="V159" s="167">
        <v>1.9999999999999999E-6</v>
      </c>
      <c r="W159" s="167">
        <v>9.3741928721433505E-3</v>
      </c>
      <c r="X159" s="167">
        <v>2.0312533138273198E-3</v>
      </c>
    </row>
    <row r="160" spans="1:24">
      <c r="A160" s="4" t="s">
        <v>26</v>
      </c>
      <c r="B160" s="4">
        <v>1452</v>
      </c>
      <c r="C160" s="4" t="s">
        <v>1851</v>
      </c>
      <c r="D160" s="4" t="s">
        <v>1852</v>
      </c>
      <c r="E160" s="4" t="s">
        <v>335</v>
      </c>
      <c r="F160" s="4" t="s">
        <v>1853</v>
      </c>
      <c r="G160" s="4" t="s">
        <v>1854</v>
      </c>
      <c r="H160" s="4" t="s">
        <v>342</v>
      </c>
      <c r="I160" s="4" t="s">
        <v>954</v>
      </c>
      <c r="J160" s="4" t="s">
        <v>120</v>
      </c>
      <c r="K160" s="4" t="s">
        <v>127</v>
      </c>
      <c r="L160" s="2" t="s">
        <v>348</v>
      </c>
      <c r="M160" s="2" t="s">
        <v>367</v>
      </c>
      <c r="N160" s="4" t="s">
        <v>569</v>
      </c>
      <c r="O160" s="4" t="s">
        <v>163</v>
      </c>
      <c r="P160" s="4" t="s">
        <v>100</v>
      </c>
      <c r="Q160" s="153">
        <v>105</v>
      </c>
      <c r="R160" s="153">
        <v>3.681</v>
      </c>
      <c r="S160" s="153">
        <v>90356</v>
      </c>
      <c r="U160" s="153">
        <v>349.23</v>
      </c>
      <c r="V160" s="167">
        <v>0</v>
      </c>
      <c r="W160" s="167">
        <v>3.2499983545214703E-2</v>
      </c>
      <c r="X160" s="167">
        <v>7.0422808849735802E-3</v>
      </c>
    </row>
    <row r="161" spans="1:24">
      <c r="A161" s="4" t="s">
        <v>26</v>
      </c>
      <c r="B161" s="4">
        <v>1452</v>
      </c>
      <c r="C161" s="4" t="s">
        <v>1724</v>
      </c>
      <c r="D161" s="4" t="s">
        <v>1725</v>
      </c>
      <c r="E161" s="4" t="s">
        <v>335</v>
      </c>
      <c r="F161" s="4" t="s">
        <v>1855</v>
      </c>
      <c r="G161" s="4" t="s">
        <v>1727</v>
      </c>
      <c r="H161" s="4" t="s">
        <v>342</v>
      </c>
      <c r="I161" s="4" t="s">
        <v>954</v>
      </c>
      <c r="J161" s="4" t="s">
        <v>120</v>
      </c>
      <c r="K161" s="4" t="s">
        <v>127</v>
      </c>
      <c r="L161" s="2" t="s">
        <v>348</v>
      </c>
      <c r="M161" s="2" t="s">
        <v>365</v>
      </c>
      <c r="N161" s="4" t="s">
        <v>578</v>
      </c>
      <c r="O161" s="4" t="s">
        <v>163</v>
      </c>
      <c r="P161" s="4" t="s">
        <v>100</v>
      </c>
      <c r="Q161" s="153">
        <v>1333</v>
      </c>
      <c r="R161" s="153">
        <v>3.681</v>
      </c>
      <c r="S161" s="153">
        <v>66.19</v>
      </c>
      <c r="U161" s="153">
        <v>324.779</v>
      </c>
      <c r="V161" s="167">
        <v>2.5999999999999998E-5</v>
      </c>
      <c r="W161" s="167">
        <v>3.0224517444999498E-2</v>
      </c>
      <c r="X161" s="167">
        <v>6.5492199761993603E-3</v>
      </c>
    </row>
    <row r="162" spans="1:24">
      <c r="A162" s="4" t="s">
        <v>26</v>
      </c>
      <c r="B162" s="4">
        <v>1452</v>
      </c>
      <c r="C162" s="4" t="s">
        <v>1866</v>
      </c>
      <c r="D162" s="4" t="s">
        <v>1867</v>
      </c>
      <c r="E162" s="4" t="s">
        <v>335</v>
      </c>
      <c r="F162" s="4" t="s">
        <v>1866</v>
      </c>
      <c r="G162" s="4" t="s">
        <v>1868</v>
      </c>
      <c r="H162" s="4" t="s">
        <v>342</v>
      </c>
      <c r="I162" s="4" t="s">
        <v>954</v>
      </c>
      <c r="J162" s="4" t="s">
        <v>120</v>
      </c>
      <c r="K162" s="4" t="s">
        <v>127</v>
      </c>
      <c r="L162" s="2" t="s">
        <v>348</v>
      </c>
      <c r="M162" s="2" t="s">
        <v>367</v>
      </c>
      <c r="N162" s="4" t="s">
        <v>533</v>
      </c>
      <c r="O162" s="4" t="s">
        <v>163</v>
      </c>
      <c r="P162" s="4" t="s">
        <v>100</v>
      </c>
      <c r="Q162" s="153">
        <v>190</v>
      </c>
      <c r="R162" s="153">
        <v>3.681</v>
      </c>
      <c r="S162" s="153">
        <v>17579</v>
      </c>
      <c r="U162" s="153">
        <v>122.946</v>
      </c>
      <c r="V162" s="167">
        <v>0</v>
      </c>
      <c r="W162" s="167">
        <v>1.14415434019563E-2</v>
      </c>
      <c r="X162" s="167">
        <v>2.4792185596677501E-3</v>
      </c>
    </row>
    <row r="163" spans="1:24">
      <c r="A163" s="4" t="s">
        <v>26</v>
      </c>
      <c r="B163" s="4">
        <v>1452</v>
      </c>
      <c r="C163" s="4" t="s">
        <v>1869</v>
      </c>
      <c r="D163" s="4" t="s">
        <v>1870</v>
      </c>
      <c r="E163" s="4" t="s">
        <v>335</v>
      </c>
      <c r="F163" s="4" t="s">
        <v>1871</v>
      </c>
      <c r="G163" s="4" t="s">
        <v>1872</v>
      </c>
      <c r="H163" s="4" t="s">
        <v>342</v>
      </c>
      <c r="I163" s="4" t="s">
        <v>954</v>
      </c>
      <c r="J163" s="4" t="s">
        <v>120</v>
      </c>
      <c r="K163" s="4" t="s">
        <v>127</v>
      </c>
      <c r="L163" s="2" t="s">
        <v>348</v>
      </c>
      <c r="M163" s="2" t="s">
        <v>365</v>
      </c>
      <c r="N163" s="4" t="s">
        <v>1838</v>
      </c>
      <c r="O163" s="4" t="s">
        <v>163</v>
      </c>
      <c r="P163" s="4" t="s">
        <v>100</v>
      </c>
      <c r="Q163" s="153">
        <v>120</v>
      </c>
      <c r="R163" s="153">
        <v>3.681</v>
      </c>
      <c r="S163" s="153">
        <v>27908</v>
      </c>
      <c r="U163" s="153">
        <v>123.27500000000001</v>
      </c>
      <c r="V163" s="167">
        <v>0</v>
      </c>
      <c r="W163" s="167">
        <v>1.14722025357456E-2</v>
      </c>
      <c r="X163" s="167">
        <v>2.48586195478005E-3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1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591</v>
      </c>
      <c r="N1" s="22" t="s">
        <v>149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3" t="s">
        <v>26</v>
      </c>
      <c r="B2" s="23">
        <v>288</v>
      </c>
      <c r="C2" s="23" t="s">
        <v>1417</v>
      </c>
      <c r="D2" s="23" t="s">
        <v>1418</v>
      </c>
      <c r="E2" s="21" t="s">
        <v>335</v>
      </c>
      <c r="F2" s="23" t="s">
        <v>1419</v>
      </c>
      <c r="G2" s="23" t="s">
        <v>1420</v>
      </c>
      <c r="H2" s="21" t="s">
        <v>342</v>
      </c>
      <c r="I2" s="23" t="s">
        <v>1005</v>
      </c>
      <c r="J2" s="21" t="s">
        <v>120</v>
      </c>
      <c r="K2" s="21" t="s">
        <v>127</v>
      </c>
      <c r="L2" s="21" t="s">
        <v>365</v>
      </c>
      <c r="M2" s="23" t="s">
        <v>1408</v>
      </c>
      <c r="N2" s="23" t="s">
        <v>163</v>
      </c>
      <c r="O2" s="21" t="s">
        <v>100</v>
      </c>
      <c r="P2" s="155">
        <v>23750</v>
      </c>
      <c r="Q2" s="154">
        <v>3.681</v>
      </c>
      <c r="R2" s="154">
        <v>115.77</v>
      </c>
      <c r="S2" s="134"/>
      <c r="T2" s="154">
        <v>10121.048000000001</v>
      </c>
      <c r="U2" s="169">
        <v>6.4499999999999996E-4</v>
      </c>
      <c r="V2" s="169">
        <v>1.3767319668084199E-2</v>
      </c>
      <c r="W2" s="169">
        <v>4.2268639220373301E-3</v>
      </c>
    </row>
    <row r="3" spans="1:23">
      <c r="A3" s="23" t="s">
        <v>26</v>
      </c>
      <c r="B3" s="23">
        <v>288</v>
      </c>
      <c r="C3" s="23" t="s">
        <v>1421</v>
      </c>
      <c r="D3" s="23" t="s">
        <v>1422</v>
      </c>
      <c r="E3" s="21" t="s">
        <v>1347</v>
      </c>
      <c r="F3" s="23" t="s">
        <v>1423</v>
      </c>
      <c r="G3" s="23" t="s">
        <v>1424</v>
      </c>
      <c r="H3" s="21" t="s">
        <v>342</v>
      </c>
      <c r="I3" s="23" t="s">
        <v>1005</v>
      </c>
      <c r="J3" s="21" t="s">
        <v>31</v>
      </c>
      <c r="K3" s="21" t="s">
        <v>291</v>
      </c>
      <c r="L3" s="21" t="s">
        <v>40</v>
      </c>
      <c r="M3" s="23" t="s">
        <v>1408</v>
      </c>
      <c r="N3" s="23" t="s">
        <v>163</v>
      </c>
      <c r="O3" s="21" t="s">
        <v>35</v>
      </c>
      <c r="P3" s="155">
        <v>8100</v>
      </c>
      <c r="Q3" s="154">
        <v>1</v>
      </c>
      <c r="R3" s="154">
        <v>21460</v>
      </c>
      <c r="S3" s="134"/>
      <c r="T3" s="154">
        <v>1738.26</v>
      </c>
      <c r="U3" s="169">
        <v>2.8189999999999999E-3</v>
      </c>
      <c r="V3" s="169">
        <v>2.3644964612186E-3</v>
      </c>
      <c r="W3" s="169">
        <v>7.2595138535783198E-4</v>
      </c>
    </row>
    <row r="4" spans="1:23">
      <c r="A4" s="23" t="s">
        <v>26</v>
      </c>
      <c r="B4" s="23">
        <v>288</v>
      </c>
      <c r="C4" s="23" t="s">
        <v>1364</v>
      </c>
      <c r="D4" s="23" t="s">
        <v>1365</v>
      </c>
      <c r="E4" s="21" t="s">
        <v>1347</v>
      </c>
      <c r="F4" s="23" t="s">
        <v>1425</v>
      </c>
      <c r="G4" s="23" t="s">
        <v>1426</v>
      </c>
      <c r="H4" s="21" t="s">
        <v>342</v>
      </c>
      <c r="I4" s="23" t="s">
        <v>1004</v>
      </c>
      <c r="J4" s="21" t="s">
        <v>31</v>
      </c>
      <c r="K4" s="21" t="s">
        <v>31</v>
      </c>
      <c r="L4" s="21" t="s">
        <v>40</v>
      </c>
      <c r="M4" s="23" t="s">
        <v>1363</v>
      </c>
      <c r="N4" s="23" t="s">
        <v>163</v>
      </c>
      <c r="O4" s="21" t="s">
        <v>35</v>
      </c>
      <c r="P4" s="155">
        <v>874800</v>
      </c>
      <c r="Q4" s="154">
        <v>1</v>
      </c>
      <c r="R4" s="154">
        <v>3091</v>
      </c>
      <c r="S4" s="134"/>
      <c r="T4" s="154">
        <v>27040.067999999999</v>
      </c>
      <c r="U4" s="169">
        <v>2.4285999999999999E-2</v>
      </c>
      <c r="V4" s="169">
        <v>3.6781692668018798E-2</v>
      </c>
      <c r="W4" s="169">
        <v>1.1292772556907501E-2</v>
      </c>
    </row>
    <row r="5" spans="1:23">
      <c r="A5" s="23" t="s">
        <v>26</v>
      </c>
      <c r="B5" s="23">
        <v>288</v>
      </c>
      <c r="C5" s="23" t="s">
        <v>1359</v>
      </c>
      <c r="D5" s="23" t="s">
        <v>1360</v>
      </c>
      <c r="E5" s="21" t="s">
        <v>1347</v>
      </c>
      <c r="F5" s="23" t="s">
        <v>1427</v>
      </c>
      <c r="G5" s="23" t="s">
        <v>1428</v>
      </c>
      <c r="H5" s="21" t="s">
        <v>342</v>
      </c>
      <c r="I5" s="23" t="s">
        <v>1005</v>
      </c>
      <c r="J5" s="21" t="s">
        <v>120</v>
      </c>
      <c r="K5" s="21" t="s">
        <v>127</v>
      </c>
      <c r="L5" s="21" t="s">
        <v>40</v>
      </c>
      <c r="M5" s="23" t="s">
        <v>1408</v>
      </c>
      <c r="N5" s="23" t="s">
        <v>163</v>
      </c>
      <c r="O5" s="21" t="s">
        <v>35</v>
      </c>
      <c r="P5" s="155">
        <v>357700</v>
      </c>
      <c r="Q5" s="154">
        <v>1</v>
      </c>
      <c r="R5" s="154">
        <v>7145</v>
      </c>
      <c r="S5" s="134"/>
      <c r="T5" s="154">
        <v>25557.665000000001</v>
      </c>
      <c r="U5" s="169">
        <v>3.6059999999999998E-3</v>
      </c>
      <c r="V5" s="169">
        <v>3.4765229856011499E-2</v>
      </c>
      <c r="W5" s="169">
        <v>1.0673675004465E-2</v>
      </c>
    </row>
    <row r="6" spans="1:23">
      <c r="A6" s="23" t="s">
        <v>26</v>
      </c>
      <c r="B6" s="23">
        <v>288</v>
      </c>
      <c r="C6" s="23" t="s">
        <v>1359</v>
      </c>
      <c r="D6" s="23" t="s">
        <v>1360</v>
      </c>
      <c r="E6" s="21" t="s">
        <v>1347</v>
      </c>
      <c r="F6" s="23" t="s">
        <v>1429</v>
      </c>
      <c r="G6" s="23" t="s">
        <v>1430</v>
      </c>
      <c r="H6" s="21" t="s">
        <v>342</v>
      </c>
      <c r="I6" s="23" t="s">
        <v>1005</v>
      </c>
      <c r="J6" s="21" t="s">
        <v>31</v>
      </c>
      <c r="K6" s="21" t="s">
        <v>127</v>
      </c>
      <c r="L6" s="21" t="s">
        <v>40</v>
      </c>
      <c r="M6" s="23" t="s">
        <v>1408</v>
      </c>
      <c r="N6" s="23" t="s">
        <v>163</v>
      </c>
      <c r="O6" s="21" t="s">
        <v>35</v>
      </c>
      <c r="P6" s="155">
        <v>794000</v>
      </c>
      <c r="Q6" s="154">
        <v>1</v>
      </c>
      <c r="R6" s="154">
        <v>2237</v>
      </c>
      <c r="S6" s="134"/>
      <c r="T6" s="154">
        <v>17761.78</v>
      </c>
      <c r="U6" s="169">
        <v>2.0960000000000002E-3</v>
      </c>
      <c r="V6" s="169">
        <v>2.4160750379657401E-2</v>
      </c>
      <c r="W6" s="169">
        <v>7.41787120305423E-3</v>
      </c>
    </row>
    <row r="7" spans="1:23">
      <c r="A7" s="23" t="s">
        <v>26</v>
      </c>
      <c r="B7" s="23">
        <v>288</v>
      </c>
      <c r="C7" s="23" t="s">
        <v>1359</v>
      </c>
      <c r="D7" s="23" t="s">
        <v>1360</v>
      </c>
      <c r="E7" s="21" t="s">
        <v>1347</v>
      </c>
      <c r="F7" s="23" t="s">
        <v>1431</v>
      </c>
      <c r="G7" s="23" t="s">
        <v>1432</v>
      </c>
      <c r="H7" s="21" t="s">
        <v>342</v>
      </c>
      <c r="I7" s="23" t="s">
        <v>1004</v>
      </c>
      <c r="J7" s="21" t="s">
        <v>31</v>
      </c>
      <c r="K7" s="21" t="s">
        <v>31</v>
      </c>
      <c r="L7" s="21" t="s">
        <v>40</v>
      </c>
      <c r="M7" s="23" t="s">
        <v>1363</v>
      </c>
      <c r="N7" s="23" t="s">
        <v>163</v>
      </c>
      <c r="O7" s="21" t="s">
        <v>35</v>
      </c>
      <c r="P7" s="155">
        <v>1083003</v>
      </c>
      <c r="Q7" s="154">
        <v>1</v>
      </c>
      <c r="R7" s="154">
        <v>2014</v>
      </c>
      <c r="S7" s="134"/>
      <c r="T7" s="154">
        <v>21811.68</v>
      </c>
      <c r="U7" s="169">
        <v>1.8998000000000001E-2</v>
      </c>
      <c r="V7" s="169">
        <v>2.9669693352157401E-2</v>
      </c>
      <c r="W7" s="169">
        <v>9.1092354526257895E-3</v>
      </c>
    </row>
    <row r="8" spans="1:23">
      <c r="A8" s="23" t="s">
        <v>26</v>
      </c>
      <c r="B8" s="23">
        <v>288</v>
      </c>
      <c r="C8" s="23" t="s">
        <v>1433</v>
      </c>
      <c r="D8" s="23" t="s">
        <v>1434</v>
      </c>
      <c r="E8" s="21" t="s">
        <v>1347</v>
      </c>
      <c r="F8" s="23" t="s">
        <v>1435</v>
      </c>
      <c r="G8" s="23" t="s">
        <v>1436</v>
      </c>
      <c r="H8" s="21" t="s">
        <v>342</v>
      </c>
      <c r="I8" s="23" t="s">
        <v>1005</v>
      </c>
      <c r="J8" s="21" t="s">
        <v>31</v>
      </c>
      <c r="K8" s="21" t="s">
        <v>127</v>
      </c>
      <c r="L8" s="21" t="s">
        <v>40</v>
      </c>
      <c r="M8" s="23" t="s">
        <v>1408</v>
      </c>
      <c r="N8" s="23" t="s">
        <v>163</v>
      </c>
      <c r="O8" s="21" t="s">
        <v>35</v>
      </c>
      <c r="P8" s="155">
        <v>105000</v>
      </c>
      <c r="Q8" s="154">
        <v>1</v>
      </c>
      <c r="R8" s="154">
        <v>10160</v>
      </c>
      <c r="S8" s="134"/>
      <c r="T8" s="154">
        <v>10668</v>
      </c>
      <c r="U8" s="169">
        <v>1.1053E-2</v>
      </c>
      <c r="V8" s="169">
        <v>1.4511320658750699E-2</v>
      </c>
      <c r="W8" s="169">
        <v>4.4552882646999598E-3</v>
      </c>
    </row>
    <row r="9" spans="1:23">
      <c r="A9" s="23" t="s">
        <v>26</v>
      </c>
      <c r="B9" s="23">
        <v>288</v>
      </c>
      <c r="C9" s="23" t="s">
        <v>1421</v>
      </c>
      <c r="D9" s="23" t="s">
        <v>1422</v>
      </c>
      <c r="E9" s="21" t="s">
        <v>1347</v>
      </c>
      <c r="F9" s="23" t="s">
        <v>1437</v>
      </c>
      <c r="G9" s="23" t="s">
        <v>1438</v>
      </c>
      <c r="H9" s="21" t="s">
        <v>342</v>
      </c>
      <c r="I9" s="23" t="s">
        <v>1004</v>
      </c>
      <c r="J9" s="21" t="s">
        <v>31</v>
      </c>
      <c r="K9" s="21" t="s">
        <v>31</v>
      </c>
      <c r="L9" s="21" t="s">
        <v>40</v>
      </c>
      <c r="M9" s="23" t="s">
        <v>1363</v>
      </c>
      <c r="N9" s="23" t="s">
        <v>163</v>
      </c>
      <c r="O9" s="21" t="s">
        <v>35</v>
      </c>
      <c r="P9" s="155">
        <v>96300</v>
      </c>
      <c r="Q9" s="154">
        <v>1</v>
      </c>
      <c r="R9" s="154">
        <v>20050</v>
      </c>
      <c r="S9" s="134"/>
      <c r="T9" s="154">
        <v>19308.150000000001</v>
      </c>
      <c r="U9" s="169">
        <v>2.7190000000000001E-3</v>
      </c>
      <c r="V9" s="169">
        <v>2.6264225344699799E-2</v>
      </c>
      <c r="W9" s="169">
        <v>8.0636833622109595E-3</v>
      </c>
    </row>
    <row r="10" spans="1:23">
      <c r="A10" s="23" t="s">
        <v>26</v>
      </c>
      <c r="B10" s="23">
        <v>288</v>
      </c>
      <c r="C10" s="23" t="s">
        <v>1421</v>
      </c>
      <c r="D10" s="23" t="s">
        <v>1422</v>
      </c>
      <c r="E10" s="21" t="s">
        <v>1347</v>
      </c>
      <c r="F10" s="23" t="s">
        <v>1439</v>
      </c>
      <c r="G10" s="23" t="s">
        <v>1440</v>
      </c>
      <c r="H10" s="21" t="s">
        <v>342</v>
      </c>
      <c r="I10" s="23" t="s">
        <v>1004</v>
      </c>
      <c r="J10" s="21" t="s">
        <v>31</v>
      </c>
      <c r="K10" s="21" t="s">
        <v>31</v>
      </c>
      <c r="L10" s="21" t="s">
        <v>40</v>
      </c>
      <c r="M10" s="23" t="s">
        <v>1363</v>
      </c>
      <c r="N10" s="23" t="s">
        <v>163</v>
      </c>
      <c r="O10" s="21" t="s">
        <v>35</v>
      </c>
      <c r="P10" s="155">
        <v>59000</v>
      </c>
      <c r="Q10" s="154">
        <v>1</v>
      </c>
      <c r="R10" s="154">
        <v>8947</v>
      </c>
      <c r="S10" s="134"/>
      <c r="T10" s="154">
        <v>5278.73</v>
      </c>
      <c r="U10" s="169">
        <v>5.5785000000000001E-2</v>
      </c>
      <c r="V10" s="169">
        <v>7.1804784121641497E-3</v>
      </c>
      <c r="W10" s="169">
        <v>2.2045616630595802E-3</v>
      </c>
    </row>
    <row r="11" spans="1:23">
      <c r="A11" s="23" t="s">
        <v>26</v>
      </c>
      <c r="B11" s="23">
        <v>288</v>
      </c>
      <c r="C11" s="23" t="s">
        <v>1421</v>
      </c>
      <c r="D11" s="23" t="s">
        <v>1422</v>
      </c>
      <c r="E11" s="21" t="s">
        <v>1347</v>
      </c>
      <c r="F11" s="23" t="s">
        <v>1441</v>
      </c>
      <c r="G11" s="23" t="s">
        <v>1442</v>
      </c>
      <c r="H11" s="21" t="s">
        <v>342</v>
      </c>
      <c r="I11" s="23" t="s">
        <v>1006</v>
      </c>
      <c r="J11" s="21" t="s">
        <v>31</v>
      </c>
      <c r="K11" s="21" t="s">
        <v>31</v>
      </c>
      <c r="L11" s="21" t="s">
        <v>40</v>
      </c>
      <c r="M11" s="23" t="s">
        <v>1378</v>
      </c>
      <c r="N11" s="23" t="s">
        <v>163</v>
      </c>
      <c r="O11" s="21" t="s">
        <v>35</v>
      </c>
      <c r="P11" s="155">
        <v>197000</v>
      </c>
      <c r="Q11" s="154">
        <v>1</v>
      </c>
      <c r="R11" s="154">
        <v>3874.92</v>
      </c>
      <c r="S11" s="134"/>
      <c r="T11" s="154">
        <v>7633.5919999999996</v>
      </c>
      <c r="U11" s="169">
        <v>8.4550000000000007E-3</v>
      </c>
      <c r="V11" s="169">
        <v>1.0383718325328299E-2</v>
      </c>
      <c r="W11" s="169">
        <v>3.1880253690685098E-3</v>
      </c>
    </row>
    <row r="12" spans="1:23">
      <c r="A12" s="23" t="s">
        <v>26</v>
      </c>
      <c r="B12" s="23">
        <v>288</v>
      </c>
      <c r="C12" s="23" t="s">
        <v>1409</v>
      </c>
      <c r="D12" s="23" t="s">
        <v>1410</v>
      </c>
      <c r="E12" s="21" t="s">
        <v>1347</v>
      </c>
      <c r="F12" s="23" t="s">
        <v>1443</v>
      </c>
      <c r="G12" s="23" t="s">
        <v>1444</v>
      </c>
      <c r="H12" s="21" t="s">
        <v>342</v>
      </c>
      <c r="I12" s="23" t="s">
        <v>1006</v>
      </c>
      <c r="J12" s="21" t="s">
        <v>31</v>
      </c>
      <c r="K12" s="21" t="s">
        <v>31</v>
      </c>
      <c r="L12" s="21" t="s">
        <v>40</v>
      </c>
      <c r="M12" s="23" t="s">
        <v>1378</v>
      </c>
      <c r="N12" s="23" t="s">
        <v>163</v>
      </c>
      <c r="O12" s="21" t="s">
        <v>35</v>
      </c>
      <c r="P12" s="155">
        <v>244000</v>
      </c>
      <c r="Q12" s="154">
        <v>1</v>
      </c>
      <c r="R12" s="154">
        <v>3809.11</v>
      </c>
      <c r="S12" s="134"/>
      <c r="T12" s="154">
        <v>9294.2279999999992</v>
      </c>
      <c r="U12" s="169">
        <v>3.1115E-2</v>
      </c>
      <c r="V12" s="169">
        <v>1.26426254769467E-2</v>
      </c>
      <c r="W12" s="169">
        <v>3.88155856017633E-3</v>
      </c>
    </row>
    <row r="13" spans="1:23">
      <c r="A13" s="23" t="s">
        <v>26</v>
      </c>
      <c r="B13" s="23">
        <v>288</v>
      </c>
      <c r="C13" s="23" t="s">
        <v>1364</v>
      </c>
      <c r="D13" s="23" t="s">
        <v>1365</v>
      </c>
      <c r="E13" s="21" t="s">
        <v>1347</v>
      </c>
      <c r="F13" s="23" t="s">
        <v>1445</v>
      </c>
      <c r="G13" s="23" t="s">
        <v>1446</v>
      </c>
      <c r="H13" s="21" t="s">
        <v>342</v>
      </c>
      <c r="I13" s="23" t="s">
        <v>1005</v>
      </c>
      <c r="J13" s="21" t="s">
        <v>31</v>
      </c>
      <c r="K13" s="21" t="s">
        <v>127</v>
      </c>
      <c r="L13" s="21" t="s">
        <v>40</v>
      </c>
      <c r="M13" s="23" t="s">
        <v>1447</v>
      </c>
      <c r="N13" s="23" t="s">
        <v>163</v>
      </c>
      <c r="O13" s="21" t="s">
        <v>35</v>
      </c>
      <c r="P13" s="155">
        <v>138669</v>
      </c>
      <c r="Q13" s="154">
        <v>1</v>
      </c>
      <c r="R13" s="154">
        <v>3170</v>
      </c>
      <c r="S13" s="134"/>
      <c r="T13" s="154">
        <v>4395.8069999999998</v>
      </c>
      <c r="U13" s="169">
        <v>2.6983E-2</v>
      </c>
      <c r="V13" s="169">
        <v>5.9794684368557598E-3</v>
      </c>
      <c r="W13" s="169">
        <v>1.83582571030863E-3</v>
      </c>
    </row>
    <row r="14" spans="1:23">
      <c r="A14" s="23" t="s">
        <v>26</v>
      </c>
      <c r="B14" s="23">
        <v>288</v>
      </c>
      <c r="C14" s="23" t="s">
        <v>1364</v>
      </c>
      <c r="D14" s="23" t="s">
        <v>1365</v>
      </c>
      <c r="E14" s="21" t="s">
        <v>1347</v>
      </c>
      <c r="F14" s="23" t="s">
        <v>1425</v>
      </c>
      <c r="G14" s="23" t="s">
        <v>1426</v>
      </c>
      <c r="H14" s="21" t="s">
        <v>342</v>
      </c>
      <c r="I14" s="23" t="s">
        <v>1004</v>
      </c>
      <c r="J14" s="21" t="s">
        <v>31</v>
      </c>
      <c r="K14" s="21" t="s">
        <v>31</v>
      </c>
      <c r="L14" s="21" t="s">
        <v>40</v>
      </c>
      <c r="M14" s="23" t="s">
        <v>1363</v>
      </c>
      <c r="N14" s="23" t="s">
        <v>163</v>
      </c>
      <c r="O14" s="21" t="s">
        <v>35</v>
      </c>
      <c r="P14" s="155">
        <v>247062</v>
      </c>
      <c r="Q14" s="154">
        <v>1</v>
      </c>
      <c r="R14" s="154">
        <v>3091</v>
      </c>
      <c r="S14" s="134"/>
      <c r="T14" s="154">
        <v>7636.6859999999997</v>
      </c>
      <c r="U14" s="169">
        <v>6.8589999999999996E-3</v>
      </c>
      <c r="V14" s="169">
        <v>1.03879270163992E-2</v>
      </c>
      <c r="W14" s="169">
        <v>3.1893175279545899E-3</v>
      </c>
    </row>
    <row r="15" spans="1:23">
      <c r="A15" s="23" t="s">
        <v>26</v>
      </c>
      <c r="B15" s="23">
        <v>288</v>
      </c>
      <c r="C15" s="23" t="s">
        <v>1364</v>
      </c>
      <c r="D15" s="23" t="s">
        <v>1365</v>
      </c>
      <c r="E15" s="21" t="s">
        <v>1347</v>
      </c>
      <c r="F15" s="23" t="s">
        <v>1448</v>
      </c>
      <c r="G15" s="23" t="s">
        <v>1449</v>
      </c>
      <c r="H15" s="21" t="s">
        <v>342</v>
      </c>
      <c r="I15" s="23" t="s">
        <v>1005</v>
      </c>
      <c r="J15" s="21" t="s">
        <v>31</v>
      </c>
      <c r="K15" s="21" t="s">
        <v>127</v>
      </c>
      <c r="L15" s="21" t="s">
        <v>40</v>
      </c>
      <c r="M15" s="23" t="s">
        <v>1447</v>
      </c>
      <c r="N15" s="23" t="s">
        <v>163</v>
      </c>
      <c r="O15" s="21" t="s">
        <v>35</v>
      </c>
      <c r="P15" s="155">
        <v>149658</v>
      </c>
      <c r="Q15" s="154">
        <v>1</v>
      </c>
      <c r="R15" s="154">
        <v>3009</v>
      </c>
      <c r="S15" s="134"/>
      <c r="T15" s="154">
        <v>4503.2089999999998</v>
      </c>
      <c r="U15" s="169">
        <v>1.9304000000000002E-2</v>
      </c>
      <c r="V15" s="169">
        <v>6.1255636468750202E-3</v>
      </c>
      <c r="W15" s="169">
        <v>1.8806800891783501E-3</v>
      </c>
    </row>
    <row r="16" spans="1:23">
      <c r="A16" s="23" t="s">
        <v>26</v>
      </c>
      <c r="B16" s="23">
        <v>288</v>
      </c>
      <c r="C16" s="23" t="s">
        <v>1364</v>
      </c>
      <c r="D16" s="23" t="s">
        <v>1365</v>
      </c>
      <c r="E16" s="21" t="s">
        <v>1347</v>
      </c>
      <c r="F16" s="23" t="s">
        <v>1450</v>
      </c>
      <c r="G16" s="23" t="s">
        <v>1451</v>
      </c>
      <c r="H16" s="21" t="s">
        <v>342</v>
      </c>
      <c r="I16" s="23" t="s">
        <v>1005</v>
      </c>
      <c r="J16" s="21" t="s">
        <v>31</v>
      </c>
      <c r="K16" s="21" t="s">
        <v>127</v>
      </c>
      <c r="L16" s="21" t="s">
        <v>40</v>
      </c>
      <c r="M16" s="23" t="s">
        <v>1447</v>
      </c>
      <c r="N16" s="23" t="s">
        <v>163</v>
      </c>
      <c r="O16" s="21" t="s">
        <v>35</v>
      </c>
      <c r="P16" s="155">
        <v>44500</v>
      </c>
      <c r="Q16" s="154">
        <v>1</v>
      </c>
      <c r="R16" s="154">
        <v>3792</v>
      </c>
      <c r="S16" s="134"/>
      <c r="T16" s="154">
        <v>1687.44</v>
      </c>
      <c r="U16" s="169">
        <v>9.5490000000000002E-3</v>
      </c>
      <c r="V16" s="169">
        <v>2.2953677289466001E-3</v>
      </c>
      <c r="W16" s="169">
        <v>7.0472737433308096E-4</v>
      </c>
    </row>
    <row r="17" spans="1:23">
      <c r="A17" s="23" t="s">
        <v>26</v>
      </c>
      <c r="B17" s="23">
        <v>288</v>
      </c>
      <c r="C17" s="23" t="s">
        <v>1364</v>
      </c>
      <c r="D17" s="23" t="s">
        <v>1365</v>
      </c>
      <c r="E17" s="21" t="s">
        <v>1347</v>
      </c>
      <c r="F17" s="23" t="s">
        <v>1452</v>
      </c>
      <c r="G17" s="23" t="s">
        <v>1453</v>
      </c>
      <c r="H17" s="21" t="s">
        <v>342</v>
      </c>
      <c r="I17" s="23" t="s">
        <v>1005</v>
      </c>
      <c r="J17" s="21" t="s">
        <v>31</v>
      </c>
      <c r="K17" s="21" t="s">
        <v>316</v>
      </c>
      <c r="L17" s="21" t="s">
        <v>40</v>
      </c>
      <c r="M17" s="23" t="s">
        <v>1447</v>
      </c>
      <c r="N17" s="23" t="s">
        <v>163</v>
      </c>
      <c r="O17" s="21" t="s">
        <v>35</v>
      </c>
      <c r="P17" s="155">
        <v>50620</v>
      </c>
      <c r="Q17" s="154">
        <v>1</v>
      </c>
      <c r="R17" s="154">
        <v>7475</v>
      </c>
      <c r="S17" s="134"/>
      <c r="T17" s="154">
        <v>3783.8449999999998</v>
      </c>
      <c r="U17" s="169">
        <v>1.2385999999999999E-2</v>
      </c>
      <c r="V17" s="169">
        <v>5.1470367564689402E-3</v>
      </c>
      <c r="W17" s="169">
        <v>1.5802512395897701E-3</v>
      </c>
    </row>
    <row r="18" spans="1:23">
      <c r="A18" s="23" t="s">
        <v>26</v>
      </c>
      <c r="B18" s="23">
        <v>288</v>
      </c>
      <c r="C18" s="23" t="s">
        <v>1364</v>
      </c>
      <c r="D18" s="23" t="s">
        <v>1365</v>
      </c>
      <c r="E18" s="21" t="s">
        <v>1347</v>
      </c>
      <c r="F18" s="23" t="s">
        <v>1454</v>
      </c>
      <c r="G18" s="23" t="s">
        <v>1455</v>
      </c>
      <c r="H18" s="21" t="s">
        <v>342</v>
      </c>
      <c r="I18" s="23" t="s">
        <v>1005</v>
      </c>
      <c r="J18" s="21" t="s">
        <v>31</v>
      </c>
      <c r="K18" s="21" t="s">
        <v>127</v>
      </c>
      <c r="L18" s="21" t="s">
        <v>40</v>
      </c>
      <c r="M18" s="23" t="s">
        <v>1447</v>
      </c>
      <c r="N18" s="23" t="s">
        <v>163</v>
      </c>
      <c r="O18" s="21" t="s">
        <v>35</v>
      </c>
      <c r="P18" s="155">
        <v>41440</v>
      </c>
      <c r="Q18" s="154">
        <v>1</v>
      </c>
      <c r="R18" s="154">
        <v>3611</v>
      </c>
      <c r="S18" s="134"/>
      <c r="T18" s="154">
        <v>1496.3979999999999</v>
      </c>
      <c r="U18" s="169">
        <v>1.0359999999999999E-2</v>
      </c>
      <c r="V18" s="169">
        <v>2.03550028268106E-3</v>
      </c>
      <c r="W18" s="169">
        <v>6.2494246633256498E-4</v>
      </c>
    </row>
    <row r="19" spans="1:23">
      <c r="A19" s="23" t="s">
        <v>26</v>
      </c>
      <c r="B19" s="23">
        <v>288</v>
      </c>
      <c r="C19" s="23" t="s">
        <v>1359</v>
      </c>
      <c r="D19" s="23" t="s">
        <v>1360</v>
      </c>
      <c r="E19" s="21" t="s">
        <v>1347</v>
      </c>
      <c r="F19" s="23" t="s">
        <v>1456</v>
      </c>
      <c r="G19" s="23" t="s">
        <v>1457</v>
      </c>
      <c r="H19" s="21" t="s">
        <v>342</v>
      </c>
      <c r="I19" s="23" t="s">
        <v>1005</v>
      </c>
      <c r="J19" s="21" t="s">
        <v>31</v>
      </c>
      <c r="K19" s="21" t="s">
        <v>127</v>
      </c>
      <c r="L19" s="21" t="s">
        <v>40</v>
      </c>
      <c r="M19" s="23" t="s">
        <v>1447</v>
      </c>
      <c r="N19" s="23" t="s">
        <v>163</v>
      </c>
      <c r="O19" s="21" t="s">
        <v>35</v>
      </c>
      <c r="P19" s="155">
        <v>169240</v>
      </c>
      <c r="Q19" s="154">
        <v>1</v>
      </c>
      <c r="R19" s="154">
        <v>6019</v>
      </c>
      <c r="S19" s="134"/>
      <c r="T19" s="154">
        <v>10186.556</v>
      </c>
      <c r="U19" s="169">
        <v>0</v>
      </c>
      <c r="V19" s="169">
        <v>1.3856428076471E-2</v>
      </c>
      <c r="W19" s="169">
        <v>4.2542221243338698E-3</v>
      </c>
    </row>
    <row r="20" spans="1:23">
      <c r="A20" s="2" t="s">
        <v>26</v>
      </c>
      <c r="B20" s="2">
        <v>288</v>
      </c>
      <c r="C20" s="2" t="s">
        <v>1359</v>
      </c>
      <c r="D20" s="2" t="s">
        <v>1360</v>
      </c>
      <c r="E20" s="21" t="s">
        <v>1347</v>
      </c>
      <c r="F20" s="2" t="s">
        <v>1458</v>
      </c>
      <c r="G20" s="2" t="s">
        <v>1459</v>
      </c>
      <c r="H20" s="21" t="s">
        <v>342</v>
      </c>
      <c r="I20" s="23" t="s">
        <v>1005</v>
      </c>
      <c r="J20" s="21" t="s">
        <v>31</v>
      </c>
      <c r="K20" s="21" t="s">
        <v>127</v>
      </c>
      <c r="L20" s="21" t="s">
        <v>40</v>
      </c>
      <c r="M20" s="23" t="s">
        <v>1447</v>
      </c>
      <c r="N20" s="23" t="s">
        <v>163</v>
      </c>
      <c r="O20" s="2" t="s">
        <v>35</v>
      </c>
      <c r="P20" s="155">
        <v>1987057</v>
      </c>
      <c r="Q20" s="152">
        <v>1</v>
      </c>
      <c r="R20" s="152">
        <v>490.6</v>
      </c>
      <c r="T20" s="152">
        <v>9748.5020000000004</v>
      </c>
      <c r="U20" s="165">
        <v>1.2408000000000001E-2</v>
      </c>
      <c r="V20" s="165">
        <v>1.3260558049252E-2</v>
      </c>
      <c r="W20" s="165">
        <v>4.0712771807284304E-3</v>
      </c>
    </row>
    <row r="21" spans="1:23">
      <c r="A21" s="2" t="s">
        <v>26</v>
      </c>
      <c r="B21" s="2">
        <v>288</v>
      </c>
      <c r="C21" s="2" t="s">
        <v>1359</v>
      </c>
      <c r="D21" s="2" t="s">
        <v>1360</v>
      </c>
      <c r="E21" s="4" t="s">
        <v>1347</v>
      </c>
      <c r="F21" s="2" t="s">
        <v>1460</v>
      </c>
      <c r="G21" s="2" t="s">
        <v>1461</v>
      </c>
      <c r="H21" s="4" t="s">
        <v>342</v>
      </c>
      <c r="I21" s="2" t="s">
        <v>1004</v>
      </c>
      <c r="J21" s="2" t="s">
        <v>31</v>
      </c>
      <c r="K21" s="2" t="s">
        <v>31</v>
      </c>
      <c r="L21" s="4" t="s">
        <v>40</v>
      </c>
      <c r="M21" s="2" t="s">
        <v>1363</v>
      </c>
      <c r="N21" s="2" t="s">
        <v>163</v>
      </c>
      <c r="O21" s="2" t="s">
        <v>35</v>
      </c>
      <c r="P21" s="153">
        <v>33200</v>
      </c>
      <c r="Q21" s="152">
        <v>1</v>
      </c>
      <c r="R21" s="152">
        <v>2053</v>
      </c>
      <c r="T21" s="152">
        <v>681.596</v>
      </c>
      <c r="U21" s="165">
        <v>6.8099999999999996E-4</v>
      </c>
      <c r="V21" s="165">
        <v>9.2715205434213104E-4</v>
      </c>
      <c r="W21" s="165">
        <v>2.846556674228E-4</v>
      </c>
    </row>
    <row r="22" spans="1:23">
      <c r="A22" s="2" t="s">
        <v>26</v>
      </c>
      <c r="B22" s="2">
        <v>288</v>
      </c>
      <c r="C22" s="2" t="s">
        <v>1359</v>
      </c>
      <c r="D22" s="2" t="s">
        <v>1360</v>
      </c>
      <c r="E22" s="4" t="s">
        <v>1347</v>
      </c>
      <c r="F22" s="2" t="s">
        <v>1462</v>
      </c>
      <c r="G22" s="2" t="s">
        <v>1463</v>
      </c>
      <c r="H22" s="2" t="s">
        <v>342</v>
      </c>
      <c r="I22" s="2" t="s">
        <v>1006</v>
      </c>
      <c r="J22" s="2" t="s">
        <v>31</v>
      </c>
      <c r="K22" s="2" t="s">
        <v>31</v>
      </c>
      <c r="L22" s="4" t="s">
        <v>40</v>
      </c>
      <c r="M22" s="2" t="s">
        <v>1378</v>
      </c>
      <c r="N22" s="2" t="s">
        <v>163</v>
      </c>
      <c r="O22" s="2" t="s">
        <v>35</v>
      </c>
      <c r="P22" s="153">
        <v>2905292</v>
      </c>
      <c r="Q22" s="152">
        <v>1</v>
      </c>
      <c r="R22" s="152">
        <v>385.82</v>
      </c>
      <c r="T22" s="152">
        <v>11209.198</v>
      </c>
      <c r="U22" s="165">
        <v>3.1104E-2</v>
      </c>
      <c r="V22" s="165">
        <v>1.5247493496403801E-2</v>
      </c>
      <c r="W22" s="165">
        <v>4.6813091956349204E-3</v>
      </c>
    </row>
    <row r="23" spans="1:23">
      <c r="A23" s="2" t="s">
        <v>26</v>
      </c>
      <c r="B23" s="2">
        <v>288</v>
      </c>
      <c r="C23" s="2" t="s">
        <v>1433</v>
      </c>
      <c r="D23" s="2" t="s">
        <v>1434</v>
      </c>
      <c r="E23" s="4" t="s">
        <v>1347</v>
      </c>
      <c r="F23" s="2" t="s">
        <v>1464</v>
      </c>
      <c r="G23" s="2" t="s">
        <v>1465</v>
      </c>
      <c r="H23" s="2" t="s">
        <v>342</v>
      </c>
      <c r="I23" s="2" t="s">
        <v>1005</v>
      </c>
      <c r="J23" s="2" t="s">
        <v>31</v>
      </c>
      <c r="K23" s="2" t="s">
        <v>127</v>
      </c>
      <c r="L23" s="2" t="s">
        <v>40</v>
      </c>
      <c r="M23" s="2" t="s">
        <v>1447</v>
      </c>
      <c r="N23" s="2" t="s">
        <v>163</v>
      </c>
      <c r="O23" s="2" t="s">
        <v>35</v>
      </c>
      <c r="P23" s="153">
        <v>55802</v>
      </c>
      <c r="Q23" s="152">
        <v>1</v>
      </c>
      <c r="R23" s="152">
        <v>8713</v>
      </c>
      <c r="T23" s="152">
        <v>4862.0280000000002</v>
      </c>
      <c r="U23" s="165">
        <v>4.1960000000000001E-3</v>
      </c>
      <c r="V23" s="165">
        <v>6.6136530870611002E-3</v>
      </c>
      <c r="W23" s="165">
        <v>2.0305340691242602E-3</v>
      </c>
    </row>
    <row r="24" spans="1:23">
      <c r="A24" s="2" t="s">
        <v>26</v>
      </c>
      <c r="B24" s="2">
        <v>288</v>
      </c>
      <c r="C24" s="2" t="s">
        <v>1368</v>
      </c>
      <c r="D24" s="2" t="s">
        <v>1369</v>
      </c>
      <c r="E24" s="4" t="s">
        <v>1347</v>
      </c>
      <c r="F24" s="2" t="s">
        <v>1466</v>
      </c>
      <c r="G24" s="2" t="s">
        <v>1467</v>
      </c>
      <c r="H24" s="2" t="s">
        <v>342</v>
      </c>
      <c r="I24" s="2" t="s">
        <v>1005</v>
      </c>
      <c r="J24" s="2" t="s">
        <v>31</v>
      </c>
      <c r="K24" s="2" t="s">
        <v>127</v>
      </c>
      <c r="L24" s="2" t="s">
        <v>40</v>
      </c>
      <c r="M24" s="2" t="s">
        <v>1447</v>
      </c>
      <c r="N24" s="2" t="s">
        <v>163</v>
      </c>
      <c r="O24" s="2" t="s">
        <v>35</v>
      </c>
      <c r="P24" s="153">
        <v>219527</v>
      </c>
      <c r="Q24" s="152">
        <v>1</v>
      </c>
      <c r="R24" s="152">
        <v>4461</v>
      </c>
      <c r="T24" s="152">
        <v>9793.0990000000002</v>
      </c>
      <c r="U24" s="165">
        <v>9.9349999999999994E-3</v>
      </c>
      <c r="V24" s="165">
        <v>1.33212229707735E-2</v>
      </c>
      <c r="W24" s="165">
        <v>4.0899026193973002E-3</v>
      </c>
    </row>
    <row r="25" spans="1:23">
      <c r="A25" s="2" t="s">
        <v>26</v>
      </c>
      <c r="B25" s="2">
        <v>288</v>
      </c>
      <c r="C25" s="2" t="s">
        <v>1409</v>
      </c>
      <c r="D25" s="2" t="s">
        <v>1410</v>
      </c>
      <c r="E25" s="4" t="s">
        <v>1347</v>
      </c>
      <c r="F25" s="2" t="s">
        <v>1468</v>
      </c>
      <c r="G25" s="2" t="s">
        <v>1469</v>
      </c>
      <c r="H25" s="2" t="s">
        <v>342</v>
      </c>
      <c r="I25" s="2" t="s">
        <v>1005</v>
      </c>
      <c r="J25" s="2" t="s">
        <v>31</v>
      </c>
      <c r="K25" s="2" t="s">
        <v>127</v>
      </c>
      <c r="L25" s="2" t="s">
        <v>40</v>
      </c>
      <c r="M25" s="2" t="s">
        <v>1447</v>
      </c>
      <c r="N25" s="2" t="s">
        <v>163</v>
      </c>
      <c r="O25" s="2" t="s">
        <v>35</v>
      </c>
      <c r="P25" s="153">
        <v>98100</v>
      </c>
      <c r="Q25" s="152">
        <v>1</v>
      </c>
      <c r="R25" s="152">
        <v>3459</v>
      </c>
      <c r="T25" s="152">
        <v>3393.279</v>
      </c>
      <c r="U25" s="165">
        <v>4.2989999999999999E-3</v>
      </c>
      <c r="V25" s="165">
        <v>4.6157629971508201E-3</v>
      </c>
      <c r="W25" s="165">
        <v>1.4171387427402301E-3</v>
      </c>
    </row>
    <row r="26" spans="1:23">
      <c r="A26" s="2" t="s">
        <v>26</v>
      </c>
      <c r="B26" s="2">
        <v>288</v>
      </c>
      <c r="C26" s="2" t="s">
        <v>1409</v>
      </c>
      <c r="D26" s="2" t="s">
        <v>1410</v>
      </c>
      <c r="E26" s="4" t="s">
        <v>1347</v>
      </c>
      <c r="F26" s="2" t="s">
        <v>1470</v>
      </c>
      <c r="G26" s="11" t="s">
        <v>1471</v>
      </c>
      <c r="H26" s="2" t="s">
        <v>342</v>
      </c>
      <c r="I26" s="2" t="s">
        <v>1004</v>
      </c>
      <c r="J26" s="2" t="s">
        <v>31</v>
      </c>
      <c r="K26" s="2" t="s">
        <v>31</v>
      </c>
      <c r="L26" s="2" t="s">
        <v>40</v>
      </c>
      <c r="M26" s="2" t="s">
        <v>1363</v>
      </c>
      <c r="N26" s="2" t="s">
        <v>163</v>
      </c>
      <c r="O26" s="2" t="s">
        <v>35</v>
      </c>
      <c r="P26" s="153">
        <v>84315</v>
      </c>
      <c r="Q26" s="152">
        <v>1</v>
      </c>
      <c r="R26" s="152">
        <v>1678</v>
      </c>
      <c r="T26" s="152">
        <v>1414.806</v>
      </c>
      <c r="U26" s="165">
        <v>3.4112999999999997E-2</v>
      </c>
      <c r="V26" s="165">
        <v>1.9245124843014899E-3</v>
      </c>
      <c r="W26" s="165">
        <v>5.9086681965135103E-4</v>
      </c>
    </row>
    <row r="27" spans="1:23">
      <c r="A27" s="2" t="s">
        <v>26</v>
      </c>
      <c r="B27" s="2">
        <v>288</v>
      </c>
      <c r="C27" s="2" t="s">
        <v>1409</v>
      </c>
      <c r="D27" s="2" t="s">
        <v>1410</v>
      </c>
      <c r="E27" s="4" t="s">
        <v>1347</v>
      </c>
      <c r="F27" s="2" t="s">
        <v>1472</v>
      </c>
      <c r="G27" s="2" t="s">
        <v>1473</v>
      </c>
      <c r="H27" s="2" t="s">
        <v>342</v>
      </c>
      <c r="I27" s="2" t="s">
        <v>1005</v>
      </c>
      <c r="J27" s="2" t="s">
        <v>31</v>
      </c>
      <c r="K27" s="2" t="s">
        <v>291</v>
      </c>
      <c r="L27" s="2" t="s">
        <v>40</v>
      </c>
      <c r="M27" s="2" t="s">
        <v>1447</v>
      </c>
      <c r="N27" s="2" t="s">
        <v>163</v>
      </c>
      <c r="O27" s="2" t="s">
        <v>35</v>
      </c>
      <c r="P27" s="153">
        <v>46427</v>
      </c>
      <c r="Q27" s="152">
        <v>1</v>
      </c>
      <c r="R27" s="152">
        <v>5605</v>
      </c>
      <c r="T27" s="152">
        <v>2602.2330000000002</v>
      </c>
      <c r="U27" s="165">
        <v>1.1606999999999999E-2</v>
      </c>
      <c r="V27" s="165">
        <v>3.53973027472301E-3</v>
      </c>
      <c r="W27" s="165">
        <v>1.0867735007748301E-3</v>
      </c>
    </row>
    <row r="28" spans="1:23">
      <c r="A28" s="2" t="s">
        <v>26</v>
      </c>
      <c r="B28" s="2">
        <v>288</v>
      </c>
      <c r="C28" s="2" t="s">
        <v>1409</v>
      </c>
      <c r="D28" s="2" t="s">
        <v>1410</v>
      </c>
      <c r="E28" s="4" t="s">
        <v>1347</v>
      </c>
      <c r="F28" s="2" t="s">
        <v>1474</v>
      </c>
      <c r="G28" s="2" t="s">
        <v>1475</v>
      </c>
      <c r="H28" s="2" t="s">
        <v>342</v>
      </c>
      <c r="I28" s="2" t="s">
        <v>1005</v>
      </c>
      <c r="J28" s="2" t="s">
        <v>31</v>
      </c>
      <c r="K28" s="2" t="s">
        <v>127</v>
      </c>
      <c r="L28" s="2" t="s">
        <v>40</v>
      </c>
      <c r="M28" s="2" t="s">
        <v>1447</v>
      </c>
      <c r="N28" s="2" t="s">
        <v>163</v>
      </c>
      <c r="O28" s="2" t="s">
        <v>35</v>
      </c>
      <c r="P28" s="153">
        <v>115573</v>
      </c>
      <c r="Q28" s="152">
        <v>1</v>
      </c>
      <c r="R28" s="152">
        <v>3469</v>
      </c>
      <c r="T28" s="152">
        <v>4009.2269999999999</v>
      </c>
      <c r="U28" s="165">
        <v>1.1663E-2</v>
      </c>
      <c r="V28" s="165">
        <v>5.4536167941422803E-3</v>
      </c>
      <c r="W28" s="165">
        <v>1.674377920142E-3</v>
      </c>
    </row>
    <row r="29" spans="1:23">
      <c r="A29" s="2" t="s">
        <v>26</v>
      </c>
      <c r="B29" s="2">
        <v>288</v>
      </c>
      <c r="C29" s="2" t="s">
        <v>1409</v>
      </c>
      <c r="D29" s="2" t="s">
        <v>1410</v>
      </c>
      <c r="E29" s="4" t="s">
        <v>1347</v>
      </c>
      <c r="F29" s="2" t="s">
        <v>1476</v>
      </c>
      <c r="G29" s="2" t="s">
        <v>1477</v>
      </c>
      <c r="H29" s="2" t="s">
        <v>342</v>
      </c>
      <c r="I29" s="2" t="s">
        <v>1005</v>
      </c>
      <c r="J29" s="2" t="s">
        <v>31</v>
      </c>
      <c r="K29" s="2" t="s">
        <v>256</v>
      </c>
      <c r="L29" s="2" t="s">
        <v>40</v>
      </c>
      <c r="M29" s="2" t="s">
        <v>1447</v>
      </c>
      <c r="N29" s="2" t="s">
        <v>163</v>
      </c>
      <c r="O29" s="2" t="s">
        <v>35</v>
      </c>
      <c r="P29" s="153">
        <v>29586</v>
      </c>
      <c r="Q29" s="152">
        <v>1</v>
      </c>
      <c r="R29" s="152">
        <v>8516</v>
      </c>
      <c r="T29" s="152">
        <v>2519.5439999999999</v>
      </c>
      <c r="U29" s="165">
        <v>2.8700000000000002E-3</v>
      </c>
      <c r="V29" s="165">
        <v>3.42725041386525E-3</v>
      </c>
      <c r="W29" s="165">
        <v>1.05223975874822E-3</v>
      </c>
    </row>
    <row r="30" spans="1:23">
      <c r="A30" s="2" t="s">
        <v>26</v>
      </c>
      <c r="B30" s="2">
        <v>288</v>
      </c>
      <c r="C30" s="2" t="s">
        <v>1409</v>
      </c>
      <c r="D30" s="2" t="s">
        <v>1410</v>
      </c>
      <c r="E30" s="4" t="s">
        <v>1347</v>
      </c>
      <c r="F30" s="2" t="s">
        <v>1478</v>
      </c>
      <c r="G30" s="2" t="s">
        <v>1479</v>
      </c>
      <c r="H30" s="2" t="s">
        <v>342</v>
      </c>
      <c r="I30" s="2" t="s">
        <v>1006</v>
      </c>
      <c r="J30" s="2" t="s">
        <v>31</v>
      </c>
      <c r="K30" s="2" t="s">
        <v>31</v>
      </c>
      <c r="L30" s="2" t="s">
        <v>40</v>
      </c>
      <c r="M30" s="2" t="s">
        <v>1378</v>
      </c>
      <c r="N30" s="2" t="s">
        <v>163</v>
      </c>
      <c r="O30" s="2" t="s">
        <v>35</v>
      </c>
      <c r="P30" s="153">
        <v>2350000</v>
      </c>
      <c r="Q30" s="152">
        <v>1</v>
      </c>
      <c r="R30" s="152">
        <v>358.93</v>
      </c>
      <c r="T30" s="152">
        <v>8434.8549999999996</v>
      </c>
      <c r="U30" s="165">
        <v>5.9080000000000001E-3</v>
      </c>
      <c r="V30" s="165">
        <v>1.147364882031E-2</v>
      </c>
      <c r="W30" s="165">
        <v>3.5226575268040702E-3</v>
      </c>
    </row>
    <row r="31" spans="1:23">
      <c r="A31" s="2" t="s">
        <v>26</v>
      </c>
      <c r="B31" s="2">
        <v>288</v>
      </c>
      <c r="C31" s="2" t="s">
        <v>1480</v>
      </c>
      <c r="D31" s="2" t="s">
        <v>1481</v>
      </c>
      <c r="E31" s="4" t="s">
        <v>335</v>
      </c>
      <c r="F31" s="2" t="s">
        <v>1482</v>
      </c>
      <c r="G31" s="2" t="s">
        <v>1483</v>
      </c>
      <c r="H31" s="2" t="s">
        <v>342</v>
      </c>
      <c r="I31" s="2" t="s">
        <v>1005</v>
      </c>
      <c r="J31" s="2" t="s">
        <v>120</v>
      </c>
      <c r="K31" s="2" t="s">
        <v>127</v>
      </c>
      <c r="L31" s="2" t="s">
        <v>385</v>
      </c>
      <c r="M31" s="2" t="s">
        <v>757</v>
      </c>
      <c r="N31" s="2" t="s">
        <v>163</v>
      </c>
      <c r="O31" s="2" t="s">
        <v>100</v>
      </c>
      <c r="P31" s="153">
        <v>25400</v>
      </c>
      <c r="Q31" s="152">
        <v>3.681</v>
      </c>
      <c r="R31" s="152">
        <v>10227.780000000001</v>
      </c>
      <c r="T31" s="152">
        <v>9562.7080000000005</v>
      </c>
      <c r="U31" s="165">
        <v>0</v>
      </c>
      <c r="V31" s="165">
        <v>1.3007829737084401E-2</v>
      </c>
      <c r="W31" s="165">
        <v>3.9936841407952704E-3</v>
      </c>
    </row>
    <row r="32" spans="1:23">
      <c r="A32" s="2" t="s">
        <v>26</v>
      </c>
      <c r="B32" s="2">
        <v>288</v>
      </c>
      <c r="C32" s="2" t="s">
        <v>1484</v>
      </c>
      <c r="D32" s="2" t="s">
        <v>1485</v>
      </c>
      <c r="E32" s="4" t="s">
        <v>335</v>
      </c>
      <c r="F32" s="2" t="s">
        <v>1486</v>
      </c>
      <c r="G32" s="2" t="s">
        <v>1487</v>
      </c>
      <c r="H32" s="2" t="s">
        <v>342</v>
      </c>
      <c r="I32" s="2" t="s">
        <v>1005</v>
      </c>
      <c r="J32" s="2" t="s">
        <v>120</v>
      </c>
      <c r="K32" s="2" t="s">
        <v>316</v>
      </c>
      <c r="L32" s="2" t="s">
        <v>389</v>
      </c>
      <c r="M32" s="2" t="s">
        <v>757</v>
      </c>
      <c r="N32" s="2" t="s">
        <v>163</v>
      </c>
      <c r="O32" s="2" t="s">
        <v>1208</v>
      </c>
      <c r="P32" s="153">
        <v>95000</v>
      </c>
      <c r="Q32" s="152">
        <v>3.9790000000000001</v>
      </c>
      <c r="R32" s="152">
        <v>5115</v>
      </c>
      <c r="T32" s="152">
        <v>19335.441999999999</v>
      </c>
      <c r="U32" s="165">
        <v>9.7300000000000002E-4</v>
      </c>
      <c r="V32" s="165">
        <v>2.6301349289885399E-2</v>
      </c>
      <c r="W32" s="165">
        <v>8.0750812136687403E-3</v>
      </c>
    </row>
    <row r="33" spans="1:23">
      <c r="A33" s="2" t="s">
        <v>26</v>
      </c>
      <c r="B33" s="2">
        <v>288</v>
      </c>
      <c r="C33" s="2" t="s">
        <v>1417</v>
      </c>
      <c r="D33" s="2" t="s">
        <v>1418</v>
      </c>
      <c r="E33" s="4" t="s">
        <v>335</v>
      </c>
      <c r="F33" s="2" t="s">
        <v>1417</v>
      </c>
      <c r="G33" s="2" t="s">
        <v>1488</v>
      </c>
      <c r="H33" s="2" t="s">
        <v>342</v>
      </c>
      <c r="I33" s="2" t="s">
        <v>1005</v>
      </c>
      <c r="J33" s="2" t="s">
        <v>120</v>
      </c>
      <c r="K33" s="2" t="s">
        <v>127</v>
      </c>
      <c r="L33" s="2" t="s">
        <v>401</v>
      </c>
      <c r="M33" s="2" t="s">
        <v>757</v>
      </c>
      <c r="N33" s="2" t="s">
        <v>163</v>
      </c>
      <c r="O33" s="2" t="s">
        <v>100</v>
      </c>
      <c r="P33" s="153">
        <v>521300</v>
      </c>
      <c r="Q33" s="152">
        <v>3.681</v>
      </c>
      <c r="R33" s="152">
        <v>574.29999999999995</v>
      </c>
      <c r="T33" s="152">
        <v>11020.272999999999</v>
      </c>
      <c r="U33" s="165">
        <v>0</v>
      </c>
      <c r="V33" s="165">
        <v>1.4990505929047999E-2</v>
      </c>
      <c r="W33" s="165">
        <v>4.6024084725416296E-3</v>
      </c>
    </row>
    <row r="34" spans="1:23">
      <c r="A34" s="2" t="s">
        <v>26</v>
      </c>
      <c r="B34" s="2">
        <v>288</v>
      </c>
      <c r="C34" s="2" t="s">
        <v>1484</v>
      </c>
      <c r="D34" s="2" t="s">
        <v>1485</v>
      </c>
      <c r="E34" s="4" t="s">
        <v>335</v>
      </c>
      <c r="F34" s="2" t="s">
        <v>1489</v>
      </c>
      <c r="G34" s="2" t="s">
        <v>1490</v>
      </c>
      <c r="H34" s="2" t="s">
        <v>342</v>
      </c>
      <c r="I34" s="2" t="s">
        <v>1005</v>
      </c>
      <c r="J34" s="2" t="s">
        <v>120</v>
      </c>
      <c r="K34" s="2" t="s">
        <v>127</v>
      </c>
      <c r="L34" s="2" t="s">
        <v>365</v>
      </c>
      <c r="M34" s="2" t="s">
        <v>757</v>
      </c>
      <c r="N34" s="2" t="s">
        <v>163</v>
      </c>
      <c r="O34" s="2" t="s">
        <v>100</v>
      </c>
      <c r="P34" s="153">
        <v>3280</v>
      </c>
      <c r="Q34" s="152">
        <v>3.681</v>
      </c>
      <c r="R34" s="152">
        <v>52573</v>
      </c>
      <c r="T34" s="152">
        <v>6347.4960000000001</v>
      </c>
      <c r="U34" s="165">
        <v>3.9999999999999998E-6</v>
      </c>
      <c r="V34" s="165">
        <v>8.6342844709898295E-3</v>
      </c>
      <c r="W34" s="165">
        <v>2.6509114630090301E-3</v>
      </c>
    </row>
    <row r="35" spans="1:23">
      <c r="A35" s="2" t="s">
        <v>26</v>
      </c>
      <c r="B35" s="2">
        <v>288</v>
      </c>
      <c r="C35" s="2" t="s">
        <v>1491</v>
      </c>
      <c r="D35" s="2" t="s">
        <v>1492</v>
      </c>
      <c r="E35" s="4" t="s">
        <v>335</v>
      </c>
      <c r="F35" s="2" t="s">
        <v>1493</v>
      </c>
      <c r="G35" s="2" t="s">
        <v>1494</v>
      </c>
      <c r="H35" s="2" t="s">
        <v>342</v>
      </c>
      <c r="I35" s="2" t="s">
        <v>1005</v>
      </c>
      <c r="J35" s="2" t="s">
        <v>120</v>
      </c>
      <c r="K35" s="2" t="s">
        <v>291</v>
      </c>
      <c r="L35" s="2" t="s">
        <v>401</v>
      </c>
      <c r="M35" s="2" t="s">
        <v>757</v>
      </c>
      <c r="N35" s="2" t="s">
        <v>163</v>
      </c>
      <c r="O35" s="2" t="s">
        <v>100</v>
      </c>
      <c r="P35" s="153">
        <v>30000</v>
      </c>
      <c r="Q35" s="152">
        <v>3.681</v>
      </c>
      <c r="R35" s="152">
        <v>1805</v>
      </c>
      <c r="T35" s="152">
        <v>1993.2619999999999</v>
      </c>
      <c r="U35" s="165">
        <v>0</v>
      </c>
      <c r="V35" s="165">
        <v>2.7113664026286498E-3</v>
      </c>
      <c r="W35" s="165">
        <v>8.3244793489203601E-4</v>
      </c>
    </row>
    <row r="36" spans="1:23">
      <c r="A36" s="2" t="s">
        <v>26</v>
      </c>
      <c r="B36" s="2">
        <v>288</v>
      </c>
      <c r="C36" s="2" t="s">
        <v>1495</v>
      </c>
      <c r="D36" s="2" t="s">
        <v>1496</v>
      </c>
      <c r="E36" s="4" t="s">
        <v>335</v>
      </c>
      <c r="F36" s="2" t="s">
        <v>1497</v>
      </c>
      <c r="G36" s="2" t="s">
        <v>1498</v>
      </c>
      <c r="H36" s="2" t="s">
        <v>342</v>
      </c>
      <c r="I36" s="2" t="s">
        <v>1005</v>
      </c>
      <c r="J36" s="2" t="s">
        <v>120</v>
      </c>
      <c r="K36" s="2" t="s">
        <v>291</v>
      </c>
      <c r="L36" s="2" t="s">
        <v>365</v>
      </c>
      <c r="M36" s="2" t="s">
        <v>757</v>
      </c>
      <c r="N36" s="2" t="s">
        <v>163</v>
      </c>
      <c r="O36" s="2" t="s">
        <v>100</v>
      </c>
      <c r="P36" s="153">
        <v>36000</v>
      </c>
      <c r="Q36" s="152">
        <v>3.681</v>
      </c>
      <c r="R36" s="152">
        <v>26.25</v>
      </c>
      <c r="T36" s="152">
        <v>3478.5450000000001</v>
      </c>
      <c r="U36" s="165">
        <v>1.46E-4</v>
      </c>
      <c r="V36" s="165">
        <v>4.7317474616511103E-3</v>
      </c>
      <c r="W36" s="165">
        <v>1.4527484736343E-3</v>
      </c>
    </row>
    <row r="37" spans="1:23">
      <c r="A37" s="2" t="s">
        <v>26</v>
      </c>
      <c r="B37" s="2">
        <v>288</v>
      </c>
      <c r="C37" s="2" t="s">
        <v>1499</v>
      </c>
      <c r="D37" s="2" t="s">
        <v>1500</v>
      </c>
      <c r="E37" s="4" t="s">
        <v>335</v>
      </c>
      <c r="F37" s="2" t="s">
        <v>1501</v>
      </c>
      <c r="G37" s="2" t="s">
        <v>1502</v>
      </c>
      <c r="H37" s="2" t="s">
        <v>342</v>
      </c>
      <c r="I37" s="2" t="s">
        <v>1005</v>
      </c>
      <c r="J37" s="2" t="s">
        <v>120</v>
      </c>
      <c r="K37" s="2" t="s">
        <v>291</v>
      </c>
      <c r="L37" s="2" t="s">
        <v>401</v>
      </c>
      <c r="M37" s="2" t="s">
        <v>757</v>
      </c>
      <c r="N37" s="2" t="s">
        <v>163</v>
      </c>
      <c r="O37" s="2" t="s">
        <v>100</v>
      </c>
      <c r="P37" s="153">
        <v>47000</v>
      </c>
      <c r="Q37" s="152">
        <v>3.681</v>
      </c>
      <c r="R37" s="152">
        <v>1434.9</v>
      </c>
      <c r="T37" s="152">
        <v>2482.4769999999999</v>
      </c>
      <c r="U37" s="165">
        <v>1.9989999999999999E-3</v>
      </c>
      <c r="V37" s="165">
        <v>3.3768303527829599E-3</v>
      </c>
      <c r="W37" s="165">
        <v>1.03675971308401E-3</v>
      </c>
    </row>
    <row r="38" spans="1:23">
      <c r="A38" s="2" t="s">
        <v>26</v>
      </c>
      <c r="B38" s="2">
        <v>288</v>
      </c>
      <c r="C38" s="2" t="s">
        <v>1499</v>
      </c>
      <c r="D38" s="2" t="s">
        <v>1500</v>
      </c>
      <c r="E38" s="4" t="s">
        <v>335</v>
      </c>
      <c r="F38" s="2" t="s">
        <v>1503</v>
      </c>
      <c r="G38" s="2" t="s">
        <v>1504</v>
      </c>
      <c r="H38" s="2" t="s">
        <v>342</v>
      </c>
      <c r="I38" s="2" t="s">
        <v>1005</v>
      </c>
      <c r="J38" s="2" t="s">
        <v>120</v>
      </c>
      <c r="K38" s="2" t="s">
        <v>127</v>
      </c>
      <c r="L38" s="2" t="s">
        <v>401</v>
      </c>
      <c r="M38" s="2" t="s">
        <v>757</v>
      </c>
      <c r="N38" s="2" t="s">
        <v>163</v>
      </c>
      <c r="O38" s="2" t="s">
        <v>100</v>
      </c>
      <c r="P38" s="153">
        <v>56350</v>
      </c>
      <c r="Q38" s="152">
        <v>3.681</v>
      </c>
      <c r="R38" s="152">
        <v>37152.5</v>
      </c>
      <c r="T38" s="152">
        <v>77063.331999999995</v>
      </c>
      <c r="U38" s="165">
        <v>6.3509999999999999E-3</v>
      </c>
      <c r="V38" s="165">
        <v>0.10482665132817701</v>
      </c>
      <c r="W38" s="165">
        <v>3.2184041719772002E-2</v>
      </c>
    </row>
    <row r="39" spans="1:23">
      <c r="A39" s="2" t="s">
        <v>26</v>
      </c>
      <c r="B39" s="2">
        <v>288</v>
      </c>
      <c r="C39" s="2" t="s">
        <v>1505</v>
      </c>
      <c r="D39" s="2" t="s">
        <v>1506</v>
      </c>
      <c r="E39" s="4" t="s">
        <v>335</v>
      </c>
      <c r="F39" s="2" t="s">
        <v>1505</v>
      </c>
      <c r="G39" s="2" t="s">
        <v>1507</v>
      </c>
      <c r="H39" s="2" t="s">
        <v>342</v>
      </c>
      <c r="I39" s="2" t="s">
        <v>1005</v>
      </c>
      <c r="J39" s="2" t="s">
        <v>120</v>
      </c>
      <c r="K39" s="2" t="s">
        <v>274</v>
      </c>
      <c r="L39" s="2" t="s">
        <v>369</v>
      </c>
      <c r="M39" s="2" t="s">
        <v>757</v>
      </c>
      <c r="N39" s="2" t="s">
        <v>163</v>
      </c>
      <c r="O39" s="2" t="s">
        <v>1209</v>
      </c>
      <c r="P39" s="153">
        <v>121300</v>
      </c>
      <c r="Q39" s="152">
        <v>2.4329999999999998</v>
      </c>
      <c r="R39" s="152">
        <v>292550</v>
      </c>
      <c r="T39" s="152">
        <v>8635.24</v>
      </c>
      <c r="U39" s="165">
        <v>0</v>
      </c>
      <c r="V39" s="165">
        <v>1.17462256317491E-2</v>
      </c>
      <c r="W39" s="165">
        <v>3.6063444838903402E-3</v>
      </c>
    </row>
    <row r="40" spans="1:23">
      <c r="A40" s="2" t="s">
        <v>26</v>
      </c>
      <c r="B40" s="2">
        <v>288</v>
      </c>
      <c r="C40" s="2" t="s">
        <v>1391</v>
      </c>
      <c r="D40" s="2" t="s">
        <v>1392</v>
      </c>
      <c r="E40" s="4" t="s">
        <v>335</v>
      </c>
      <c r="F40" s="2" t="s">
        <v>1508</v>
      </c>
      <c r="G40" s="2" t="s">
        <v>1509</v>
      </c>
      <c r="H40" s="2" t="s">
        <v>342</v>
      </c>
      <c r="I40" s="2" t="s">
        <v>1005</v>
      </c>
      <c r="J40" s="2" t="s">
        <v>120</v>
      </c>
      <c r="K40" s="2" t="s">
        <v>127</v>
      </c>
      <c r="L40" s="2" t="s">
        <v>367</v>
      </c>
      <c r="M40" s="2" t="s">
        <v>757</v>
      </c>
      <c r="N40" s="2" t="s">
        <v>163</v>
      </c>
      <c r="O40" s="2" t="s">
        <v>100</v>
      </c>
      <c r="P40" s="153">
        <v>3810</v>
      </c>
      <c r="Q40" s="152">
        <v>3.681</v>
      </c>
      <c r="R40" s="152">
        <v>444.01</v>
      </c>
      <c r="S40" s="156">
        <v>1.6679999999999999</v>
      </c>
      <c r="T40" s="152">
        <v>6233.2089999999998</v>
      </c>
      <c r="U40" s="165">
        <v>6.9999999999999999E-6</v>
      </c>
      <c r="V40" s="165">
        <v>8.4788235687846096E-3</v>
      </c>
      <c r="W40" s="165">
        <v>2.60318161474075E-3</v>
      </c>
    </row>
    <row r="41" spans="1:23">
      <c r="A41" s="2" t="s">
        <v>26</v>
      </c>
      <c r="B41" s="2">
        <v>288</v>
      </c>
      <c r="C41" s="2" t="s">
        <v>1391</v>
      </c>
      <c r="D41" s="2" t="s">
        <v>1392</v>
      </c>
      <c r="E41" s="4" t="s">
        <v>335</v>
      </c>
      <c r="F41" s="2" t="s">
        <v>1510</v>
      </c>
      <c r="G41" s="2" t="s">
        <v>1511</v>
      </c>
      <c r="H41" s="2" t="s">
        <v>342</v>
      </c>
      <c r="I41" s="2" t="s">
        <v>1005</v>
      </c>
      <c r="J41" s="2" t="s">
        <v>120</v>
      </c>
      <c r="K41" s="2" t="s">
        <v>127</v>
      </c>
      <c r="L41" s="2" t="s">
        <v>401</v>
      </c>
      <c r="M41" s="2" t="s">
        <v>757</v>
      </c>
      <c r="N41" s="2" t="s">
        <v>163</v>
      </c>
      <c r="O41" s="2" t="s">
        <v>100</v>
      </c>
      <c r="P41" s="153">
        <v>16055</v>
      </c>
      <c r="Q41" s="152">
        <v>3.681</v>
      </c>
      <c r="R41" s="152">
        <v>102524</v>
      </c>
      <c r="T41" s="152">
        <v>60590.1</v>
      </c>
      <c r="U41" s="165">
        <v>3.163E-3</v>
      </c>
      <c r="V41" s="165">
        <v>8.2418669845024398E-2</v>
      </c>
      <c r="W41" s="165">
        <v>2.5304308352616201E-2</v>
      </c>
    </row>
    <row r="42" spans="1:23">
      <c r="A42" s="2" t="s">
        <v>26</v>
      </c>
      <c r="B42" s="2">
        <v>288</v>
      </c>
      <c r="C42" s="2" t="s">
        <v>1512</v>
      </c>
      <c r="D42" s="2" t="s">
        <v>1513</v>
      </c>
      <c r="E42" s="4" t="s">
        <v>335</v>
      </c>
      <c r="F42" s="2" t="s">
        <v>1514</v>
      </c>
      <c r="G42" s="2" t="s">
        <v>1515</v>
      </c>
      <c r="H42" s="2" t="s">
        <v>342</v>
      </c>
      <c r="I42" s="2" t="s">
        <v>1007</v>
      </c>
      <c r="J42" s="2" t="s">
        <v>120</v>
      </c>
      <c r="K42" s="2" t="s">
        <v>127</v>
      </c>
      <c r="L42" s="2" t="s">
        <v>401</v>
      </c>
      <c r="M42" s="2" t="s">
        <v>754</v>
      </c>
      <c r="N42" s="2" t="s">
        <v>163</v>
      </c>
      <c r="O42" s="2" t="s">
        <v>100</v>
      </c>
      <c r="P42" s="153">
        <v>92200</v>
      </c>
      <c r="Q42" s="152">
        <v>3.681</v>
      </c>
      <c r="R42" s="152">
        <v>27.605</v>
      </c>
      <c r="T42" s="152">
        <v>9368.8109999999997</v>
      </c>
      <c r="U42" s="165">
        <v>0</v>
      </c>
      <c r="V42" s="165">
        <v>1.27440780277171E-2</v>
      </c>
      <c r="W42" s="165">
        <v>3.91270668028892E-3</v>
      </c>
    </row>
    <row r="43" spans="1:23">
      <c r="A43" s="2" t="s">
        <v>26</v>
      </c>
      <c r="B43" s="2">
        <v>288</v>
      </c>
      <c r="C43" s="2" t="s">
        <v>1516</v>
      </c>
      <c r="D43" s="2" t="s">
        <v>1517</v>
      </c>
      <c r="E43" s="4" t="s">
        <v>335</v>
      </c>
      <c r="F43" s="2" t="s">
        <v>1518</v>
      </c>
      <c r="G43" s="2" t="s">
        <v>1519</v>
      </c>
      <c r="H43" s="2" t="s">
        <v>342</v>
      </c>
      <c r="I43" s="2" t="s">
        <v>1005</v>
      </c>
      <c r="J43" s="2" t="s">
        <v>120</v>
      </c>
      <c r="K43" s="2" t="s">
        <v>127</v>
      </c>
      <c r="L43" s="2" t="s">
        <v>365</v>
      </c>
      <c r="M43" s="2" t="s">
        <v>757</v>
      </c>
      <c r="N43" s="2" t="s">
        <v>163</v>
      </c>
      <c r="O43" s="2" t="s">
        <v>100</v>
      </c>
      <c r="P43" s="153">
        <v>262200</v>
      </c>
      <c r="Q43" s="152">
        <v>3.681</v>
      </c>
      <c r="R43" s="152">
        <v>6153</v>
      </c>
      <c r="T43" s="152">
        <v>59386.184000000001</v>
      </c>
      <c r="U43" s="165">
        <v>8.6799999999999996E-4</v>
      </c>
      <c r="V43" s="165">
        <v>8.0781023564969301E-2</v>
      </c>
      <c r="W43" s="165">
        <v>2.4801515641681302E-2</v>
      </c>
    </row>
    <row r="44" spans="1:23">
      <c r="A44" s="2" t="s">
        <v>26</v>
      </c>
      <c r="B44" s="2">
        <v>288</v>
      </c>
      <c r="C44" s="2" t="s">
        <v>1520</v>
      </c>
      <c r="D44" s="2" t="s">
        <v>1521</v>
      </c>
      <c r="E44" s="4" t="s">
        <v>335</v>
      </c>
      <c r="F44" s="2" t="s">
        <v>1522</v>
      </c>
      <c r="G44" s="2" t="s">
        <v>1523</v>
      </c>
      <c r="H44" s="2" t="s">
        <v>342</v>
      </c>
      <c r="I44" s="2" t="s">
        <v>1005</v>
      </c>
      <c r="J44" s="2" t="s">
        <v>120</v>
      </c>
      <c r="K44" s="2" t="s">
        <v>127</v>
      </c>
      <c r="L44" s="2" t="s">
        <v>401</v>
      </c>
      <c r="M44" s="2" t="s">
        <v>757</v>
      </c>
      <c r="N44" s="2" t="s">
        <v>163</v>
      </c>
      <c r="O44" s="2" t="s">
        <v>100</v>
      </c>
      <c r="P44" s="153">
        <v>787000</v>
      </c>
      <c r="Q44" s="152">
        <v>3.681</v>
      </c>
      <c r="R44" s="152">
        <v>1267.5999999999999</v>
      </c>
      <c r="T44" s="152">
        <v>36721.699999999997</v>
      </c>
      <c r="U44" s="165">
        <v>0</v>
      </c>
      <c r="V44" s="165">
        <v>4.9951290432170399E-2</v>
      </c>
      <c r="W44" s="165">
        <v>1.53361229692672E-2</v>
      </c>
    </row>
    <row r="45" spans="1:23">
      <c r="A45" s="2" t="s">
        <v>26</v>
      </c>
      <c r="B45" s="2">
        <v>288</v>
      </c>
      <c r="C45" s="2" t="s">
        <v>1524</v>
      </c>
      <c r="D45" s="2" t="s">
        <v>1525</v>
      </c>
      <c r="E45" s="4" t="s">
        <v>335</v>
      </c>
      <c r="F45" s="2" t="s">
        <v>1526</v>
      </c>
      <c r="G45" s="2" t="s">
        <v>1527</v>
      </c>
      <c r="H45" s="2" t="s">
        <v>342</v>
      </c>
      <c r="I45" s="2" t="s">
        <v>1005</v>
      </c>
      <c r="J45" s="2" t="s">
        <v>120</v>
      </c>
      <c r="K45" s="2" t="s">
        <v>127</v>
      </c>
      <c r="L45" s="2" t="s">
        <v>401</v>
      </c>
      <c r="M45" s="2" t="s">
        <v>757</v>
      </c>
      <c r="N45" s="2" t="s">
        <v>163</v>
      </c>
      <c r="O45" s="2" t="s">
        <v>100</v>
      </c>
      <c r="P45" s="153">
        <v>53200</v>
      </c>
      <c r="Q45" s="152">
        <v>3.681</v>
      </c>
      <c r="R45" s="152">
        <v>3552.75</v>
      </c>
      <c r="T45" s="152">
        <v>6957.3220000000001</v>
      </c>
      <c r="U45" s="165">
        <v>0</v>
      </c>
      <c r="V45" s="165">
        <v>9.4638103731329998E-3</v>
      </c>
      <c r="W45" s="165">
        <v>2.90559379716685E-3</v>
      </c>
    </row>
    <row r="46" spans="1:23">
      <c r="A46" s="2" t="s">
        <v>26</v>
      </c>
      <c r="B46" s="2">
        <v>288</v>
      </c>
      <c r="C46" s="2" t="s">
        <v>1516</v>
      </c>
      <c r="D46" s="2" t="s">
        <v>1517</v>
      </c>
      <c r="E46" s="4" t="s">
        <v>335</v>
      </c>
      <c r="F46" s="2" t="s">
        <v>1528</v>
      </c>
      <c r="G46" s="2" t="s">
        <v>1529</v>
      </c>
      <c r="H46" s="2" t="s">
        <v>342</v>
      </c>
      <c r="I46" s="2" t="s">
        <v>1005</v>
      </c>
      <c r="J46" s="2" t="s">
        <v>120</v>
      </c>
      <c r="K46" s="2" t="s">
        <v>127</v>
      </c>
      <c r="L46" s="2" t="s">
        <v>401</v>
      </c>
      <c r="M46" s="2" t="s">
        <v>757</v>
      </c>
      <c r="N46" s="2" t="s">
        <v>163</v>
      </c>
      <c r="O46" s="2" t="s">
        <v>100</v>
      </c>
      <c r="P46" s="153">
        <v>14700</v>
      </c>
      <c r="Q46" s="152">
        <v>3.681</v>
      </c>
      <c r="R46" s="152">
        <v>4855.875</v>
      </c>
      <c r="T46" s="152">
        <v>2627.5479999999998</v>
      </c>
      <c r="U46" s="165">
        <v>0</v>
      </c>
      <c r="V46" s="165">
        <v>3.5741648763870102E-3</v>
      </c>
      <c r="W46" s="165">
        <v>1.0973456657969499E-3</v>
      </c>
    </row>
    <row r="47" spans="1:23">
      <c r="A47" s="2" t="s">
        <v>26</v>
      </c>
      <c r="B47" s="2">
        <v>288</v>
      </c>
      <c r="C47" s="2" t="s">
        <v>1530</v>
      </c>
      <c r="D47" s="2" t="s">
        <v>1531</v>
      </c>
      <c r="E47" s="4" t="s">
        <v>335</v>
      </c>
      <c r="F47" s="2" t="s">
        <v>1532</v>
      </c>
      <c r="G47" s="2" t="s">
        <v>1533</v>
      </c>
      <c r="H47" s="2" t="s">
        <v>342</v>
      </c>
      <c r="I47" s="2" t="s">
        <v>1005</v>
      </c>
      <c r="J47" s="2" t="s">
        <v>120</v>
      </c>
      <c r="K47" s="2" t="s">
        <v>127</v>
      </c>
      <c r="L47" s="2" t="s">
        <v>367</v>
      </c>
      <c r="M47" s="2" t="s">
        <v>757</v>
      </c>
      <c r="N47" s="2" t="s">
        <v>163</v>
      </c>
      <c r="O47" s="2" t="s">
        <v>100</v>
      </c>
      <c r="P47" s="153">
        <v>2630</v>
      </c>
      <c r="Q47" s="152">
        <v>3.681</v>
      </c>
      <c r="R47" s="152">
        <v>22499</v>
      </c>
      <c r="T47" s="152">
        <v>2178.1350000000002</v>
      </c>
      <c r="U47" s="165">
        <v>1.15E-4</v>
      </c>
      <c r="V47" s="165">
        <v>2.96284350843789E-3</v>
      </c>
      <c r="W47" s="165">
        <v>9.0965682750078502E-4</v>
      </c>
    </row>
    <row r="48" spans="1:23">
      <c r="A48" s="2" t="s">
        <v>26</v>
      </c>
      <c r="B48" s="2">
        <v>288</v>
      </c>
      <c r="C48" s="2" t="s">
        <v>1534</v>
      </c>
      <c r="D48" s="2" t="s">
        <v>1535</v>
      </c>
      <c r="E48" s="4" t="s">
        <v>335</v>
      </c>
      <c r="F48" s="2" t="s">
        <v>1536</v>
      </c>
      <c r="G48" s="2" t="s">
        <v>1537</v>
      </c>
      <c r="H48" s="2" t="s">
        <v>342</v>
      </c>
      <c r="I48" s="2" t="s">
        <v>1005</v>
      </c>
      <c r="J48" s="2" t="s">
        <v>120</v>
      </c>
      <c r="K48" s="2" t="s">
        <v>1538</v>
      </c>
      <c r="L48" s="2" t="s">
        <v>401</v>
      </c>
      <c r="M48" s="2" t="s">
        <v>757</v>
      </c>
      <c r="N48" s="2" t="s">
        <v>163</v>
      </c>
      <c r="O48" s="2" t="s">
        <v>100</v>
      </c>
      <c r="P48" s="153">
        <v>65400</v>
      </c>
      <c r="Q48" s="152">
        <v>3.681</v>
      </c>
      <c r="R48" s="152">
        <v>5682.5</v>
      </c>
      <c r="T48" s="152">
        <v>13679.903</v>
      </c>
      <c r="U48" s="165">
        <v>0</v>
      </c>
      <c r="V48" s="165">
        <v>1.8608310410417401E-2</v>
      </c>
      <c r="W48" s="165">
        <v>5.7131524378129196E-3</v>
      </c>
    </row>
    <row r="49" spans="1:23">
      <c r="A49" s="2" t="s">
        <v>26</v>
      </c>
      <c r="B49" s="2">
        <v>288</v>
      </c>
      <c r="C49" s="2" t="s">
        <v>1534</v>
      </c>
      <c r="D49" s="2" t="s">
        <v>1535</v>
      </c>
      <c r="E49" s="4" t="s">
        <v>335</v>
      </c>
      <c r="F49" s="2" t="s">
        <v>1539</v>
      </c>
      <c r="G49" s="2" t="s">
        <v>1537</v>
      </c>
      <c r="H49" s="2" t="s">
        <v>342</v>
      </c>
      <c r="I49" s="2" t="s">
        <v>1005</v>
      </c>
      <c r="J49" s="2" t="s">
        <v>120</v>
      </c>
      <c r="K49" s="2" t="s">
        <v>1538</v>
      </c>
      <c r="L49" s="2" t="s">
        <v>401</v>
      </c>
      <c r="M49" s="2" t="s">
        <v>757</v>
      </c>
      <c r="N49" s="2" t="s">
        <v>163</v>
      </c>
      <c r="O49" s="2" t="s">
        <v>1208</v>
      </c>
      <c r="P49" s="153">
        <v>4100</v>
      </c>
      <c r="Q49" s="152">
        <v>3.9790000000000001</v>
      </c>
      <c r="R49" s="152">
        <v>5272</v>
      </c>
      <c r="T49" s="152">
        <v>860.09</v>
      </c>
      <c r="U49" s="165">
        <v>0</v>
      </c>
      <c r="V49" s="165">
        <v>1.16995199911659E-3</v>
      </c>
      <c r="W49" s="165">
        <v>3.59200484539162E-4</v>
      </c>
    </row>
    <row r="50" spans="1:23">
      <c r="A50" s="2" t="s">
        <v>26</v>
      </c>
      <c r="B50" s="2">
        <v>288</v>
      </c>
      <c r="C50" s="2" t="s">
        <v>1534</v>
      </c>
      <c r="D50" s="2" t="s">
        <v>1535</v>
      </c>
      <c r="E50" s="4" t="s">
        <v>335</v>
      </c>
      <c r="F50" s="2" t="s">
        <v>1540</v>
      </c>
      <c r="G50" s="2" t="s">
        <v>1541</v>
      </c>
      <c r="H50" s="2" t="s">
        <v>342</v>
      </c>
      <c r="I50" s="2" t="s">
        <v>1005</v>
      </c>
      <c r="J50" s="2" t="s">
        <v>120</v>
      </c>
      <c r="K50" s="2" t="s">
        <v>127</v>
      </c>
      <c r="L50" s="2" t="s">
        <v>365</v>
      </c>
      <c r="M50" s="2" t="s">
        <v>757</v>
      </c>
      <c r="N50" s="2" t="s">
        <v>163</v>
      </c>
      <c r="O50" s="2" t="s">
        <v>100</v>
      </c>
      <c r="P50" s="153">
        <v>25046</v>
      </c>
      <c r="Q50" s="152">
        <v>3.681</v>
      </c>
      <c r="R50" s="152">
        <v>480.7</v>
      </c>
      <c r="T50" s="152">
        <v>44317.813000000002</v>
      </c>
      <c r="U50" s="165">
        <v>3.4999999999999997E-5</v>
      </c>
      <c r="V50" s="165">
        <v>6.0284025890596497E-2</v>
      </c>
      <c r="W50" s="165">
        <v>1.8508495499152299E-2</v>
      </c>
    </row>
    <row r="51" spans="1:23">
      <c r="A51" s="2" t="s">
        <v>26</v>
      </c>
      <c r="B51" s="2">
        <v>288</v>
      </c>
      <c r="C51" s="2" t="s">
        <v>1534</v>
      </c>
      <c r="D51" s="2" t="s">
        <v>1535</v>
      </c>
      <c r="E51" s="4" t="s">
        <v>335</v>
      </c>
      <c r="F51" s="2" t="s">
        <v>1542</v>
      </c>
      <c r="G51" s="2" t="s">
        <v>1543</v>
      </c>
      <c r="H51" s="2" t="s">
        <v>342</v>
      </c>
      <c r="I51" s="2" t="s">
        <v>1007</v>
      </c>
      <c r="J51" s="2" t="s">
        <v>120</v>
      </c>
      <c r="K51" s="2" t="s">
        <v>127</v>
      </c>
      <c r="L51" s="2" t="s">
        <v>401</v>
      </c>
      <c r="M51" s="2" t="s">
        <v>754</v>
      </c>
      <c r="N51" s="2" t="s">
        <v>163</v>
      </c>
      <c r="O51" s="2" t="s">
        <v>100</v>
      </c>
      <c r="P51" s="153">
        <v>78300</v>
      </c>
      <c r="Q51" s="152">
        <v>3.681</v>
      </c>
      <c r="R51" s="152">
        <v>5525</v>
      </c>
      <c r="T51" s="152">
        <v>15924.281999999999</v>
      </c>
      <c r="U51" s="165">
        <v>0</v>
      </c>
      <c r="V51" s="165">
        <v>2.1661263915515701E-2</v>
      </c>
      <c r="W51" s="165">
        <v>6.6504749768015996E-3</v>
      </c>
    </row>
    <row r="52" spans="1:23">
      <c r="A52" s="2" t="s">
        <v>26</v>
      </c>
      <c r="B52" s="2">
        <v>288</v>
      </c>
      <c r="C52" s="2" t="s">
        <v>1544</v>
      </c>
      <c r="D52" s="2" t="s">
        <v>1545</v>
      </c>
      <c r="E52" s="4" t="s">
        <v>335</v>
      </c>
      <c r="F52" s="2" t="s">
        <v>1546</v>
      </c>
      <c r="G52" s="2" t="s">
        <v>1547</v>
      </c>
      <c r="H52" s="2" t="s">
        <v>342</v>
      </c>
      <c r="I52" s="2" t="s">
        <v>1005</v>
      </c>
      <c r="J52" s="2" t="s">
        <v>120</v>
      </c>
      <c r="K52" s="2" t="s">
        <v>127</v>
      </c>
      <c r="L52" s="2" t="s">
        <v>401</v>
      </c>
      <c r="M52" s="2" t="s">
        <v>757</v>
      </c>
      <c r="N52" s="2" t="s">
        <v>163</v>
      </c>
      <c r="O52" s="2" t="s">
        <v>100</v>
      </c>
      <c r="P52" s="153">
        <v>38000</v>
      </c>
      <c r="Q52" s="152">
        <v>3.681</v>
      </c>
      <c r="R52" s="152">
        <v>4107</v>
      </c>
      <c r="T52" s="152">
        <v>5744.7889999999998</v>
      </c>
      <c r="U52" s="165">
        <v>0</v>
      </c>
      <c r="V52" s="165">
        <v>7.8144433793655207E-3</v>
      </c>
      <c r="W52" s="165">
        <v>2.39920257445726E-3</v>
      </c>
    </row>
    <row r="53" spans="1:23">
      <c r="A53" s="2" t="s">
        <v>26</v>
      </c>
      <c r="B53" s="2">
        <v>288</v>
      </c>
      <c r="C53" s="2" t="s">
        <v>1544</v>
      </c>
      <c r="D53" s="2" t="s">
        <v>1545</v>
      </c>
      <c r="E53" s="4" t="s">
        <v>335</v>
      </c>
      <c r="F53" s="2" t="s">
        <v>1548</v>
      </c>
      <c r="G53" s="2" t="s">
        <v>1549</v>
      </c>
      <c r="H53" s="2" t="s">
        <v>342</v>
      </c>
      <c r="I53" s="2" t="s">
        <v>1005</v>
      </c>
      <c r="J53" s="2" t="s">
        <v>120</v>
      </c>
      <c r="K53" s="2" t="s">
        <v>274</v>
      </c>
      <c r="L53" s="2" t="s">
        <v>365</v>
      </c>
      <c r="M53" s="2" t="s">
        <v>757</v>
      </c>
      <c r="N53" s="2" t="s">
        <v>163</v>
      </c>
      <c r="O53" s="2" t="s">
        <v>100</v>
      </c>
      <c r="P53" s="153">
        <v>50000</v>
      </c>
      <c r="Q53" s="152">
        <v>3.681</v>
      </c>
      <c r="R53" s="152">
        <v>108.5</v>
      </c>
      <c r="T53" s="152">
        <v>19969.424999999999</v>
      </c>
      <c r="U53" s="165">
        <v>1.6609999999999999E-3</v>
      </c>
      <c r="V53" s="165">
        <v>2.7163735427997101E-2</v>
      </c>
      <c r="W53" s="165">
        <v>8.3398523486413606E-3</v>
      </c>
    </row>
    <row r="54" spans="1:23">
      <c r="A54" s="2" t="s">
        <v>26</v>
      </c>
      <c r="B54" s="2">
        <v>288</v>
      </c>
      <c r="C54" s="2" t="s">
        <v>1516</v>
      </c>
      <c r="D54" s="2" t="s">
        <v>1517</v>
      </c>
      <c r="E54" s="4" t="s">
        <v>335</v>
      </c>
      <c r="F54" s="2" t="s">
        <v>1550</v>
      </c>
      <c r="G54" s="2" t="s">
        <v>1551</v>
      </c>
      <c r="H54" s="2" t="s">
        <v>342</v>
      </c>
      <c r="I54" s="2" t="s">
        <v>1005</v>
      </c>
      <c r="J54" s="2" t="s">
        <v>120</v>
      </c>
      <c r="K54" s="2" t="s">
        <v>127</v>
      </c>
      <c r="L54" s="2" t="s">
        <v>365</v>
      </c>
      <c r="M54" s="2" t="s">
        <v>757</v>
      </c>
      <c r="N54" s="2" t="s">
        <v>163</v>
      </c>
      <c r="O54" s="2" t="s">
        <v>100</v>
      </c>
      <c r="P54" s="153">
        <v>4100</v>
      </c>
      <c r="Q54" s="152">
        <v>3.681</v>
      </c>
      <c r="R54" s="152">
        <v>65.650000000000006</v>
      </c>
      <c r="T54" s="152">
        <v>990.79600000000005</v>
      </c>
      <c r="U54" s="165">
        <v>1.8E-5</v>
      </c>
      <c r="V54" s="165">
        <v>1.3477468841432E-3</v>
      </c>
      <c r="W54" s="165">
        <v>4.1378734699024002E-4</v>
      </c>
    </row>
    <row r="55" spans="1:23">
      <c r="A55" s="2" t="s">
        <v>26</v>
      </c>
      <c r="B55" s="2">
        <v>288</v>
      </c>
      <c r="C55" s="2" t="s">
        <v>1516</v>
      </c>
      <c r="D55" s="2" t="s">
        <v>1517</v>
      </c>
      <c r="E55" s="4" t="s">
        <v>335</v>
      </c>
      <c r="F55" s="2" t="s">
        <v>1552</v>
      </c>
      <c r="G55" s="2" t="s">
        <v>1553</v>
      </c>
      <c r="H55" s="2" t="s">
        <v>342</v>
      </c>
      <c r="I55" s="2" t="s">
        <v>1005</v>
      </c>
      <c r="J55" s="2" t="s">
        <v>120</v>
      </c>
      <c r="K55" s="2" t="s">
        <v>127</v>
      </c>
      <c r="L55" s="2" t="s">
        <v>365</v>
      </c>
      <c r="M55" s="2" t="s">
        <v>757</v>
      </c>
      <c r="N55" s="2" t="s">
        <v>163</v>
      </c>
      <c r="O55" s="2" t="s">
        <v>100</v>
      </c>
      <c r="P55" s="153">
        <v>12902</v>
      </c>
      <c r="Q55" s="152">
        <v>3.681</v>
      </c>
      <c r="R55" s="152">
        <v>125.96</v>
      </c>
      <c r="T55" s="152">
        <v>5982.125</v>
      </c>
      <c r="U55" s="165">
        <v>9.2999999999999997E-5</v>
      </c>
      <c r="V55" s="165">
        <v>8.1372833484635396E-3</v>
      </c>
      <c r="W55" s="165">
        <v>2.4983214044743702E-3</v>
      </c>
    </row>
    <row r="56" spans="1:23">
      <c r="A56" s="2" t="s">
        <v>26</v>
      </c>
      <c r="B56" s="2">
        <v>288</v>
      </c>
      <c r="C56" s="2" t="s">
        <v>1391</v>
      </c>
      <c r="D56" s="2" t="s">
        <v>1392</v>
      </c>
      <c r="E56" s="4" t="s">
        <v>335</v>
      </c>
      <c r="F56" s="2" t="s">
        <v>1554</v>
      </c>
      <c r="G56" s="2" t="s">
        <v>1555</v>
      </c>
      <c r="H56" s="2" t="s">
        <v>342</v>
      </c>
      <c r="I56" s="2" t="s">
        <v>1005</v>
      </c>
      <c r="J56" s="2" t="s">
        <v>120</v>
      </c>
      <c r="K56" s="2" t="s">
        <v>127</v>
      </c>
      <c r="L56" s="2" t="s">
        <v>367</v>
      </c>
      <c r="M56" s="2" t="s">
        <v>757</v>
      </c>
      <c r="N56" s="2" t="s">
        <v>163</v>
      </c>
      <c r="O56" s="2" t="s">
        <v>100</v>
      </c>
      <c r="P56" s="153">
        <v>48900</v>
      </c>
      <c r="Q56" s="152">
        <v>3.681</v>
      </c>
      <c r="R56" s="152">
        <v>3519</v>
      </c>
      <c r="T56" s="152">
        <v>6334.232</v>
      </c>
      <c r="U56" s="165">
        <v>0</v>
      </c>
      <c r="V56" s="165">
        <v>8.6162417420974392E-3</v>
      </c>
      <c r="W56" s="165">
        <v>2.6453719562895702E-3</v>
      </c>
    </row>
    <row r="57" spans="1:23">
      <c r="A57" s="2" t="s">
        <v>26</v>
      </c>
      <c r="B57" s="2">
        <v>288</v>
      </c>
      <c r="C57" s="2" t="s">
        <v>1484</v>
      </c>
      <c r="D57" s="2" t="s">
        <v>1485</v>
      </c>
      <c r="E57" s="4" t="s">
        <v>335</v>
      </c>
      <c r="F57" s="2" t="s">
        <v>1556</v>
      </c>
      <c r="G57" s="2" t="s">
        <v>1557</v>
      </c>
      <c r="H57" s="2" t="s">
        <v>342</v>
      </c>
      <c r="I57" s="2" t="s">
        <v>1005</v>
      </c>
      <c r="J57" s="2" t="s">
        <v>120</v>
      </c>
      <c r="K57" s="2" t="s">
        <v>312</v>
      </c>
      <c r="L57" s="2" t="s">
        <v>365</v>
      </c>
      <c r="M57" s="2" t="s">
        <v>757</v>
      </c>
      <c r="N57" s="2" t="s">
        <v>163</v>
      </c>
      <c r="O57" s="2" t="s">
        <v>100</v>
      </c>
      <c r="P57" s="153">
        <v>16200</v>
      </c>
      <c r="Q57" s="152">
        <v>3.681</v>
      </c>
      <c r="R57" s="152">
        <v>6711</v>
      </c>
      <c r="T57" s="152">
        <v>4001.9169999999999</v>
      </c>
      <c r="U57" s="165">
        <v>3.2000000000000003E-4</v>
      </c>
      <c r="V57" s="165">
        <v>5.4436726654526696E-3</v>
      </c>
      <c r="W57" s="165">
        <v>1.67132485826739E-3</v>
      </c>
    </row>
    <row r="58" spans="1:23">
      <c r="A58" s="2" t="s">
        <v>26</v>
      </c>
      <c r="B58" s="2">
        <v>288</v>
      </c>
      <c r="C58" s="2" t="s">
        <v>1484</v>
      </c>
      <c r="D58" s="2" t="s">
        <v>1485</v>
      </c>
      <c r="E58" s="4" t="s">
        <v>335</v>
      </c>
      <c r="F58" s="2" t="s">
        <v>1558</v>
      </c>
      <c r="G58" s="2" t="s">
        <v>1559</v>
      </c>
      <c r="H58" s="2" t="s">
        <v>342</v>
      </c>
      <c r="I58" s="2" t="s">
        <v>1005</v>
      </c>
      <c r="J58" s="2" t="s">
        <v>120</v>
      </c>
      <c r="K58" s="2" t="s">
        <v>127</v>
      </c>
      <c r="L58" s="2" t="s">
        <v>367</v>
      </c>
      <c r="M58" s="2" t="s">
        <v>757</v>
      </c>
      <c r="N58" s="2" t="s">
        <v>163</v>
      </c>
      <c r="O58" s="2" t="s">
        <v>100</v>
      </c>
      <c r="P58" s="153">
        <v>9815</v>
      </c>
      <c r="Q58" s="152">
        <v>3.681</v>
      </c>
      <c r="R58" s="152">
        <v>5757</v>
      </c>
      <c r="T58" s="152">
        <v>2079.9470000000001</v>
      </c>
      <c r="U58" s="165">
        <v>0</v>
      </c>
      <c r="V58" s="165">
        <v>2.8292823004440202E-3</v>
      </c>
      <c r="W58" s="165">
        <v>8.6865065744999896E-4</v>
      </c>
    </row>
    <row r="59" spans="1:23">
      <c r="A59" s="2" t="s">
        <v>26</v>
      </c>
      <c r="B59" s="2">
        <v>288</v>
      </c>
      <c r="C59" s="2" t="s">
        <v>1484</v>
      </c>
      <c r="D59" s="2" t="s">
        <v>1485</v>
      </c>
      <c r="E59" s="4" t="s">
        <v>335</v>
      </c>
      <c r="F59" s="2" t="s">
        <v>1560</v>
      </c>
      <c r="G59" s="2" t="s">
        <v>1561</v>
      </c>
      <c r="H59" s="2" t="s">
        <v>342</v>
      </c>
      <c r="I59" s="2" t="s">
        <v>1005</v>
      </c>
      <c r="J59" s="2" t="s">
        <v>120</v>
      </c>
      <c r="K59" s="2" t="s">
        <v>267</v>
      </c>
      <c r="L59" s="2" t="s">
        <v>365</v>
      </c>
      <c r="M59" s="2" t="s">
        <v>757</v>
      </c>
      <c r="N59" s="2" t="s">
        <v>163</v>
      </c>
      <c r="O59" s="2" t="s">
        <v>100</v>
      </c>
      <c r="P59" s="153">
        <v>25500</v>
      </c>
      <c r="Q59" s="152">
        <v>3.681</v>
      </c>
      <c r="R59" s="152">
        <v>51.59</v>
      </c>
      <c r="T59" s="152">
        <v>4842.5209999999997</v>
      </c>
      <c r="U59" s="165">
        <v>2.7E-4</v>
      </c>
      <c r="V59" s="165">
        <v>6.5871182163363103E-3</v>
      </c>
      <c r="W59" s="165">
        <v>2.0223872917960201E-3</v>
      </c>
    </row>
    <row r="60" spans="1:23">
      <c r="A60" s="2" t="s">
        <v>26</v>
      </c>
      <c r="B60" s="2">
        <v>288</v>
      </c>
      <c r="C60" s="2" t="s">
        <v>1484</v>
      </c>
      <c r="D60" s="2" t="s">
        <v>1485</v>
      </c>
      <c r="E60" s="4" t="s">
        <v>335</v>
      </c>
      <c r="F60" s="2" t="s">
        <v>1562</v>
      </c>
      <c r="G60" s="2" t="s">
        <v>1563</v>
      </c>
      <c r="H60" s="2" t="s">
        <v>342</v>
      </c>
      <c r="I60" s="2" t="s">
        <v>1005</v>
      </c>
      <c r="J60" s="2" t="s">
        <v>120</v>
      </c>
      <c r="K60" s="2" t="s">
        <v>274</v>
      </c>
      <c r="L60" s="2" t="s">
        <v>365</v>
      </c>
      <c r="M60" s="2" t="s">
        <v>757</v>
      </c>
      <c r="N60" s="2" t="s">
        <v>163</v>
      </c>
      <c r="O60" s="2" t="s">
        <v>100</v>
      </c>
      <c r="P60" s="153">
        <v>26774</v>
      </c>
      <c r="Q60" s="152">
        <v>3.681</v>
      </c>
      <c r="R60" s="152">
        <v>71.349999999999994</v>
      </c>
      <c r="T60" s="152">
        <v>7031.9059999999999</v>
      </c>
      <c r="U60" s="165">
        <v>1.4200000000000001E-4</v>
      </c>
      <c r="V60" s="165">
        <v>9.5652645465649794E-3</v>
      </c>
      <c r="W60" s="165">
        <v>2.93674241547153E-3</v>
      </c>
    </row>
    <row r="61" spans="1:23">
      <c r="A61" s="2" t="s">
        <v>26</v>
      </c>
      <c r="B61" s="2">
        <v>288</v>
      </c>
      <c r="C61" s="2" t="s">
        <v>1484</v>
      </c>
      <c r="D61" s="2" t="s">
        <v>1485</v>
      </c>
      <c r="E61" s="4" t="s">
        <v>335</v>
      </c>
      <c r="F61" s="2" t="s">
        <v>1564</v>
      </c>
      <c r="G61" s="2" t="s">
        <v>1565</v>
      </c>
      <c r="H61" s="2" t="s">
        <v>342</v>
      </c>
      <c r="I61" s="2" t="s">
        <v>1005</v>
      </c>
      <c r="J61" s="2" t="s">
        <v>120</v>
      </c>
      <c r="K61" s="2" t="s">
        <v>291</v>
      </c>
      <c r="L61" s="2" t="s">
        <v>365</v>
      </c>
      <c r="M61" s="2" t="s">
        <v>757</v>
      </c>
      <c r="N61" s="2" t="s">
        <v>163</v>
      </c>
      <c r="O61" s="2" t="s">
        <v>100</v>
      </c>
      <c r="P61" s="153">
        <v>5750</v>
      </c>
      <c r="Q61" s="152">
        <v>3.681</v>
      </c>
      <c r="R61" s="152">
        <v>4868</v>
      </c>
      <c r="T61" s="152">
        <v>1030.3489999999999</v>
      </c>
      <c r="U61" s="165">
        <v>0</v>
      </c>
      <c r="V61" s="165">
        <v>1.4015486052812299E-3</v>
      </c>
      <c r="W61" s="165">
        <v>4.3030563519045202E-4</v>
      </c>
    </row>
    <row r="62" spans="1:23">
      <c r="A62" s="2" t="s">
        <v>26</v>
      </c>
      <c r="B62" s="2">
        <v>288</v>
      </c>
      <c r="C62" s="2" t="s">
        <v>1484</v>
      </c>
      <c r="D62" s="2" t="s">
        <v>1485</v>
      </c>
      <c r="E62" s="4" t="s">
        <v>335</v>
      </c>
      <c r="F62" s="2" t="s">
        <v>1566</v>
      </c>
      <c r="G62" s="2" t="s">
        <v>1567</v>
      </c>
      <c r="H62" s="2" t="s">
        <v>342</v>
      </c>
      <c r="I62" s="2" t="s">
        <v>1005</v>
      </c>
      <c r="J62" s="2" t="s">
        <v>120</v>
      </c>
      <c r="K62" s="2" t="s">
        <v>127</v>
      </c>
      <c r="L62" s="2" t="s">
        <v>365</v>
      </c>
      <c r="M62" s="2" t="s">
        <v>757</v>
      </c>
      <c r="N62" s="2" t="s">
        <v>163</v>
      </c>
      <c r="O62" s="2" t="s">
        <v>100</v>
      </c>
      <c r="P62" s="153">
        <v>4700</v>
      </c>
      <c r="Q62" s="152">
        <v>3.681</v>
      </c>
      <c r="R62" s="152">
        <v>11414</v>
      </c>
      <c r="T62" s="152">
        <v>1974.702</v>
      </c>
      <c r="U62" s="165">
        <v>3.4E-5</v>
      </c>
      <c r="V62" s="165">
        <v>2.6861204018861699E-3</v>
      </c>
      <c r="W62" s="165">
        <v>8.2469686843270897E-4</v>
      </c>
    </row>
    <row r="63" spans="1:23">
      <c r="A63" s="2" t="s">
        <v>26</v>
      </c>
      <c r="B63" s="2">
        <v>288</v>
      </c>
      <c r="C63" s="2" t="s">
        <v>1484</v>
      </c>
      <c r="D63" s="2" t="s">
        <v>1485</v>
      </c>
      <c r="E63" s="4" t="s">
        <v>335</v>
      </c>
      <c r="F63" s="2" t="s">
        <v>1568</v>
      </c>
      <c r="G63" s="2" t="s">
        <v>1569</v>
      </c>
      <c r="H63" s="2" t="s">
        <v>342</v>
      </c>
      <c r="I63" s="2" t="s">
        <v>1007</v>
      </c>
      <c r="J63" s="2" t="s">
        <v>120</v>
      </c>
      <c r="K63" s="2" t="s">
        <v>127</v>
      </c>
      <c r="L63" s="2" t="s">
        <v>121</v>
      </c>
      <c r="M63" s="2" t="s">
        <v>754</v>
      </c>
      <c r="N63" s="2" t="s">
        <v>163</v>
      </c>
      <c r="O63" s="2" t="s">
        <v>100</v>
      </c>
      <c r="P63" s="153">
        <v>12791</v>
      </c>
      <c r="Q63" s="152">
        <v>3.681</v>
      </c>
      <c r="R63" s="152">
        <v>2277</v>
      </c>
      <c r="T63" s="152">
        <v>1072.095</v>
      </c>
      <c r="U63" s="165">
        <v>0</v>
      </c>
      <c r="V63" s="165">
        <v>1.45833493246103E-3</v>
      </c>
      <c r="W63" s="165">
        <v>4.4774026178503399E-4</v>
      </c>
    </row>
    <row r="64" spans="1:23">
      <c r="A64" s="2" t="s">
        <v>26</v>
      </c>
      <c r="B64" s="2">
        <v>288</v>
      </c>
      <c r="C64" s="2" t="s">
        <v>1484</v>
      </c>
      <c r="D64" s="2" t="s">
        <v>1485</v>
      </c>
      <c r="E64" s="4" t="s">
        <v>335</v>
      </c>
      <c r="F64" s="2" t="s">
        <v>1570</v>
      </c>
      <c r="G64" s="2" t="s">
        <v>1571</v>
      </c>
      <c r="H64" s="2" t="s">
        <v>342</v>
      </c>
      <c r="I64" s="2" t="s">
        <v>1007</v>
      </c>
      <c r="J64" s="2" t="s">
        <v>120</v>
      </c>
      <c r="K64" s="2" t="s">
        <v>127</v>
      </c>
      <c r="L64" s="2" t="s">
        <v>401</v>
      </c>
      <c r="M64" s="2" t="s">
        <v>754</v>
      </c>
      <c r="N64" s="2" t="s">
        <v>163</v>
      </c>
      <c r="O64" s="2" t="s">
        <v>100</v>
      </c>
      <c r="P64" s="153">
        <v>76600</v>
      </c>
      <c r="Q64" s="152">
        <v>3.681</v>
      </c>
      <c r="R64" s="152">
        <v>571.15</v>
      </c>
      <c r="T64" s="152">
        <v>1610.441</v>
      </c>
      <c r="U64" s="165">
        <v>0</v>
      </c>
      <c r="V64" s="165">
        <v>2.1906283312646299E-3</v>
      </c>
      <c r="W64" s="165">
        <v>6.7257012136363295E-4</v>
      </c>
    </row>
    <row r="65" spans="1:23">
      <c r="A65" s="2" t="s">
        <v>26</v>
      </c>
      <c r="B65" s="2">
        <v>288</v>
      </c>
      <c r="C65" s="2" t="s">
        <v>1516</v>
      </c>
      <c r="D65" s="2" t="s">
        <v>1517</v>
      </c>
      <c r="E65" s="4" t="s">
        <v>335</v>
      </c>
      <c r="F65" s="2" t="s">
        <v>1572</v>
      </c>
      <c r="G65" s="2" t="s">
        <v>1573</v>
      </c>
      <c r="H65" s="2" t="s">
        <v>342</v>
      </c>
      <c r="I65" s="2" t="s">
        <v>1005</v>
      </c>
      <c r="J65" s="2" t="s">
        <v>120</v>
      </c>
      <c r="K65" s="2" t="s">
        <v>127</v>
      </c>
      <c r="L65" s="2" t="s">
        <v>365</v>
      </c>
      <c r="M65" s="2" t="s">
        <v>757</v>
      </c>
      <c r="N65" s="2" t="s">
        <v>163</v>
      </c>
      <c r="O65" s="2" t="s">
        <v>100</v>
      </c>
      <c r="P65" s="153">
        <v>2060</v>
      </c>
      <c r="Q65" s="152">
        <v>3.681</v>
      </c>
      <c r="R65" s="152">
        <v>154.93</v>
      </c>
      <c r="T65" s="152">
        <v>1174.8119999999999</v>
      </c>
      <c r="U65" s="165">
        <v>2.6999999999999999E-5</v>
      </c>
      <c r="V65" s="165">
        <v>1.5980578270065899E-3</v>
      </c>
      <c r="W65" s="165">
        <v>4.9063820243548596E-4</v>
      </c>
    </row>
    <row r="66" spans="1:23">
      <c r="A66" s="2" t="s">
        <v>26</v>
      </c>
      <c r="B66" s="2">
        <v>288</v>
      </c>
      <c r="C66" s="2" t="s">
        <v>1516</v>
      </c>
      <c r="D66" s="2" t="s">
        <v>1517</v>
      </c>
      <c r="E66" s="4" t="s">
        <v>335</v>
      </c>
      <c r="F66" s="2" t="s">
        <v>1574</v>
      </c>
      <c r="G66" s="2" t="s">
        <v>1575</v>
      </c>
      <c r="H66" s="2" t="s">
        <v>342</v>
      </c>
      <c r="I66" s="2" t="s">
        <v>1005</v>
      </c>
      <c r="J66" s="2" t="s">
        <v>120</v>
      </c>
      <c r="K66" s="2" t="s">
        <v>127</v>
      </c>
      <c r="L66" s="2" t="s">
        <v>365</v>
      </c>
      <c r="M66" s="2" t="s">
        <v>757</v>
      </c>
      <c r="N66" s="2" t="s">
        <v>163</v>
      </c>
      <c r="O66" s="2" t="s">
        <v>100</v>
      </c>
      <c r="P66" s="153">
        <v>6600</v>
      </c>
      <c r="Q66" s="152">
        <v>3.681</v>
      </c>
      <c r="R66" s="152">
        <v>39.53</v>
      </c>
      <c r="T66" s="152">
        <v>960.36599999999999</v>
      </c>
      <c r="U66" s="165">
        <v>1.07E-4</v>
      </c>
      <c r="V66" s="165">
        <v>1.30635285634905E-3</v>
      </c>
      <c r="W66" s="165">
        <v>4.0107848812089101E-4</v>
      </c>
    </row>
    <row r="67" spans="1:23">
      <c r="A67" s="2" t="s">
        <v>26</v>
      </c>
      <c r="B67" s="2">
        <v>288</v>
      </c>
      <c r="C67" s="2" t="s">
        <v>1516</v>
      </c>
      <c r="D67" s="2" t="s">
        <v>1517</v>
      </c>
      <c r="E67" s="4" t="s">
        <v>335</v>
      </c>
      <c r="F67" s="2" t="s">
        <v>1576</v>
      </c>
      <c r="G67" s="2" t="s">
        <v>1577</v>
      </c>
      <c r="H67" s="2" t="s">
        <v>342</v>
      </c>
      <c r="I67" s="2" t="s">
        <v>1005</v>
      </c>
      <c r="J67" s="2" t="s">
        <v>120</v>
      </c>
      <c r="K67" s="2" t="s">
        <v>316</v>
      </c>
      <c r="L67" s="2" t="s">
        <v>385</v>
      </c>
      <c r="M67" s="2" t="s">
        <v>757</v>
      </c>
      <c r="N67" s="2" t="s">
        <v>163</v>
      </c>
      <c r="O67" s="2" t="s">
        <v>1208</v>
      </c>
      <c r="P67" s="153">
        <v>3154</v>
      </c>
      <c r="Q67" s="152">
        <v>3.9790000000000001</v>
      </c>
      <c r="R67" s="152">
        <v>21810</v>
      </c>
      <c r="T67" s="152">
        <v>2737.1729999999998</v>
      </c>
      <c r="U67" s="165">
        <v>0</v>
      </c>
      <c r="V67" s="165">
        <v>3.72328379472369E-3</v>
      </c>
      <c r="W67" s="165">
        <v>1.1431283883025999E-3</v>
      </c>
    </row>
    <row r="68" spans="1:23">
      <c r="A68" s="2" t="s">
        <v>26</v>
      </c>
      <c r="B68" s="2">
        <v>288</v>
      </c>
      <c r="C68" s="2" t="s">
        <v>1516</v>
      </c>
      <c r="D68" s="2" t="s">
        <v>1517</v>
      </c>
      <c r="E68" s="4" t="s">
        <v>335</v>
      </c>
      <c r="F68" s="2" t="s">
        <v>1578</v>
      </c>
      <c r="G68" s="2" t="s">
        <v>1579</v>
      </c>
      <c r="H68" s="2" t="s">
        <v>342</v>
      </c>
      <c r="I68" s="2" t="s">
        <v>1005</v>
      </c>
      <c r="J68" s="2" t="s">
        <v>120</v>
      </c>
      <c r="K68" s="2" t="s">
        <v>127</v>
      </c>
      <c r="L68" s="2" t="s">
        <v>365</v>
      </c>
      <c r="M68" s="2" t="s">
        <v>757</v>
      </c>
      <c r="N68" s="2" t="s">
        <v>163</v>
      </c>
      <c r="O68" s="2" t="s">
        <v>100</v>
      </c>
      <c r="P68" s="153">
        <v>8020</v>
      </c>
      <c r="Q68" s="152">
        <v>3.681</v>
      </c>
      <c r="R68" s="152">
        <v>11159</v>
      </c>
      <c r="T68" s="152">
        <v>3294.3180000000002</v>
      </c>
      <c r="U68" s="165">
        <v>4.3100000000000001E-4</v>
      </c>
      <c r="V68" s="165">
        <v>4.4811491089419E-3</v>
      </c>
      <c r="W68" s="165">
        <v>1.3758093771706599E-3</v>
      </c>
    </row>
    <row r="69" spans="1:23">
      <c r="A69" s="2" t="s">
        <v>26</v>
      </c>
      <c r="B69" s="2">
        <v>288</v>
      </c>
      <c r="C69" s="2" t="s">
        <v>1530</v>
      </c>
      <c r="D69" s="2" t="s">
        <v>1531</v>
      </c>
      <c r="E69" s="4" t="s">
        <v>335</v>
      </c>
      <c r="F69" s="2" t="s">
        <v>1580</v>
      </c>
      <c r="G69" s="2" t="s">
        <v>1581</v>
      </c>
      <c r="H69" s="2" t="s">
        <v>342</v>
      </c>
      <c r="I69" s="2" t="s">
        <v>1005</v>
      </c>
      <c r="J69" s="2" t="s">
        <v>120</v>
      </c>
      <c r="K69" s="2" t="s">
        <v>127</v>
      </c>
      <c r="L69" s="2" t="s">
        <v>365</v>
      </c>
      <c r="M69" s="2" t="s">
        <v>757</v>
      </c>
      <c r="N69" s="2" t="s">
        <v>163</v>
      </c>
      <c r="O69" s="2" t="s">
        <v>100</v>
      </c>
      <c r="P69" s="153">
        <v>15615</v>
      </c>
      <c r="Q69" s="152">
        <v>3.681</v>
      </c>
      <c r="R69" s="152">
        <v>8990</v>
      </c>
      <c r="T69" s="152">
        <v>5167.3450000000003</v>
      </c>
      <c r="U69" s="165">
        <v>0</v>
      </c>
      <c r="V69" s="165">
        <v>7.0289657900211803E-3</v>
      </c>
      <c r="W69" s="165">
        <v>2.1580440218840098E-3</v>
      </c>
    </row>
    <row r="70" spans="1:23">
      <c r="A70" s="2" t="s">
        <v>26</v>
      </c>
      <c r="B70" s="2">
        <v>288</v>
      </c>
      <c r="C70" s="2" t="s">
        <v>1530</v>
      </c>
      <c r="D70" s="2" t="s">
        <v>1531</v>
      </c>
      <c r="E70" s="4" t="s">
        <v>335</v>
      </c>
      <c r="F70" s="2" t="s">
        <v>1532</v>
      </c>
      <c r="G70" s="2" t="s">
        <v>1533</v>
      </c>
      <c r="H70" s="2" t="s">
        <v>342</v>
      </c>
      <c r="I70" s="2" t="s">
        <v>1005</v>
      </c>
      <c r="J70" s="2" t="s">
        <v>120</v>
      </c>
      <c r="K70" s="2" t="s">
        <v>127</v>
      </c>
      <c r="L70" s="2" t="s">
        <v>367</v>
      </c>
      <c r="M70" s="2" t="s">
        <v>757</v>
      </c>
      <c r="N70" s="2" t="s">
        <v>163</v>
      </c>
      <c r="O70" s="2" t="s">
        <v>100</v>
      </c>
      <c r="P70" s="153">
        <v>5100</v>
      </c>
      <c r="Q70" s="152">
        <v>3.681</v>
      </c>
      <c r="R70" s="152">
        <v>22499</v>
      </c>
      <c r="T70" s="152">
        <v>4223.76</v>
      </c>
      <c r="U70" s="165">
        <v>2.23E-4</v>
      </c>
      <c r="V70" s="165">
        <v>5.7454379821419103E-3</v>
      </c>
      <c r="W70" s="165">
        <v>1.7639733156859299E-3</v>
      </c>
    </row>
    <row r="71" spans="1:23">
      <c r="A71" s="2" t="s">
        <v>26</v>
      </c>
      <c r="B71" s="2">
        <v>288</v>
      </c>
      <c r="C71" s="2" t="s">
        <v>1534</v>
      </c>
      <c r="D71" s="2" t="s">
        <v>1535</v>
      </c>
      <c r="E71" s="4" t="s">
        <v>335</v>
      </c>
      <c r="F71" s="2" t="s">
        <v>1582</v>
      </c>
      <c r="G71" s="2" t="s">
        <v>1583</v>
      </c>
      <c r="H71" s="2" t="s">
        <v>342</v>
      </c>
      <c r="I71" s="2" t="s">
        <v>1005</v>
      </c>
      <c r="J71" s="2" t="s">
        <v>120</v>
      </c>
      <c r="K71" s="2" t="s">
        <v>127</v>
      </c>
      <c r="L71" s="2" t="s">
        <v>367</v>
      </c>
      <c r="M71" s="2" t="s">
        <v>757</v>
      </c>
      <c r="N71" s="2" t="s">
        <v>163</v>
      </c>
      <c r="O71" s="2" t="s">
        <v>100</v>
      </c>
      <c r="P71" s="153">
        <v>8166</v>
      </c>
      <c r="Q71" s="152">
        <v>3.681</v>
      </c>
      <c r="R71" s="152">
        <v>8506</v>
      </c>
      <c r="T71" s="152">
        <v>2556.8220000000001</v>
      </c>
      <c r="U71" s="165">
        <v>1.11E-4</v>
      </c>
      <c r="V71" s="165">
        <v>3.47795936253224E-3</v>
      </c>
      <c r="W71" s="165">
        <v>1.0678084991285199E-3</v>
      </c>
    </row>
    <row r="72" spans="1:23">
      <c r="A72" s="2" t="s">
        <v>26</v>
      </c>
      <c r="B72" s="2">
        <v>288</v>
      </c>
      <c r="C72" s="2" t="s">
        <v>1534</v>
      </c>
      <c r="D72" s="2" t="s">
        <v>1535</v>
      </c>
      <c r="E72" s="4" t="s">
        <v>335</v>
      </c>
      <c r="F72" s="2" t="s">
        <v>1584</v>
      </c>
      <c r="G72" s="2" t="s">
        <v>1585</v>
      </c>
      <c r="H72" s="2" t="s">
        <v>342</v>
      </c>
      <c r="I72" s="2" t="s">
        <v>1005</v>
      </c>
      <c r="J72" s="2" t="s">
        <v>120</v>
      </c>
      <c r="K72" s="2" t="s">
        <v>127</v>
      </c>
      <c r="L72" s="2" t="s">
        <v>365</v>
      </c>
      <c r="M72" s="2" t="s">
        <v>757</v>
      </c>
      <c r="N72" s="2" t="s">
        <v>163</v>
      </c>
      <c r="O72" s="2" t="s">
        <v>100</v>
      </c>
      <c r="P72" s="153">
        <v>3900</v>
      </c>
      <c r="Q72" s="152">
        <v>3.681</v>
      </c>
      <c r="R72" s="152">
        <v>10301</v>
      </c>
      <c r="T72" s="152">
        <v>1478.8009999999999</v>
      </c>
      <c r="U72" s="165">
        <v>4.8899999999999996E-4</v>
      </c>
      <c r="V72" s="165">
        <v>2.0115634851812199E-3</v>
      </c>
      <c r="W72" s="165">
        <v>6.1759335349139799E-4</v>
      </c>
    </row>
    <row r="73" spans="1:23">
      <c r="A73" s="2" t="s">
        <v>26</v>
      </c>
      <c r="B73" s="2">
        <v>288</v>
      </c>
      <c r="C73" s="2" t="s">
        <v>1544</v>
      </c>
      <c r="D73" s="2" t="s">
        <v>1545</v>
      </c>
      <c r="E73" s="4" t="s">
        <v>335</v>
      </c>
      <c r="F73" s="2" t="s">
        <v>1548</v>
      </c>
      <c r="G73" s="2" t="s">
        <v>1549</v>
      </c>
      <c r="H73" s="2" t="s">
        <v>342</v>
      </c>
      <c r="I73" s="2" t="s">
        <v>1005</v>
      </c>
      <c r="J73" s="2" t="s">
        <v>120</v>
      </c>
      <c r="K73" s="2" t="s">
        <v>274</v>
      </c>
      <c r="L73" s="2" t="s">
        <v>365</v>
      </c>
      <c r="M73" s="2" t="s">
        <v>757</v>
      </c>
      <c r="N73" s="2" t="s">
        <v>163</v>
      </c>
      <c r="O73" s="2" t="s">
        <v>100</v>
      </c>
      <c r="P73" s="153">
        <v>8904</v>
      </c>
      <c r="Q73" s="152">
        <v>3.681</v>
      </c>
      <c r="R73" s="152">
        <v>108.5</v>
      </c>
      <c r="T73" s="152">
        <v>3556.1550000000002</v>
      </c>
      <c r="U73" s="165">
        <v>2.9599999999999998E-4</v>
      </c>
      <c r="V73" s="165">
        <v>4.8373180050177199E-3</v>
      </c>
      <c r="W73" s="165">
        <v>1.4851609062460499E-3</v>
      </c>
    </row>
    <row r="74" spans="1:23">
      <c r="A74" s="2" t="s">
        <v>26</v>
      </c>
      <c r="B74" s="2">
        <v>1451</v>
      </c>
      <c r="C74" s="2" t="s">
        <v>1421</v>
      </c>
      <c r="D74" s="2" t="s">
        <v>1422</v>
      </c>
      <c r="E74" s="4" t="s">
        <v>1347</v>
      </c>
      <c r="F74" s="2" t="s">
        <v>1586</v>
      </c>
      <c r="G74" s="2" t="s">
        <v>1587</v>
      </c>
      <c r="H74" s="2" t="s">
        <v>342</v>
      </c>
      <c r="I74" s="2" t="s">
        <v>1006</v>
      </c>
      <c r="J74" s="2" t="s">
        <v>31</v>
      </c>
      <c r="K74" s="2" t="s">
        <v>31</v>
      </c>
      <c r="L74" s="2" t="s">
        <v>40</v>
      </c>
      <c r="M74" s="2" t="s">
        <v>1378</v>
      </c>
      <c r="N74" s="2" t="s">
        <v>163</v>
      </c>
      <c r="O74" s="2" t="s">
        <v>35</v>
      </c>
      <c r="P74" s="153">
        <v>38000</v>
      </c>
      <c r="Q74" s="152">
        <v>1</v>
      </c>
      <c r="R74" s="152">
        <v>3568.71</v>
      </c>
      <c r="T74" s="152">
        <v>1356.11</v>
      </c>
      <c r="U74" s="165">
        <v>1.573E-3</v>
      </c>
      <c r="V74" s="165">
        <v>0.17833060118060101</v>
      </c>
      <c r="W74" s="165">
        <v>2.39915798898576E-2</v>
      </c>
    </row>
    <row r="75" spans="1:23">
      <c r="A75" s="2" t="s">
        <v>26</v>
      </c>
      <c r="B75" s="2">
        <v>1451</v>
      </c>
      <c r="C75" s="2" t="s">
        <v>1421</v>
      </c>
      <c r="D75" s="2" t="s">
        <v>1422</v>
      </c>
      <c r="E75" s="4" t="s">
        <v>1347</v>
      </c>
      <c r="F75" s="2" t="s">
        <v>1441</v>
      </c>
      <c r="G75" s="2" t="s">
        <v>1442</v>
      </c>
      <c r="H75" s="2" t="s">
        <v>342</v>
      </c>
      <c r="I75" s="2" t="s">
        <v>1006</v>
      </c>
      <c r="J75" s="2" t="s">
        <v>31</v>
      </c>
      <c r="K75" s="2" t="s">
        <v>31</v>
      </c>
      <c r="L75" s="2" t="s">
        <v>40</v>
      </c>
      <c r="M75" s="2" t="s">
        <v>1378</v>
      </c>
      <c r="N75" s="2" t="s">
        <v>163</v>
      </c>
      <c r="O75" s="2" t="s">
        <v>35</v>
      </c>
      <c r="P75" s="153">
        <v>39000</v>
      </c>
      <c r="Q75" s="152">
        <v>1</v>
      </c>
      <c r="R75" s="152">
        <v>3874.92</v>
      </c>
      <c r="T75" s="152">
        <v>1511.2190000000001</v>
      </c>
      <c r="U75" s="165">
        <v>1.6739999999999999E-3</v>
      </c>
      <c r="V75" s="165">
        <v>0.19872768202060501</v>
      </c>
      <c r="W75" s="165">
        <v>2.6735686572912198E-2</v>
      </c>
    </row>
    <row r="76" spans="1:23">
      <c r="A76" s="2" t="s">
        <v>26</v>
      </c>
      <c r="B76" s="2">
        <v>1451</v>
      </c>
      <c r="C76" s="2" t="s">
        <v>1409</v>
      </c>
      <c r="D76" s="2" t="s">
        <v>1410</v>
      </c>
      <c r="E76" s="4" t="s">
        <v>1347</v>
      </c>
      <c r="F76" s="2" t="s">
        <v>1443</v>
      </c>
      <c r="G76" s="2" t="s">
        <v>1444</v>
      </c>
      <c r="H76" s="2" t="s">
        <v>342</v>
      </c>
      <c r="I76" s="2" t="s">
        <v>1006</v>
      </c>
      <c r="J76" s="2" t="s">
        <v>31</v>
      </c>
      <c r="K76" s="2" t="s">
        <v>31</v>
      </c>
      <c r="L76" s="2" t="s">
        <v>40</v>
      </c>
      <c r="M76" s="2" t="s">
        <v>1378</v>
      </c>
      <c r="N76" s="2" t="s">
        <v>163</v>
      </c>
      <c r="O76" s="2" t="s">
        <v>35</v>
      </c>
      <c r="P76" s="153">
        <v>58500</v>
      </c>
      <c r="Q76" s="152">
        <v>1</v>
      </c>
      <c r="R76" s="152">
        <v>3809.11</v>
      </c>
      <c r="T76" s="152">
        <v>2228.3290000000002</v>
      </c>
      <c r="U76" s="165">
        <v>7.4599999999999996E-3</v>
      </c>
      <c r="V76" s="165">
        <v>0.29302886286484903</v>
      </c>
      <c r="W76" s="165">
        <v>3.9422428494683401E-2</v>
      </c>
    </row>
    <row r="77" spans="1:23">
      <c r="A77" s="2" t="s">
        <v>26</v>
      </c>
      <c r="B77" s="2">
        <v>1451</v>
      </c>
      <c r="C77" s="2" t="s">
        <v>1409</v>
      </c>
      <c r="D77" s="2" t="s">
        <v>1410</v>
      </c>
      <c r="E77" s="4" t="s">
        <v>1347</v>
      </c>
      <c r="F77" s="2" t="s">
        <v>1478</v>
      </c>
      <c r="G77" s="2" t="s">
        <v>1479</v>
      </c>
      <c r="H77" s="2" t="s">
        <v>342</v>
      </c>
      <c r="I77" s="2" t="s">
        <v>1006</v>
      </c>
      <c r="J77" s="2" t="s">
        <v>31</v>
      </c>
      <c r="K77" s="2" t="s">
        <v>31</v>
      </c>
      <c r="L77" s="2" t="s">
        <v>40</v>
      </c>
      <c r="M77" s="2" t="s">
        <v>1378</v>
      </c>
      <c r="N77" s="2" t="s">
        <v>163</v>
      </c>
      <c r="O77" s="2" t="s">
        <v>35</v>
      </c>
      <c r="P77" s="153">
        <v>368000</v>
      </c>
      <c r="Q77" s="152">
        <v>1</v>
      </c>
      <c r="R77" s="152">
        <v>358.93</v>
      </c>
      <c r="T77" s="152">
        <v>1320.8620000000001</v>
      </c>
      <c r="U77" s="165">
        <v>9.2500000000000004E-4</v>
      </c>
      <c r="V77" s="165">
        <v>0.17369551187437199</v>
      </c>
      <c r="W77" s="165">
        <v>2.3368001465005998E-2</v>
      </c>
    </row>
    <row r="78" spans="1:23">
      <c r="A78" s="2" t="s">
        <v>26</v>
      </c>
      <c r="B78" s="2">
        <v>1451</v>
      </c>
      <c r="C78" s="2" t="s">
        <v>1417</v>
      </c>
      <c r="D78" s="2" t="s">
        <v>1418</v>
      </c>
      <c r="E78" s="4" t="s">
        <v>335</v>
      </c>
      <c r="F78" s="2" t="s">
        <v>1417</v>
      </c>
      <c r="G78" s="2" t="s">
        <v>1488</v>
      </c>
      <c r="H78" s="2" t="s">
        <v>342</v>
      </c>
      <c r="I78" s="2" t="s">
        <v>1005</v>
      </c>
      <c r="J78" s="2" t="s">
        <v>120</v>
      </c>
      <c r="K78" s="2" t="s">
        <v>127</v>
      </c>
      <c r="L78" s="2" t="s">
        <v>401</v>
      </c>
      <c r="M78" s="2" t="s">
        <v>757</v>
      </c>
      <c r="N78" s="2" t="s">
        <v>163</v>
      </c>
      <c r="O78" s="2" t="s">
        <v>100</v>
      </c>
      <c r="P78" s="153">
        <v>24700</v>
      </c>
      <c r="Q78" s="152">
        <v>3.681</v>
      </c>
      <c r="R78" s="152">
        <v>574.29999999999995</v>
      </c>
      <c r="T78" s="152">
        <v>522.15800000000002</v>
      </c>
      <c r="U78" s="165">
        <v>0</v>
      </c>
      <c r="V78" s="165">
        <v>6.8664554426375202E-2</v>
      </c>
      <c r="W78" s="165">
        <v>9.2377367216606408E-3</v>
      </c>
    </row>
    <row r="79" spans="1:23">
      <c r="A79" s="2" t="s">
        <v>26</v>
      </c>
      <c r="B79" s="2">
        <v>1451</v>
      </c>
      <c r="C79" s="2" t="s">
        <v>1512</v>
      </c>
      <c r="D79" s="2" t="s">
        <v>1513</v>
      </c>
      <c r="E79" s="4" t="s">
        <v>335</v>
      </c>
      <c r="F79" s="2" t="s">
        <v>1514</v>
      </c>
      <c r="G79" s="2" t="s">
        <v>1515</v>
      </c>
      <c r="H79" s="2" t="s">
        <v>342</v>
      </c>
      <c r="I79" s="2" t="s">
        <v>1007</v>
      </c>
      <c r="J79" s="2" t="s">
        <v>120</v>
      </c>
      <c r="K79" s="2" t="s">
        <v>127</v>
      </c>
      <c r="L79" s="2" t="s">
        <v>401</v>
      </c>
      <c r="M79" s="2" t="s">
        <v>754</v>
      </c>
      <c r="N79" s="2" t="s">
        <v>163</v>
      </c>
      <c r="O79" s="2" t="s">
        <v>100</v>
      </c>
      <c r="P79" s="153">
        <v>3550</v>
      </c>
      <c r="Q79" s="152">
        <v>3.681</v>
      </c>
      <c r="R79" s="152">
        <v>27.605</v>
      </c>
      <c r="T79" s="152">
        <v>360.73</v>
      </c>
      <c r="U79" s="165">
        <v>0</v>
      </c>
      <c r="V79" s="165">
        <v>4.74365331111581E-2</v>
      </c>
      <c r="W79" s="165">
        <v>6.3818400560521696E-3</v>
      </c>
    </row>
    <row r="80" spans="1:23">
      <c r="A80" s="2" t="s">
        <v>26</v>
      </c>
      <c r="B80" s="2">
        <v>1451</v>
      </c>
      <c r="C80" s="2" t="s">
        <v>1534</v>
      </c>
      <c r="D80" s="2" t="s">
        <v>1535</v>
      </c>
      <c r="E80" s="4" t="s">
        <v>335</v>
      </c>
      <c r="F80" s="2" t="s">
        <v>1542</v>
      </c>
      <c r="G80" s="2" t="s">
        <v>1543</v>
      </c>
      <c r="H80" s="2" t="s">
        <v>342</v>
      </c>
      <c r="I80" s="2" t="s">
        <v>1007</v>
      </c>
      <c r="J80" s="2" t="s">
        <v>120</v>
      </c>
      <c r="K80" s="2" t="s">
        <v>127</v>
      </c>
      <c r="L80" s="2" t="s">
        <v>401</v>
      </c>
      <c r="M80" s="2" t="s">
        <v>754</v>
      </c>
      <c r="N80" s="2" t="s">
        <v>163</v>
      </c>
      <c r="O80" s="2" t="s">
        <v>100</v>
      </c>
      <c r="P80" s="153">
        <v>1500</v>
      </c>
      <c r="Q80" s="152">
        <v>3.681</v>
      </c>
      <c r="R80" s="152">
        <v>5525</v>
      </c>
      <c r="T80" s="152">
        <v>305.06299999999999</v>
      </c>
      <c r="U80" s="165">
        <v>0</v>
      </c>
      <c r="V80" s="165">
        <v>4.0116254522039797E-2</v>
      </c>
      <c r="W80" s="165">
        <v>5.3970116114433597E-3</v>
      </c>
    </row>
    <row r="81" spans="1:23">
      <c r="A81" s="2" t="s">
        <v>26</v>
      </c>
      <c r="B81" s="2">
        <v>1452</v>
      </c>
      <c r="C81" s="2" t="s">
        <v>1417</v>
      </c>
      <c r="D81" s="2" t="s">
        <v>1418</v>
      </c>
      <c r="E81" s="4" t="s">
        <v>335</v>
      </c>
      <c r="F81" s="2" t="s">
        <v>1419</v>
      </c>
      <c r="G81" s="2" t="s">
        <v>1420</v>
      </c>
      <c r="H81" s="2" t="s">
        <v>342</v>
      </c>
      <c r="I81" s="2" t="s">
        <v>1005</v>
      </c>
      <c r="J81" s="2" t="s">
        <v>120</v>
      </c>
      <c r="K81" s="2" t="s">
        <v>127</v>
      </c>
      <c r="L81" s="2" t="s">
        <v>365</v>
      </c>
      <c r="M81" s="2" t="s">
        <v>1408</v>
      </c>
      <c r="N81" s="2" t="s">
        <v>163</v>
      </c>
      <c r="O81" s="2" t="s">
        <v>100</v>
      </c>
      <c r="P81" s="153">
        <v>1080</v>
      </c>
      <c r="Q81" s="152">
        <v>3.681</v>
      </c>
      <c r="R81" s="152">
        <v>115.77</v>
      </c>
      <c r="T81" s="152">
        <v>460.24099999999999</v>
      </c>
      <c r="U81" s="165">
        <v>2.9E-5</v>
      </c>
      <c r="V81" s="165">
        <v>1.6283757260957401E-2</v>
      </c>
      <c r="W81" s="165">
        <v>9.2808303946681093E-3</v>
      </c>
    </row>
    <row r="82" spans="1:23">
      <c r="A82" s="2" t="s">
        <v>26</v>
      </c>
      <c r="B82" s="2">
        <v>1452</v>
      </c>
      <c r="C82" s="2" t="s">
        <v>1364</v>
      </c>
      <c r="D82" s="2" t="s">
        <v>1365</v>
      </c>
      <c r="E82" s="4" t="s">
        <v>1347</v>
      </c>
      <c r="F82" s="2" t="s">
        <v>1425</v>
      </c>
      <c r="G82" s="2" t="s">
        <v>1426</v>
      </c>
      <c r="H82" s="2" t="s">
        <v>342</v>
      </c>
      <c r="I82" s="2" t="s">
        <v>1004</v>
      </c>
      <c r="J82" s="2" t="s">
        <v>31</v>
      </c>
      <c r="K82" s="2" t="s">
        <v>31</v>
      </c>
      <c r="L82" s="2" t="s">
        <v>40</v>
      </c>
      <c r="M82" s="2" t="s">
        <v>1363</v>
      </c>
      <c r="N82" s="2" t="s">
        <v>163</v>
      </c>
      <c r="O82" s="2" t="s">
        <v>35</v>
      </c>
      <c r="P82" s="153">
        <v>50700</v>
      </c>
      <c r="Q82" s="152">
        <v>1</v>
      </c>
      <c r="R82" s="152">
        <v>3091</v>
      </c>
      <c r="T82" s="152">
        <v>1567.1369999999999</v>
      </c>
      <c r="U82" s="165">
        <v>1.407E-3</v>
      </c>
      <c r="V82" s="165">
        <v>5.5446735040747E-2</v>
      </c>
      <c r="W82" s="165">
        <v>3.1601536156835301E-2</v>
      </c>
    </row>
    <row r="83" spans="1:23">
      <c r="A83" s="2" t="s">
        <v>26</v>
      </c>
      <c r="B83" s="2">
        <v>1452</v>
      </c>
      <c r="C83" s="2" t="s">
        <v>1359</v>
      </c>
      <c r="D83" s="2" t="s">
        <v>1360</v>
      </c>
      <c r="E83" s="4" t="s">
        <v>1347</v>
      </c>
      <c r="F83" s="2" t="s">
        <v>1431</v>
      </c>
      <c r="G83" s="2" t="s">
        <v>1432</v>
      </c>
      <c r="H83" s="2" t="s">
        <v>342</v>
      </c>
      <c r="I83" s="2" t="s">
        <v>1004</v>
      </c>
      <c r="J83" s="2" t="s">
        <v>31</v>
      </c>
      <c r="K83" s="2" t="s">
        <v>31</v>
      </c>
      <c r="L83" s="2" t="s">
        <v>40</v>
      </c>
      <c r="M83" s="2" t="s">
        <v>1363</v>
      </c>
      <c r="N83" s="2" t="s">
        <v>163</v>
      </c>
      <c r="O83" s="2" t="s">
        <v>35</v>
      </c>
      <c r="P83" s="153">
        <v>71200</v>
      </c>
      <c r="Q83" s="152">
        <v>1</v>
      </c>
      <c r="R83" s="152">
        <v>2014</v>
      </c>
      <c r="T83" s="152">
        <v>1433.9680000000001</v>
      </c>
      <c r="U83" s="165">
        <v>1.2489999999999999E-3</v>
      </c>
      <c r="V83" s="165">
        <v>5.0735094476685699E-2</v>
      </c>
      <c r="W83" s="165">
        <v>2.89161647001792E-2</v>
      </c>
    </row>
    <row r="84" spans="1:23">
      <c r="A84" s="2" t="s">
        <v>26</v>
      </c>
      <c r="B84" s="2">
        <v>1452</v>
      </c>
      <c r="C84" s="2" t="s">
        <v>1421</v>
      </c>
      <c r="D84" s="2" t="s">
        <v>1422</v>
      </c>
      <c r="E84" s="4" t="s">
        <v>1347</v>
      </c>
      <c r="F84" s="2" t="s">
        <v>1437</v>
      </c>
      <c r="G84" s="2" t="s">
        <v>1438</v>
      </c>
      <c r="H84" s="2" t="s">
        <v>342</v>
      </c>
      <c r="I84" s="2" t="s">
        <v>1004</v>
      </c>
      <c r="J84" s="2" t="s">
        <v>31</v>
      </c>
      <c r="K84" s="2" t="s">
        <v>31</v>
      </c>
      <c r="L84" s="2" t="s">
        <v>40</v>
      </c>
      <c r="M84" s="2" t="s">
        <v>1363</v>
      </c>
      <c r="N84" s="2" t="s">
        <v>163</v>
      </c>
      <c r="O84" s="2" t="s">
        <v>35</v>
      </c>
      <c r="P84" s="153">
        <v>5500</v>
      </c>
      <c r="Q84" s="152">
        <v>1</v>
      </c>
      <c r="R84" s="152">
        <v>20050</v>
      </c>
      <c r="T84" s="152">
        <v>1102.75</v>
      </c>
      <c r="U84" s="165">
        <v>1.55E-4</v>
      </c>
      <c r="V84" s="165">
        <v>3.9016299829679003E-2</v>
      </c>
      <c r="W84" s="165">
        <v>2.22371075387475E-2</v>
      </c>
    </row>
    <row r="85" spans="1:23">
      <c r="A85" s="2" t="s">
        <v>26</v>
      </c>
      <c r="B85" s="2">
        <v>1452</v>
      </c>
      <c r="C85" s="2" t="s">
        <v>1480</v>
      </c>
      <c r="D85" s="2" t="s">
        <v>1481</v>
      </c>
      <c r="E85" s="4" t="s">
        <v>335</v>
      </c>
      <c r="F85" s="2" t="s">
        <v>1482</v>
      </c>
      <c r="G85" s="2" t="s">
        <v>1483</v>
      </c>
      <c r="H85" s="2" t="s">
        <v>342</v>
      </c>
      <c r="I85" s="2" t="s">
        <v>1005</v>
      </c>
      <c r="J85" s="2" t="s">
        <v>120</v>
      </c>
      <c r="K85" s="2" t="s">
        <v>127</v>
      </c>
      <c r="L85" s="2" t="s">
        <v>385</v>
      </c>
      <c r="M85" s="2" t="s">
        <v>757</v>
      </c>
      <c r="N85" s="2" t="s">
        <v>163</v>
      </c>
      <c r="O85" s="2" t="s">
        <v>100</v>
      </c>
      <c r="P85" s="153">
        <v>8000</v>
      </c>
      <c r="Q85" s="152">
        <v>3.681</v>
      </c>
      <c r="R85" s="152">
        <v>10227.780000000001</v>
      </c>
      <c r="T85" s="152">
        <v>3011.877</v>
      </c>
      <c r="U85" s="165">
        <v>0</v>
      </c>
      <c r="V85" s="165">
        <v>0.10656294046527399</v>
      </c>
      <c r="W85" s="165">
        <v>6.0734912770197998E-2</v>
      </c>
    </row>
    <row r="86" spans="1:23">
      <c r="A86" s="2" t="s">
        <v>26</v>
      </c>
      <c r="B86" s="2">
        <v>1452</v>
      </c>
      <c r="C86" s="2" t="s">
        <v>1391</v>
      </c>
      <c r="D86" s="2" t="s">
        <v>1392</v>
      </c>
      <c r="E86" s="4" t="s">
        <v>335</v>
      </c>
      <c r="F86" s="2" t="s">
        <v>1588</v>
      </c>
      <c r="G86" s="2" t="s">
        <v>1589</v>
      </c>
      <c r="H86" s="2" t="s">
        <v>342</v>
      </c>
      <c r="I86" s="2" t="s">
        <v>1005</v>
      </c>
      <c r="J86" s="2" t="s">
        <v>120</v>
      </c>
      <c r="K86" s="2" t="s">
        <v>127</v>
      </c>
      <c r="L86" s="2" t="s">
        <v>367</v>
      </c>
      <c r="M86" s="2" t="s">
        <v>757</v>
      </c>
      <c r="N86" s="2" t="s">
        <v>163</v>
      </c>
      <c r="O86" s="2" t="s">
        <v>100</v>
      </c>
      <c r="P86" s="153">
        <v>1774</v>
      </c>
      <c r="Q86" s="152">
        <v>3.681</v>
      </c>
      <c r="R86" s="152">
        <v>5366</v>
      </c>
      <c r="T86" s="152">
        <v>350.40499999999997</v>
      </c>
      <c r="U86" s="165">
        <v>5.3999999999999998E-5</v>
      </c>
      <c r="V86" s="165">
        <v>1.23976426722617E-2</v>
      </c>
      <c r="W86" s="165">
        <v>7.0659625472822701E-3</v>
      </c>
    </row>
    <row r="87" spans="1:23">
      <c r="A87" s="2" t="s">
        <v>26</v>
      </c>
      <c r="B87" s="2">
        <v>1452</v>
      </c>
      <c r="C87" s="2" t="s">
        <v>1484</v>
      </c>
      <c r="D87" s="2" t="s">
        <v>1485</v>
      </c>
      <c r="E87" s="4" t="s">
        <v>335</v>
      </c>
      <c r="F87" s="2" t="s">
        <v>1486</v>
      </c>
      <c r="G87" s="2" t="s">
        <v>1487</v>
      </c>
      <c r="H87" s="2" t="s">
        <v>342</v>
      </c>
      <c r="I87" s="2" t="s">
        <v>1005</v>
      </c>
      <c r="J87" s="2" t="s">
        <v>120</v>
      </c>
      <c r="K87" s="2" t="s">
        <v>316</v>
      </c>
      <c r="L87" s="2" t="s">
        <v>389</v>
      </c>
      <c r="M87" s="2" t="s">
        <v>757</v>
      </c>
      <c r="N87" s="2" t="s">
        <v>163</v>
      </c>
      <c r="O87" s="2" t="s">
        <v>1208</v>
      </c>
      <c r="P87" s="153">
        <v>10660</v>
      </c>
      <c r="Q87" s="152">
        <v>3.9790000000000001</v>
      </c>
      <c r="R87" s="152">
        <v>5115</v>
      </c>
      <c r="T87" s="152">
        <v>2169.64</v>
      </c>
      <c r="U87" s="165">
        <v>1.0900000000000001E-4</v>
      </c>
      <c r="V87" s="165">
        <v>7.6763843258201098E-2</v>
      </c>
      <c r="W87" s="165">
        <v>4.3751094928834999E-2</v>
      </c>
    </row>
    <row r="88" spans="1:23">
      <c r="A88" s="2" t="s">
        <v>26</v>
      </c>
      <c r="B88" s="2">
        <v>1452</v>
      </c>
      <c r="C88" s="2" t="s">
        <v>1484</v>
      </c>
      <c r="D88" s="2" t="s">
        <v>1485</v>
      </c>
      <c r="E88" s="4" t="s">
        <v>335</v>
      </c>
      <c r="F88" s="2" t="s">
        <v>1489</v>
      </c>
      <c r="G88" s="2" t="s">
        <v>1490</v>
      </c>
      <c r="H88" s="2" t="s">
        <v>342</v>
      </c>
      <c r="I88" s="2" t="s">
        <v>1005</v>
      </c>
      <c r="J88" s="2" t="s">
        <v>120</v>
      </c>
      <c r="K88" s="2" t="s">
        <v>127</v>
      </c>
      <c r="L88" s="2" t="s">
        <v>365</v>
      </c>
      <c r="M88" s="2" t="s">
        <v>757</v>
      </c>
      <c r="N88" s="2" t="s">
        <v>163</v>
      </c>
      <c r="O88" s="2" t="s">
        <v>100</v>
      </c>
      <c r="P88" s="153">
        <v>490</v>
      </c>
      <c r="Q88" s="152">
        <v>3.681</v>
      </c>
      <c r="R88" s="152">
        <v>52573</v>
      </c>
      <c r="T88" s="152">
        <v>948.25400000000002</v>
      </c>
      <c r="U88" s="165">
        <v>9.9999999999999995E-7</v>
      </c>
      <c r="V88" s="165">
        <v>3.3550088580435102E-2</v>
      </c>
      <c r="W88" s="165">
        <v>1.9121673017545499E-2</v>
      </c>
    </row>
    <row r="89" spans="1:23">
      <c r="A89" s="2" t="s">
        <v>26</v>
      </c>
      <c r="B89" s="2">
        <v>1452</v>
      </c>
      <c r="C89" s="2" t="s">
        <v>1491</v>
      </c>
      <c r="D89" s="2" t="s">
        <v>1492</v>
      </c>
      <c r="E89" s="4" t="s">
        <v>335</v>
      </c>
      <c r="F89" s="2" t="s">
        <v>1493</v>
      </c>
      <c r="G89" s="2" t="s">
        <v>1494</v>
      </c>
      <c r="H89" s="2" t="s">
        <v>342</v>
      </c>
      <c r="I89" s="2" t="s">
        <v>1005</v>
      </c>
      <c r="J89" s="2" t="s">
        <v>120</v>
      </c>
      <c r="K89" s="2" t="s">
        <v>291</v>
      </c>
      <c r="L89" s="2" t="s">
        <v>401</v>
      </c>
      <c r="M89" s="2" t="s">
        <v>757</v>
      </c>
      <c r="N89" s="2" t="s">
        <v>163</v>
      </c>
      <c r="O89" s="2" t="s">
        <v>100</v>
      </c>
      <c r="P89" s="153">
        <v>2500</v>
      </c>
      <c r="Q89" s="152">
        <v>3.681</v>
      </c>
      <c r="R89" s="152">
        <v>1805</v>
      </c>
      <c r="T89" s="152">
        <v>166.10499999999999</v>
      </c>
      <c r="U89" s="165">
        <v>0</v>
      </c>
      <c r="V89" s="165">
        <v>5.8769506780741903E-3</v>
      </c>
      <c r="W89" s="165">
        <v>3.3495330105301202E-3</v>
      </c>
    </row>
    <row r="90" spans="1:23">
      <c r="A90" s="2" t="s">
        <v>26</v>
      </c>
      <c r="B90" s="2">
        <v>1452</v>
      </c>
      <c r="C90" s="2" t="s">
        <v>1495</v>
      </c>
      <c r="D90" s="2" t="s">
        <v>1496</v>
      </c>
      <c r="E90" s="4" t="s">
        <v>335</v>
      </c>
      <c r="F90" s="2" t="s">
        <v>1497</v>
      </c>
      <c r="G90" s="2" t="s">
        <v>1498</v>
      </c>
      <c r="H90" s="2" t="s">
        <v>342</v>
      </c>
      <c r="I90" s="2" t="s">
        <v>1005</v>
      </c>
      <c r="J90" s="2" t="s">
        <v>120</v>
      </c>
      <c r="K90" s="2" t="s">
        <v>291</v>
      </c>
      <c r="L90" s="2" t="s">
        <v>365</v>
      </c>
      <c r="M90" s="2" t="s">
        <v>757</v>
      </c>
      <c r="N90" s="2" t="s">
        <v>163</v>
      </c>
      <c r="O90" s="2" t="s">
        <v>100</v>
      </c>
      <c r="P90" s="153">
        <v>2000</v>
      </c>
      <c r="Q90" s="152">
        <v>3.681</v>
      </c>
      <c r="R90" s="152">
        <v>26.25</v>
      </c>
      <c r="T90" s="152">
        <v>193.25200000000001</v>
      </c>
      <c r="U90" s="165">
        <v>7.9999999999999996E-6</v>
      </c>
      <c r="V90" s="165">
        <v>6.83744954235778E-3</v>
      </c>
      <c r="W90" s="165">
        <v>3.8969636133591502E-3</v>
      </c>
    </row>
    <row r="91" spans="1:23">
      <c r="A91" s="2" t="s">
        <v>26</v>
      </c>
      <c r="B91" s="2">
        <v>1452</v>
      </c>
      <c r="C91" s="2" t="s">
        <v>1499</v>
      </c>
      <c r="D91" s="2" t="s">
        <v>1500</v>
      </c>
      <c r="E91" s="4" t="s">
        <v>335</v>
      </c>
      <c r="F91" s="2" t="s">
        <v>1503</v>
      </c>
      <c r="G91" s="2" t="s">
        <v>1504</v>
      </c>
      <c r="H91" s="2" t="s">
        <v>342</v>
      </c>
      <c r="I91" s="2" t="s">
        <v>1005</v>
      </c>
      <c r="J91" s="2" t="s">
        <v>120</v>
      </c>
      <c r="K91" s="2" t="s">
        <v>127</v>
      </c>
      <c r="L91" s="2" t="s">
        <v>401</v>
      </c>
      <c r="M91" s="2" t="s">
        <v>757</v>
      </c>
      <c r="N91" s="2" t="s">
        <v>163</v>
      </c>
      <c r="O91" s="2" t="s">
        <v>100</v>
      </c>
      <c r="P91" s="153">
        <v>2620</v>
      </c>
      <c r="Q91" s="152">
        <v>3.681</v>
      </c>
      <c r="R91" s="152">
        <v>37152.5</v>
      </c>
      <c r="T91" s="152">
        <v>3583.069</v>
      </c>
      <c r="U91" s="165">
        <v>2.9500000000000001E-4</v>
      </c>
      <c r="V91" s="165">
        <v>0.12677224030491699</v>
      </c>
      <c r="W91" s="165">
        <v>7.22530827601435E-2</v>
      </c>
    </row>
    <row r="92" spans="1:23">
      <c r="A92" s="2" t="s">
        <v>26</v>
      </c>
      <c r="B92" s="2">
        <v>1452</v>
      </c>
      <c r="C92" s="2" t="s">
        <v>1391</v>
      </c>
      <c r="D92" s="2" t="s">
        <v>1392</v>
      </c>
      <c r="E92" s="4" t="s">
        <v>335</v>
      </c>
      <c r="F92" s="2" t="s">
        <v>1508</v>
      </c>
      <c r="G92" s="2" t="s">
        <v>1509</v>
      </c>
      <c r="H92" s="2" t="s">
        <v>342</v>
      </c>
      <c r="I92" s="2" t="s">
        <v>1005</v>
      </c>
      <c r="J92" s="2" t="s">
        <v>120</v>
      </c>
      <c r="K92" s="2" t="s">
        <v>127</v>
      </c>
      <c r="L92" s="2" t="s">
        <v>367</v>
      </c>
      <c r="M92" s="2" t="s">
        <v>757</v>
      </c>
      <c r="N92" s="2" t="s">
        <v>163</v>
      </c>
      <c r="O92" s="2" t="s">
        <v>100</v>
      </c>
      <c r="P92" s="153">
        <v>585</v>
      </c>
      <c r="Q92" s="152">
        <v>3.681</v>
      </c>
      <c r="R92" s="152">
        <v>444.01</v>
      </c>
      <c r="S92" s="156">
        <v>0.25600000000000001</v>
      </c>
      <c r="T92" s="152">
        <v>957.06700000000001</v>
      </c>
      <c r="U92" s="165">
        <v>9.9999999999999995E-7</v>
      </c>
      <c r="V92" s="165">
        <v>3.3861919308061803E-2</v>
      </c>
      <c r="W92" s="165">
        <v>1.9299399082149001E-2</v>
      </c>
    </row>
    <row r="93" spans="1:23">
      <c r="A93" s="2" t="s">
        <v>26</v>
      </c>
      <c r="B93" s="2">
        <v>1452</v>
      </c>
      <c r="C93" s="2" t="s">
        <v>1391</v>
      </c>
      <c r="D93" s="2" t="s">
        <v>1392</v>
      </c>
      <c r="E93" s="4" t="s">
        <v>335</v>
      </c>
      <c r="F93" s="2" t="s">
        <v>1510</v>
      </c>
      <c r="G93" s="2" t="s">
        <v>1511</v>
      </c>
      <c r="H93" s="2" t="s">
        <v>342</v>
      </c>
      <c r="I93" s="2" t="s">
        <v>1005</v>
      </c>
      <c r="J93" s="2" t="s">
        <v>120</v>
      </c>
      <c r="K93" s="2" t="s">
        <v>127</v>
      </c>
      <c r="L93" s="2" t="s">
        <v>401</v>
      </c>
      <c r="M93" s="2" t="s">
        <v>757</v>
      </c>
      <c r="N93" s="2" t="s">
        <v>163</v>
      </c>
      <c r="O93" s="2" t="s">
        <v>100</v>
      </c>
      <c r="P93" s="153">
        <v>530</v>
      </c>
      <c r="Q93" s="152">
        <v>3.681</v>
      </c>
      <c r="R93" s="152">
        <v>102524</v>
      </c>
      <c r="T93" s="152">
        <v>2000.171</v>
      </c>
      <c r="U93" s="165">
        <v>1.0399999999999999E-4</v>
      </c>
      <c r="V93" s="165">
        <v>7.0767889285098196E-2</v>
      </c>
      <c r="W93" s="165">
        <v>4.0333736699599498E-2</v>
      </c>
    </row>
    <row r="94" spans="1:23">
      <c r="A94" s="2" t="s">
        <v>26</v>
      </c>
      <c r="B94" s="2">
        <v>1452</v>
      </c>
      <c r="C94" s="2" t="s">
        <v>1516</v>
      </c>
      <c r="D94" s="2" t="s">
        <v>1517</v>
      </c>
      <c r="E94" s="4" t="s">
        <v>335</v>
      </c>
      <c r="F94" s="2" t="s">
        <v>1518</v>
      </c>
      <c r="G94" s="2" t="s">
        <v>1519</v>
      </c>
      <c r="H94" s="2" t="s">
        <v>342</v>
      </c>
      <c r="I94" s="2" t="s">
        <v>1005</v>
      </c>
      <c r="J94" s="2" t="s">
        <v>120</v>
      </c>
      <c r="K94" s="2" t="s">
        <v>127</v>
      </c>
      <c r="L94" s="2" t="s">
        <v>365</v>
      </c>
      <c r="M94" s="2" t="s">
        <v>757</v>
      </c>
      <c r="N94" s="2" t="s">
        <v>163</v>
      </c>
      <c r="O94" s="2" t="s">
        <v>100</v>
      </c>
      <c r="P94" s="153">
        <v>8000</v>
      </c>
      <c r="Q94" s="152">
        <v>3.681</v>
      </c>
      <c r="R94" s="152">
        <v>6153</v>
      </c>
      <c r="T94" s="152">
        <v>1811.9349999999999</v>
      </c>
      <c r="U94" s="165">
        <v>2.5999999999999998E-5</v>
      </c>
      <c r="V94" s="165">
        <v>6.4107926909146601E-2</v>
      </c>
      <c r="W94" s="165">
        <v>3.6537930838855398E-2</v>
      </c>
    </row>
    <row r="95" spans="1:23">
      <c r="A95" s="2" t="s">
        <v>26</v>
      </c>
      <c r="B95" s="2">
        <v>1452</v>
      </c>
      <c r="C95" s="2" t="s">
        <v>1520</v>
      </c>
      <c r="D95" s="2" t="s">
        <v>1521</v>
      </c>
      <c r="E95" s="4" t="s">
        <v>335</v>
      </c>
      <c r="F95" s="2" t="s">
        <v>1522</v>
      </c>
      <c r="G95" s="2" t="s">
        <v>1523</v>
      </c>
      <c r="H95" s="2" t="s">
        <v>342</v>
      </c>
      <c r="I95" s="2" t="s">
        <v>1005</v>
      </c>
      <c r="J95" s="2" t="s">
        <v>120</v>
      </c>
      <c r="K95" s="2" t="s">
        <v>127</v>
      </c>
      <c r="L95" s="2" t="s">
        <v>401</v>
      </c>
      <c r="M95" s="2" t="s">
        <v>757</v>
      </c>
      <c r="N95" s="2" t="s">
        <v>163</v>
      </c>
      <c r="O95" s="2" t="s">
        <v>100</v>
      </c>
      <c r="P95" s="153">
        <v>26200</v>
      </c>
      <c r="Q95" s="152">
        <v>3.681</v>
      </c>
      <c r="R95" s="152">
        <v>1267.5999999999999</v>
      </c>
      <c r="T95" s="152">
        <v>1222.501</v>
      </c>
      <c r="U95" s="165">
        <v>0</v>
      </c>
      <c r="V95" s="165">
        <v>4.3253210903845603E-2</v>
      </c>
      <c r="W95" s="165">
        <v>2.4651909752172199E-2</v>
      </c>
    </row>
    <row r="96" spans="1:23">
      <c r="A96" s="2" t="s">
        <v>26</v>
      </c>
      <c r="B96" s="2">
        <v>1452</v>
      </c>
      <c r="C96" s="2" t="s">
        <v>1524</v>
      </c>
      <c r="D96" s="2" t="s">
        <v>1525</v>
      </c>
      <c r="E96" s="4" t="s">
        <v>335</v>
      </c>
      <c r="F96" s="2" t="s">
        <v>1526</v>
      </c>
      <c r="G96" s="2" t="s">
        <v>1527</v>
      </c>
      <c r="H96" s="2" t="s">
        <v>342</v>
      </c>
      <c r="I96" s="2" t="s">
        <v>1005</v>
      </c>
      <c r="J96" s="2" t="s">
        <v>120</v>
      </c>
      <c r="K96" s="2" t="s">
        <v>127</v>
      </c>
      <c r="L96" s="2" t="s">
        <v>401</v>
      </c>
      <c r="M96" s="2" t="s">
        <v>757</v>
      </c>
      <c r="N96" s="2" t="s">
        <v>163</v>
      </c>
      <c r="O96" s="2" t="s">
        <v>100</v>
      </c>
      <c r="P96" s="153">
        <v>4000</v>
      </c>
      <c r="Q96" s="152">
        <v>3.681</v>
      </c>
      <c r="R96" s="152">
        <v>3552.75</v>
      </c>
      <c r="T96" s="152">
        <v>523.10699999999997</v>
      </c>
      <c r="U96" s="165">
        <v>0</v>
      </c>
      <c r="V96" s="165">
        <v>1.8507999132656501E-2</v>
      </c>
      <c r="W96" s="165">
        <v>1.05485237922756E-2</v>
      </c>
    </row>
    <row r="97" spans="1:23">
      <c r="A97" s="2" t="s">
        <v>26</v>
      </c>
      <c r="B97" s="2">
        <v>1452</v>
      </c>
      <c r="C97" s="2" t="s">
        <v>1516</v>
      </c>
      <c r="D97" s="2" t="s">
        <v>1517</v>
      </c>
      <c r="E97" s="4" t="s">
        <v>335</v>
      </c>
      <c r="F97" s="2" t="s">
        <v>1528</v>
      </c>
      <c r="G97" s="2" t="s">
        <v>1529</v>
      </c>
      <c r="H97" s="2" t="s">
        <v>342</v>
      </c>
      <c r="I97" s="2" t="s">
        <v>1005</v>
      </c>
      <c r="J97" s="2" t="s">
        <v>120</v>
      </c>
      <c r="K97" s="2" t="s">
        <v>127</v>
      </c>
      <c r="L97" s="2" t="s">
        <v>401</v>
      </c>
      <c r="M97" s="2" t="s">
        <v>757</v>
      </c>
      <c r="N97" s="2" t="s">
        <v>163</v>
      </c>
      <c r="O97" s="2" t="s">
        <v>100</v>
      </c>
      <c r="P97" s="153">
        <v>1500</v>
      </c>
      <c r="Q97" s="152">
        <v>3.681</v>
      </c>
      <c r="R97" s="152">
        <v>4855.875</v>
      </c>
      <c r="T97" s="152">
        <v>268.11700000000002</v>
      </c>
      <c r="U97" s="165">
        <v>0</v>
      </c>
      <c r="V97" s="165">
        <v>9.4862286561418901E-3</v>
      </c>
      <c r="W97" s="165">
        <v>5.4066194817201001E-3</v>
      </c>
    </row>
    <row r="98" spans="1:23">
      <c r="A98" s="2" t="s">
        <v>26</v>
      </c>
      <c r="B98" s="2">
        <v>1452</v>
      </c>
      <c r="C98" s="2" t="s">
        <v>1512</v>
      </c>
      <c r="D98" s="2" t="s">
        <v>1513</v>
      </c>
      <c r="E98" s="4" t="s">
        <v>335</v>
      </c>
      <c r="F98" s="2" t="s">
        <v>1590</v>
      </c>
      <c r="G98" s="2" t="s">
        <v>1591</v>
      </c>
      <c r="H98" s="2" t="s">
        <v>342</v>
      </c>
      <c r="I98" s="2" t="s">
        <v>1005</v>
      </c>
      <c r="J98" s="2" t="s">
        <v>120</v>
      </c>
      <c r="K98" s="2" t="s">
        <v>127</v>
      </c>
      <c r="L98" s="2" t="s">
        <v>401</v>
      </c>
      <c r="M98" s="2" t="s">
        <v>757</v>
      </c>
      <c r="N98" s="2" t="s">
        <v>163</v>
      </c>
      <c r="O98" s="2" t="s">
        <v>100</v>
      </c>
      <c r="P98" s="153">
        <v>310</v>
      </c>
      <c r="Q98" s="152">
        <v>3.681</v>
      </c>
      <c r="R98" s="152">
        <v>10869.5</v>
      </c>
      <c r="T98" s="152">
        <v>124.033</v>
      </c>
      <c r="U98" s="165">
        <v>0</v>
      </c>
      <c r="V98" s="165">
        <v>4.3883988415626598E-3</v>
      </c>
      <c r="W98" s="165">
        <v>2.5011417635383299E-3</v>
      </c>
    </row>
    <row r="99" spans="1:23">
      <c r="A99" s="2" t="s">
        <v>26</v>
      </c>
      <c r="B99" s="2">
        <v>1452</v>
      </c>
      <c r="C99" s="2" t="s">
        <v>1530</v>
      </c>
      <c r="D99" s="2" t="s">
        <v>1531</v>
      </c>
      <c r="E99" s="4" t="s">
        <v>335</v>
      </c>
      <c r="F99" s="2" t="s">
        <v>1532</v>
      </c>
      <c r="G99" s="2" t="s">
        <v>1533</v>
      </c>
      <c r="H99" s="2" t="s">
        <v>342</v>
      </c>
      <c r="I99" s="2" t="s">
        <v>1005</v>
      </c>
      <c r="J99" s="2" t="s">
        <v>120</v>
      </c>
      <c r="K99" s="2" t="s">
        <v>127</v>
      </c>
      <c r="L99" s="2" t="s">
        <v>367</v>
      </c>
      <c r="M99" s="2" t="s">
        <v>757</v>
      </c>
      <c r="N99" s="2" t="s">
        <v>163</v>
      </c>
      <c r="O99" s="2" t="s">
        <v>100</v>
      </c>
      <c r="P99" s="153">
        <v>170</v>
      </c>
      <c r="Q99" s="152">
        <v>3.681</v>
      </c>
      <c r="R99" s="152">
        <v>22499</v>
      </c>
      <c r="T99" s="152">
        <v>140.792</v>
      </c>
      <c r="U99" s="165">
        <v>6.9999999999999999E-6</v>
      </c>
      <c r="V99" s="165">
        <v>4.9813489777326301E-3</v>
      </c>
      <c r="W99" s="165">
        <v>2.8390901594827602E-3</v>
      </c>
    </row>
    <row r="100" spans="1:23">
      <c r="A100" s="2" t="s">
        <v>26</v>
      </c>
      <c r="B100" s="2">
        <v>1452</v>
      </c>
      <c r="C100" s="2" t="s">
        <v>1534</v>
      </c>
      <c r="D100" s="2" t="s">
        <v>1535</v>
      </c>
      <c r="E100" s="4" t="s">
        <v>335</v>
      </c>
      <c r="F100" s="2" t="s">
        <v>1536</v>
      </c>
      <c r="G100" s="2" t="s">
        <v>1537</v>
      </c>
      <c r="H100" s="2" t="s">
        <v>342</v>
      </c>
      <c r="I100" s="2" t="s">
        <v>1005</v>
      </c>
      <c r="J100" s="2" t="s">
        <v>120</v>
      </c>
      <c r="K100" s="2" t="s">
        <v>1538</v>
      </c>
      <c r="L100" s="2" t="s">
        <v>401</v>
      </c>
      <c r="M100" s="2" t="s">
        <v>757</v>
      </c>
      <c r="N100" s="2" t="s">
        <v>163</v>
      </c>
      <c r="O100" s="2" t="s">
        <v>100</v>
      </c>
      <c r="P100" s="153">
        <v>5200</v>
      </c>
      <c r="Q100" s="152">
        <v>3.681</v>
      </c>
      <c r="R100" s="152">
        <v>5682.5</v>
      </c>
      <c r="T100" s="152">
        <v>1087.6990000000001</v>
      </c>
      <c r="U100" s="165">
        <v>0</v>
      </c>
      <c r="V100" s="165">
        <v>3.8483770767072399E-2</v>
      </c>
      <c r="W100" s="165">
        <v>2.1933595773552299E-2</v>
      </c>
    </row>
    <row r="101" spans="1:23">
      <c r="A101" s="2" t="s">
        <v>26</v>
      </c>
      <c r="B101" s="2">
        <v>1452</v>
      </c>
      <c r="C101" s="2" t="s">
        <v>1534</v>
      </c>
      <c r="D101" s="2" t="s">
        <v>1535</v>
      </c>
      <c r="E101" s="4" t="s">
        <v>335</v>
      </c>
      <c r="F101" s="2" t="s">
        <v>1540</v>
      </c>
      <c r="G101" s="2" t="s">
        <v>1541</v>
      </c>
      <c r="H101" s="2" t="s">
        <v>342</v>
      </c>
      <c r="I101" s="2" t="s">
        <v>1005</v>
      </c>
      <c r="J101" s="2" t="s">
        <v>120</v>
      </c>
      <c r="K101" s="2" t="s">
        <v>127</v>
      </c>
      <c r="L101" s="2" t="s">
        <v>365</v>
      </c>
      <c r="M101" s="2" t="s">
        <v>757</v>
      </c>
      <c r="N101" s="2" t="s">
        <v>163</v>
      </c>
      <c r="O101" s="2" t="s">
        <v>100</v>
      </c>
      <c r="P101" s="153">
        <v>700</v>
      </c>
      <c r="Q101" s="152">
        <v>3.681</v>
      </c>
      <c r="R101" s="152">
        <v>480.7</v>
      </c>
      <c r="T101" s="152">
        <v>1238.6199999999999</v>
      </c>
      <c r="U101" s="165">
        <v>9.9999999999999995E-7</v>
      </c>
      <c r="V101" s="165">
        <v>4.3823493266818503E-2</v>
      </c>
      <c r="W101" s="165">
        <v>2.4976938785889899E-2</v>
      </c>
    </row>
    <row r="102" spans="1:23">
      <c r="A102" s="2" t="s">
        <v>26</v>
      </c>
      <c r="B102" s="2">
        <v>1452</v>
      </c>
      <c r="C102" s="2" t="s">
        <v>1544</v>
      </c>
      <c r="D102" s="2" t="s">
        <v>1545</v>
      </c>
      <c r="E102" s="4" t="s">
        <v>335</v>
      </c>
      <c r="F102" s="2" t="s">
        <v>1546</v>
      </c>
      <c r="G102" s="2" t="s">
        <v>1547</v>
      </c>
      <c r="H102" s="2" t="s">
        <v>342</v>
      </c>
      <c r="I102" s="2" t="s">
        <v>1005</v>
      </c>
      <c r="J102" s="2" t="s">
        <v>120</v>
      </c>
      <c r="K102" s="2" t="s">
        <v>127</v>
      </c>
      <c r="L102" s="2" t="s">
        <v>401</v>
      </c>
      <c r="M102" s="2" t="s">
        <v>757</v>
      </c>
      <c r="N102" s="2" t="s">
        <v>163</v>
      </c>
      <c r="O102" s="2" t="s">
        <v>100</v>
      </c>
      <c r="P102" s="153">
        <v>6400</v>
      </c>
      <c r="Q102" s="152">
        <v>3.681</v>
      </c>
      <c r="R102" s="152">
        <v>4107</v>
      </c>
      <c r="T102" s="152">
        <v>967.54300000000001</v>
      </c>
      <c r="U102" s="165">
        <v>0</v>
      </c>
      <c r="V102" s="165">
        <v>3.4232570234469697E-2</v>
      </c>
      <c r="W102" s="165">
        <v>1.9510649368461402E-2</v>
      </c>
    </row>
    <row r="103" spans="1:23">
      <c r="A103" s="2" t="s">
        <v>26</v>
      </c>
      <c r="B103" s="2">
        <v>1452</v>
      </c>
      <c r="C103" s="2" t="s">
        <v>1544</v>
      </c>
      <c r="D103" s="2" t="s">
        <v>1545</v>
      </c>
      <c r="E103" s="4" t="s">
        <v>335</v>
      </c>
      <c r="F103" s="2" t="s">
        <v>1548</v>
      </c>
      <c r="G103" s="2" t="s">
        <v>1549</v>
      </c>
      <c r="H103" s="2" t="s">
        <v>342</v>
      </c>
      <c r="I103" s="2" t="s">
        <v>1005</v>
      </c>
      <c r="J103" s="2" t="s">
        <v>120</v>
      </c>
      <c r="K103" s="2" t="s">
        <v>274</v>
      </c>
      <c r="L103" s="2" t="s">
        <v>365</v>
      </c>
      <c r="M103" s="2" t="s">
        <v>757</v>
      </c>
      <c r="N103" s="2" t="s">
        <v>163</v>
      </c>
      <c r="O103" s="2" t="s">
        <v>100</v>
      </c>
      <c r="P103" s="153">
        <v>2310</v>
      </c>
      <c r="Q103" s="152">
        <v>3.681</v>
      </c>
      <c r="R103" s="152">
        <v>108.5</v>
      </c>
      <c r="T103" s="152">
        <v>922.58699999999999</v>
      </c>
      <c r="U103" s="165">
        <v>7.7000000000000001E-5</v>
      </c>
      <c r="V103" s="165">
        <v>3.2641984115216099E-2</v>
      </c>
      <c r="W103" s="165">
        <v>1.8604104290176601E-2</v>
      </c>
    </row>
    <row r="104" spans="1:23">
      <c r="A104" s="2" t="s">
        <v>26</v>
      </c>
      <c r="B104" s="2">
        <v>1452</v>
      </c>
      <c r="C104" s="2" t="s">
        <v>1433</v>
      </c>
      <c r="D104" s="2" t="s">
        <v>1434</v>
      </c>
      <c r="E104" s="4" t="s">
        <v>1347</v>
      </c>
      <c r="F104" s="2" t="s">
        <v>1592</v>
      </c>
      <c r="G104" s="2" t="s">
        <v>1593</v>
      </c>
      <c r="H104" s="2" t="s">
        <v>342</v>
      </c>
      <c r="I104" s="2" t="s">
        <v>1005</v>
      </c>
      <c r="J104" s="2" t="s">
        <v>120</v>
      </c>
      <c r="K104" s="2" t="s">
        <v>127</v>
      </c>
      <c r="L104" s="2" t="s">
        <v>40</v>
      </c>
      <c r="M104" s="2" t="s">
        <v>1447</v>
      </c>
      <c r="N104" s="2" t="s">
        <v>163</v>
      </c>
      <c r="O104" s="2" t="s">
        <v>35</v>
      </c>
      <c r="P104" s="153">
        <v>24200</v>
      </c>
      <c r="Q104" s="152">
        <v>1</v>
      </c>
      <c r="R104" s="152">
        <v>8318</v>
      </c>
      <c r="T104" s="152">
        <v>2012.9559999999999</v>
      </c>
      <c r="U104" s="165">
        <v>1.7930000000000001E-3</v>
      </c>
      <c r="V104" s="165">
        <v>7.1220217492588E-2</v>
      </c>
      <c r="W104" s="165">
        <v>4.0591538465442799E-2</v>
      </c>
    </row>
    <row r="105" spans="1:23">
      <c r="A105" s="2" t="s">
        <v>26</v>
      </c>
      <c r="B105" s="2">
        <v>15046</v>
      </c>
      <c r="C105" s="2" t="s">
        <v>1364</v>
      </c>
      <c r="D105" s="2" t="s">
        <v>1365</v>
      </c>
      <c r="E105" s="4" t="s">
        <v>1347</v>
      </c>
      <c r="F105" s="2" t="s">
        <v>1594</v>
      </c>
      <c r="G105" s="2" t="s">
        <v>1595</v>
      </c>
      <c r="H105" s="2" t="s">
        <v>342</v>
      </c>
      <c r="I105" s="2" t="s">
        <v>1005</v>
      </c>
      <c r="J105" s="2" t="s">
        <v>31</v>
      </c>
      <c r="K105" s="2" t="s">
        <v>127</v>
      </c>
      <c r="L105" s="2" t="s">
        <v>40</v>
      </c>
      <c r="M105" s="2" t="s">
        <v>1408</v>
      </c>
      <c r="N105" s="2" t="s">
        <v>163</v>
      </c>
      <c r="O105" s="2" t="s">
        <v>35</v>
      </c>
      <c r="P105" s="153">
        <v>1080</v>
      </c>
      <c r="Q105" s="152">
        <v>1</v>
      </c>
      <c r="R105" s="152">
        <v>8248</v>
      </c>
      <c r="T105" s="152">
        <v>89.078000000000003</v>
      </c>
      <c r="U105" s="165">
        <v>1.4E-5</v>
      </c>
      <c r="V105" s="165">
        <v>0.14328890484253001</v>
      </c>
      <c r="W105" s="165">
        <v>8.9122132061761894E-2</v>
      </c>
    </row>
    <row r="106" spans="1:23">
      <c r="A106" s="2" t="s">
        <v>26</v>
      </c>
      <c r="B106" s="2">
        <v>15046</v>
      </c>
      <c r="C106" s="2" t="s">
        <v>1433</v>
      </c>
      <c r="D106" s="2" t="s">
        <v>1434</v>
      </c>
      <c r="E106" s="4" t="s">
        <v>1347</v>
      </c>
      <c r="F106" s="2" t="s">
        <v>1596</v>
      </c>
      <c r="G106" s="2" t="s">
        <v>1597</v>
      </c>
      <c r="H106" s="2" t="s">
        <v>342</v>
      </c>
      <c r="I106" s="2" t="s">
        <v>1005</v>
      </c>
      <c r="J106" s="2" t="s">
        <v>31</v>
      </c>
      <c r="K106" s="2" t="s">
        <v>127</v>
      </c>
      <c r="L106" s="2" t="s">
        <v>40</v>
      </c>
      <c r="M106" s="2" t="s">
        <v>1408</v>
      </c>
      <c r="N106" s="2" t="s">
        <v>163</v>
      </c>
      <c r="O106" s="2" t="s">
        <v>35</v>
      </c>
      <c r="P106" s="153">
        <v>1009</v>
      </c>
      <c r="Q106" s="152">
        <v>1</v>
      </c>
      <c r="R106" s="152">
        <v>9551</v>
      </c>
      <c r="T106" s="152">
        <v>96.37</v>
      </c>
      <c r="U106" s="165">
        <v>1.8E-5</v>
      </c>
      <c r="V106" s="165">
        <v>0.15501729949374499</v>
      </c>
      <c r="W106" s="165">
        <v>9.64169015913829E-2</v>
      </c>
    </row>
    <row r="107" spans="1:23">
      <c r="A107" s="2" t="s">
        <v>26</v>
      </c>
      <c r="B107" s="2">
        <v>15046</v>
      </c>
      <c r="C107" s="2" t="s">
        <v>1368</v>
      </c>
      <c r="D107" s="2" t="s">
        <v>1369</v>
      </c>
      <c r="E107" s="4" t="s">
        <v>1347</v>
      </c>
      <c r="F107" s="2" t="s">
        <v>1598</v>
      </c>
      <c r="G107" s="2" t="s">
        <v>1599</v>
      </c>
      <c r="H107" s="2" t="s">
        <v>342</v>
      </c>
      <c r="I107" s="2" t="s">
        <v>1005</v>
      </c>
      <c r="J107" s="2" t="s">
        <v>120</v>
      </c>
      <c r="K107" s="2" t="s">
        <v>127</v>
      </c>
      <c r="L107" s="2" t="s">
        <v>40</v>
      </c>
      <c r="M107" s="2" t="s">
        <v>1408</v>
      </c>
      <c r="N107" s="2" t="s">
        <v>163</v>
      </c>
      <c r="O107" s="2" t="s">
        <v>35</v>
      </c>
      <c r="P107" s="153">
        <v>467</v>
      </c>
      <c r="Q107" s="152">
        <v>1</v>
      </c>
      <c r="R107" s="152">
        <v>19040</v>
      </c>
      <c r="T107" s="152">
        <v>88.917000000000002</v>
      </c>
      <c r="U107" s="165">
        <v>5.0000000000000004E-6</v>
      </c>
      <c r="V107" s="165">
        <v>0.14302895981632199</v>
      </c>
      <c r="W107" s="165">
        <v>8.8960452726017394E-2</v>
      </c>
    </row>
    <row r="108" spans="1:23">
      <c r="A108" s="2" t="s">
        <v>26</v>
      </c>
      <c r="B108" s="2">
        <v>15046</v>
      </c>
      <c r="C108" s="2" t="s">
        <v>1409</v>
      </c>
      <c r="D108" s="2" t="s">
        <v>1410</v>
      </c>
      <c r="E108" s="4" t="s">
        <v>1347</v>
      </c>
      <c r="F108" s="2" t="s">
        <v>1600</v>
      </c>
      <c r="G108" s="2" t="s">
        <v>1601</v>
      </c>
      <c r="H108" s="2" t="s">
        <v>342</v>
      </c>
      <c r="I108" s="2" t="s">
        <v>1005</v>
      </c>
      <c r="J108" s="2" t="s">
        <v>31</v>
      </c>
      <c r="K108" s="2" t="s">
        <v>127</v>
      </c>
      <c r="L108" s="2" t="s">
        <v>40</v>
      </c>
      <c r="M108" s="2" t="s">
        <v>1408</v>
      </c>
      <c r="N108" s="2" t="s">
        <v>163</v>
      </c>
      <c r="O108" s="2" t="s">
        <v>35</v>
      </c>
      <c r="P108" s="153">
        <v>393</v>
      </c>
      <c r="Q108" s="152">
        <v>1</v>
      </c>
      <c r="R108" s="152">
        <v>22670</v>
      </c>
      <c r="T108" s="152">
        <v>89.093000000000004</v>
      </c>
      <c r="U108" s="165">
        <v>2.4000000000000001E-5</v>
      </c>
      <c r="V108" s="165">
        <v>0.14331255083191899</v>
      </c>
      <c r="W108" s="165">
        <v>8.9136839278565402E-2</v>
      </c>
    </row>
    <row r="109" spans="1:23">
      <c r="A109" s="2" t="s">
        <v>26</v>
      </c>
      <c r="B109" s="2">
        <v>15046</v>
      </c>
      <c r="C109" s="2" t="s">
        <v>1484</v>
      </c>
      <c r="D109" s="2" t="s">
        <v>1485</v>
      </c>
      <c r="E109" s="4" t="s">
        <v>335</v>
      </c>
      <c r="F109" s="2" t="s">
        <v>1489</v>
      </c>
      <c r="G109" s="2" t="s">
        <v>1490</v>
      </c>
      <c r="H109" s="2" t="s">
        <v>342</v>
      </c>
      <c r="I109" s="2" t="s">
        <v>1005</v>
      </c>
      <c r="J109" s="2" t="s">
        <v>120</v>
      </c>
      <c r="K109" s="2" t="s">
        <v>127</v>
      </c>
      <c r="L109" s="2" t="s">
        <v>365</v>
      </c>
      <c r="M109" s="2" t="s">
        <v>757</v>
      </c>
      <c r="N109" s="2" t="s">
        <v>163</v>
      </c>
      <c r="O109" s="2" t="s">
        <v>100</v>
      </c>
      <c r="P109" s="153">
        <v>26</v>
      </c>
      <c r="Q109" s="152">
        <v>3.681</v>
      </c>
      <c r="R109" s="152">
        <v>52573</v>
      </c>
      <c r="T109" s="152">
        <v>50.316000000000003</v>
      </c>
      <c r="U109" s="165">
        <v>0</v>
      </c>
      <c r="V109" s="165">
        <v>8.0936064134376901E-2</v>
      </c>
      <c r="W109" s="165">
        <v>5.0340217229451499E-2</v>
      </c>
    </row>
    <row r="110" spans="1:23">
      <c r="A110" s="2" t="s">
        <v>26</v>
      </c>
      <c r="B110" s="2">
        <v>15046</v>
      </c>
      <c r="C110" s="2" t="s">
        <v>1391</v>
      </c>
      <c r="D110" s="2" t="s">
        <v>1392</v>
      </c>
      <c r="E110" s="4" t="s">
        <v>335</v>
      </c>
      <c r="F110" s="2" t="s">
        <v>1510</v>
      </c>
      <c r="G110" s="2" t="s">
        <v>1511</v>
      </c>
      <c r="H110" s="2" t="s">
        <v>342</v>
      </c>
      <c r="I110" s="2" t="s">
        <v>1005</v>
      </c>
      <c r="J110" s="2" t="s">
        <v>120</v>
      </c>
      <c r="K110" s="2" t="s">
        <v>127</v>
      </c>
      <c r="L110" s="2" t="s">
        <v>401</v>
      </c>
      <c r="M110" s="2" t="s">
        <v>757</v>
      </c>
      <c r="N110" s="2" t="s">
        <v>163</v>
      </c>
      <c r="O110" s="2" t="s">
        <v>100</v>
      </c>
      <c r="P110" s="153">
        <v>14</v>
      </c>
      <c r="Q110" s="152">
        <v>3.681</v>
      </c>
      <c r="R110" s="152">
        <v>102524</v>
      </c>
      <c r="T110" s="152">
        <v>52.835000000000001</v>
      </c>
      <c r="U110" s="165">
        <v>3.0000000000000001E-6</v>
      </c>
      <c r="V110" s="165">
        <v>8.4988379930602001E-2</v>
      </c>
      <c r="W110" s="165">
        <v>5.2860656784377402E-2</v>
      </c>
    </row>
    <row r="111" spans="1:23">
      <c r="A111" s="2" t="s">
        <v>26</v>
      </c>
      <c r="B111" s="2">
        <v>15046</v>
      </c>
      <c r="C111" s="2" t="s">
        <v>1516</v>
      </c>
      <c r="D111" s="2" t="s">
        <v>1517</v>
      </c>
      <c r="E111" s="4" t="s">
        <v>335</v>
      </c>
      <c r="F111" s="2" t="s">
        <v>1518</v>
      </c>
      <c r="G111" s="2" t="s">
        <v>1519</v>
      </c>
      <c r="H111" s="2" t="s">
        <v>342</v>
      </c>
      <c r="I111" s="2" t="s">
        <v>1005</v>
      </c>
      <c r="J111" s="2" t="s">
        <v>120</v>
      </c>
      <c r="K111" s="2" t="s">
        <v>127</v>
      </c>
      <c r="L111" s="2" t="s">
        <v>365</v>
      </c>
      <c r="M111" s="2" t="s">
        <v>757</v>
      </c>
      <c r="N111" s="2" t="s">
        <v>163</v>
      </c>
      <c r="O111" s="2" t="s">
        <v>100</v>
      </c>
      <c r="P111" s="153">
        <v>228</v>
      </c>
      <c r="Q111" s="152">
        <v>3.681</v>
      </c>
      <c r="R111" s="152">
        <v>6153</v>
      </c>
      <c r="T111" s="152">
        <v>51.64</v>
      </c>
      <c r="U111" s="165">
        <v>9.9999999999999995E-7</v>
      </c>
      <c r="V111" s="165">
        <v>8.3066848731281506E-2</v>
      </c>
      <c r="W111" s="165">
        <v>5.1665512209193201E-2</v>
      </c>
    </row>
    <row r="112" spans="1:23">
      <c r="A112" s="2" t="s">
        <v>26</v>
      </c>
      <c r="B112" s="2">
        <v>15046</v>
      </c>
      <c r="C112" s="2" t="s">
        <v>1516</v>
      </c>
      <c r="D112" s="2" t="s">
        <v>1517</v>
      </c>
      <c r="E112" s="4" t="s">
        <v>335</v>
      </c>
      <c r="F112" s="2" t="s">
        <v>1602</v>
      </c>
      <c r="G112" s="2" t="s">
        <v>1603</v>
      </c>
      <c r="H112" s="2" t="s">
        <v>342</v>
      </c>
      <c r="I112" s="2" t="s">
        <v>1005</v>
      </c>
      <c r="J112" s="2" t="s">
        <v>120</v>
      </c>
      <c r="K112" s="2" t="s">
        <v>127</v>
      </c>
      <c r="L112" s="2" t="s">
        <v>365</v>
      </c>
      <c r="M112" s="2" t="s">
        <v>757</v>
      </c>
      <c r="N112" s="2" t="s">
        <v>163</v>
      </c>
      <c r="O112" s="2" t="s">
        <v>100</v>
      </c>
      <c r="P112" s="153">
        <v>27</v>
      </c>
      <c r="Q112" s="152">
        <v>3.681</v>
      </c>
      <c r="R112" s="152">
        <v>523.07000000000005</v>
      </c>
      <c r="S112" s="156">
        <v>3.3000000000000002E-2</v>
      </c>
      <c r="T112" s="152">
        <v>52.106999999999999</v>
      </c>
      <c r="U112" s="165">
        <v>0</v>
      </c>
      <c r="V112" s="165">
        <v>8.3818402000167797E-2</v>
      </c>
      <c r="W112" s="165">
        <v>5.21329596347615E-2</v>
      </c>
    </row>
    <row r="113" spans="1:23">
      <c r="A113" s="2" t="s">
        <v>26</v>
      </c>
      <c r="B113" s="2">
        <v>15046</v>
      </c>
      <c r="C113" s="2" t="s">
        <v>1534</v>
      </c>
      <c r="D113" s="2" t="s">
        <v>1535</v>
      </c>
      <c r="E113" s="4" t="s">
        <v>335</v>
      </c>
      <c r="F113" s="2" t="s">
        <v>1540</v>
      </c>
      <c r="G113" s="2" t="s">
        <v>1541</v>
      </c>
      <c r="H113" s="2" t="s">
        <v>342</v>
      </c>
      <c r="I113" s="2" t="s">
        <v>1005</v>
      </c>
      <c r="J113" s="2" t="s">
        <v>120</v>
      </c>
      <c r="K113" s="2" t="s">
        <v>127</v>
      </c>
      <c r="L113" s="2" t="s">
        <v>365</v>
      </c>
      <c r="M113" s="2" t="s">
        <v>757</v>
      </c>
      <c r="N113" s="2" t="s">
        <v>163</v>
      </c>
      <c r="O113" s="2" t="s">
        <v>100</v>
      </c>
      <c r="P113" s="153">
        <v>29</v>
      </c>
      <c r="Q113" s="152">
        <v>3.681</v>
      </c>
      <c r="R113" s="152">
        <v>480.7</v>
      </c>
      <c r="T113" s="152">
        <v>51.314</v>
      </c>
      <c r="U113" s="165">
        <v>0</v>
      </c>
      <c r="V113" s="165">
        <v>8.2542590219054704E-2</v>
      </c>
      <c r="W113" s="165">
        <v>5.1339436464441598E-2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1136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347</v>
      </c>
      <c r="M1" s="22" t="s">
        <v>8</v>
      </c>
      <c r="N1" s="22" t="s">
        <v>591</v>
      </c>
      <c r="O1" s="22" t="s">
        <v>149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1" t="s">
        <v>26</v>
      </c>
      <c r="B2" s="21">
        <v>288</v>
      </c>
      <c r="C2" s="21" t="s">
        <v>1359</v>
      </c>
      <c r="D2" s="21" t="s">
        <v>1360</v>
      </c>
      <c r="E2" s="21" t="s">
        <v>1347</v>
      </c>
      <c r="F2" s="21" t="s">
        <v>1361</v>
      </c>
      <c r="G2" s="21" t="s">
        <v>1362</v>
      </c>
      <c r="H2" s="21" t="s">
        <v>342</v>
      </c>
      <c r="I2" s="21" t="s">
        <v>954</v>
      </c>
      <c r="J2" s="21" t="s">
        <v>31</v>
      </c>
      <c r="K2" s="21" t="s">
        <v>31</v>
      </c>
      <c r="L2" s="4" t="s">
        <v>348</v>
      </c>
      <c r="M2" s="21" t="s">
        <v>40</v>
      </c>
      <c r="N2" s="23" t="s">
        <v>1363</v>
      </c>
      <c r="O2" s="23" t="s">
        <v>163</v>
      </c>
      <c r="P2" s="21" t="s">
        <v>35</v>
      </c>
      <c r="Q2" s="155">
        <v>3860000</v>
      </c>
      <c r="R2" s="155">
        <v>1</v>
      </c>
      <c r="S2" s="155">
        <v>161.78</v>
      </c>
      <c r="T2" s="155">
        <v>6244.7079999999996</v>
      </c>
      <c r="U2" s="170">
        <v>0</v>
      </c>
      <c r="V2" s="170">
        <v>7.24819112109788E-2</v>
      </c>
      <c r="W2" s="170">
        <v>2.6079840896961002E-3</v>
      </c>
    </row>
    <row r="3" spans="1:23">
      <c r="A3" s="21" t="s">
        <v>26</v>
      </c>
      <c r="B3" s="21">
        <v>288</v>
      </c>
      <c r="C3" s="21" t="s">
        <v>1364</v>
      </c>
      <c r="D3" s="21" t="s">
        <v>1365</v>
      </c>
      <c r="E3" s="21" t="s">
        <v>1347</v>
      </c>
      <c r="F3" s="21" t="s">
        <v>1366</v>
      </c>
      <c r="G3" s="21" t="s">
        <v>1367</v>
      </c>
      <c r="H3" s="21" t="s">
        <v>342</v>
      </c>
      <c r="I3" s="21" t="s">
        <v>954</v>
      </c>
      <c r="J3" s="21" t="s">
        <v>31</v>
      </c>
      <c r="K3" s="21" t="s">
        <v>31</v>
      </c>
      <c r="L3" s="4" t="s">
        <v>348</v>
      </c>
      <c r="M3" s="21" t="s">
        <v>40</v>
      </c>
      <c r="N3" s="23" t="s">
        <v>1363</v>
      </c>
      <c r="O3" s="23" t="s">
        <v>163</v>
      </c>
      <c r="P3" s="21" t="s">
        <v>35</v>
      </c>
      <c r="Q3" s="155">
        <v>6170000</v>
      </c>
      <c r="R3" s="155">
        <v>1</v>
      </c>
      <c r="S3" s="155">
        <v>103.39</v>
      </c>
      <c r="T3" s="155">
        <v>6379.1629999999996</v>
      </c>
      <c r="U3" s="170">
        <v>0</v>
      </c>
      <c r="V3" s="170">
        <v>7.4042521470397193E-2</v>
      </c>
      <c r="W3" s="170">
        <v>2.6641366753382299E-3</v>
      </c>
    </row>
    <row r="4" spans="1:23">
      <c r="A4" s="21" t="s">
        <v>26</v>
      </c>
      <c r="B4" s="21">
        <v>288</v>
      </c>
      <c r="C4" s="21" t="s">
        <v>1368</v>
      </c>
      <c r="D4" s="21" t="s">
        <v>1369</v>
      </c>
      <c r="E4" s="21" t="s">
        <v>1347</v>
      </c>
      <c r="F4" s="21" t="s">
        <v>1370</v>
      </c>
      <c r="G4" s="21" t="s">
        <v>1371</v>
      </c>
      <c r="H4" s="21" t="s">
        <v>342</v>
      </c>
      <c r="I4" s="21" t="s">
        <v>954</v>
      </c>
      <c r="J4" s="21" t="s">
        <v>31</v>
      </c>
      <c r="K4" s="21" t="s">
        <v>31</v>
      </c>
      <c r="L4" s="4" t="s">
        <v>348</v>
      </c>
      <c r="M4" s="21" t="s">
        <v>40</v>
      </c>
      <c r="N4" s="23" t="s">
        <v>1363</v>
      </c>
      <c r="O4" s="23" t="s">
        <v>163</v>
      </c>
      <c r="P4" s="21" t="s">
        <v>35</v>
      </c>
      <c r="Q4" s="155">
        <v>5238000</v>
      </c>
      <c r="R4" s="155">
        <v>1</v>
      </c>
      <c r="S4" s="155">
        <v>116.83</v>
      </c>
      <c r="T4" s="155">
        <v>6119.5550000000003</v>
      </c>
      <c r="U4" s="170">
        <v>2.3366000000000001E-2</v>
      </c>
      <c r="V4" s="170">
        <v>7.1029273290835401E-2</v>
      </c>
      <c r="W4" s="170">
        <v>2.5557164753282E-3</v>
      </c>
    </row>
    <row r="5" spans="1:23">
      <c r="A5" s="21" t="s">
        <v>26</v>
      </c>
      <c r="B5" s="21">
        <v>288</v>
      </c>
      <c r="C5" s="21" t="s">
        <v>1368</v>
      </c>
      <c r="D5" s="21" t="s">
        <v>1369</v>
      </c>
      <c r="E5" s="21" t="s">
        <v>1347</v>
      </c>
      <c r="F5" s="21" t="s">
        <v>1372</v>
      </c>
      <c r="G5" s="21" t="s">
        <v>1373</v>
      </c>
      <c r="H5" s="21" t="s">
        <v>342</v>
      </c>
      <c r="I5" s="21" t="s">
        <v>954</v>
      </c>
      <c r="J5" s="21" t="s">
        <v>31</v>
      </c>
      <c r="K5" s="21" t="s">
        <v>31</v>
      </c>
      <c r="L5" s="4" t="s">
        <v>348</v>
      </c>
      <c r="M5" s="21" t="s">
        <v>40</v>
      </c>
      <c r="N5" s="23" t="s">
        <v>1363</v>
      </c>
      <c r="O5" s="23" t="s">
        <v>163</v>
      </c>
      <c r="P5" s="21" t="s">
        <v>35</v>
      </c>
      <c r="Q5" s="155">
        <v>10844705</v>
      </c>
      <c r="R5" s="155">
        <v>1</v>
      </c>
      <c r="S5" s="155">
        <v>156.83000000000001</v>
      </c>
      <c r="T5" s="155">
        <v>17007.751</v>
      </c>
      <c r="U5" s="170">
        <v>9.0283000000000002E-2</v>
      </c>
      <c r="V5" s="170">
        <v>0.19740783510083601</v>
      </c>
      <c r="W5" s="170">
        <v>7.1029652022524103E-3</v>
      </c>
    </row>
    <row r="6" spans="1:23">
      <c r="A6" s="21" t="s">
        <v>26</v>
      </c>
      <c r="B6" s="21">
        <v>288</v>
      </c>
      <c r="C6" s="21" t="s">
        <v>1359</v>
      </c>
      <c r="D6" s="21" t="s">
        <v>1360</v>
      </c>
      <c r="E6" s="21" t="s">
        <v>1347</v>
      </c>
      <c r="F6" s="21" t="s">
        <v>1374</v>
      </c>
      <c r="G6" s="21" t="s">
        <v>1375</v>
      </c>
      <c r="H6" s="21" t="s">
        <v>342</v>
      </c>
      <c r="I6" s="21" t="s">
        <v>954</v>
      </c>
      <c r="J6" s="21" t="s">
        <v>31</v>
      </c>
      <c r="K6" s="21" t="s">
        <v>31</v>
      </c>
      <c r="L6" s="4" t="s">
        <v>348</v>
      </c>
      <c r="M6" s="21" t="s">
        <v>40</v>
      </c>
      <c r="N6" s="23" t="s">
        <v>1363</v>
      </c>
      <c r="O6" s="23" t="s">
        <v>163</v>
      </c>
      <c r="P6" s="21" t="s">
        <v>35</v>
      </c>
      <c r="Q6" s="155">
        <v>6658414</v>
      </c>
      <c r="R6" s="155">
        <v>1</v>
      </c>
      <c r="S6" s="155">
        <v>143.18</v>
      </c>
      <c r="T6" s="155">
        <v>9533.5169999999998</v>
      </c>
      <c r="U6" s="170">
        <v>4.0070000000000001E-2</v>
      </c>
      <c r="V6" s="170">
        <v>0.110654900869083</v>
      </c>
      <c r="W6" s="170">
        <v>3.9814929834487501E-3</v>
      </c>
    </row>
    <row r="7" spans="1:23">
      <c r="A7" s="21" t="s">
        <v>26</v>
      </c>
      <c r="B7" s="21">
        <v>288</v>
      </c>
      <c r="C7" s="21" t="s">
        <v>1368</v>
      </c>
      <c r="D7" s="21" t="s">
        <v>1369</v>
      </c>
      <c r="E7" s="21" t="s">
        <v>1347</v>
      </c>
      <c r="F7" s="21" t="s">
        <v>1376</v>
      </c>
      <c r="G7" s="21" t="s">
        <v>1377</v>
      </c>
      <c r="H7" s="21" t="s">
        <v>342</v>
      </c>
      <c r="I7" s="21" t="s">
        <v>1010</v>
      </c>
      <c r="J7" s="21" t="s">
        <v>31</v>
      </c>
      <c r="K7" s="21" t="s">
        <v>31</v>
      </c>
      <c r="L7" s="4" t="s">
        <v>348</v>
      </c>
      <c r="M7" s="21" t="s">
        <v>40</v>
      </c>
      <c r="N7" s="23" t="s">
        <v>1378</v>
      </c>
      <c r="O7" s="23" t="s">
        <v>163</v>
      </c>
      <c r="P7" s="21" t="s">
        <v>35</v>
      </c>
      <c r="Q7" s="155">
        <v>9800000</v>
      </c>
      <c r="R7" s="155">
        <v>1</v>
      </c>
      <c r="S7" s="155">
        <v>104.5</v>
      </c>
      <c r="T7" s="155">
        <v>10241</v>
      </c>
      <c r="U7" s="170">
        <v>0</v>
      </c>
      <c r="V7" s="170">
        <v>0.118866607167482</v>
      </c>
      <c r="W7" s="170">
        <v>4.2769597974121002E-3</v>
      </c>
    </row>
    <row r="8" spans="1:23">
      <c r="A8" s="21" t="s">
        <v>26</v>
      </c>
      <c r="B8" s="21">
        <v>288</v>
      </c>
      <c r="C8" s="21" t="s">
        <v>1379</v>
      </c>
      <c r="D8" s="21" t="s">
        <v>1380</v>
      </c>
      <c r="E8" s="21" t="s">
        <v>335</v>
      </c>
      <c r="F8" s="21" t="s">
        <v>1381</v>
      </c>
      <c r="G8" s="21" t="s">
        <v>1382</v>
      </c>
      <c r="H8" s="21" t="s">
        <v>342</v>
      </c>
      <c r="I8" s="21" t="s">
        <v>1010</v>
      </c>
      <c r="J8" s="21" t="s">
        <v>120</v>
      </c>
      <c r="K8" s="21" t="s">
        <v>127</v>
      </c>
      <c r="L8" s="4" t="s">
        <v>348</v>
      </c>
      <c r="M8" s="21" t="s">
        <v>121</v>
      </c>
      <c r="N8" s="23" t="s">
        <v>754</v>
      </c>
      <c r="O8" s="23" t="s">
        <v>163</v>
      </c>
      <c r="P8" s="21" t="s">
        <v>100</v>
      </c>
      <c r="Q8" s="155">
        <v>1294.49</v>
      </c>
      <c r="R8" s="155">
        <v>3.681</v>
      </c>
      <c r="S8" s="155">
        <v>157573.204</v>
      </c>
      <c r="T8" s="155">
        <v>7508.3909999999996</v>
      </c>
      <c r="U8" s="170">
        <v>0</v>
      </c>
      <c r="V8" s="170">
        <v>8.7149396430181797E-2</v>
      </c>
      <c r="W8" s="170">
        <v>3.1357373932229498E-3</v>
      </c>
    </row>
    <row r="9" spans="1:23">
      <c r="A9" s="21" t="s">
        <v>26</v>
      </c>
      <c r="B9" s="21">
        <v>288</v>
      </c>
      <c r="C9" s="21" t="s">
        <v>1383</v>
      </c>
      <c r="D9" s="21" t="s">
        <v>1384</v>
      </c>
      <c r="E9" s="21" t="s">
        <v>335</v>
      </c>
      <c r="F9" s="21" t="s">
        <v>1385</v>
      </c>
      <c r="G9" s="21" t="s">
        <v>1386</v>
      </c>
      <c r="H9" s="21" t="s">
        <v>342</v>
      </c>
      <c r="I9" s="21" t="s">
        <v>1010</v>
      </c>
      <c r="J9" s="21" t="s">
        <v>120</v>
      </c>
      <c r="K9" s="21" t="s">
        <v>319</v>
      </c>
      <c r="L9" s="4" t="s">
        <v>348</v>
      </c>
      <c r="M9" s="21" t="s">
        <v>121</v>
      </c>
      <c r="N9" s="23" t="s">
        <v>754</v>
      </c>
      <c r="O9" s="23" t="s">
        <v>163</v>
      </c>
      <c r="P9" s="21" t="s">
        <v>100</v>
      </c>
      <c r="Q9" s="155">
        <v>0.28000000000000003</v>
      </c>
      <c r="R9" s="155">
        <v>3.681</v>
      </c>
      <c r="S9" s="155">
        <v>1695.3</v>
      </c>
      <c r="T9" s="155">
        <v>1.7470000000000001</v>
      </c>
      <c r="U9" s="170">
        <v>0</v>
      </c>
      <c r="V9" s="170">
        <v>2.0280932116509401E-5</v>
      </c>
      <c r="W9" s="170">
        <v>7.2973169995621696E-7</v>
      </c>
    </row>
    <row r="10" spans="1:23">
      <c r="A10" s="21" t="s">
        <v>26</v>
      </c>
      <c r="B10" s="21">
        <v>288</v>
      </c>
      <c r="C10" s="21" t="s">
        <v>1387</v>
      </c>
      <c r="D10" s="21" t="s">
        <v>1388</v>
      </c>
      <c r="E10" s="21" t="s">
        <v>335</v>
      </c>
      <c r="F10" s="21" t="s">
        <v>1389</v>
      </c>
      <c r="G10" s="21" t="s">
        <v>1390</v>
      </c>
      <c r="H10" s="21" t="s">
        <v>342</v>
      </c>
      <c r="I10" s="21" t="s">
        <v>1010</v>
      </c>
      <c r="J10" s="21" t="s">
        <v>120</v>
      </c>
      <c r="K10" s="21" t="s">
        <v>127</v>
      </c>
      <c r="L10" s="4" t="s">
        <v>348</v>
      </c>
      <c r="M10" s="21" t="s">
        <v>121</v>
      </c>
      <c r="N10" s="23" t="s">
        <v>754</v>
      </c>
      <c r="O10" s="23" t="s">
        <v>163</v>
      </c>
      <c r="P10" s="21" t="s">
        <v>100</v>
      </c>
      <c r="Q10" s="155">
        <v>130000</v>
      </c>
      <c r="R10" s="155">
        <v>3.681</v>
      </c>
      <c r="S10" s="155">
        <v>16.399999999999999</v>
      </c>
      <c r="T10" s="155">
        <v>7847.8919999999998</v>
      </c>
      <c r="U10" s="170">
        <v>5.7700000000000004E-4</v>
      </c>
      <c r="V10" s="170">
        <v>9.1089961474155504E-2</v>
      </c>
      <c r="W10" s="170">
        <v>3.2775235405167499E-3</v>
      </c>
    </row>
    <row r="11" spans="1:23">
      <c r="A11" s="21" t="s">
        <v>26</v>
      </c>
      <c r="B11" s="21">
        <v>288</v>
      </c>
      <c r="C11" s="21" t="s">
        <v>1391</v>
      </c>
      <c r="D11" s="21" t="s">
        <v>1392</v>
      </c>
      <c r="E11" s="21" t="s">
        <v>335</v>
      </c>
      <c r="F11" s="21" t="s">
        <v>1393</v>
      </c>
      <c r="G11" s="21" t="s">
        <v>1394</v>
      </c>
      <c r="H11" s="21" t="s">
        <v>342</v>
      </c>
      <c r="I11" s="21" t="s">
        <v>1010</v>
      </c>
      <c r="J11" s="21" t="s">
        <v>120</v>
      </c>
      <c r="K11" s="21" t="s">
        <v>319</v>
      </c>
      <c r="L11" s="4" t="s">
        <v>348</v>
      </c>
      <c r="M11" s="21" t="s">
        <v>1395</v>
      </c>
      <c r="N11" s="23" t="s">
        <v>754</v>
      </c>
      <c r="O11" s="23" t="s">
        <v>163</v>
      </c>
      <c r="P11" s="21" t="s">
        <v>100</v>
      </c>
      <c r="Q11" s="155">
        <v>11000</v>
      </c>
      <c r="R11" s="155">
        <v>3.681</v>
      </c>
      <c r="S11" s="155">
        <v>17736</v>
      </c>
      <c r="T11" s="155">
        <v>7181.4840000000004</v>
      </c>
      <c r="U11" s="170">
        <v>1.207E-3</v>
      </c>
      <c r="V11" s="170">
        <v>8.3355005270927998E-2</v>
      </c>
      <c r="W11" s="170">
        <v>2.9992107535678101E-3</v>
      </c>
    </row>
    <row r="12" spans="1:23">
      <c r="A12" s="21" t="s">
        <v>26</v>
      </c>
      <c r="B12" s="21">
        <v>288</v>
      </c>
      <c r="C12" s="21" t="s">
        <v>1396</v>
      </c>
      <c r="D12" s="21" t="s">
        <v>1397</v>
      </c>
      <c r="E12" s="21" t="s">
        <v>335</v>
      </c>
      <c r="F12" s="21" t="s">
        <v>1398</v>
      </c>
      <c r="G12" s="21" t="s">
        <v>1399</v>
      </c>
      <c r="H12" s="21" t="s">
        <v>342</v>
      </c>
      <c r="I12" s="21" t="s">
        <v>1010</v>
      </c>
      <c r="J12" s="21" t="s">
        <v>120</v>
      </c>
      <c r="K12" s="21" t="s">
        <v>127</v>
      </c>
      <c r="L12" s="4" t="s">
        <v>348</v>
      </c>
      <c r="M12" s="21" t="s">
        <v>121</v>
      </c>
      <c r="N12" s="23" t="s">
        <v>754</v>
      </c>
      <c r="O12" s="23" t="s">
        <v>163</v>
      </c>
      <c r="P12" s="21" t="s">
        <v>100</v>
      </c>
      <c r="Q12" s="155">
        <v>5800</v>
      </c>
      <c r="R12" s="155">
        <v>3.681</v>
      </c>
      <c r="S12" s="155">
        <v>378.935</v>
      </c>
      <c r="T12" s="155">
        <v>8090.1909999999998</v>
      </c>
      <c r="U12" s="170">
        <v>0</v>
      </c>
      <c r="V12" s="170">
        <v>9.3902306783005707E-2</v>
      </c>
      <c r="W12" s="170">
        <v>3.3787150198482398E-3</v>
      </c>
    </row>
    <row r="13" spans="1:23">
      <c r="A13" s="21" t="s">
        <v>26</v>
      </c>
      <c r="B13" s="21">
        <v>288</v>
      </c>
      <c r="C13" s="21" t="s">
        <v>1400</v>
      </c>
      <c r="D13" s="21" t="s">
        <v>1401</v>
      </c>
      <c r="E13" s="21" t="s">
        <v>34</v>
      </c>
      <c r="F13" s="21" t="s">
        <v>1402</v>
      </c>
      <c r="G13" s="21" t="s">
        <v>1403</v>
      </c>
      <c r="H13" s="21" t="s">
        <v>342</v>
      </c>
      <c r="I13" s="21" t="s">
        <v>954</v>
      </c>
      <c r="J13" s="21" t="s">
        <v>120</v>
      </c>
      <c r="K13" s="21" t="s">
        <v>319</v>
      </c>
      <c r="L13" s="4" t="s">
        <v>348</v>
      </c>
      <c r="M13" s="21" t="s">
        <v>121</v>
      </c>
      <c r="N13" s="23" t="s">
        <v>757</v>
      </c>
      <c r="O13" s="23" t="s">
        <v>163</v>
      </c>
      <c r="P13" s="21" t="s">
        <v>100</v>
      </c>
      <c r="Q13" s="155">
        <v>131.53</v>
      </c>
      <c r="R13" s="155">
        <v>3.681</v>
      </c>
      <c r="S13" s="155">
        <v>0</v>
      </c>
      <c r="T13" s="155">
        <v>0</v>
      </c>
      <c r="U13" s="170">
        <v>2.5609999999999999E-3</v>
      </c>
      <c r="V13" s="170">
        <v>5.5999999999999999E-27</v>
      </c>
      <c r="W13" s="170">
        <v>2.0000000000000002E-28</v>
      </c>
    </row>
    <row r="14" spans="1:23">
      <c r="A14" s="21" t="s">
        <v>26</v>
      </c>
      <c r="B14" s="21">
        <v>1452</v>
      </c>
      <c r="C14" s="21" t="s">
        <v>1364</v>
      </c>
      <c r="D14" s="21" t="s">
        <v>1365</v>
      </c>
      <c r="E14" s="21" t="s">
        <v>1347</v>
      </c>
      <c r="F14" s="21" t="s">
        <v>1404</v>
      </c>
      <c r="G14" s="21" t="s">
        <v>1405</v>
      </c>
      <c r="H14" s="21" t="s">
        <v>342</v>
      </c>
      <c r="I14" s="21" t="s">
        <v>954</v>
      </c>
      <c r="J14" s="21" t="s">
        <v>31</v>
      </c>
      <c r="K14" s="21" t="s">
        <v>31</v>
      </c>
      <c r="L14" s="4" t="s">
        <v>348</v>
      </c>
      <c r="M14" s="21" t="s">
        <v>40</v>
      </c>
      <c r="N14" s="23" t="s">
        <v>1363</v>
      </c>
      <c r="O14" s="23" t="s">
        <v>163</v>
      </c>
      <c r="P14" s="21" t="s">
        <v>35</v>
      </c>
      <c r="Q14" s="155">
        <v>400000</v>
      </c>
      <c r="R14" s="155">
        <v>1</v>
      </c>
      <c r="S14" s="155">
        <v>226.29</v>
      </c>
      <c r="T14" s="155">
        <v>905.16</v>
      </c>
      <c r="U14" s="170">
        <v>8.52E-4</v>
      </c>
      <c r="V14" s="170">
        <v>1</v>
      </c>
      <c r="W14" s="170">
        <v>1.8252677632983601E-2</v>
      </c>
    </row>
    <row r="15" spans="1:23">
      <c r="A15" s="21" t="s">
        <v>26</v>
      </c>
      <c r="B15" s="21">
        <v>15046</v>
      </c>
      <c r="C15" s="21" t="s">
        <v>1359</v>
      </c>
      <c r="D15" s="21" t="s">
        <v>1360</v>
      </c>
      <c r="E15" s="21" t="s">
        <v>1347</v>
      </c>
      <c r="F15" s="21" t="s">
        <v>1406</v>
      </c>
      <c r="G15" s="21" t="s">
        <v>1407</v>
      </c>
      <c r="H15" s="21" t="s">
        <v>342</v>
      </c>
      <c r="I15" s="21" t="s">
        <v>954</v>
      </c>
      <c r="J15" s="21" t="s">
        <v>31</v>
      </c>
      <c r="K15" s="21" t="s">
        <v>127</v>
      </c>
      <c r="L15" s="4" t="s">
        <v>348</v>
      </c>
      <c r="M15" s="21" t="s">
        <v>40</v>
      </c>
      <c r="N15" s="23" t="s">
        <v>1408</v>
      </c>
      <c r="O15" s="23" t="s">
        <v>163</v>
      </c>
      <c r="P15" s="21" t="s">
        <v>35</v>
      </c>
      <c r="Q15" s="155">
        <v>46641</v>
      </c>
      <c r="R15" s="155">
        <v>1</v>
      </c>
      <c r="S15" s="155">
        <v>206.93</v>
      </c>
      <c r="T15" s="155">
        <v>96.513999999999996</v>
      </c>
      <c r="U15" s="170">
        <v>2.0179999999999998E-3</v>
      </c>
      <c r="V15" s="170">
        <v>0.26428769850047901</v>
      </c>
      <c r="W15" s="170">
        <v>9.6561603896530596E-2</v>
      </c>
    </row>
    <row r="16" spans="1:23">
      <c r="A16" s="21" t="s">
        <v>26</v>
      </c>
      <c r="B16" s="21">
        <v>15046</v>
      </c>
      <c r="C16" s="21" t="s">
        <v>1409</v>
      </c>
      <c r="D16" s="21" t="s">
        <v>1410</v>
      </c>
      <c r="E16" s="21" t="s">
        <v>1347</v>
      </c>
      <c r="F16" s="21" t="s">
        <v>1411</v>
      </c>
      <c r="G16" s="21" t="s">
        <v>1412</v>
      </c>
      <c r="H16" s="21" t="s">
        <v>342</v>
      </c>
      <c r="I16" s="21" t="s">
        <v>954</v>
      </c>
      <c r="J16" s="21" t="s">
        <v>31</v>
      </c>
      <c r="K16" s="21" t="s">
        <v>127</v>
      </c>
      <c r="L16" s="4" t="s">
        <v>348</v>
      </c>
      <c r="M16" s="21" t="s">
        <v>121</v>
      </c>
      <c r="N16" s="23" t="s">
        <v>1408</v>
      </c>
      <c r="O16" s="23" t="s">
        <v>163</v>
      </c>
      <c r="P16" s="21" t="s">
        <v>35</v>
      </c>
      <c r="Q16" s="155">
        <v>13273</v>
      </c>
      <c r="R16" s="155">
        <v>1</v>
      </c>
      <c r="S16" s="155">
        <v>674.7</v>
      </c>
      <c r="T16" s="155">
        <v>89.552999999999997</v>
      </c>
      <c r="U16" s="170">
        <v>0</v>
      </c>
      <c r="V16" s="170">
        <v>0.245225394860666</v>
      </c>
      <c r="W16" s="170">
        <v>8.9596896027542602E-2</v>
      </c>
    </row>
    <row r="17" spans="1:23">
      <c r="A17" s="21" t="s">
        <v>26</v>
      </c>
      <c r="B17" s="21">
        <v>15046</v>
      </c>
      <c r="C17" s="21" t="s">
        <v>1364</v>
      </c>
      <c r="D17" s="21" t="s">
        <v>1365</v>
      </c>
      <c r="E17" s="21" t="s">
        <v>1347</v>
      </c>
      <c r="F17" s="21" t="s">
        <v>1413</v>
      </c>
      <c r="G17" s="21" t="s">
        <v>1414</v>
      </c>
      <c r="H17" s="21" t="s">
        <v>342</v>
      </c>
      <c r="I17" s="21" t="s">
        <v>954</v>
      </c>
      <c r="J17" s="21" t="s">
        <v>31</v>
      </c>
      <c r="K17" s="21" t="s">
        <v>127</v>
      </c>
      <c r="L17" s="4" t="s">
        <v>348</v>
      </c>
      <c r="M17" s="21" t="s">
        <v>40</v>
      </c>
      <c r="N17" s="23" t="s">
        <v>1408</v>
      </c>
      <c r="O17" s="23" t="s">
        <v>163</v>
      </c>
      <c r="P17" s="21" t="s">
        <v>35</v>
      </c>
      <c r="Q17" s="155">
        <v>33133</v>
      </c>
      <c r="R17" s="155">
        <v>1</v>
      </c>
      <c r="S17" s="155">
        <v>270.3</v>
      </c>
      <c r="T17" s="155">
        <v>89.558000000000007</v>
      </c>
      <c r="U17" s="170">
        <v>0</v>
      </c>
      <c r="V17" s="170">
        <v>0.24524064187696501</v>
      </c>
      <c r="W17" s="170">
        <v>8.9602466761091001E-2</v>
      </c>
    </row>
    <row r="18" spans="1:23">
      <c r="A18" s="21" t="s">
        <v>26</v>
      </c>
      <c r="B18" s="21">
        <v>15046</v>
      </c>
      <c r="C18" s="21" t="s">
        <v>1368</v>
      </c>
      <c r="D18" s="21" t="s">
        <v>1369</v>
      </c>
      <c r="E18" s="21" t="s">
        <v>1347</v>
      </c>
      <c r="F18" s="21" t="s">
        <v>1415</v>
      </c>
      <c r="G18" s="21" t="s">
        <v>1416</v>
      </c>
      <c r="H18" s="21" t="s">
        <v>342</v>
      </c>
      <c r="I18" s="21" t="s">
        <v>954</v>
      </c>
      <c r="J18" s="21" t="s">
        <v>31</v>
      </c>
      <c r="K18" s="21" t="s">
        <v>127</v>
      </c>
      <c r="L18" s="4" t="s">
        <v>348</v>
      </c>
      <c r="M18" s="21" t="s">
        <v>40</v>
      </c>
      <c r="N18" s="23" t="s">
        <v>1408</v>
      </c>
      <c r="O18" s="23" t="s">
        <v>163</v>
      </c>
      <c r="P18" s="21" t="s">
        <v>35</v>
      </c>
      <c r="Q18" s="155">
        <v>42164</v>
      </c>
      <c r="R18" s="155">
        <v>1</v>
      </c>
      <c r="S18" s="155">
        <v>212.41</v>
      </c>
      <c r="T18" s="155">
        <v>89.561000000000007</v>
      </c>
      <c r="U18" s="170">
        <v>5.8999999999999998E-5</v>
      </c>
      <c r="V18" s="170">
        <v>0.24524626476189099</v>
      </c>
      <c r="W18" s="170">
        <v>8.96045211691852E-2</v>
      </c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topLeftCell="L1" zoomScale="70" zoomScaleNormal="70" workbookViewId="0">
      <selection activeCell="X20" sqref="X20"/>
    </sheetView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6</v>
      </c>
      <c r="J1" s="22" t="s">
        <v>7</v>
      </c>
      <c r="K1" s="22" t="s">
        <v>347</v>
      </c>
      <c r="L1" s="22" t="s">
        <v>8</v>
      </c>
      <c r="M1" s="22" t="s">
        <v>1142</v>
      </c>
      <c r="N1" s="22" t="s">
        <v>172</v>
      </c>
      <c r="O1" s="22" t="s">
        <v>1143</v>
      </c>
      <c r="P1" s="22" t="s">
        <v>149</v>
      </c>
      <c r="Q1" s="22" t="s">
        <v>11</v>
      </c>
      <c r="R1" s="22" t="s">
        <v>1144</v>
      </c>
      <c r="S1" s="22" t="s">
        <v>1145</v>
      </c>
      <c r="T1" s="22" t="s">
        <v>17</v>
      </c>
      <c r="U1" s="22" t="s">
        <v>18</v>
      </c>
      <c r="V1" s="22" t="s">
        <v>19</v>
      </c>
      <c r="W1" s="22" t="s">
        <v>20</v>
      </c>
      <c r="X1" s="164" t="s">
        <v>24</v>
      </c>
      <c r="Y1" s="164" t="s">
        <v>25</v>
      </c>
    </row>
    <row r="2" spans="1:25">
      <c r="A2" s="30" t="s">
        <v>26</v>
      </c>
      <c r="B2" s="23">
        <v>288</v>
      </c>
      <c r="C2" s="23" t="s">
        <v>2556</v>
      </c>
      <c r="D2" s="23" t="s">
        <v>2557</v>
      </c>
      <c r="E2" s="21" t="s">
        <v>1347</v>
      </c>
      <c r="F2" s="23" t="s">
        <v>2558</v>
      </c>
      <c r="G2" s="23" t="s">
        <v>2559</v>
      </c>
      <c r="H2" s="21" t="s">
        <v>342</v>
      </c>
      <c r="I2" s="21" t="s">
        <v>31</v>
      </c>
      <c r="J2" s="21" t="s">
        <v>31</v>
      </c>
      <c r="K2" s="23" t="s">
        <v>348</v>
      </c>
      <c r="L2" s="21" t="s">
        <v>40</v>
      </c>
      <c r="M2" s="23" t="s">
        <v>121</v>
      </c>
      <c r="N2" s="23" t="s">
        <v>484</v>
      </c>
      <c r="O2" s="23" t="s">
        <v>2560</v>
      </c>
      <c r="P2" s="23" t="s">
        <v>163</v>
      </c>
      <c r="Q2" s="21" t="s">
        <v>35</v>
      </c>
      <c r="R2" s="155">
        <v>20</v>
      </c>
      <c r="S2" s="155">
        <v>0</v>
      </c>
      <c r="T2" s="154">
        <v>67875</v>
      </c>
      <c r="U2" s="154">
        <v>1</v>
      </c>
      <c r="V2" s="154">
        <v>21.9</v>
      </c>
      <c r="W2" s="154">
        <v>14.865</v>
      </c>
      <c r="X2" s="169">
        <v>3.4820652162231E-2</v>
      </c>
      <c r="Y2" s="169">
        <v>6.2079292577489398E-6</v>
      </c>
    </row>
    <row r="3" spans="1:25">
      <c r="A3" s="23" t="s">
        <v>26</v>
      </c>
      <c r="B3" s="23">
        <v>288</v>
      </c>
      <c r="C3" s="23" t="s">
        <v>1640</v>
      </c>
      <c r="D3" s="23" t="s">
        <v>1641</v>
      </c>
      <c r="E3" s="21" t="s">
        <v>1347</v>
      </c>
      <c r="F3" s="23" t="s">
        <v>2561</v>
      </c>
      <c r="G3" s="23" t="s">
        <v>2562</v>
      </c>
      <c r="H3" s="21" t="s">
        <v>342</v>
      </c>
      <c r="I3" s="21" t="s">
        <v>31</v>
      </c>
      <c r="J3" s="21" t="s">
        <v>31</v>
      </c>
      <c r="K3" s="23" t="s">
        <v>348</v>
      </c>
      <c r="L3" s="21" t="s">
        <v>40</v>
      </c>
      <c r="M3" s="23" t="s">
        <v>769</v>
      </c>
      <c r="N3" s="23" t="s">
        <v>467</v>
      </c>
      <c r="O3" s="23" t="s">
        <v>2563</v>
      </c>
      <c r="P3" s="23" t="s">
        <v>163</v>
      </c>
      <c r="Q3" s="21" t="s">
        <v>35</v>
      </c>
      <c r="R3" s="155">
        <v>28320</v>
      </c>
      <c r="S3" s="155">
        <v>0</v>
      </c>
      <c r="T3" s="154">
        <v>5500</v>
      </c>
      <c r="U3" s="154">
        <v>1</v>
      </c>
      <c r="V3" s="154">
        <v>1407</v>
      </c>
      <c r="W3" s="154">
        <v>77.385000000000005</v>
      </c>
      <c r="X3" s="169">
        <v>0.181275758222912</v>
      </c>
      <c r="Y3" s="169">
        <v>3.2318380424053903E-5</v>
      </c>
    </row>
    <row r="4" spans="1:25">
      <c r="A4" s="23" t="s">
        <v>26</v>
      </c>
      <c r="B4" s="23">
        <v>288</v>
      </c>
      <c r="C4" s="23" t="s">
        <v>2564</v>
      </c>
      <c r="D4" s="23" t="s">
        <v>2565</v>
      </c>
      <c r="E4" s="21" t="s">
        <v>1347</v>
      </c>
      <c r="F4" s="23" t="s">
        <v>2566</v>
      </c>
      <c r="G4" s="23" t="s">
        <v>2567</v>
      </c>
      <c r="H4" s="21" t="s">
        <v>342</v>
      </c>
      <c r="I4" s="21" t="s">
        <v>31</v>
      </c>
      <c r="J4" s="21" t="s">
        <v>31</v>
      </c>
      <c r="K4" s="23" t="s">
        <v>348</v>
      </c>
      <c r="L4" s="21" t="s">
        <v>40</v>
      </c>
      <c r="M4" s="23" t="s">
        <v>121</v>
      </c>
      <c r="N4" s="23" t="s">
        <v>491</v>
      </c>
      <c r="O4" s="23" t="s">
        <v>2568</v>
      </c>
      <c r="P4" s="23" t="s">
        <v>163</v>
      </c>
      <c r="Q4" s="21" t="s">
        <v>35</v>
      </c>
      <c r="R4" s="155">
        <v>4117.3940000000002</v>
      </c>
      <c r="S4" s="155">
        <v>1</v>
      </c>
      <c r="T4" s="154">
        <v>39714.230000000003</v>
      </c>
      <c r="U4" s="154">
        <v>1</v>
      </c>
      <c r="V4" s="154">
        <v>226</v>
      </c>
      <c r="W4" s="154">
        <v>89.754000000000005</v>
      </c>
      <c r="X4" s="169">
        <v>0.210250738145705</v>
      </c>
      <c r="Y4" s="169">
        <v>3.7484125877853899E-5</v>
      </c>
    </row>
    <row r="5" spans="1:25">
      <c r="A5" s="23" t="s">
        <v>26</v>
      </c>
      <c r="B5" s="23">
        <v>288</v>
      </c>
      <c r="C5" s="23" t="s">
        <v>2569</v>
      </c>
      <c r="D5" s="23" t="s">
        <v>2570</v>
      </c>
      <c r="E5" s="21" t="s">
        <v>1347</v>
      </c>
      <c r="F5" s="23" t="s">
        <v>2571</v>
      </c>
      <c r="G5" s="23" t="s">
        <v>2572</v>
      </c>
      <c r="H5" s="21" t="s">
        <v>342</v>
      </c>
      <c r="I5" s="21" t="s">
        <v>31</v>
      </c>
      <c r="J5" s="21" t="s">
        <v>31</v>
      </c>
      <c r="K5" s="23" t="s">
        <v>348</v>
      </c>
      <c r="L5" s="21" t="s">
        <v>40</v>
      </c>
      <c r="M5" s="23" t="s">
        <v>121</v>
      </c>
      <c r="N5" s="23" t="s">
        <v>501</v>
      </c>
      <c r="O5" s="23" t="s">
        <v>2573</v>
      </c>
      <c r="P5" s="23" t="s">
        <v>163</v>
      </c>
      <c r="Q5" s="21" t="s">
        <v>35</v>
      </c>
      <c r="R5" s="155">
        <v>376.12200000000001</v>
      </c>
      <c r="S5" s="155">
        <v>0</v>
      </c>
      <c r="T5" s="154">
        <v>321675</v>
      </c>
      <c r="U5" s="154">
        <v>1</v>
      </c>
      <c r="V5" s="154">
        <v>49.8</v>
      </c>
      <c r="W5" s="154">
        <v>160.19399999999999</v>
      </c>
      <c r="X5" s="169">
        <v>0.37525768565128698</v>
      </c>
      <c r="Y5" s="169">
        <v>6.6902054421502194E-5</v>
      </c>
    </row>
    <row r="6" spans="1:25">
      <c r="A6" s="23" t="s">
        <v>26</v>
      </c>
      <c r="B6" s="23">
        <v>288</v>
      </c>
      <c r="C6" s="23" t="s">
        <v>2574</v>
      </c>
      <c r="D6" s="23" t="s">
        <v>2575</v>
      </c>
      <c r="E6" s="21" t="s">
        <v>1347</v>
      </c>
      <c r="F6" s="23" t="s">
        <v>2576</v>
      </c>
      <c r="G6" s="23" t="s">
        <v>2577</v>
      </c>
      <c r="H6" s="21" t="s">
        <v>342</v>
      </c>
      <c r="I6" s="21" t="s">
        <v>120</v>
      </c>
      <c r="J6" s="21" t="s">
        <v>31</v>
      </c>
      <c r="K6" s="23" t="s">
        <v>348</v>
      </c>
      <c r="L6" s="21" t="s">
        <v>40</v>
      </c>
      <c r="M6" s="23" t="s">
        <v>769</v>
      </c>
      <c r="N6" s="23" t="s">
        <v>501</v>
      </c>
      <c r="O6" s="23" t="s">
        <v>2578</v>
      </c>
      <c r="P6" s="23" t="s">
        <v>163</v>
      </c>
      <c r="Q6" s="21" t="s">
        <v>35</v>
      </c>
      <c r="R6" s="155">
        <v>1125</v>
      </c>
      <c r="S6" s="155">
        <v>0</v>
      </c>
      <c r="T6" s="154">
        <v>11508</v>
      </c>
      <c r="U6" s="154">
        <v>1</v>
      </c>
      <c r="V6" s="154">
        <v>95.4</v>
      </c>
      <c r="W6" s="154">
        <v>10.978999999999999</v>
      </c>
      <c r="X6" s="169">
        <v>2.57176434716072E-2</v>
      </c>
      <c r="Y6" s="169">
        <v>4.58501783952564E-6</v>
      </c>
    </row>
    <row r="7" spans="1:25">
      <c r="A7" s="23" t="s">
        <v>26</v>
      </c>
      <c r="B7" s="23">
        <v>288</v>
      </c>
      <c r="C7" s="23" t="s">
        <v>2579</v>
      </c>
      <c r="D7" s="23" t="s">
        <v>2580</v>
      </c>
      <c r="E7" s="21" t="s">
        <v>1347</v>
      </c>
      <c r="F7" s="23" t="s">
        <v>2581</v>
      </c>
      <c r="G7" s="23" t="s">
        <v>2582</v>
      </c>
      <c r="H7" s="21" t="s">
        <v>342</v>
      </c>
      <c r="I7" s="21" t="s">
        <v>120</v>
      </c>
      <c r="J7" s="21" t="s">
        <v>31</v>
      </c>
      <c r="K7" s="23" t="s">
        <v>348</v>
      </c>
      <c r="L7" s="21" t="s">
        <v>40</v>
      </c>
      <c r="M7" s="23" t="s">
        <v>769</v>
      </c>
      <c r="N7" s="23" t="s">
        <v>459</v>
      </c>
      <c r="O7" s="23" t="s">
        <v>2044</v>
      </c>
      <c r="P7" s="23" t="s">
        <v>163</v>
      </c>
      <c r="Q7" s="21" t="s">
        <v>35</v>
      </c>
      <c r="R7" s="155">
        <v>285</v>
      </c>
      <c r="S7" s="155">
        <v>0</v>
      </c>
      <c r="T7" s="154">
        <v>129250</v>
      </c>
      <c r="U7" s="154">
        <v>1</v>
      </c>
      <c r="V7" s="154">
        <v>52.1</v>
      </c>
      <c r="W7" s="154">
        <v>67.338999999999999</v>
      </c>
      <c r="X7" s="169">
        <v>0.15774340766184899</v>
      </c>
      <c r="Y7" s="169">
        <v>2.8122963093241201E-5</v>
      </c>
    </row>
    <row r="8" spans="1:25">
      <c r="A8" s="23" t="s">
        <v>26</v>
      </c>
      <c r="B8" s="23">
        <v>288</v>
      </c>
      <c r="C8" s="23" t="s">
        <v>2583</v>
      </c>
      <c r="D8" s="23" t="s">
        <v>2584</v>
      </c>
      <c r="E8" s="21" t="s">
        <v>1347</v>
      </c>
      <c r="F8" s="23" t="s">
        <v>2585</v>
      </c>
      <c r="G8" s="23" t="s">
        <v>2586</v>
      </c>
      <c r="H8" s="21" t="s">
        <v>342</v>
      </c>
      <c r="I8" s="21" t="s">
        <v>120</v>
      </c>
      <c r="J8" s="21" t="s">
        <v>31</v>
      </c>
      <c r="K8" s="23" t="s">
        <v>348</v>
      </c>
      <c r="L8" s="21" t="s">
        <v>40</v>
      </c>
      <c r="M8" s="23" t="s">
        <v>769</v>
      </c>
      <c r="N8" s="23" t="s">
        <v>459</v>
      </c>
      <c r="O8" s="23" t="s">
        <v>2560</v>
      </c>
      <c r="P8" s="23" t="s">
        <v>163</v>
      </c>
      <c r="Q8" s="21" t="s">
        <v>35</v>
      </c>
      <c r="R8" s="155">
        <v>946.60154</v>
      </c>
      <c r="S8" s="155">
        <v>0</v>
      </c>
      <c r="T8" s="154">
        <v>52320</v>
      </c>
      <c r="U8" s="154">
        <v>1</v>
      </c>
      <c r="V8" s="154">
        <v>4.5</v>
      </c>
      <c r="W8" s="154">
        <v>2.3540000000000001</v>
      </c>
      <c r="X8" s="169">
        <v>5.5152244641729397E-3</v>
      </c>
      <c r="Y8" s="169">
        <v>9.8327059340172393E-7</v>
      </c>
    </row>
    <row r="9" spans="1:25">
      <c r="A9" s="23" t="s">
        <v>26</v>
      </c>
      <c r="B9" s="23">
        <v>288</v>
      </c>
      <c r="C9" s="23" t="s">
        <v>2587</v>
      </c>
      <c r="D9" s="23" t="s">
        <v>2588</v>
      </c>
      <c r="E9" s="21" t="s">
        <v>1347</v>
      </c>
      <c r="F9" s="23" t="s">
        <v>2589</v>
      </c>
      <c r="G9" s="23" t="s">
        <v>2590</v>
      </c>
      <c r="H9" s="21" t="s">
        <v>342</v>
      </c>
      <c r="I9" s="21" t="s">
        <v>120</v>
      </c>
      <c r="J9" s="21" t="s">
        <v>31</v>
      </c>
      <c r="K9" s="23" t="s">
        <v>348</v>
      </c>
      <c r="L9" s="21" t="s">
        <v>40</v>
      </c>
      <c r="M9" s="23" t="s">
        <v>769</v>
      </c>
      <c r="N9" s="23" t="s">
        <v>501</v>
      </c>
      <c r="O9" s="23" t="s">
        <v>2591</v>
      </c>
      <c r="P9" s="23" t="s">
        <v>163</v>
      </c>
      <c r="Q9" s="21" t="s">
        <v>35</v>
      </c>
      <c r="R9" s="155">
        <v>1415</v>
      </c>
      <c r="S9" s="155">
        <v>0</v>
      </c>
      <c r="T9" s="154">
        <v>11169</v>
      </c>
      <c r="U9" s="154">
        <v>1</v>
      </c>
      <c r="V9" s="154">
        <v>36</v>
      </c>
      <c r="W9" s="154">
        <v>4.0209999999999999</v>
      </c>
      <c r="X9" s="169">
        <v>9.4188902202366302E-3</v>
      </c>
      <c r="Y9" s="169">
        <v>1.67922771524524E-6</v>
      </c>
    </row>
    <row r="10" spans="1:25">
      <c r="A10" s="23" t="s">
        <v>26</v>
      </c>
      <c r="B10" s="23">
        <v>1452</v>
      </c>
      <c r="C10" s="23" t="s">
        <v>2556</v>
      </c>
      <c r="D10" s="23" t="s">
        <v>2557</v>
      </c>
      <c r="E10" s="21" t="s">
        <v>1347</v>
      </c>
      <c r="F10" s="23" t="s">
        <v>2558</v>
      </c>
      <c r="G10" s="23" t="s">
        <v>2559</v>
      </c>
      <c r="H10" s="21" t="s">
        <v>342</v>
      </c>
      <c r="I10" s="21" t="s">
        <v>31</v>
      </c>
      <c r="J10" s="21" t="s">
        <v>31</v>
      </c>
      <c r="K10" s="23" t="s">
        <v>348</v>
      </c>
      <c r="L10" s="21" t="s">
        <v>40</v>
      </c>
      <c r="M10" s="23" t="s">
        <v>121</v>
      </c>
      <c r="N10" s="23" t="s">
        <v>484</v>
      </c>
      <c r="O10" s="23" t="s">
        <v>2560</v>
      </c>
      <c r="P10" s="23" t="s">
        <v>163</v>
      </c>
      <c r="Q10" s="21" t="s">
        <v>35</v>
      </c>
      <c r="R10" s="155">
        <v>20</v>
      </c>
      <c r="S10" s="155">
        <v>0</v>
      </c>
      <c r="T10" s="154">
        <v>3225</v>
      </c>
      <c r="U10" s="154">
        <v>1</v>
      </c>
      <c r="V10" s="154">
        <v>21.9</v>
      </c>
      <c r="W10" s="154">
        <v>0.70599999999999996</v>
      </c>
      <c r="X10" s="169">
        <v>3.3615531022155497E-2</v>
      </c>
      <c r="Y10" s="169">
        <v>1.42421338716199E-5</v>
      </c>
    </row>
    <row r="11" spans="1:25">
      <c r="A11" s="30" t="s">
        <v>26</v>
      </c>
      <c r="B11" s="23">
        <v>1452</v>
      </c>
      <c r="C11" s="23" t="s">
        <v>1640</v>
      </c>
      <c r="D11" s="23" t="s">
        <v>1641</v>
      </c>
      <c r="E11" s="21" t="s">
        <v>1347</v>
      </c>
      <c r="F11" s="23" t="s">
        <v>2561</v>
      </c>
      <c r="G11" s="23" t="s">
        <v>2562</v>
      </c>
      <c r="H11" s="21" t="s">
        <v>342</v>
      </c>
      <c r="I11" s="21" t="s">
        <v>31</v>
      </c>
      <c r="J11" s="21" t="s">
        <v>31</v>
      </c>
      <c r="K11" s="23" t="s">
        <v>348</v>
      </c>
      <c r="L11" s="21" t="s">
        <v>40</v>
      </c>
      <c r="M11" s="23" t="s">
        <v>769</v>
      </c>
      <c r="N11" s="23" t="s">
        <v>467</v>
      </c>
      <c r="O11" s="23" t="s">
        <v>2563</v>
      </c>
      <c r="P11" s="23" t="s">
        <v>163</v>
      </c>
      <c r="Q11" s="21" t="s">
        <v>35</v>
      </c>
      <c r="R11" s="155">
        <v>28320</v>
      </c>
      <c r="S11" s="155">
        <v>0</v>
      </c>
      <c r="T11" s="154">
        <v>350</v>
      </c>
      <c r="U11" s="154">
        <v>1</v>
      </c>
      <c r="V11" s="154">
        <v>1407</v>
      </c>
      <c r="W11" s="154">
        <v>4.9249999999999998</v>
      </c>
      <c r="X11" s="169">
        <v>0.234384174037881</v>
      </c>
      <c r="Y11" s="169">
        <v>9.93032292673426E-5</v>
      </c>
    </row>
    <row r="12" spans="1:25">
      <c r="A12" s="23" t="s">
        <v>26</v>
      </c>
      <c r="B12" s="23">
        <v>1452</v>
      </c>
      <c r="C12" s="23" t="s">
        <v>2564</v>
      </c>
      <c r="D12" s="23" t="s">
        <v>2565</v>
      </c>
      <c r="E12" s="21" t="s">
        <v>1347</v>
      </c>
      <c r="F12" s="23" t="s">
        <v>2566</v>
      </c>
      <c r="G12" s="23" t="s">
        <v>2567</v>
      </c>
      <c r="H12" s="21" t="s">
        <v>342</v>
      </c>
      <c r="I12" s="21" t="s">
        <v>31</v>
      </c>
      <c r="J12" s="21" t="s">
        <v>31</v>
      </c>
      <c r="K12" s="23" t="s">
        <v>348</v>
      </c>
      <c r="L12" s="21" t="s">
        <v>40</v>
      </c>
      <c r="M12" s="23" t="s">
        <v>121</v>
      </c>
      <c r="N12" s="23" t="s">
        <v>491</v>
      </c>
      <c r="O12" s="23" t="s">
        <v>2568</v>
      </c>
      <c r="P12" s="23" t="s">
        <v>163</v>
      </c>
      <c r="Q12" s="21" t="s">
        <v>35</v>
      </c>
      <c r="R12" s="155">
        <v>4117.3940000000002</v>
      </c>
      <c r="S12" s="155">
        <v>1</v>
      </c>
      <c r="T12" s="154">
        <v>3955.51</v>
      </c>
      <c r="U12" s="154">
        <v>1</v>
      </c>
      <c r="V12" s="154">
        <v>226</v>
      </c>
      <c r="W12" s="154">
        <v>8.9390000000000001</v>
      </c>
      <c r="X12" s="169">
        <v>0.425477959996302</v>
      </c>
      <c r="Y12" s="169">
        <v>1.8026530836883799E-4</v>
      </c>
    </row>
    <row r="13" spans="1:25">
      <c r="A13" s="23" t="s">
        <v>26</v>
      </c>
      <c r="B13" s="23">
        <v>1452</v>
      </c>
      <c r="C13" s="23" t="s">
        <v>2569</v>
      </c>
      <c r="D13" s="23" t="s">
        <v>2570</v>
      </c>
      <c r="E13" s="21" t="s">
        <v>1347</v>
      </c>
      <c r="F13" s="23" t="s">
        <v>2571</v>
      </c>
      <c r="G13" s="19" t="s">
        <v>2572</v>
      </c>
      <c r="H13" s="21" t="s">
        <v>342</v>
      </c>
      <c r="I13" s="21" t="s">
        <v>31</v>
      </c>
      <c r="J13" s="21" t="s">
        <v>31</v>
      </c>
      <c r="K13" s="23" t="s">
        <v>348</v>
      </c>
      <c r="L13" s="21" t="s">
        <v>40</v>
      </c>
      <c r="M13" s="23" t="s">
        <v>121</v>
      </c>
      <c r="N13" s="23" t="s">
        <v>501</v>
      </c>
      <c r="O13" s="23" t="s">
        <v>2573</v>
      </c>
      <c r="P13" s="23" t="s">
        <v>163</v>
      </c>
      <c r="Q13" s="21" t="s">
        <v>35</v>
      </c>
      <c r="R13" s="155">
        <v>376.12200000000001</v>
      </c>
      <c r="S13" s="155">
        <v>0</v>
      </c>
      <c r="T13" s="154">
        <v>12675</v>
      </c>
      <c r="U13" s="154">
        <v>1</v>
      </c>
      <c r="V13" s="154">
        <v>49.8</v>
      </c>
      <c r="W13" s="154">
        <v>6.3120000000000003</v>
      </c>
      <c r="X13" s="169">
        <v>0.30043010745318499</v>
      </c>
      <c r="Y13" s="169">
        <v>1.27285385038046E-4</v>
      </c>
    </row>
    <row r="14" spans="1:25">
      <c r="A14" s="23" t="s">
        <v>26</v>
      </c>
      <c r="B14" s="23">
        <v>1452</v>
      </c>
      <c r="C14" s="23" t="s">
        <v>2592</v>
      </c>
      <c r="D14" s="23" t="s">
        <v>2593</v>
      </c>
      <c r="E14" s="21" t="s">
        <v>1347</v>
      </c>
      <c r="F14" s="23" t="s">
        <v>2594</v>
      </c>
      <c r="G14" s="23" t="s">
        <v>2595</v>
      </c>
      <c r="H14" s="21" t="s">
        <v>342</v>
      </c>
      <c r="I14" s="21" t="s">
        <v>31</v>
      </c>
      <c r="J14" s="21" t="s">
        <v>31</v>
      </c>
      <c r="K14" s="23" t="s">
        <v>348</v>
      </c>
      <c r="L14" s="21" t="s">
        <v>40</v>
      </c>
      <c r="M14" s="23" t="s">
        <v>121</v>
      </c>
      <c r="N14" s="23" t="s">
        <v>501</v>
      </c>
      <c r="O14" s="23" t="s">
        <v>2596</v>
      </c>
      <c r="P14" s="23" t="s">
        <v>163</v>
      </c>
      <c r="Q14" s="21" t="s">
        <v>35</v>
      </c>
      <c r="R14" s="155">
        <v>1656</v>
      </c>
      <c r="S14" s="155">
        <v>1</v>
      </c>
      <c r="T14" s="154">
        <v>12800</v>
      </c>
      <c r="U14" s="154">
        <v>1</v>
      </c>
      <c r="V14" s="154">
        <v>1</v>
      </c>
      <c r="W14" s="154">
        <v>0.128</v>
      </c>
      <c r="X14" s="169">
        <v>6.0922274904759398E-3</v>
      </c>
      <c r="Y14" s="169">
        <v>2.5811378507909098E-6</v>
      </c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172</v>
      </c>
      <c r="N1" s="22" t="s">
        <v>195</v>
      </c>
      <c r="O1" s="22" t="s">
        <v>1143</v>
      </c>
      <c r="P1" s="22" t="s">
        <v>149</v>
      </c>
      <c r="Q1" s="22" t="s">
        <v>11</v>
      </c>
      <c r="R1" s="22" t="s">
        <v>1144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6</v>
      </c>
      <c r="J1" s="22" t="s">
        <v>7</v>
      </c>
      <c r="K1" s="22" t="s">
        <v>8</v>
      </c>
      <c r="L1" s="22" t="s">
        <v>195</v>
      </c>
      <c r="M1" s="22" t="s">
        <v>149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4" t="s">
        <v>24</v>
      </c>
      <c r="T1" s="164" t="s">
        <v>25</v>
      </c>
    </row>
    <row r="2" spans="1:20">
      <c r="A2" s="23" t="s">
        <v>26</v>
      </c>
      <c r="B2" s="23">
        <v>1452</v>
      </c>
      <c r="C2" s="2" t="s">
        <v>2551</v>
      </c>
      <c r="D2" s="2" t="s">
        <v>2552</v>
      </c>
      <c r="E2" s="21" t="s">
        <v>34</v>
      </c>
      <c r="F2" s="23" t="s">
        <v>2553</v>
      </c>
      <c r="G2" s="23" t="s">
        <v>2554</v>
      </c>
      <c r="H2" s="21" t="s">
        <v>121</v>
      </c>
      <c r="I2" s="21" t="s">
        <v>120</v>
      </c>
      <c r="J2" s="21" t="s">
        <v>127</v>
      </c>
      <c r="K2" s="21" t="s">
        <v>2555</v>
      </c>
      <c r="L2" s="23" t="s">
        <v>769</v>
      </c>
      <c r="M2" s="23" t="s">
        <v>163</v>
      </c>
      <c r="N2" s="21" t="s">
        <v>100</v>
      </c>
      <c r="O2" s="154">
        <v>8</v>
      </c>
      <c r="P2" s="154">
        <v>3.681</v>
      </c>
      <c r="Q2" s="154">
        <v>5308.5</v>
      </c>
      <c r="R2" s="154">
        <v>180.66300000000001</v>
      </c>
      <c r="S2" s="169">
        <v>1</v>
      </c>
      <c r="T2" s="169">
        <v>3.6431042694031902E-3</v>
      </c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347</v>
      </c>
      <c r="M1" s="22" t="s">
        <v>8</v>
      </c>
      <c r="N1" s="22" t="s">
        <v>195</v>
      </c>
      <c r="O1" s="22" t="s">
        <v>149</v>
      </c>
      <c r="P1" s="22" t="s">
        <v>12</v>
      </c>
      <c r="Q1" s="160" t="s">
        <v>14</v>
      </c>
      <c r="R1" s="164" t="s">
        <v>15</v>
      </c>
      <c r="S1" s="22" t="s">
        <v>9</v>
      </c>
      <c r="T1" s="22" t="s">
        <v>10</v>
      </c>
      <c r="U1" s="22" t="s">
        <v>196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4" t="s">
        <v>24</v>
      </c>
      <c r="AB1" s="164" t="s">
        <v>25</v>
      </c>
    </row>
    <row r="2" spans="1:28">
      <c r="A2" s="23" t="s">
        <v>26</v>
      </c>
      <c r="B2" s="23">
        <v>288</v>
      </c>
      <c r="C2" s="23" t="s">
        <v>2825</v>
      </c>
      <c r="D2" s="23" t="s">
        <v>2826</v>
      </c>
      <c r="E2" s="21" t="s">
        <v>1347</v>
      </c>
      <c r="F2" s="23" t="s">
        <v>2827</v>
      </c>
      <c r="G2" s="23" t="s">
        <v>2828</v>
      </c>
      <c r="H2" s="21" t="s">
        <v>342</v>
      </c>
      <c r="I2" s="23" t="s">
        <v>1018</v>
      </c>
      <c r="J2" s="21" t="s">
        <v>31</v>
      </c>
      <c r="K2" s="21" t="s">
        <v>31</v>
      </c>
      <c r="L2" s="23" t="s">
        <v>348</v>
      </c>
      <c r="M2" s="21" t="s">
        <v>40</v>
      </c>
      <c r="N2" s="23" t="s">
        <v>766</v>
      </c>
      <c r="O2" s="23" t="s">
        <v>163</v>
      </c>
      <c r="P2" s="154">
        <v>3.7829999999999999</v>
      </c>
      <c r="Q2" s="168">
        <v>5.0000000000000001E-4</v>
      </c>
      <c r="R2" s="169">
        <v>2.112E-2</v>
      </c>
      <c r="S2" s="23" t="s">
        <v>1202</v>
      </c>
      <c r="T2" s="23" t="s">
        <v>435</v>
      </c>
      <c r="U2" s="23" t="s">
        <v>428</v>
      </c>
      <c r="V2" s="21" t="s">
        <v>35</v>
      </c>
      <c r="W2" s="154">
        <v>1282272.8400000001</v>
      </c>
      <c r="X2" s="154">
        <v>1</v>
      </c>
      <c r="Y2" s="154">
        <v>102.75</v>
      </c>
      <c r="Z2" s="154">
        <v>1317.5350000000001</v>
      </c>
      <c r="AA2" s="169">
        <v>1</v>
      </c>
      <c r="AB2" s="169">
        <v>5.5024369632928997E-4</v>
      </c>
    </row>
    <row r="3" spans="1:28">
      <c r="A3" s="23" t="s">
        <v>26</v>
      </c>
      <c r="B3" s="23">
        <v>1451</v>
      </c>
      <c r="C3" s="23" t="s">
        <v>2825</v>
      </c>
      <c r="D3" s="23" t="s">
        <v>2826</v>
      </c>
      <c r="E3" s="21" t="s">
        <v>1347</v>
      </c>
      <c r="F3" s="23" t="s">
        <v>2827</v>
      </c>
      <c r="G3" s="23" t="s">
        <v>2828</v>
      </c>
      <c r="H3" s="21" t="s">
        <v>342</v>
      </c>
      <c r="I3" s="23" t="s">
        <v>1018</v>
      </c>
      <c r="J3" s="21" t="s">
        <v>31</v>
      </c>
      <c r="K3" s="21" t="s">
        <v>31</v>
      </c>
      <c r="L3" s="23" t="s">
        <v>348</v>
      </c>
      <c r="M3" s="21" t="s">
        <v>40</v>
      </c>
      <c r="N3" s="23" t="s">
        <v>766</v>
      </c>
      <c r="O3" s="23" t="s">
        <v>163</v>
      </c>
      <c r="P3" s="154">
        <v>3.7829999999999999</v>
      </c>
      <c r="Q3" s="168">
        <v>5.0000000000000001E-4</v>
      </c>
      <c r="R3" s="169">
        <v>2.112E-2</v>
      </c>
      <c r="S3" s="23" t="s">
        <v>1202</v>
      </c>
      <c r="T3" s="23" t="s">
        <v>435</v>
      </c>
      <c r="U3" s="23" t="s">
        <v>428</v>
      </c>
      <c r="V3" s="21" t="s">
        <v>35</v>
      </c>
      <c r="W3" s="154">
        <v>90363.65</v>
      </c>
      <c r="X3" s="154">
        <v>1</v>
      </c>
      <c r="Y3" s="154">
        <v>102.75</v>
      </c>
      <c r="Z3" s="154">
        <v>92.849000000000004</v>
      </c>
      <c r="AA3" s="169">
        <v>1</v>
      </c>
      <c r="AB3" s="169">
        <v>1.64262938969785E-3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171</v>
      </c>
      <c r="G1" s="22" t="s">
        <v>5</v>
      </c>
      <c r="H1" s="22" t="s">
        <v>6</v>
      </c>
      <c r="I1" s="22" t="s">
        <v>7</v>
      </c>
      <c r="J1" s="22" t="s">
        <v>180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180</v>
      </c>
      <c r="G1" s="22" t="s">
        <v>12</v>
      </c>
      <c r="H1" s="22" t="s">
        <v>775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1147</v>
      </c>
      <c r="B1" s="22" t="s">
        <v>1</v>
      </c>
      <c r="C1" s="22" t="s">
        <v>5</v>
      </c>
      <c r="D1" s="22" t="s">
        <v>1148</v>
      </c>
      <c r="E1" s="22" t="s">
        <v>1149</v>
      </c>
      <c r="F1" s="22" t="s">
        <v>1150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172</v>
      </c>
      <c r="M1" s="22" t="s">
        <v>149</v>
      </c>
      <c r="N1" s="22" t="s">
        <v>180</v>
      </c>
      <c r="O1" s="22" t="s">
        <v>9</v>
      </c>
      <c r="P1" s="22" t="s">
        <v>10</v>
      </c>
      <c r="Q1" s="22" t="s">
        <v>196</v>
      </c>
      <c r="R1" s="22" t="s">
        <v>11</v>
      </c>
      <c r="S1" s="22" t="s">
        <v>12</v>
      </c>
      <c r="T1" s="22" t="s">
        <v>775</v>
      </c>
      <c r="U1" s="22" t="s">
        <v>932</v>
      </c>
      <c r="V1" s="22" t="s">
        <v>13</v>
      </c>
      <c r="W1" s="22" t="s">
        <v>14</v>
      </c>
      <c r="X1" s="22" t="s">
        <v>15</v>
      </c>
      <c r="Y1" s="22" t="s">
        <v>432</v>
      </c>
      <c r="Z1" s="22" t="s">
        <v>853</v>
      </c>
      <c r="AA1" s="22" t="s">
        <v>173</v>
      </c>
      <c r="AB1" s="22" t="s">
        <v>174</v>
      </c>
      <c r="AC1" s="22" t="s">
        <v>186</v>
      </c>
      <c r="AD1" s="22" t="s">
        <v>158</v>
      </c>
      <c r="AE1" s="22" t="s">
        <v>175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188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F1" zoomScale="70" zoomScaleNormal="70" workbookViewId="0">
      <selection activeCell="J7" sqref="J7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347</v>
      </c>
      <c r="M1" s="22" t="s">
        <v>172</v>
      </c>
      <c r="N1" s="22" t="s">
        <v>149</v>
      </c>
      <c r="O1" s="22" t="s">
        <v>180</v>
      </c>
      <c r="P1" s="22" t="s">
        <v>9</v>
      </c>
      <c r="Q1" s="22" t="s">
        <v>10</v>
      </c>
      <c r="R1" s="22" t="s">
        <v>196</v>
      </c>
      <c r="S1" s="22" t="s">
        <v>11</v>
      </c>
      <c r="T1" s="22" t="s">
        <v>12</v>
      </c>
      <c r="U1" s="22" t="s">
        <v>13</v>
      </c>
      <c r="V1" s="164" t="s">
        <v>15</v>
      </c>
      <c r="W1" s="164" t="s">
        <v>14</v>
      </c>
      <c r="X1" s="22" t="s">
        <v>432</v>
      </c>
      <c r="Y1" s="22" t="s">
        <v>853</v>
      </c>
      <c r="Z1" s="22" t="s">
        <v>173</v>
      </c>
      <c r="AA1" s="22" t="s">
        <v>174</v>
      </c>
      <c r="AB1" s="22" t="s">
        <v>158</v>
      </c>
      <c r="AC1" s="22" t="s">
        <v>175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188</v>
      </c>
      <c r="AJ1" s="22" t="s">
        <v>22</v>
      </c>
      <c r="AK1" s="164" t="s">
        <v>24</v>
      </c>
      <c r="AL1" s="164" t="s">
        <v>25</v>
      </c>
    </row>
    <row r="2" spans="1:38">
      <c r="A2" s="2" t="s">
        <v>26</v>
      </c>
      <c r="B2" s="23">
        <v>288</v>
      </c>
      <c r="C2" s="23" t="s">
        <v>2719</v>
      </c>
      <c r="D2" s="23" t="s">
        <v>2720</v>
      </c>
      <c r="E2" s="21" t="s">
        <v>1347</v>
      </c>
      <c r="F2" s="23" t="s">
        <v>2757</v>
      </c>
      <c r="G2" s="23" t="s">
        <v>2758</v>
      </c>
      <c r="H2" s="23" t="s">
        <v>34</v>
      </c>
      <c r="I2" s="23" t="s">
        <v>778</v>
      </c>
      <c r="J2" s="21" t="s">
        <v>31</v>
      </c>
      <c r="K2" s="21" t="s">
        <v>31</v>
      </c>
      <c r="L2" s="23" t="s">
        <v>121</v>
      </c>
      <c r="M2" s="23" t="s">
        <v>459</v>
      </c>
      <c r="N2" s="23" t="s">
        <v>163</v>
      </c>
      <c r="O2" s="23" t="s">
        <v>2616</v>
      </c>
      <c r="P2" s="23" t="s">
        <v>1337</v>
      </c>
      <c r="Q2" s="23" t="s">
        <v>121</v>
      </c>
      <c r="R2" s="23" t="s">
        <v>430</v>
      </c>
      <c r="S2" s="21" t="s">
        <v>35</v>
      </c>
      <c r="T2" s="154">
        <v>0.01</v>
      </c>
      <c r="U2" s="23" t="s">
        <v>2759</v>
      </c>
      <c r="V2" s="169">
        <v>1E-4</v>
      </c>
      <c r="W2" s="165">
        <v>3.5000000000000003E-2</v>
      </c>
      <c r="X2" s="21" t="s">
        <v>434</v>
      </c>
      <c r="Y2" s="21" t="s">
        <v>163</v>
      </c>
      <c r="Z2" s="23" t="s">
        <v>121</v>
      </c>
      <c r="AA2" s="23"/>
      <c r="AB2" s="2" t="s">
        <v>1343</v>
      </c>
      <c r="AC2" s="23"/>
      <c r="AD2" s="154">
        <v>1370500</v>
      </c>
      <c r="AE2" s="154">
        <v>1</v>
      </c>
      <c r="AF2" s="154">
        <v>0</v>
      </c>
      <c r="AG2" s="154">
        <v>1E-3</v>
      </c>
      <c r="AH2" s="23"/>
      <c r="AI2" s="30"/>
      <c r="AJ2" s="23" t="s">
        <v>37</v>
      </c>
      <c r="AK2" s="165">
        <v>1.1450815928442899E-7</v>
      </c>
      <c r="AL2" s="165">
        <v>5.723633827119701E-10</v>
      </c>
    </row>
    <row r="3" spans="1:38">
      <c r="A3" s="23" t="s">
        <v>26</v>
      </c>
      <c r="B3" s="23">
        <v>288</v>
      </c>
      <c r="C3" s="23" t="s">
        <v>2760</v>
      </c>
      <c r="D3" s="23" t="s">
        <v>2761</v>
      </c>
      <c r="E3" s="21" t="s">
        <v>1347</v>
      </c>
      <c r="F3" s="23" t="s">
        <v>2762</v>
      </c>
      <c r="G3" s="23" t="s">
        <v>2763</v>
      </c>
      <c r="H3" s="23" t="s">
        <v>342</v>
      </c>
      <c r="I3" s="23" t="s">
        <v>121</v>
      </c>
      <c r="J3" s="21" t="s">
        <v>31</v>
      </c>
      <c r="K3" s="21" t="s">
        <v>31</v>
      </c>
      <c r="L3" s="23" t="s">
        <v>121</v>
      </c>
      <c r="M3" s="23" t="s">
        <v>473</v>
      </c>
      <c r="N3" s="23" t="s">
        <v>163</v>
      </c>
      <c r="O3" s="23" t="s">
        <v>2764</v>
      </c>
      <c r="P3" s="23" t="s">
        <v>1337</v>
      </c>
      <c r="Q3" s="23" t="s">
        <v>121</v>
      </c>
      <c r="R3" s="23" t="s">
        <v>428</v>
      </c>
      <c r="S3" s="21" t="s">
        <v>35</v>
      </c>
      <c r="T3" s="154">
        <v>0.01</v>
      </c>
      <c r="U3" s="23" t="s">
        <v>2765</v>
      </c>
      <c r="V3" s="169">
        <v>1E-4</v>
      </c>
      <c r="W3" s="165">
        <v>0.06</v>
      </c>
      <c r="X3" s="21" t="s">
        <v>434</v>
      </c>
      <c r="Y3" s="21" t="s">
        <v>163</v>
      </c>
      <c r="Z3" s="23" t="s">
        <v>914</v>
      </c>
      <c r="AA3" s="23"/>
      <c r="AB3" s="2" t="s">
        <v>2766</v>
      </c>
      <c r="AC3" s="23"/>
      <c r="AD3" s="154">
        <v>0.08</v>
      </c>
      <c r="AE3" s="154">
        <v>1</v>
      </c>
      <c r="AF3" s="154">
        <v>0</v>
      </c>
      <c r="AG3" s="154">
        <v>0</v>
      </c>
      <c r="AH3" s="23"/>
      <c r="AI3" s="23"/>
      <c r="AJ3" s="23" t="s">
        <v>37</v>
      </c>
      <c r="AK3" s="165">
        <v>6.6841683639199997E-17</v>
      </c>
      <c r="AL3" s="165">
        <v>3.341048567E-19</v>
      </c>
    </row>
    <row r="4" spans="1:38">
      <c r="A4" s="23" t="s">
        <v>26</v>
      </c>
      <c r="B4" s="23">
        <v>288</v>
      </c>
      <c r="C4" s="23" t="s">
        <v>2733</v>
      </c>
      <c r="D4" s="23" t="s">
        <v>2734</v>
      </c>
      <c r="E4" s="21" t="s">
        <v>1347</v>
      </c>
      <c r="F4" s="23" t="s">
        <v>2767</v>
      </c>
      <c r="G4" s="23" t="s">
        <v>2768</v>
      </c>
      <c r="H4" s="23" t="s">
        <v>342</v>
      </c>
      <c r="I4" s="23" t="s">
        <v>777</v>
      </c>
      <c r="J4" s="21" t="s">
        <v>31</v>
      </c>
      <c r="K4" s="21" t="s">
        <v>31</v>
      </c>
      <c r="L4" s="23" t="s">
        <v>121</v>
      </c>
      <c r="M4" s="23" t="s">
        <v>471</v>
      </c>
      <c r="N4" s="23" t="s">
        <v>163</v>
      </c>
      <c r="O4" s="2" t="s">
        <v>2769</v>
      </c>
      <c r="P4" s="23" t="s">
        <v>2775</v>
      </c>
      <c r="Q4" s="23" t="s">
        <v>435</v>
      </c>
      <c r="R4" s="23" t="s">
        <v>428</v>
      </c>
      <c r="S4" s="23" t="s">
        <v>35</v>
      </c>
      <c r="T4" s="154">
        <v>0.01</v>
      </c>
      <c r="U4" s="23" t="s">
        <v>2770</v>
      </c>
      <c r="V4" s="169">
        <v>0.12180000000000001</v>
      </c>
      <c r="W4" s="165">
        <v>5.3499999999999999E-2</v>
      </c>
      <c r="X4" s="21" t="s">
        <v>433</v>
      </c>
      <c r="Y4" s="21" t="s">
        <v>163</v>
      </c>
      <c r="Z4" s="23" t="s">
        <v>914</v>
      </c>
      <c r="AA4" s="23" t="s">
        <v>919</v>
      </c>
      <c r="AB4" s="2" t="s">
        <v>1343</v>
      </c>
      <c r="AD4" s="152">
        <v>2891751.62</v>
      </c>
      <c r="AE4" s="154">
        <v>1</v>
      </c>
      <c r="AF4" s="154">
        <v>13.46</v>
      </c>
      <c r="AG4" s="154">
        <v>389.23</v>
      </c>
      <c r="AH4" s="23"/>
      <c r="AI4" s="23"/>
      <c r="AJ4" s="23" t="s">
        <v>37</v>
      </c>
      <c r="AK4" s="165">
        <v>3.2520966273870598E-2</v>
      </c>
      <c r="AL4" s="165">
        <v>1.62554444870075E-4</v>
      </c>
    </row>
    <row r="5" spans="1:38">
      <c r="A5" s="23" t="s">
        <v>26</v>
      </c>
      <c r="B5" s="23">
        <v>288</v>
      </c>
      <c r="C5" s="23" t="s">
        <v>2771</v>
      </c>
      <c r="D5" s="23" t="s">
        <v>2772</v>
      </c>
      <c r="E5" s="21" t="s">
        <v>1347</v>
      </c>
      <c r="F5" s="23" t="s">
        <v>2773</v>
      </c>
      <c r="G5" s="23" t="s">
        <v>2774</v>
      </c>
      <c r="H5" s="23" t="s">
        <v>34</v>
      </c>
      <c r="I5" s="23" t="s">
        <v>777</v>
      </c>
      <c r="J5" s="21" t="s">
        <v>31</v>
      </c>
      <c r="K5" s="21" t="s">
        <v>31</v>
      </c>
      <c r="L5" s="23" t="s">
        <v>121</v>
      </c>
      <c r="M5" s="23" t="s">
        <v>476</v>
      </c>
      <c r="N5" s="23" t="s">
        <v>163</v>
      </c>
      <c r="O5" s="23" t="s">
        <v>2616</v>
      </c>
      <c r="P5" s="23" t="s">
        <v>2775</v>
      </c>
      <c r="Q5" s="23" t="s">
        <v>435</v>
      </c>
      <c r="R5" s="23" t="s">
        <v>428</v>
      </c>
      <c r="S5" s="21" t="s">
        <v>35</v>
      </c>
      <c r="T5" s="154">
        <v>1E-3</v>
      </c>
      <c r="U5" s="23" t="s">
        <v>2776</v>
      </c>
      <c r="V5" s="169">
        <v>0</v>
      </c>
      <c r="W5" s="165">
        <v>6.5000000000000002E-2</v>
      </c>
      <c r="X5" s="21" t="s">
        <v>433</v>
      </c>
      <c r="Y5" s="21" t="s">
        <v>361</v>
      </c>
      <c r="Z5" s="23" t="s">
        <v>121</v>
      </c>
      <c r="AA5" s="23" t="s">
        <v>919</v>
      </c>
      <c r="AB5" s="2" t="s">
        <v>2756</v>
      </c>
      <c r="AC5" s="23"/>
      <c r="AD5" s="154">
        <v>490840.41</v>
      </c>
      <c r="AE5" s="154">
        <v>1</v>
      </c>
      <c r="AF5" s="154">
        <v>0</v>
      </c>
      <c r="AG5" s="152">
        <v>0</v>
      </c>
      <c r="AJ5" s="23" t="s">
        <v>37</v>
      </c>
      <c r="AK5" s="165">
        <v>4.1010749253202703E-10</v>
      </c>
      <c r="AL5" s="165">
        <v>2.0499020608488198E-12</v>
      </c>
    </row>
    <row r="6" spans="1:38">
      <c r="A6" s="23" t="s">
        <v>26</v>
      </c>
      <c r="B6" s="23">
        <v>288</v>
      </c>
      <c r="C6" s="23" t="s">
        <v>2777</v>
      </c>
      <c r="D6" s="23" t="s">
        <v>2778</v>
      </c>
      <c r="E6" s="21" t="s">
        <v>1347</v>
      </c>
      <c r="F6" s="23" t="s">
        <v>2779</v>
      </c>
      <c r="G6" s="23" t="s">
        <v>2780</v>
      </c>
      <c r="H6" s="23" t="s">
        <v>342</v>
      </c>
      <c r="I6" s="23" t="s">
        <v>777</v>
      </c>
      <c r="J6" s="21" t="s">
        <v>31</v>
      </c>
      <c r="K6" s="21" t="s">
        <v>31</v>
      </c>
      <c r="L6" s="23" t="s">
        <v>121</v>
      </c>
      <c r="M6" s="23" t="s">
        <v>499</v>
      </c>
      <c r="N6" s="23" t="s">
        <v>163</v>
      </c>
      <c r="O6" s="23" t="s">
        <v>2616</v>
      </c>
      <c r="P6" s="23" t="s">
        <v>1991</v>
      </c>
      <c r="Q6" s="23" t="s">
        <v>435</v>
      </c>
      <c r="R6" s="23" t="s">
        <v>428</v>
      </c>
      <c r="S6" s="21" t="s">
        <v>35</v>
      </c>
      <c r="T6" s="154">
        <v>0.79</v>
      </c>
      <c r="U6" s="23" t="s">
        <v>2781</v>
      </c>
      <c r="V6" s="169">
        <v>2.0299999999999999E-2</v>
      </c>
      <c r="W6" s="165">
        <v>7.7499999999999999E-2</v>
      </c>
      <c r="X6" s="21" t="s">
        <v>434</v>
      </c>
      <c r="Y6" s="21" t="s">
        <v>163</v>
      </c>
      <c r="Z6" s="23" t="s">
        <v>916</v>
      </c>
      <c r="AA6" s="23" t="s">
        <v>1342</v>
      </c>
      <c r="AB6" s="2" t="s">
        <v>1343</v>
      </c>
      <c r="AC6" s="23"/>
      <c r="AD6" s="154">
        <v>144460.85999999999</v>
      </c>
      <c r="AE6" s="154">
        <v>1</v>
      </c>
      <c r="AF6" s="154">
        <v>146.38999999999999</v>
      </c>
      <c r="AG6" s="152">
        <v>211.476</v>
      </c>
      <c r="AJ6" s="23" t="s">
        <v>37</v>
      </c>
      <c r="AK6" s="165">
        <v>1.7669285996447098E-2</v>
      </c>
      <c r="AL6" s="165">
        <v>8.83190539978137E-5</v>
      </c>
    </row>
    <row r="7" spans="1:38">
      <c r="A7" s="23" t="s">
        <v>26</v>
      </c>
      <c r="B7" s="23">
        <v>288</v>
      </c>
      <c r="C7" s="23" t="s">
        <v>2782</v>
      </c>
      <c r="D7" s="23" t="s">
        <v>2783</v>
      </c>
      <c r="E7" s="21" t="s">
        <v>1347</v>
      </c>
      <c r="F7" s="23" t="s">
        <v>2784</v>
      </c>
      <c r="G7" s="23" t="s">
        <v>2785</v>
      </c>
      <c r="H7" s="23" t="s">
        <v>342</v>
      </c>
      <c r="I7" s="23" t="s">
        <v>990</v>
      </c>
      <c r="J7" s="21" t="s">
        <v>31</v>
      </c>
      <c r="K7" s="21" t="s">
        <v>31</v>
      </c>
      <c r="L7" s="23" t="s">
        <v>121</v>
      </c>
      <c r="M7" s="23" t="s">
        <v>471</v>
      </c>
      <c r="N7" s="23" t="s">
        <v>163</v>
      </c>
      <c r="O7" s="23" t="s">
        <v>2786</v>
      </c>
      <c r="P7" s="23" t="s">
        <v>2098</v>
      </c>
      <c r="Q7" s="23" t="s">
        <v>99</v>
      </c>
      <c r="R7" s="23" t="s">
        <v>428</v>
      </c>
      <c r="S7" s="21" t="s">
        <v>35</v>
      </c>
      <c r="T7" s="154">
        <v>2.42</v>
      </c>
      <c r="U7" s="23" t="s">
        <v>2077</v>
      </c>
      <c r="V7" s="169">
        <v>6.0299999999999999E-2</v>
      </c>
      <c r="W7" s="165">
        <v>4.4699999999999997E-2</v>
      </c>
      <c r="X7" s="21" t="s">
        <v>434</v>
      </c>
      <c r="Y7" s="21" t="s">
        <v>163</v>
      </c>
      <c r="Z7" s="23" t="s">
        <v>916</v>
      </c>
      <c r="AA7" s="23" t="s">
        <v>918</v>
      </c>
      <c r="AB7" s="2" t="s">
        <v>1343</v>
      </c>
      <c r="AC7" s="23"/>
      <c r="AD7" s="154">
        <v>1015127.28</v>
      </c>
      <c r="AE7" s="154">
        <v>1</v>
      </c>
      <c r="AF7" s="154">
        <v>97.66</v>
      </c>
      <c r="AG7" s="154">
        <v>991.37300000000005</v>
      </c>
      <c r="AH7" s="23"/>
      <c r="AI7" s="23"/>
      <c r="AJ7" s="23" t="s">
        <v>37</v>
      </c>
      <c r="AK7" s="165">
        <v>8.2831325746398496E-2</v>
      </c>
      <c r="AL7" s="165">
        <v>4.1402829366040398E-4</v>
      </c>
    </row>
    <row r="8" spans="1:38">
      <c r="A8" s="23" t="s">
        <v>26</v>
      </c>
      <c r="B8" s="23">
        <v>288</v>
      </c>
      <c r="C8" s="23" t="s">
        <v>2787</v>
      </c>
      <c r="D8" s="23" t="s">
        <v>2788</v>
      </c>
      <c r="E8" s="21" t="s">
        <v>1347</v>
      </c>
      <c r="F8" s="23" t="s">
        <v>2789</v>
      </c>
      <c r="G8" s="23" t="s">
        <v>2790</v>
      </c>
      <c r="H8" s="23" t="s">
        <v>34</v>
      </c>
      <c r="I8" s="23" t="s">
        <v>990</v>
      </c>
      <c r="J8" s="21" t="s">
        <v>31</v>
      </c>
      <c r="K8" s="21" t="s">
        <v>31</v>
      </c>
      <c r="L8" s="23" t="s">
        <v>121</v>
      </c>
      <c r="M8" s="23" t="s">
        <v>483</v>
      </c>
      <c r="N8" s="23" t="s">
        <v>163</v>
      </c>
      <c r="O8" s="23" t="s">
        <v>2616</v>
      </c>
      <c r="P8" s="23" t="s">
        <v>1337</v>
      </c>
      <c r="Q8" s="23" t="s">
        <v>121</v>
      </c>
      <c r="R8" s="23" t="s">
        <v>430</v>
      </c>
      <c r="S8" s="21" t="s">
        <v>35</v>
      </c>
      <c r="T8" s="154">
        <v>0</v>
      </c>
      <c r="U8" s="23" t="s">
        <v>2791</v>
      </c>
      <c r="V8" s="169">
        <v>0</v>
      </c>
      <c r="W8" s="165">
        <v>0</v>
      </c>
      <c r="X8" s="21" t="s">
        <v>433</v>
      </c>
      <c r="Y8" s="21" t="s">
        <v>361</v>
      </c>
      <c r="Z8" s="23" t="s">
        <v>121</v>
      </c>
      <c r="AA8" s="23" t="s">
        <v>919</v>
      </c>
      <c r="AB8" s="2" t="s">
        <v>2792</v>
      </c>
      <c r="AC8" s="23"/>
      <c r="AD8" s="154">
        <v>167923.85</v>
      </c>
      <c r="AE8" s="154">
        <v>1</v>
      </c>
      <c r="AF8" s="154">
        <v>0</v>
      </c>
      <c r="AG8" s="154">
        <v>0</v>
      </c>
      <c r="AH8" s="23"/>
      <c r="AI8" s="23"/>
      <c r="AJ8" s="23" t="s">
        <v>37</v>
      </c>
      <c r="AK8" s="165">
        <v>1.40303910714736E-10</v>
      </c>
      <c r="AL8" s="165">
        <v>7.0130217310483399E-13</v>
      </c>
    </row>
    <row r="9" spans="1:38">
      <c r="A9" s="23" t="s">
        <v>26</v>
      </c>
      <c r="B9" s="23">
        <v>288</v>
      </c>
      <c r="C9" s="23" t="s">
        <v>2787</v>
      </c>
      <c r="D9" s="23" t="s">
        <v>2788</v>
      </c>
      <c r="E9" s="21" t="s">
        <v>1347</v>
      </c>
      <c r="F9" s="23" t="s">
        <v>2793</v>
      </c>
      <c r="G9" s="23" t="s">
        <v>2794</v>
      </c>
      <c r="H9" s="23" t="s">
        <v>342</v>
      </c>
      <c r="I9" s="23" t="s">
        <v>777</v>
      </c>
      <c r="J9" s="21" t="s">
        <v>31</v>
      </c>
      <c r="K9" s="21" t="s">
        <v>31</v>
      </c>
      <c r="L9" s="23" t="s">
        <v>121</v>
      </c>
      <c r="M9" s="23" t="s">
        <v>483</v>
      </c>
      <c r="N9" s="23" t="s">
        <v>163</v>
      </c>
      <c r="O9" s="23" t="s">
        <v>2616</v>
      </c>
      <c r="P9" s="23" t="s">
        <v>1337</v>
      </c>
      <c r="Q9" s="23" t="s">
        <v>121</v>
      </c>
      <c r="R9" s="23" t="s">
        <v>430</v>
      </c>
      <c r="S9" s="21" t="s">
        <v>35</v>
      </c>
      <c r="T9" s="154">
        <v>0</v>
      </c>
      <c r="U9" s="23" t="s">
        <v>2791</v>
      </c>
      <c r="V9" s="169">
        <v>0</v>
      </c>
      <c r="W9" s="165">
        <v>0</v>
      </c>
      <c r="X9" s="21" t="s">
        <v>433</v>
      </c>
      <c r="Y9" s="21" t="s">
        <v>361</v>
      </c>
      <c r="Z9" s="23" t="s">
        <v>121</v>
      </c>
      <c r="AA9" s="23" t="s">
        <v>919</v>
      </c>
      <c r="AB9" s="2" t="s">
        <v>2792</v>
      </c>
      <c r="AC9" s="23"/>
      <c r="AD9" s="154">
        <v>122989.29</v>
      </c>
      <c r="AE9" s="154">
        <v>1</v>
      </c>
      <c r="AF9" s="154">
        <v>0</v>
      </c>
      <c r="AG9" s="154">
        <v>0</v>
      </c>
      <c r="AH9" s="23"/>
      <c r="AI9" s="23"/>
      <c r="AJ9" s="23" t="s">
        <v>37</v>
      </c>
      <c r="AK9" s="165">
        <v>1.02760140164894E-10</v>
      </c>
      <c r="AL9" s="165">
        <v>5.13641488958362E-13</v>
      </c>
    </row>
    <row r="10" spans="1:38">
      <c r="A10" s="23" t="s">
        <v>26</v>
      </c>
      <c r="B10" s="23">
        <v>288</v>
      </c>
      <c r="C10" s="23" t="s">
        <v>2426</v>
      </c>
      <c r="D10" s="23" t="s">
        <v>2427</v>
      </c>
      <c r="E10" s="21" t="s">
        <v>1347</v>
      </c>
      <c r="F10" s="23" t="s">
        <v>2795</v>
      </c>
      <c r="G10" s="23" t="s">
        <v>2796</v>
      </c>
      <c r="H10" s="23" t="s">
        <v>342</v>
      </c>
      <c r="I10" s="23" t="s">
        <v>777</v>
      </c>
      <c r="J10" s="21" t="s">
        <v>31</v>
      </c>
      <c r="K10" s="21" t="s">
        <v>31</v>
      </c>
      <c r="L10" s="23" t="s">
        <v>121</v>
      </c>
      <c r="M10" s="23" t="s">
        <v>498</v>
      </c>
      <c r="N10" s="23" t="s">
        <v>163</v>
      </c>
      <c r="O10" s="23" t="s">
        <v>2797</v>
      </c>
      <c r="P10" s="23" t="s">
        <v>1202</v>
      </c>
      <c r="Q10" s="23" t="s">
        <v>435</v>
      </c>
      <c r="R10" s="23" t="s">
        <v>428</v>
      </c>
      <c r="S10" s="21" t="s">
        <v>35</v>
      </c>
      <c r="T10" s="154">
        <v>9.5500000000000007</v>
      </c>
      <c r="U10" s="23" t="s">
        <v>2798</v>
      </c>
      <c r="V10" s="169">
        <v>2.8199999999999999E-2</v>
      </c>
      <c r="W10" s="165">
        <v>4.1000000000000002E-2</v>
      </c>
      <c r="X10" s="21" t="s">
        <v>434</v>
      </c>
      <c r="Y10" s="21" t="s">
        <v>163</v>
      </c>
      <c r="Z10" s="23" t="s">
        <v>916</v>
      </c>
      <c r="AA10" s="23" t="s">
        <v>1342</v>
      </c>
      <c r="AB10" s="2" t="s">
        <v>1343</v>
      </c>
      <c r="AC10" s="23"/>
      <c r="AD10" s="154">
        <v>601562.78</v>
      </c>
      <c r="AE10" s="154">
        <v>1</v>
      </c>
      <c r="AF10" s="154">
        <v>133.69</v>
      </c>
      <c r="AG10" s="154">
        <v>804.22900000000004</v>
      </c>
      <c r="AH10" s="23"/>
      <c r="AI10" s="23"/>
      <c r="AJ10" s="23" t="s">
        <v>37</v>
      </c>
      <c r="AK10" s="165">
        <v>6.7195048932568502E-2</v>
      </c>
      <c r="AL10" s="165">
        <v>3.3587113572413599E-4</v>
      </c>
    </row>
    <row r="11" spans="1:38">
      <c r="A11" s="23" t="s">
        <v>26</v>
      </c>
      <c r="B11" s="23">
        <v>288</v>
      </c>
      <c r="C11" s="23" t="s">
        <v>2799</v>
      </c>
      <c r="D11" s="23" t="s">
        <v>2800</v>
      </c>
      <c r="E11" s="21" t="s">
        <v>1347</v>
      </c>
      <c r="F11" s="23" t="s">
        <v>2801</v>
      </c>
      <c r="G11" s="23" t="s">
        <v>2802</v>
      </c>
      <c r="H11" s="23" t="s">
        <v>342</v>
      </c>
      <c r="I11" s="23" t="s">
        <v>990</v>
      </c>
      <c r="J11" s="21" t="s">
        <v>31</v>
      </c>
      <c r="K11" s="21" t="s">
        <v>31</v>
      </c>
      <c r="L11" s="23" t="s">
        <v>121</v>
      </c>
      <c r="M11" s="23" t="s">
        <v>484</v>
      </c>
      <c r="N11" s="23" t="s">
        <v>163</v>
      </c>
      <c r="O11" s="23" t="s">
        <v>2803</v>
      </c>
      <c r="P11" s="23" t="s">
        <v>2022</v>
      </c>
      <c r="Q11" s="23" t="s">
        <v>437</v>
      </c>
      <c r="R11" s="23" t="s">
        <v>428</v>
      </c>
      <c r="S11" s="21" t="s">
        <v>35</v>
      </c>
      <c r="T11" s="154">
        <v>2.0099999999999998</v>
      </c>
      <c r="U11" s="23" t="s">
        <v>2804</v>
      </c>
      <c r="V11" s="169">
        <v>4.8099999999999997E-2</v>
      </c>
      <c r="W11" s="165">
        <v>3.1E-2</v>
      </c>
      <c r="X11" s="21" t="s">
        <v>434</v>
      </c>
      <c r="Y11" s="21" t="s">
        <v>163</v>
      </c>
      <c r="Z11" s="23" t="s">
        <v>916</v>
      </c>
      <c r="AA11" s="23" t="s">
        <v>1342</v>
      </c>
      <c r="AB11" s="2" t="s">
        <v>1343</v>
      </c>
      <c r="AC11" s="23"/>
      <c r="AD11" s="154">
        <v>852969.81</v>
      </c>
      <c r="AE11" s="154">
        <v>1</v>
      </c>
      <c r="AF11" s="154">
        <v>96.8</v>
      </c>
      <c r="AG11" s="154">
        <v>825.67499999999995</v>
      </c>
      <c r="AH11" s="23"/>
      <c r="AI11" s="23"/>
      <c r="AJ11" s="23" t="s">
        <v>37</v>
      </c>
      <c r="AK11" s="165">
        <v>6.8986865214522894E-2</v>
      </c>
      <c r="AL11" s="165">
        <v>3.4482744097562702E-4</v>
      </c>
    </row>
    <row r="12" spans="1:38">
      <c r="A12" s="23" t="s">
        <v>26</v>
      </c>
      <c r="B12" s="23">
        <v>288</v>
      </c>
      <c r="C12" s="23" t="s">
        <v>2805</v>
      </c>
      <c r="D12" s="23" t="s">
        <v>2806</v>
      </c>
      <c r="E12" s="21" t="s">
        <v>34</v>
      </c>
      <c r="F12" s="23" t="s">
        <v>2805</v>
      </c>
      <c r="G12" s="23" t="s">
        <v>2806</v>
      </c>
      <c r="H12" s="23" t="s">
        <v>34</v>
      </c>
      <c r="I12" s="23" t="s">
        <v>777</v>
      </c>
      <c r="J12" s="21" t="s">
        <v>31</v>
      </c>
      <c r="K12" s="21" t="s">
        <v>31</v>
      </c>
      <c r="L12" s="23" t="s">
        <v>121</v>
      </c>
      <c r="M12" s="23" t="s">
        <v>499</v>
      </c>
      <c r="N12" s="23" t="s">
        <v>163</v>
      </c>
      <c r="O12" s="23" t="s">
        <v>2616</v>
      </c>
      <c r="P12" s="23" t="s">
        <v>2775</v>
      </c>
      <c r="Q12" s="23" t="s">
        <v>435</v>
      </c>
      <c r="R12" s="23" t="s">
        <v>428</v>
      </c>
      <c r="S12" s="21" t="s">
        <v>35</v>
      </c>
      <c r="T12" s="154">
        <v>0.01</v>
      </c>
      <c r="U12" s="23" t="s">
        <v>2807</v>
      </c>
      <c r="V12" s="169">
        <v>4.9500000000000002E-2</v>
      </c>
      <c r="W12" s="165">
        <v>4.9500000000000002E-2</v>
      </c>
      <c r="X12" s="21" t="s">
        <v>433</v>
      </c>
      <c r="Y12" s="21" t="s">
        <v>361</v>
      </c>
      <c r="Z12" s="23" t="s">
        <v>121</v>
      </c>
      <c r="AA12" s="23" t="s">
        <v>919</v>
      </c>
      <c r="AB12" s="2" t="s">
        <v>1343</v>
      </c>
      <c r="AC12" s="23"/>
      <c r="AD12" s="154">
        <v>285426.40999999997</v>
      </c>
      <c r="AE12" s="154">
        <v>1</v>
      </c>
      <c r="AF12" s="154">
        <v>0</v>
      </c>
      <c r="AG12" s="154">
        <v>0</v>
      </c>
      <c r="AH12" s="23"/>
      <c r="AI12" s="23"/>
      <c r="AJ12" s="23" t="s">
        <v>37</v>
      </c>
      <c r="AK12" s="165">
        <v>2.38479772493708E-8</v>
      </c>
      <c r="AL12" s="165">
        <v>1.1920293728050601E-10</v>
      </c>
    </row>
    <row r="13" spans="1:38">
      <c r="A13" s="23" t="s">
        <v>26</v>
      </c>
      <c r="B13" s="23">
        <v>288</v>
      </c>
      <c r="C13" s="23" t="s">
        <v>2808</v>
      </c>
      <c r="D13" s="23" t="s">
        <v>2809</v>
      </c>
      <c r="E13" s="21" t="s">
        <v>1347</v>
      </c>
      <c r="F13" s="23" t="s">
        <v>2810</v>
      </c>
      <c r="G13" s="23" t="s">
        <v>2811</v>
      </c>
      <c r="H13" s="23" t="s">
        <v>342</v>
      </c>
      <c r="I13" s="23" t="s">
        <v>777</v>
      </c>
      <c r="J13" s="21" t="s">
        <v>31</v>
      </c>
      <c r="K13" s="21" t="s">
        <v>31</v>
      </c>
      <c r="L13" s="23" t="s">
        <v>121</v>
      </c>
      <c r="M13" s="23" t="s">
        <v>498</v>
      </c>
      <c r="N13" s="23" t="s">
        <v>163</v>
      </c>
      <c r="O13" s="23" t="s">
        <v>2812</v>
      </c>
      <c r="P13" s="23" t="s">
        <v>1981</v>
      </c>
      <c r="Q13" s="23" t="s">
        <v>435</v>
      </c>
      <c r="R13" s="23" t="s">
        <v>428</v>
      </c>
      <c r="S13" s="21" t="s">
        <v>35</v>
      </c>
      <c r="T13" s="154">
        <v>3.23</v>
      </c>
      <c r="U13" s="23" t="s">
        <v>2116</v>
      </c>
      <c r="V13" s="169">
        <v>2.86E-2</v>
      </c>
      <c r="W13" s="165">
        <v>3.6400000000000002E-2</v>
      </c>
      <c r="X13" s="21" t="s">
        <v>434</v>
      </c>
      <c r="Y13" s="21" t="s">
        <v>163</v>
      </c>
      <c r="Z13" s="23" t="s">
        <v>916</v>
      </c>
      <c r="AA13" s="23"/>
      <c r="AB13" s="2" t="s">
        <v>1343</v>
      </c>
      <c r="AC13" s="23"/>
      <c r="AD13" s="154">
        <v>1500000</v>
      </c>
      <c r="AE13" s="154">
        <v>1</v>
      </c>
      <c r="AF13" s="154">
        <v>104.38</v>
      </c>
      <c r="AG13" s="154">
        <v>1565.7</v>
      </c>
      <c r="AH13" s="23"/>
      <c r="AI13" s="23"/>
      <c r="AJ13" s="23" t="s">
        <v>37</v>
      </c>
      <c r="AK13" s="165">
        <v>0.13081753009239699</v>
      </c>
      <c r="AL13" s="165">
        <v>6.5388496775784899E-4</v>
      </c>
    </row>
    <row r="14" spans="1:38">
      <c r="A14" s="23" t="s">
        <v>26</v>
      </c>
      <c r="B14" s="23">
        <v>288</v>
      </c>
      <c r="C14" s="23" t="s">
        <v>2813</v>
      </c>
      <c r="D14" s="23" t="s">
        <v>2814</v>
      </c>
      <c r="E14" s="21" t="s">
        <v>1347</v>
      </c>
      <c r="F14" s="23" t="s">
        <v>2815</v>
      </c>
      <c r="G14" s="23" t="s">
        <v>2816</v>
      </c>
      <c r="H14" s="23" t="s">
        <v>342</v>
      </c>
      <c r="I14" s="23" t="s">
        <v>990</v>
      </c>
      <c r="J14" s="21" t="s">
        <v>31</v>
      </c>
      <c r="K14" s="21" t="s">
        <v>31</v>
      </c>
      <c r="L14" s="23" t="s">
        <v>121</v>
      </c>
      <c r="M14" s="23" t="s">
        <v>482</v>
      </c>
      <c r="N14" s="23" t="s">
        <v>163</v>
      </c>
      <c r="O14" s="23" t="s">
        <v>2817</v>
      </c>
      <c r="P14" s="23" t="s">
        <v>2102</v>
      </c>
      <c r="Q14" s="23" t="s">
        <v>99</v>
      </c>
      <c r="R14" s="23" t="s">
        <v>428</v>
      </c>
      <c r="S14" s="21" t="s">
        <v>35</v>
      </c>
      <c r="T14" s="154">
        <v>1.88</v>
      </c>
      <c r="U14" s="23" t="s">
        <v>2110</v>
      </c>
      <c r="V14" s="169">
        <v>5.8799999999999998E-2</v>
      </c>
      <c r="W14" s="165">
        <v>4.2999999999999997E-2</v>
      </c>
      <c r="X14" s="21" t="s">
        <v>434</v>
      </c>
      <c r="Y14" s="21" t="s">
        <v>163</v>
      </c>
      <c r="Z14" s="23" t="s">
        <v>916</v>
      </c>
      <c r="AA14" s="23"/>
      <c r="AB14" s="2" t="s">
        <v>1343</v>
      </c>
      <c r="AC14" s="23"/>
      <c r="AD14" s="154">
        <v>1190000</v>
      </c>
      <c r="AE14" s="154">
        <v>1</v>
      </c>
      <c r="AF14" s="154">
        <v>98.34</v>
      </c>
      <c r="AG14" s="154">
        <v>1170.2460000000001</v>
      </c>
      <c r="AH14" s="23"/>
      <c r="AI14" s="23"/>
      <c r="AJ14" s="23" t="s">
        <v>37</v>
      </c>
      <c r="AK14" s="165">
        <v>9.77765161400697E-2</v>
      </c>
      <c r="AL14" s="165">
        <v>4.8873109023360299E-4</v>
      </c>
    </row>
    <row r="15" spans="1:38">
      <c r="A15" s="23" t="s">
        <v>26</v>
      </c>
      <c r="B15" s="23">
        <v>288</v>
      </c>
      <c r="C15" s="23" t="s">
        <v>2782</v>
      </c>
      <c r="D15" s="23" t="s">
        <v>2783</v>
      </c>
      <c r="E15" s="21" t="s">
        <v>1347</v>
      </c>
      <c r="F15" s="23" t="s">
        <v>2784</v>
      </c>
      <c r="G15" s="23" t="s">
        <v>2785</v>
      </c>
      <c r="H15" s="23" t="s">
        <v>342</v>
      </c>
      <c r="I15" s="23" t="s">
        <v>990</v>
      </c>
      <c r="J15" s="21" t="s">
        <v>31</v>
      </c>
      <c r="K15" s="21" t="s">
        <v>31</v>
      </c>
      <c r="L15" s="23" t="s">
        <v>121</v>
      </c>
      <c r="M15" s="23" t="s">
        <v>471</v>
      </c>
      <c r="N15" s="23" t="s">
        <v>163</v>
      </c>
      <c r="O15" s="23" t="s">
        <v>2786</v>
      </c>
      <c r="P15" s="23" t="s">
        <v>2098</v>
      </c>
      <c r="Q15" s="23" t="s">
        <v>99</v>
      </c>
      <c r="R15" s="23" t="s">
        <v>428</v>
      </c>
      <c r="S15" s="21" t="s">
        <v>35</v>
      </c>
      <c r="T15" s="154">
        <v>2.42</v>
      </c>
      <c r="U15" s="23" t="s">
        <v>2077</v>
      </c>
      <c r="V15" s="169">
        <v>6.0299999999999999E-2</v>
      </c>
      <c r="W15" s="165">
        <v>4.4699999999999997E-2</v>
      </c>
      <c r="X15" s="21" t="s">
        <v>434</v>
      </c>
      <c r="Y15" s="21" t="s">
        <v>163</v>
      </c>
      <c r="Z15" s="23" t="s">
        <v>916</v>
      </c>
      <c r="AA15" s="23" t="s">
        <v>918</v>
      </c>
      <c r="AB15" s="2" t="s">
        <v>1343</v>
      </c>
      <c r="AC15" s="23"/>
      <c r="AD15" s="154">
        <v>1736640.14</v>
      </c>
      <c r="AE15" s="154">
        <v>1</v>
      </c>
      <c r="AF15" s="154">
        <v>97.66</v>
      </c>
      <c r="AG15" s="154">
        <v>1696.0029999999999</v>
      </c>
      <c r="AH15" s="23"/>
      <c r="AI15" s="23"/>
      <c r="AJ15" s="23" t="s">
        <v>37</v>
      </c>
      <c r="AK15" s="165">
        <v>0.14170459997943399</v>
      </c>
      <c r="AL15" s="165">
        <v>7.0830344926437697E-4</v>
      </c>
    </row>
    <row r="16" spans="1:38">
      <c r="A16" s="23" t="s">
        <v>26</v>
      </c>
      <c r="B16" s="23">
        <v>288</v>
      </c>
      <c r="C16" s="23" t="s">
        <v>2426</v>
      </c>
      <c r="D16" s="23" t="s">
        <v>2427</v>
      </c>
      <c r="E16" s="21" t="s">
        <v>1347</v>
      </c>
      <c r="F16" s="23" t="s">
        <v>2795</v>
      </c>
      <c r="G16" s="23" t="s">
        <v>2796</v>
      </c>
      <c r="H16" s="23" t="s">
        <v>342</v>
      </c>
      <c r="I16" s="23" t="s">
        <v>777</v>
      </c>
      <c r="J16" s="21" t="s">
        <v>31</v>
      </c>
      <c r="K16" s="21" t="s">
        <v>31</v>
      </c>
      <c r="L16" s="23" t="s">
        <v>121</v>
      </c>
      <c r="M16" s="23" t="s">
        <v>498</v>
      </c>
      <c r="N16" s="23" t="s">
        <v>163</v>
      </c>
      <c r="O16" s="23" t="s">
        <v>2797</v>
      </c>
      <c r="P16" s="23" t="s">
        <v>1202</v>
      </c>
      <c r="Q16" s="23" t="s">
        <v>435</v>
      </c>
      <c r="R16" s="23" t="s">
        <v>428</v>
      </c>
      <c r="S16" s="21" t="s">
        <v>35</v>
      </c>
      <c r="T16" s="154">
        <v>9.5500000000000007</v>
      </c>
      <c r="U16" s="23" t="s">
        <v>2798</v>
      </c>
      <c r="V16" s="169">
        <v>2.8199999999999999E-2</v>
      </c>
      <c r="W16" s="165">
        <v>4.1000000000000002E-2</v>
      </c>
      <c r="X16" s="21" t="s">
        <v>434</v>
      </c>
      <c r="Y16" s="21" t="s">
        <v>163</v>
      </c>
      <c r="Z16" s="23" t="s">
        <v>916</v>
      </c>
      <c r="AA16" s="23" t="s">
        <v>1342</v>
      </c>
      <c r="AB16" s="2" t="s">
        <v>1343</v>
      </c>
      <c r="AC16" s="23"/>
      <c r="AD16" s="154">
        <v>2115384.7200000002</v>
      </c>
      <c r="AE16" s="154">
        <v>1</v>
      </c>
      <c r="AF16" s="154">
        <v>133.69</v>
      </c>
      <c r="AG16" s="154">
        <v>2828.058</v>
      </c>
      <c r="AH16" s="23"/>
      <c r="AI16" s="23"/>
      <c r="AJ16" s="23" t="s">
        <v>37</v>
      </c>
      <c r="AK16" s="165">
        <v>0.23629018366396901</v>
      </c>
      <c r="AL16" s="165">
        <v>1.18108482110526E-3</v>
      </c>
    </row>
    <row r="17" spans="1:38">
      <c r="A17" s="23" t="s">
        <v>26</v>
      </c>
      <c r="B17" s="23">
        <v>288</v>
      </c>
      <c r="C17" s="23" t="s">
        <v>2818</v>
      </c>
      <c r="D17" s="23" t="s">
        <v>2819</v>
      </c>
      <c r="E17" s="21" t="s">
        <v>1347</v>
      </c>
      <c r="F17" s="23" t="s">
        <v>2820</v>
      </c>
      <c r="G17" s="23" t="s">
        <v>2821</v>
      </c>
      <c r="H17" s="23" t="s">
        <v>342</v>
      </c>
      <c r="I17" s="23" t="s">
        <v>990</v>
      </c>
      <c r="J17" s="21" t="s">
        <v>31</v>
      </c>
      <c r="K17" s="21" t="s">
        <v>31</v>
      </c>
      <c r="L17" s="23" t="s">
        <v>121</v>
      </c>
      <c r="M17" s="23" t="s">
        <v>499</v>
      </c>
      <c r="N17" s="23" t="s">
        <v>163</v>
      </c>
      <c r="O17" s="23" t="s">
        <v>2822</v>
      </c>
      <c r="P17" s="23" t="s">
        <v>2010</v>
      </c>
      <c r="Q17" s="23" t="s">
        <v>437</v>
      </c>
      <c r="R17" s="23" t="s">
        <v>428</v>
      </c>
      <c r="S17" s="21" t="s">
        <v>35</v>
      </c>
      <c r="T17" s="154">
        <v>1.06</v>
      </c>
      <c r="U17" s="23" t="s">
        <v>2823</v>
      </c>
      <c r="V17" s="169">
        <v>6.7000000000000004E-2</v>
      </c>
      <c r="W17" s="165">
        <v>6.5000000000000002E-2</v>
      </c>
      <c r="X17" s="21" t="s">
        <v>434</v>
      </c>
      <c r="Y17" s="21" t="s">
        <v>163</v>
      </c>
      <c r="Z17" s="23" t="s">
        <v>121</v>
      </c>
      <c r="AA17" s="23"/>
      <c r="AB17" s="2" t="s">
        <v>1343</v>
      </c>
      <c r="AC17" s="23"/>
      <c r="AD17" s="154">
        <v>1489716.2</v>
      </c>
      <c r="AE17" s="154">
        <v>1</v>
      </c>
      <c r="AF17" s="154">
        <v>99.79</v>
      </c>
      <c r="AG17" s="154">
        <v>1486.588</v>
      </c>
      <c r="AH17" s="23"/>
      <c r="AI17" s="23"/>
      <c r="AJ17" s="23" t="s">
        <v>37</v>
      </c>
      <c r="AK17" s="165">
        <v>0.124207538951015</v>
      </c>
      <c r="AL17" s="165">
        <v>6.2084525326920495E-4</v>
      </c>
    </row>
    <row r="18" spans="1:38">
      <c r="A18" s="23" t="s">
        <v>26</v>
      </c>
      <c r="B18" s="23">
        <v>1451</v>
      </c>
      <c r="C18" s="23" t="s">
        <v>2782</v>
      </c>
      <c r="D18" s="23" t="s">
        <v>2783</v>
      </c>
      <c r="E18" s="21" t="s">
        <v>1347</v>
      </c>
      <c r="F18" s="23" t="s">
        <v>2784</v>
      </c>
      <c r="G18" s="23" t="s">
        <v>2785</v>
      </c>
      <c r="H18" s="23" t="s">
        <v>342</v>
      </c>
      <c r="I18" s="23" t="s">
        <v>990</v>
      </c>
      <c r="J18" s="21" t="s">
        <v>31</v>
      </c>
      <c r="K18" s="21" t="s">
        <v>31</v>
      </c>
      <c r="L18" s="23" t="s">
        <v>121</v>
      </c>
      <c r="M18" s="23" t="s">
        <v>471</v>
      </c>
      <c r="N18" s="23" t="s">
        <v>163</v>
      </c>
      <c r="O18" s="23" t="s">
        <v>2824</v>
      </c>
      <c r="P18" s="23" t="s">
        <v>2098</v>
      </c>
      <c r="Q18" s="23" t="s">
        <v>99</v>
      </c>
      <c r="R18" s="23" t="s">
        <v>428</v>
      </c>
      <c r="S18" s="21" t="s">
        <v>35</v>
      </c>
      <c r="T18" s="154">
        <v>2.42</v>
      </c>
      <c r="U18" s="23" t="s">
        <v>2077</v>
      </c>
      <c r="V18" s="169">
        <v>6.0299999999999999E-2</v>
      </c>
      <c r="W18" s="165">
        <v>4.4699999999999997E-2</v>
      </c>
      <c r="X18" s="21" t="s">
        <v>434</v>
      </c>
      <c r="Y18" s="21" t="s">
        <v>163</v>
      </c>
      <c r="Z18" s="23" t="s">
        <v>916</v>
      </c>
      <c r="AA18" s="23" t="s">
        <v>918</v>
      </c>
      <c r="AB18" s="2" t="s">
        <v>1343</v>
      </c>
      <c r="AC18" s="23"/>
      <c r="AD18" s="154">
        <v>80473.600000000006</v>
      </c>
      <c r="AE18" s="154">
        <v>1</v>
      </c>
      <c r="AF18" s="154">
        <v>97.66</v>
      </c>
      <c r="AG18" s="154">
        <v>78.590999999999994</v>
      </c>
      <c r="AH18" s="23"/>
      <c r="AI18" s="23"/>
      <c r="AJ18" s="23" t="s">
        <v>37</v>
      </c>
      <c r="AK18" s="165">
        <v>1</v>
      </c>
      <c r="AL18" s="165">
        <v>1.39038202173918E-3</v>
      </c>
    </row>
    <row r="19" spans="1:3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8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8">
      <c r="L21" s="2"/>
    </row>
    <row r="22" spans="1:38">
      <c r="L22" s="2"/>
    </row>
    <row r="23" spans="1:38">
      <c r="L23" s="2"/>
    </row>
    <row r="24" spans="1:38">
      <c r="L24" s="2"/>
    </row>
    <row r="25" spans="1:38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zoomScale="70" zoomScaleNormal="70" workbookViewId="0">
      <selection activeCell="O15" sqref="O1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0" width="11.625" style="2" customWidth="1"/>
    <col min="21" max="21" width="12.5" style="2" bestFit="1" customWidth="1"/>
    <col min="22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347</v>
      </c>
      <c r="M1" s="22" t="s">
        <v>172</v>
      </c>
      <c r="N1" s="22" t="s">
        <v>149</v>
      </c>
      <c r="O1" s="22" t="s">
        <v>180</v>
      </c>
      <c r="P1" s="22" t="s">
        <v>11</v>
      </c>
      <c r="Q1" s="22" t="s">
        <v>173</v>
      </c>
      <c r="R1" s="22" t="s">
        <v>174</v>
      </c>
      <c r="S1" s="22" t="s">
        <v>158</v>
      </c>
      <c r="T1" s="22" t="s">
        <v>175</v>
      </c>
      <c r="U1" s="22" t="s">
        <v>17</v>
      </c>
      <c r="V1" s="22" t="s">
        <v>18</v>
      </c>
      <c r="W1" s="22" t="s">
        <v>19</v>
      </c>
      <c r="X1" s="22" t="s">
        <v>20</v>
      </c>
      <c r="Y1" s="164" t="s">
        <v>24</v>
      </c>
      <c r="Z1" s="164" t="s">
        <v>25</v>
      </c>
    </row>
    <row r="2" spans="1:26">
      <c r="A2" s="23" t="s">
        <v>26</v>
      </c>
      <c r="B2" s="23">
        <v>288</v>
      </c>
      <c r="C2" s="23" t="s">
        <v>2719</v>
      </c>
      <c r="D2" s="23" t="s">
        <v>2720</v>
      </c>
      <c r="E2" s="21" t="s">
        <v>1347</v>
      </c>
      <c r="F2" s="23" t="s">
        <v>2721</v>
      </c>
      <c r="G2" s="23" t="s">
        <v>2722</v>
      </c>
      <c r="H2" s="21" t="s">
        <v>342</v>
      </c>
      <c r="I2" s="23" t="s">
        <v>789</v>
      </c>
      <c r="J2" s="21" t="s">
        <v>31</v>
      </c>
      <c r="K2" s="21" t="s">
        <v>31</v>
      </c>
      <c r="L2" s="23" t="s">
        <v>121</v>
      </c>
      <c r="M2" s="23" t="s">
        <v>464</v>
      </c>
      <c r="N2" s="23" t="s">
        <v>163</v>
      </c>
      <c r="O2" s="23" t="s">
        <v>2616</v>
      </c>
      <c r="P2" s="21" t="s">
        <v>35</v>
      </c>
      <c r="Q2" s="23" t="s">
        <v>121</v>
      </c>
      <c r="R2" s="23" t="s">
        <v>919</v>
      </c>
      <c r="S2" s="23" t="s">
        <v>1343</v>
      </c>
      <c r="T2" s="23"/>
      <c r="U2" s="154">
        <v>2811.56</v>
      </c>
      <c r="V2" s="154">
        <v>1</v>
      </c>
      <c r="W2" s="154">
        <v>0</v>
      </c>
      <c r="X2" s="154">
        <v>0</v>
      </c>
      <c r="Y2" s="169">
        <v>3.4980493872133497E-12</v>
      </c>
      <c r="Z2" s="169">
        <v>1.17419481378888E-14</v>
      </c>
    </row>
    <row r="3" spans="1:26">
      <c r="A3" s="23" t="s">
        <v>26</v>
      </c>
      <c r="B3" s="23">
        <v>288</v>
      </c>
      <c r="C3" s="23" t="s">
        <v>2723</v>
      </c>
      <c r="D3" s="23" t="s">
        <v>2724</v>
      </c>
      <c r="E3" s="21" t="s">
        <v>1347</v>
      </c>
      <c r="F3" s="23" t="s">
        <v>2723</v>
      </c>
      <c r="G3" s="23" t="s">
        <v>2725</v>
      </c>
      <c r="H3" s="21" t="s">
        <v>342</v>
      </c>
      <c r="I3" s="23" t="s">
        <v>789</v>
      </c>
      <c r="J3" s="21" t="s">
        <v>31</v>
      </c>
      <c r="K3" s="21" t="s">
        <v>31</v>
      </c>
      <c r="L3" s="23" t="s">
        <v>121</v>
      </c>
      <c r="M3" s="23" t="s">
        <v>486</v>
      </c>
      <c r="N3" s="23" t="s">
        <v>163</v>
      </c>
      <c r="O3" s="23" t="s">
        <v>2616</v>
      </c>
      <c r="P3" s="21" t="s">
        <v>35</v>
      </c>
      <c r="Q3" s="23" t="s">
        <v>121</v>
      </c>
      <c r="R3" s="23" t="s">
        <v>919</v>
      </c>
      <c r="S3" s="23" t="s">
        <v>2726</v>
      </c>
      <c r="T3" s="23"/>
      <c r="U3" s="154">
        <v>11405</v>
      </c>
      <c r="V3" s="154">
        <v>1</v>
      </c>
      <c r="W3" s="154">
        <v>0</v>
      </c>
      <c r="X3" s="154">
        <v>0</v>
      </c>
      <c r="Y3" s="169">
        <v>1.4189721457542498E-11</v>
      </c>
      <c r="Z3" s="169">
        <v>4.7630823639766603E-14</v>
      </c>
    </row>
    <row r="4" spans="1:26">
      <c r="A4" s="23" t="s">
        <v>26</v>
      </c>
      <c r="B4" s="23">
        <v>288</v>
      </c>
      <c r="C4" s="23" t="s">
        <v>2727</v>
      </c>
      <c r="D4" s="23" t="s">
        <v>2728</v>
      </c>
      <c r="E4" s="21" t="s">
        <v>1347</v>
      </c>
      <c r="F4" s="23" t="s">
        <v>2729</v>
      </c>
      <c r="G4" s="23" t="s">
        <v>2730</v>
      </c>
      <c r="H4" s="21" t="s">
        <v>34</v>
      </c>
      <c r="I4" s="23" t="s">
        <v>789</v>
      </c>
      <c r="J4" s="21" t="s">
        <v>31</v>
      </c>
      <c r="K4" s="21" t="s">
        <v>31</v>
      </c>
      <c r="L4" s="23" t="s">
        <v>121</v>
      </c>
      <c r="M4" s="23" t="s">
        <v>484</v>
      </c>
      <c r="N4" s="23" t="s">
        <v>163</v>
      </c>
      <c r="O4" s="2" t="s">
        <v>2731</v>
      </c>
      <c r="P4" s="21" t="s">
        <v>35</v>
      </c>
      <c r="Q4" s="23" t="s">
        <v>121</v>
      </c>
      <c r="R4" s="23" t="s">
        <v>919</v>
      </c>
      <c r="S4" s="23" t="s">
        <v>2732</v>
      </c>
      <c r="T4" s="23"/>
      <c r="U4" s="154">
        <v>397</v>
      </c>
      <c r="V4" s="154">
        <v>1</v>
      </c>
      <c r="W4" s="154">
        <v>170152.62400000001</v>
      </c>
      <c r="X4" s="154">
        <v>675.50599999999997</v>
      </c>
      <c r="Y4" s="169">
        <v>8.4044198238710704E-2</v>
      </c>
      <c r="Z4" s="169">
        <v>2.8211225965438398E-4</v>
      </c>
    </row>
    <row r="5" spans="1:26">
      <c r="A5" s="23" t="s">
        <v>26</v>
      </c>
      <c r="B5" s="23">
        <v>288</v>
      </c>
      <c r="C5" s="23" t="s">
        <v>2733</v>
      </c>
      <c r="D5" s="23" t="s">
        <v>2734</v>
      </c>
      <c r="E5" s="21" t="s">
        <v>1347</v>
      </c>
      <c r="F5" s="23" t="s">
        <v>2735</v>
      </c>
      <c r="G5" s="23" t="s">
        <v>2736</v>
      </c>
      <c r="H5" s="21" t="s">
        <v>34</v>
      </c>
      <c r="I5" s="23" t="s">
        <v>789</v>
      </c>
      <c r="J5" s="21" t="s">
        <v>31</v>
      </c>
      <c r="K5" s="21" t="s">
        <v>31</v>
      </c>
      <c r="L5" s="23" t="s">
        <v>121</v>
      </c>
      <c r="M5" s="23" t="s">
        <v>482</v>
      </c>
      <c r="N5" s="23" t="s">
        <v>163</v>
      </c>
      <c r="O5" s="23" t="s">
        <v>2737</v>
      </c>
      <c r="P5" s="21" t="s">
        <v>35</v>
      </c>
      <c r="Q5" s="23" t="s">
        <v>121</v>
      </c>
      <c r="R5" s="23" t="s">
        <v>919</v>
      </c>
      <c r="S5" s="23" t="s">
        <v>2738</v>
      </c>
      <c r="T5" s="23"/>
      <c r="U5" s="154">
        <v>209969.79</v>
      </c>
      <c r="V5" s="154">
        <v>1</v>
      </c>
      <c r="W5" s="154">
        <v>1E-3</v>
      </c>
      <c r="X5" s="154">
        <v>2E-3</v>
      </c>
      <c r="Y5" s="169">
        <v>2.6123742521689603E-7</v>
      </c>
      <c r="Z5" s="169">
        <v>8.7689908261015703E-10</v>
      </c>
    </row>
    <row r="6" spans="1:26">
      <c r="A6" s="23" t="s">
        <v>26</v>
      </c>
      <c r="B6" s="23">
        <v>288</v>
      </c>
      <c r="C6" s="23" t="s">
        <v>2739</v>
      </c>
      <c r="D6" s="23" t="s">
        <v>2740</v>
      </c>
      <c r="E6" s="21" t="s">
        <v>1347</v>
      </c>
      <c r="F6" s="23" t="s">
        <v>2741</v>
      </c>
      <c r="G6" s="23" t="s">
        <v>2742</v>
      </c>
      <c r="H6" s="21" t="s">
        <v>34</v>
      </c>
      <c r="I6" s="23" t="s">
        <v>789</v>
      </c>
      <c r="J6" s="21" t="s">
        <v>31</v>
      </c>
      <c r="K6" s="21" t="s">
        <v>31</v>
      </c>
      <c r="L6" s="23" t="s">
        <v>121</v>
      </c>
      <c r="M6" s="23" t="s">
        <v>467</v>
      </c>
      <c r="N6" s="23" t="s">
        <v>163</v>
      </c>
      <c r="O6" s="23" t="s">
        <v>2743</v>
      </c>
      <c r="P6" s="21" t="s">
        <v>35</v>
      </c>
      <c r="Q6" s="23" t="s">
        <v>121</v>
      </c>
      <c r="R6" s="23" t="s">
        <v>919</v>
      </c>
      <c r="S6" s="23" t="s">
        <v>2744</v>
      </c>
      <c r="T6" s="23"/>
      <c r="U6" s="154">
        <v>2235</v>
      </c>
      <c r="V6" s="154">
        <v>1</v>
      </c>
      <c r="W6" s="154">
        <v>0</v>
      </c>
      <c r="X6" s="154">
        <v>0</v>
      </c>
      <c r="Y6" s="169">
        <v>2.7807126223241996E-12</v>
      </c>
      <c r="Z6" s="169">
        <v>9.3340544353247009E-15</v>
      </c>
    </row>
    <row r="7" spans="1:26">
      <c r="A7" s="23" t="s">
        <v>26</v>
      </c>
      <c r="B7" s="23">
        <v>288</v>
      </c>
      <c r="C7" s="23" t="s">
        <v>2745</v>
      </c>
      <c r="D7" s="23" t="s">
        <v>2746</v>
      </c>
      <c r="E7" s="21" t="s">
        <v>34</v>
      </c>
      <c r="F7" s="23" t="s">
        <v>2745</v>
      </c>
      <c r="G7" s="23" t="s">
        <v>2747</v>
      </c>
      <c r="H7" s="21" t="s">
        <v>34</v>
      </c>
      <c r="I7" s="23" t="s">
        <v>789</v>
      </c>
      <c r="J7" s="21" t="s">
        <v>120</v>
      </c>
      <c r="K7" s="21" t="s">
        <v>127</v>
      </c>
      <c r="L7" s="23" t="s">
        <v>121</v>
      </c>
      <c r="M7" s="23" t="s">
        <v>590</v>
      </c>
      <c r="N7" s="23" t="s">
        <v>163</v>
      </c>
      <c r="O7" s="23" t="s">
        <v>2748</v>
      </c>
      <c r="P7" s="21" t="s">
        <v>100</v>
      </c>
      <c r="Q7" s="23" t="s">
        <v>917</v>
      </c>
      <c r="R7" s="23" t="s">
        <v>919</v>
      </c>
      <c r="S7" s="23" t="s">
        <v>2748</v>
      </c>
      <c r="T7" s="23"/>
      <c r="U7" s="154">
        <v>2000000</v>
      </c>
      <c r="V7" s="154">
        <v>3.681</v>
      </c>
      <c r="W7" s="154">
        <v>100</v>
      </c>
      <c r="X7" s="154">
        <v>7362</v>
      </c>
      <c r="Y7" s="169">
        <v>0.9159555402931</v>
      </c>
      <c r="Z7" s="169">
        <v>3.07459994419958E-3</v>
      </c>
    </row>
    <row r="8" spans="1:26">
      <c r="A8" s="23" t="s">
        <v>26</v>
      </c>
      <c r="B8" s="23">
        <v>288</v>
      </c>
      <c r="C8" s="23" t="s">
        <v>2749</v>
      </c>
      <c r="D8" s="23" t="s">
        <v>2750</v>
      </c>
      <c r="E8" s="21" t="s">
        <v>34</v>
      </c>
      <c r="F8" s="23" t="s">
        <v>2749</v>
      </c>
      <c r="G8" s="23" t="s">
        <v>2751</v>
      </c>
      <c r="H8" s="21" t="s">
        <v>34</v>
      </c>
      <c r="I8" s="23" t="s">
        <v>789</v>
      </c>
      <c r="J8" s="21" t="s">
        <v>31</v>
      </c>
      <c r="K8" s="21" t="s">
        <v>31</v>
      </c>
      <c r="L8" s="23" t="s">
        <v>121</v>
      </c>
      <c r="M8" s="23" t="s">
        <v>590</v>
      </c>
      <c r="N8" s="23" t="s">
        <v>163</v>
      </c>
      <c r="O8" s="23" t="s">
        <v>2616</v>
      </c>
      <c r="P8" s="21" t="s">
        <v>100</v>
      </c>
      <c r="Q8" s="23" t="s">
        <v>121</v>
      </c>
      <c r="R8" s="23" t="s">
        <v>919</v>
      </c>
      <c r="S8" s="23" t="s">
        <v>2752</v>
      </c>
      <c r="T8" s="23"/>
      <c r="U8" s="154">
        <v>20898</v>
      </c>
      <c r="V8" s="154">
        <v>3.681</v>
      </c>
      <c r="W8" s="154">
        <v>0</v>
      </c>
      <c r="X8" s="154">
        <v>0</v>
      </c>
      <c r="Y8" s="169">
        <v>9.5708194405226001E-11</v>
      </c>
      <c r="Z8" s="169">
        <v>3.2126494816941398E-13</v>
      </c>
    </row>
    <row r="9" spans="1:26">
      <c r="A9" s="23" t="s">
        <v>26</v>
      </c>
      <c r="B9" s="23">
        <v>288</v>
      </c>
      <c r="C9" s="23" t="s">
        <v>2753</v>
      </c>
      <c r="D9" s="23" t="s">
        <v>2754</v>
      </c>
      <c r="E9" s="21" t="s">
        <v>34</v>
      </c>
      <c r="F9" s="23" t="s">
        <v>2753</v>
      </c>
      <c r="G9" s="23" t="s">
        <v>2755</v>
      </c>
      <c r="H9" s="21" t="s">
        <v>34</v>
      </c>
      <c r="I9" s="23" t="s">
        <v>789</v>
      </c>
      <c r="J9" s="21" t="s">
        <v>120</v>
      </c>
      <c r="K9" s="21" t="s">
        <v>31</v>
      </c>
      <c r="L9" s="23" t="s">
        <v>121</v>
      </c>
      <c r="M9" s="23" t="s">
        <v>1838</v>
      </c>
      <c r="N9" s="23" t="s">
        <v>163</v>
      </c>
      <c r="O9" s="23" t="s">
        <v>2616</v>
      </c>
      <c r="P9" s="21" t="s">
        <v>35</v>
      </c>
      <c r="Q9" s="23" t="s">
        <v>121</v>
      </c>
      <c r="R9" s="23" t="s">
        <v>919</v>
      </c>
      <c r="S9" s="23" t="s">
        <v>2756</v>
      </c>
      <c r="T9" s="23"/>
      <c r="U9" s="154">
        <v>921</v>
      </c>
      <c r="V9" s="154">
        <v>1</v>
      </c>
      <c r="W9" s="154">
        <v>0</v>
      </c>
      <c r="X9" s="154">
        <v>0</v>
      </c>
      <c r="Y9" s="169">
        <v>1.14587755040742E-10</v>
      </c>
      <c r="Z9" s="169">
        <v>3.8463821632814597E-13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abSelected="1" topLeftCell="G1" zoomScale="70" zoomScaleNormal="70" workbookViewId="0">
      <selection activeCell="X28" sqref="X28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212</v>
      </c>
      <c r="D1" s="22" t="s">
        <v>213</v>
      </c>
      <c r="E1" s="22" t="s">
        <v>214</v>
      </c>
      <c r="F1" s="22" t="s">
        <v>215</v>
      </c>
      <c r="G1" s="22" t="s">
        <v>216</v>
      </c>
      <c r="H1" s="22" t="s">
        <v>217</v>
      </c>
      <c r="I1" s="22" t="s">
        <v>5</v>
      </c>
      <c r="J1" s="22" t="s">
        <v>854</v>
      </c>
      <c r="K1" s="22" t="s">
        <v>6</v>
      </c>
      <c r="L1" s="22" t="s">
        <v>1153</v>
      </c>
      <c r="M1" s="22" t="s">
        <v>1154</v>
      </c>
      <c r="N1" s="22" t="s">
        <v>7</v>
      </c>
      <c r="O1" s="22" t="s">
        <v>149</v>
      </c>
      <c r="P1" s="32" t="s">
        <v>180</v>
      </c>
      <c r="Q1" s="22" t="s">
        <v>11</v>
      </c>
      <c r="R1" s="22" t="s">
        <v>173</v>
      </c>
      <c r="S1" s="22" t="s">
        <v>174</v>
      </c>
      <c r="T1" s="22" t="s">
        <v>158</v>
      </c>
      <c r="U1" s="22" t="s">
        <v>18</v>
      </c>
      <c r="V1" s="108" t="s">
        <v>2597</v>
      </c>
      <c r="W1" s="22" t="s">
        <v>20</v>
      </c>
      <c r="X1" s="22" t="s">
        <v>1156</v>
      </c>
      <c r="Y1" s="164" t="s">
        <v>24</v>
      </c>
      <c r="Z1" s="164" t="s">
        <v>25</v>
      </c>
      <c r="AA1" s="11"/>
    </row>
    <row r="2" spans="1:27">
      <c r="A2" s="23" t="s">
        <v>26</v>
      </c>
      <c r="B2" s="23">
        <v>288</v>
      </c>
      <c r="C2" s="23" t="s">
        <v>2598</v>
      </c>
      <c r="D2" s="23" t="s">
        <v>2599</v>
      </c>
      <c r="E2" s="23" t="s">
        <v>334</v>
      </c>
      <c r="F2" s="23" t="s">
        <v>2600</v>
      </c>
      <c r="G2" s="23">
        <v>50007921</v>
      </c>
      <c r="H2" s="23" t="s">
        <v>34</v>
      </c>
      <c r="I2" s="2" t="s">
        <v>1049</v>
      </c>
      <c r="J2" s="23" t="s">
        <v>868</v>
      </c>
      <c r="K2" s="21" t="s">
        <v>31</v>
      </c>
      <c r="L2" s="23" t="s">
        <v>241</v>
      </c>
      <c r="M2" s="23" t="s">
        <v>2601</v>
      </c>
      <c r="N2" s="21" t="s">
        <v>31</v>
      </c>
      <c r="O2" s="23" t="s">
        <v>163</v>
      </c>
      <c r="P2" t="s">
        <v>2602</v>
      </c>
      <c r="Q2" s="21" t="s">
        <v>35</v>
      </c>
      <c r="R2" s="23" t="s">
        <v>915</v>
      </c>
      <c r="S2" s="23" t="s">
        <v>918</v>
      </c>
      <c r="T2" s="23" t="s">
        <v>2603</v>
      </c>
      <c r="U2" s="154">
        <v>1</v>
      </c>
      <c r="V2" s="154">
        <v>3911.4360000000001</v>
      </c>
      <c r="W2" s="154">
        <v>3911.4360000000001</v>
      </c>
      <c r="X2" s="175">
        <v>3.4285714285714301E-3</v>
      </c>
      <c r="Y2" s="169">
        <v>3.1545236105659999E-2</v>
      </c>
      <c r="Z2" s="169">
        <v>1.63353720556102E-3</v>
      </c>
    </row>
    <row r="3" spans="1:27">
      <c r="A3" s="23" t="s">
        <v>26</v>
      </c>
      <c r="B3" s="23">
        <v>288</v>
      </c>
      <c r="C3" s="23" t="s">
        <v>2604</v>
      </c>
      <c r="D3" s="2" t="s">
        <v>2605</v>
      </c>
      <c r="E3" s="23" t="s">
        <v>1347</v>
      </c>
      <c r="F3" s="23" t="s">
        <v>2604</v>
      </c>
      <c r="G3" s="23">
        <v>9840805</v>
      </c>
      <c r="H3" s="23" t="s">
        <v>34</v>
      </c>
      <c r="I3" s="2" t="s">
        <v>1049</v>
      </c>
      <c r="J3" s="23" t="s">
        <v>590</v>
      </c>
      <c r="K3" s="21" t="s">
        <v>31</v>
      </c>
      <c r="L3" s="23"/>
      <c r="M3" s="23"/>
      <c r="N3" s="21" t="s">
        <v>31</v>
      </c>
      <c r="O3" s="23" t="s">
        <v>163</v>
      </c>
      <c r="P3" t="s">
        <v>2606</v>
      </c>
      <c r="Q3" s="21" t="s">
        <v>100</v>
      </c>
      <c r="R3" s="23" t="s">
        <v>121</v>
      </c>
      <c r="S3" s="23"/>
      <c r="T3" s="30" t="s">
        <v>2607</v>
      </c>
      <c r="U3" s="154">
        <v>3.681</v>
      </c>
      <c r="V3" s="154">
        <v>0</v>
      </c>
      <c r="W3" s="154">
        <v>0</v>
      </c>
      <c r="X3" s="175">
        <v>0</v>
      </c>
      <c r="Y3" s="169">
        <v>2.9315713954829598E-10</v>
      </c>
      <c r="Z3" s="169">
        <v>1.5180837224485397E-11</v>
      </c>
    </row>
    <row r="4" spans="1:27">
      <c r="A4" s="23" t="s">
        <v>26</v>
      </c>
      <c r="B4" s="23">
        <v>288</v>
      </c>
      <c r="C4" s="23" t="s">
        <v>2608</v>
      </c>
      <c r="D4" s="2" t="s">
        <v>2609</v>
      </c>
      <c r="E4" s="23" t="s">
        <v>333</v>
      </c>
      <c r="F4" s="23" t="s">
        <v>2610</v>
      </c>
      <c r="G4" s="23">
        <v>50000868</v>
      </c>
      <c r="H4" s="23" t="s">
        <v>34</v>
      </c>
      <c r="I4" s="2" t="s">
        <v>1052</v>
      </c>
      <c r="J4" s="23" t="s">
        <v>870</v>
      </c>
      <c r="K4" s="21" t="s">
        <v>31</v>
      </c>
      <c r="L4" s="23" t="s">
        <v>31</v>
      </c>
      <c r="M4" s="23" t="s">
        <v>2611</v>
      </c>
      <c r="N4" s="21" t="s">
        <v>31</v>
      </c>
      <c r="O4" s="23" t="s">
        <v>163</v>
      </c>
      <c r="P4" t="s">
        <v>2612</v>
      </c>
      <c r="Q4" s="21" t="s">
        <v>35</v>
      </c>
      <c r="R4" s="23" t="s">
        <v>917</v>
      </c>
      <c r="S4" s="23" t="s">
        <v>919</v>
      </c>
      <c r="T4" s="23" t="s">
        <v>2603</v>
      </c>
      <c r="U4" s="154">
        <v>1</v>
      </c>
      <c r="V4" s="154">
        <v>4936.8819999999996</v>
      </c>
      <c r="W4" s="154">
        <v>4936.8819999999996</v>
      </c>
      <c r="X4" s="175">
        <v>3.5000000000000001E-3</v>
      </c>
      <c r="Y4" s="169">
        <v>3.9815328428130903E-2</v>
      </c>
      <c r="Z4" s="169">
        <v>2.0617953253268999E-3</v>
      </c>
    </row>
    <row r="5" spans="1:27">
      <c r="A5" s="23" t="s">
        <v>26</v>
      </c>
      <c r="B5" s="23">
        <v>288</v>
      </c>
      <c r="C5" s="23" t="s">
        <v>2613</v>
      </c>
      <c r="D5" s="2" t="s">
        <v>2614</v>
      </c>
      <c r="E5" s="23" t="s">
        <v>34</v>
      </c>
      <c r="F5" s="23" t="s">
        <v>2615</v>
      </c>
      <c r="G5" s="23">
        <v>9840878</v>
      </c>
      <c r="H5" s="23" t="s">
        <v>34</v>
      </c>
      <c r="I5" s="2" t="s">
        <v>1049</v>
      </c>
      <c r="J5" s="23" t="s">
        <v>590</v>
      </c>
      <c r="K5" s="21" t="s">
        <v>31</v>
      </c>
      <c r="L5" s="23"/>
      <c r="M5" s="23"/>
      <c r="N5" s="21" t="s">
        <v>31</v>
      </c>
      <c r="O5" s="23" t="s">
        <v>163</v>
      </c>
      <c r="P5" t="s">
        <v>2616</v>
      </c>
      <c r="Q5" s="21" t="s">
        <v>100</v>
      </c>
      <c r="R5" s="23" t="s">
        <v>121</v>
      </c>
      <c r="S5" s="23"/>
      <c r="T5" s="23" t="s">
        <v>2617</v>
      </c>
      <c r="U5" s="154">
        <v>3.681</v>
      </c>
      <c r="V5" s="154">
        <v>1E-3</v>
      </c>
      <c r="W5" s="154">
        <v>3.0000000000000001E-3</v>
      </c>
      <c r="X5" s="175">
        <v>0</v>
      </c>
      <c r="Y5" s="169">
        <v>2.6718119047439599E-8</v>
      </c>
      <c r="Z5" s="169">
        <v>1.38356997488981E-9</v>
      </c>
    </row>
    <row r="6" spans="1:27">
      <c r="A6" s="23" t="s">
        <v>26</v>
      </c>
      <c r="B6" s="23">
        <v>288</v>
      </c>
      <c r="C6" s="23" t="s">
        <v>2618</v>
      </c>
      <c r="D6" s="2" t="s">
        <v>2619</v>
      </c>
      <c r="E6" s="23" t="s">
        <v>34</v>
      </c>
      <c r="F6" s="23" t="s">
        <v>2618</v>
      </c>
      <c r="G6" s="23">
        <v>9840926</v>
      </c>
      <c r="H6" s="23" t="s">
        <v>34</v>
      </c>
      <c r="I6" s="2" t="s">
        <v>1049</v>
      </c>
      <c r="J6" s="23" t="s">
        <v>590</v>
      </c>
      <c r="K6" s="21" t="s">
        <v>31</v>
      </c>
      <c r="L6" s="23"/>
      <c r="M6" s="23"/>
      <c r="N6" s="21" t="s">
        <v>31</v>
      </c>
      <c r="O6" s="23" t="s">
        <v>163</v>
      </c>
      <c r="P6" t="s">
        <v>2620</v>
      </c>
      <c r="Q6" s="21" t="s">
        <v>35</v>
      </c>
      <c r="R6" s="23" t="s">
        <v>121</v>
      </c>
      <c r="S6" s="23"/>
      <c r="T6" s="23" t="s">
        <v>1343</v>
      </c>
      <c r="U6" s="154">
        <v>1</v>
      </c>
      <c r="V6" s="154">
        <v>1E-3</v>
      </c>
      <c r="W6" s="154">
        <v>1E-3</v>
      </c>
      <c r="X6" s="175">
        <v>0</v>
      </c>
      <c r="Y6" s="169">
        <v>4.0324366940504707E-9</v>
      </c>
      <c r="Z6" s="169">
        <v>2.0881553546587799E-10</v>
      </c>
    </row>
    <row r="7" spans="1:27">
      <c r="A7" s="23" t="s">
        <v>26</v>
      </c>
      <c r="B7" s="23">
        <v>288</v>
      </c>
      <c r="C7" s="23" t="s">
        <v>2621</v>
      </c>
      <c r="D7" s="2" t="s">
        <v>2622</v>
      </c>
      <c r="E7" s="23" t="s">
        <v>1347</v>
      </c>
      <c r="F7" s="23" t="s">
        <v>2623</v>
      </c>
      <c r="G7" s="23">
        <v>45856</v>
      </c>
      <c r="H7" s="23" t="s">
        <v>34</v>
      </c>
      <c r="I7" s="2" t="s">
        <v>1049</v>
      </c>
      <c r="J7" s="23" t="s">
        <v>872</v>
      </c>
      <c r="K7" s="21" t="s">
        <v>31</v>
      </c>
      <c r="L7" s="23" t="s">
        <v>241</v>
      </c>
      <c r="M7" s="23" t="s">
        <v>2624</v>
      </c>
      <c r="N7" s="21" t="s">
        <v>31</v>
      </c>
      <c r="O7" s="23" t="s">
        <v>163</v>
      </c>
      <c r="P7" t="s">
        <v>2625</v>
      </c>
      <c r="Q7" s="21" t="s">
        <v>35</v>
      </c>
      <c r="R7" s="23" t="s">
        <v>917</v>
      </c>
      <c r="S7" s="23" t="s">
        <v>919</v>
      </c>
      <c r="T7" s="23" t="s">
        <v>2603</v>
      </c>
      <c r="U7" s="154">
        <v>1</v>
      </c>
      <c r="V7" s="154">
        <v>8359.8889999999992</v>
      </c>
      <c r="W7" s="154">
        <v>8359.8889999999992</v>
      </c>
      <c r="X7" s="175">
        <v>2.5000000000000001E-3</v>
      </c>
      <c r="Y7" s="169">
        <v>6.7421443065135797E-2</v>
      </c>
      <c r="Z7" s="169">
        <v>3.4913492272055798E-3</v>
      </c>
    </row>
    <row r="8" spans="1:27">
      <c r="A8" s="23" t="s">
        <v>26</v>
      </c>
      <c r="B8" s="23">
        <v>288</v>
      </c>
      <c r="C8" s="23" t="s">
        <v>2626</v>
      </c>
      <c r="D8" s="2" t="s">
        <v>2627</v>
      </c>
      <c r="E8" s="23" t="s">
        <v>1347</v>
      </c>
      <c r="F8" s="23" t="s">
        <v>2628</v>
      </c>
      <c r="G8" s="23">
        <v>38414</v>
      </c>
      <c r="H8" s="23" t="s">
        <v>34</v>
      </c>
      <c r="I8" s="2" t="s">
        <v>1051</v>
      </c>
      <c r="J8" s="23" t="s">
        <v>872</v>
      </c>
      <c r="K8" s="21" t="s">
        <v>31</v>
      </c>
      <c r="L8" s="23" t="s">
        <v>31</v>
      </c>
      <c r="M8" s="23" t="s">
        <v>2629</v>
      </c>
      <c r="N8" s="21" t="s">
        <v>31</v>
      </c>
      <c r="O8" s="23" t="s">
        <v>163</v>
      </c>
      <c r="P8" t="s">
        <v>2630</v>
      </c>
      <c r="Q8" s="21" t="s">
        <v>35</v>
      </c>
      <c r="R8" s="23" t="s">
        <v>917</v>
      </c>
      <c r="S8" s="23" t="s">
        <v>919</v>
      </c>
      <c r="T8" s="23" t="s">
        <v>2631</v>
      </c>
      <c r="U8" s="154">
        <v>1</v>
      </c>
      <c r="V8" s="154">
        <v>7064.3710000000001</v>
      </c>
      <c r="W8" s="154">
        <v>7064.3710000000001</v>
      </c>
      <c r="X8" s="175">
        <v>1.1188851764705899E-3</v>
      </c>
      <c r="Y8" s="169">
        <v>5.6973256942787702E-2</v>
      </c>
      <c r="Z8" s="169">
        <v>2.9503007879320602E-3</v>
      </c>
    </row>
    <row r="9" spans="1:27">
      <c r="A9" s="23" t="s">
        <v>26</v>
      </c>
      <c r="B9" s="23">
        <v>288</v>
      </c>
      <c r="C9" s="23" t="s">
        <v>2626</v>
      </c>
      <c r="D9" s="2" t="s">
        <v>2627</v>
      </c>
      <c r="E9" s="23" t="s">
        <v>1347</v>
      </c>
      <c r="F9" s="23" t="s">
        <v>2632</v>
      </c>
      <c r="G9" s="23">
        <v>50008077</v>
      </c>
      <c r="H9" s="23" t="s">
        <v>34</v>
      </c>
      <c r="I9" s="2" t="s">
        <v>1051</v>
      </c>
      <c r="J9" s="23" t="s">
        <v>872</v>
      </c>
      <c r="K9" s="21" t="s">
        <v>31</v>
      </c>
      <c r="L9" s="23" t="s">
        <v>241</v>
      </c>
      <c r="M9" s="23" t="s">
        <v>2629</v>
      </c>
      <c r="N9" s="21" t="s">
        <v>31</v>
      </c>
      <c r="O9" s="23" t="s">
        <v>163</v>
      </c>
      <c r="P9" t="s">
        <v>2633</v>
      </c>
      <c r="Q9" s="21" t="s">
        <v>35</v>
      </c>
      <c r="R9" s="23" t="s">
        <v>917</v>
      </c>
      <c r="S9" s="23" t="s">
        <v>919</v>
      </c>
      <c r="T9" s="23" t="s">
        <v>2631</v>
      </c>
      <c r="U9" s="154">
        <v>1</v>
      </c>
      <c r="V9" s="154">
        <v>6203.33</v>
      </c>
      <c r="W9" s="154">
        <v>6203.33</v>
      </c>
      <c r="X9" s="175">
        <v>1.0390909090909101E-3</v>
      </c>
      <c r="Y9" s="169">
        <v>5.0029073170973E-2</v>
      </c>
      <c r="Z9" s="169">
        <v>2.59070346187251E-3</v>
      </c>
    </row>
    <row r="10" spans="1:27">
      <c r="A10" s="23" t="s">
        <v>26</v>
      </c>
      <c r="B10" s="23">
        <v>288</v>
      </c>
      <c r="C10" s="23" t="s">
        <v>2634</v>
      </c>
      <c r="D10" s="2" t="s">
        <v>2635</v>
      </c>
      <c r="E10" s="23" t="s">
        <v>1347</v>
      </c>
      <c r="F10" s="23" t="s">
        <v>2636</v>
      </c>
      <c r="G10" s="23">
        <v>62019773</v>
      </c>
      <c r="H10" s="23" t="s">
        <v>34</v>
      </c>
      <c r="I10" s="2" t="s">
        <v>1049</v>
      </c>
      <c r="J10" s="23" t="s">
        <v>861</v>
      </c>
      <c r="K10" s="21" t="s">
        <v>31</v>
      </c>
      <c r="L10" s="23" t="s">
        <v>31</v>
      </c>
      <c r="M10" s="23" t="s">
        <v>2637</v>
      </c>
      <c r="N10" s="21" t="s">
        <v>31</v>
      </c>
      <c r="O10" s="23" t="s">
        <v>163</v>
      </c>
      <c r="P10" t="s">
        <v>2638</v>
      </c>
      <c r="Q10" s="21" t="s">
        <v>100</v>
      </c>
      <c r="R10" s="23" t="s">
        <v>915</v>
      </c>
      <c r="S10" s="23" t="s">
        <v>918</v>
      </c>
      <c r="T10" s="23" t="s">
        <v>2603</v>
      </c>
      <c r="U10" s="154">
        <v>3.681</v>
      </c>
      <c r="V10" s="154">
        <v>702.85599999999999</v>
      </c>
      <c r="W10" s="154">
        <v>2587.2130000000002</v>
      </c>
      <c r="X10" s="175">
        <v>3.8461538461538499E-4</v>
      </c>
      <c r="Y10" s="169">
        <v>2.0865544756896899E-2</v>
      </c>
      <c r="Z10" s="169">
        <v>1.0805005091901699E-3</v>
      </c>
    </row>
    <row r="11" spans="1:27">
      <c r="A11" s="23" t="s">
        <v>26</v>
      </c>
      <c r="B11" s="23">
        <v>288</v>
      </c>
      <c r="C11" s="23" t="s">
        <v>2639</v>
      </c>
      <c r="D11" s="2" t="s">
        <v>2640</v>
      </c>
      <c r="E11" s="23" t="s">
        <v>34</v>
      </c>
      <c r="F11" s="23" t="s">
        <v>2641</v>
      </c>
      <c r="G11" s="23">
        <v>62021456</v>
      </c>
      <c r="H11" s="23" t="s">
        <v>34</v>
      </c>
      <c r="I11" s="2" t="s">
        <v>1049</v>
      </c>
      <c r="J11" s="23" t="s">
        <v>866</v>
      </c>
      <c r="K11" s="21" t="s">
        <v>120</v>
      </c>
      <c r="L11" s="23" t="s">
        <v>2642</v>
      </c>
      <c r="M11" s="23" t="s">
        <v>2643</v>
      </c>
      <c r="N11" s="21" t="s">
        <v>316</v>
      </c>
      <c r="O11" s="23" t="s">
        <v>163</v>
      </c>
      <c r="P11" t="s">
        <v>2644</v>
      </c>
      <c r="Q11" s="21" t="s">
        <v>1208</v>
      </c>
      <c r="R11" s="23" t="s">
        <v>917</v>
      </c>
      <c r="S11" s="23" t="s">
        <v>919</v>
      </c>
      <c r="T11" s="23" t="s">
        <v>2603</v>
      </c>
      <c r="U11" s="154">
        <v>3.9790000000000001</v>
      </c>
      <c r="V11" s="154">
        <v>717.21900000000005</v>
      </c>
      <c r="W11" s="154">
        <v>2853.8850000000002</v>
      </c>
      <c r="X11" s="175">
        <v>7.5128509292210401E-4</v>
      </c>
      <c r="Y11" s="169">
        <v>2.3016220395305698E-2</v>
      </c>
      <c r="Z11" s="169">
        <v>1.19187100775506E-3</v>
      </c>
    </row>
    <row r="12" spans="1:27">
      <c r="A12" s="23" t="s">
        <v>26</v>
      </c>
      <c r="B12" s="23">
        <v>288</v>
      </c>
      <c r="C12" s="23" t="s">
        <v>2645</v>
      </c>
      <c r="D12" s="2" t="s">
        <v>2646</v>
      </c>
      <c r="E12" s="23" t="s">
        <v>34</v>
      </c>
      <c r="F12" s="23" t="s">
        <v>2647</v>
      </c>
      <c r="G12" s="23">
        <v>62021167</v>
      </c>
      <c r="H12" s="23" t="s">
        <v>34</v>
      </c>
      <c r="I12" s="2" t="s">
        <v>1053</v>
      </c>
      <c r="J12" s="23" t="s">
        <v>867</v>
      </c>
      <c r="K12" s="21" t="s">
        <v>120</v>
      </c>
      <c r="L12" s="23" t="s">
        <v>241</v>
      </c>
      <c r="M12" s="23" t="s">
        <v>2648</v>
      </c>
      <c r="N12" s="21" t="s">
        <v>127</v>
      </c>
      <c r="O12" s="23" t="s">
        <v>163</v>
      </c>
      <c r="P12" t="s">
        <v>2649</v>
      </c>
      <c r="Q12" s="21" t="s">
        <v>100</v>
      </c>
      <c r="R12" s="23" t="s">
        <v>917</v>
      </c>
      <c r="S12" s="23" t="s">
        <v>919</v>
      </c>
      <c r="T12" s="23" t="s">
        <v>2603</v>
      </c>
      <c r="U12" s="154">
        <v>3.681</v>
      </c>
      <c r="V12" s="154">
        <v>970.43399999999997</v>
      </c>
      <c r="W12" s="154">
        <v>3572.1680000000001</v>
      </c>
      <c r="X12" s="175">
        <v>1.8749999999999999E-3</v>
      </c>
      <c r="Y12" s="169">
        <v>2.88090790440922E-2</v>
      </c>
      <c r="Z12" s="169">
        <v>1.49184816112469E-3</v>
      </c>
    </row>
    <row r="13" spans="1:27">
      <c r="A13" s="23" t="s">
        <v>26</v>
      </c>
      <c r="B13" s="23">
        <v>288</v>
      </c>
      <c r="C13" s="23" t="s">
        <v>2645</v>
      </c>
      <c r="D13" s="2" t="s">
        <v>2650</v>
      </c>
      <c r="E13" s="23" t="s">
        <v>1347</v>
      </c>
      <c r="F13" s="23" t="s">
        <v>2651</v>
      </c>
      <c r="G13" s="23">
        <v>62012711</v>
      </c>
      <c r="H13" s="23" t="s">
        <v>34</v>
      </c>
      <c r="I13" s="2" t="s">
        <v>1049</v>
      </c>
      <c r="J13" s="23" t="s">
        <v>862</v>
      </c>
      <c r="K13" s="21" t="s">
        <v>120</v>
      </c>
      <c r="L13" s="23" t="s">
        <v>241</v>
      </c>
      <c r="M13" s="23" t="s">
        <v>2652</v>
      </c>
      <c r="N13" s="21" t="s">
        <v>127</v>
      </c>
      <c r="O13" s="23" t="s">
        <v>163</v>
      </c>
      <c r="P13" t="s">
        <v>2653</v>
      </c>
      <c r="Q13" s="21" t="s">
        <v>100</v>
      </c>
      <c r="R13" s="23" t="s">
        <v>917</v>
      </c>
      <c r="S13" s="23" t="s">
        <v>919</v>
      </c>
      <c r="T13" s="23" t="s">
        <v>2603</v>
      </c>
      <c r="U13" s="154">
        <v>3.681</v>
      </c>
      <c r="V13" s="154">
        <v>1343.9159999999999</v>
      </c>
      <c r="W13" s="154">
        <v>4946.9549999999999</v>
      </c>
      <c r="X13" s="175">
        <v>5.5999999999999995E-4</v>
      </c>
      <c r="Y13" s="169">
        <v>3.9896564086398703E-2</v>
      </c>
      <c r="Z13" s="169">
        <v>2.0660020293044598E-3</v>
      </c>
    </row>
    <row r="14" spans="1:27">
      <c r="A14" s="23" t="s">
        <v>26</v>
      </c>
      <c r="B14" s="23">
        <v>288</v>
      </c>
      <c r="C14" s="23" t="s">
        <v>2645</v>
      </c>
      <c r="D14" s="2" t="s">
        <v>2654</v>
      </c>
      <c r="E14" s="23" t="s">
        <v>335</v>
      </c>
      <c r="F14" s="23" t="s">
        <v>2655</v>
      </c>
      <c r="G14" s="23">
        <v>62021589</v>
      </c>
      <c r="H14" s="23" t="s">
        <v>34</v>
      </c>
      <c r="I14" s="2" t="s">
        <v>1049</v>
      </c>
      <c r="J14" s="23" t="s">
        <v>590</v>
      </c>
      <c r="K14" s="21" t="s">
        <v>120</v>
      </c>
      <c r="L14" s="23" t="s">
        <v>241</v>
      </c>
      <c r="M14" s="23" t="s">
        <v>2656</v>
      </c>
      <c r="N14" s="21" t="s">
        <v>256</v>
      </c>
      <c r="O14" s="23" t="s">
        <v>163</v>
      </c>
      <c r="P14" t="s">
        <v>2631</v>
      </c>
      <c r="Q14" s="21" t="s">
        <v>1210</v>
      </c>
      <c r="R14" s="23" t="s">
        <v>121</v>
      </c>
      <c r="S14" s="23" t="s">
        <v>1342</v>
      </c>
      <c r="T14" s="23" t="s">
        <v>2657</v>
      </c>
      <c r="U14" s="154">
        <v>4.6539999999999999</v>
      </c>
      <c r="V14" s="154">
        <v>340</v>
      </c>
      <c r="W14" s="154">
        <v>1582.19</v>
      </c>
      <c r="X14" s="175">
        <v>2.6153846153846201E-3</v>
      </c>
      <c r="Y14" s="169">
        <v>1.2760162025919401E-2</v>
      </c>
      <c r="Z14" s="169">
        <v>6.6077170411751396E-4</v>
      </c>
    </row>
    <row r="15" spans="1:27">
      <c r="A15" s="23" t="s">
        <v>26</v>
      </c>
      <c r="B15" s="23">
        <v>288</v>
      </c>
      <c r="C15" s="23" t="s">
        <v>2658</v>
      </c>
      <c r="D15" s="2" t="s">
        <v>2659</v>
      </c>
      <c r="E15" s="23" t="s">
        <v>334</v>
      </c>
      <c r="F15" s="23" t="s">
        <v>2660</v>
      </c>
      <c r="G15" s="23">
        <v>62020904</v>
      </c>
      <c r="H15" s="23" t="s">
        <v>34</v>
      </c>
      <c r="I15" s="2" t="s">
        <v>1049</v>
      </c>
      <c r="J15" s="23" t="s">
        <v>862</v>
      </c>
      <c r="K15" s="21" t="s">
        <v>120</v>
      </c>
      <c r="L15" s="23" t="s">
        <v>127</v>
      </c>
      <c r="M15" s="23" t="s">
        <v>2661</v>
      </c>
      <c r="N15" s="21" t="s">
        <v>127</v>
      </c>
      <c r="O15" s="23" t="s">
        <v>163</v>
      </c>
      <c r="P15" t="s">
        <v>2662</v>
      </c>
      <c r="Q15" s="21" t="s">
        <v>100</v>
      </c>
      <c r="R15" s="23" t="s">
        <v>917</v>
      </c>
      <c r="S15" s="23" t="s">
        <v>919</v>
      </c>
      <c r="T15" s="23" t="s">
        <v>1343</v>
      </c>
      <c r="U15" s="154">
        <v>3.681</v>
      </c>
      <c r="V15" s="154">
        <v>1420.0119999999999</v>
      </c>
      <c r="W15" s="154">
        <v>5227.0640000000003</v>
      </c>
      <c r="X15" s="175">
        <v>2.9999999999999997E-4</v>
      </c>
      <c r="Y15" s="169">
        <v>4.2155605599873802E-2</v>
      </c>
      <c r="Z15" s="169">
        <v>2.18298414187474E-3</v>
      </c>
    </row>
    <row r="16" spans="1:27">
      <c r="A16" s="23" t="s">
        <v>26</v>
      </c>
      <c r="B16" s="23">
        <v>288</v>
      </c>
      <c r="C16" s="23" t="s">
        <v>2663</v>
      </c>
      <c r="D16" s="2" t="s">
        <v>2664</v>
      </c>
      <c r="E16" s="23" t="s">
        <v>1347</v>
      </c>
      <c r="F16" s="23" t="s">
        <v>2665</v>
      </c>
      <c r="G16" s="23">
        <v>62002035</v>
      </c>
      <c r="H16" s="23" t="s">
        <v>34</v>
      </c>
      <c r="I16" s="2" t="s">
        <v>1053</v>
      </c>
      <c r="J16" s="23" t="s">
        <v>862</v>
      </c>
      <c r="K16" s="21" t="s">
        <v>120</v>
      </c>
      <c r="L16" s="23" t="s">
        <v>316</v>
      </c>
      <c r="M16" s="23" t="s">
        <v>2666</v>
      </c>
      <c r="N16" s="21" t="s">
        <v>316</v>
      </c>
      <c r="O16" s="23" t="s">
        <v>163</v>
      </c>
      <c r="P16" t="s">
        <v>2667</v>
      </c>
      <c r="Q16" s="21" t="s">
        <v>1208</v>
      </c>
      <c r="R16" s="23" t="s">
        <v>915</v>
      </c>
      <c r="S16" s="23" t="s">
        <v>918</v>
      </c>
      <c r="T16" s="23" t="s">
        <v>2668</v>
      </c>
      <c r="U16" s="154">
        <v>3.9790000000000001</v>
      </c>
      <c r="V16" s="154">
        <v>1230.52</v>
      </c>
      <c r="W16" s="154">
        <v>4896.3609999999999</v>
      </c>
      <c r="X16" s="175">
        <v>1E-3</v>
      </c>
      <c r="Y16" s="169">
        <v>3.9488531907598698E-2</v>
      </c>
      <c r="Z16" s="169">
        <v>2.0448725077848499E-3</v>
      </c>
    </row>
    <row r="17" spans="1:26">
      <c r="A17" s="23" t="s">
        <v>26</v>
      </c>
      <c r="B17" s="23">
        <v>288</v>
      </c>
      <c r="C17" s="23" t="s">
        <v>2669</v>
      </c>
      <c r="D17" s="2" t="s">
        <v>2670</v>
      </c>
      <c r="E17" s="23" t="s">
        <v>334</v>
      </c>
      <c r="F17" s="23" t="s">
        <v>2671</v>
      </c>
      <c r="G17" s="23">
        <v>62007901</v>
      </c>
      <c r="H17" s="23" t="s">
        <v>34</v>
      </c>
      <c r="I17" s="2" t="s">
        <v>1049</v>
      </c>
      <c r="J17" s="23" t="s">
        <v>870</v>
      </c>
      <c r="K17" s="21" t="s">
        <v>120</v>
      </c>
      <c r="L17" s="23" t="s">
        <v>241</v>
      </c>
      <c r="M17" s="23" t="s">
        <v>2672</v>
      </c>
      <c r="N17" s="21" t="s">
        <v>127</v>
      </c>
      <c r="O17" s="23" t="s">
        <v>163</v>
      </c>
      <c r="P17" t="s">
        <v>2630</v>
      </c>
      <c r="Q17" s="21" t="s">
        <v>100</v>
      </c>
      <c r="R17" s="23" t="s">
        <v>917</v>
      </c>
      <c r="S17" s="23" t="s">
        <v>919</v>
      </c>
      <c r="T17" s="23" t="s">
        <v>2603</v>
      </c>
      <c r="U17" s="154">
        <v>3.681</v>
      </c>
      <c r="V17" s="154">
        <v>283.31599999999997</v>
      </c>
      <c r="W17" s="154">
        <v>1042.8869999999999</v>
      </c>
      <c r="X17" s="175">
        <v>2.0000000000000001E-4</v>
      </c>
      <c r="Y17" s="169">
        <v>8.4107482116154205E-3</v>
      </c>
      <c r="Z17" s="169">
        <v>4.3554183852865299E-4</v>
      </c>
    </row>
    <row r="18" spans="1:26">
      <c r="A18" s="23" t="s">
        <v>26</v>
      </c>
      <c r="B18" s="23">
        <v>288</v>
      </c>
      <c r="C18" s="23" t="s">
        <v>2669</v>
      </c>
      <c r="D18" s="2" t="s">
        <v>2670</v>
      </c>
      <c r="E18" s="23" t="s">
        <v>334</v>
      </c>
      <c r="F18" s="23" t="s">
        <v>2673</v>
      </c>
      <c r="G18" s="23">
        <v>62018031</v>
      </c>
      <c r="H18" s="23" t="s">
        <v>34</v>
      </c>
      <c r="I18" s="2" t="s">
        <v>1049</v>
      </c>
      <c r="J18" s="23" t="s">
        <v>870</v>
      </c>
      <c r="K18" s="21" t="s">
        <v>120</v>
      </c>
      <c r="L18" s="23" t="s">
        <v>241</v>
      </c>
      <c r="M18" s="23" t="s">
        <v>2672</v>
      </c>
      <c r="N18" s="21" t="s">
        <v>127</v>
      </c>
      <c r="O18" s="23" t="s">
        <v>163</v>
      </c>
      <c r="P18" t="s">
        <v>2674</v>
      </c>
      <c r="Q18" s="21" t="s">
        <v>100</v>
      </c>
      <c r="R18" s="23" t="s">
        <v>917</v>
      </c>
      <c r="S18" s="23" t="s">
        <v>919</v>
      </c>
      <c r="T18" s="23" t="s">
        <v>2603</v>
      </c>
      <c r="U18" s="154">
        <v>3.681</v>
      </c>
      <c r="V18" s="154">
        <v>1114.5060000000001</v>
      </c>
      <c r="W18" s="154">
        <v>4102.4960000000001</v>
      </c>
      <c r="X18" s="175">
        <v>1.4999999999999999E-4</v>
      </c>
      <c r="Y18" s="169">
        <v>3.3086108924612598E-2</v>
      </c>
      <c r="Z18" s="169">
        <v>1.71332970007163E-3</v>
      </c>
    </row>
    <row r="19" spans="1:26">
      <c r="A19" s="23" t="s">
        <v>26</v>
      </c>
      <c r="B19" s="23">
        <v>288</v>
      </c>
      <c r="C19" s="23" t="s">
        <v>2669</v>
      </c>
      <c r="D19" s="2" t="s">
        <v>2670</v>
      </c>
      <c r="E19" s="23" t="s">
        <v>334</v>
      </c>
      <c r="F19" s="23" t="s">
        <v>2675</v>
      </c>
      <c r="G19" s="23">
        <v>62008453</v>
      </c>
      <c r="H19" s="23" t="s">
        <v>34</v>
      </c>
      <c r="I19" s="2" t="s">
        <v>1049</v>
      </c>
      <c r="J19" s="23" t="s">
        <v>856</v>
      </c>
      <c r="K19" s="21" t="s">
        <v>120</v>
      </c>
      <c r="L19" s="23" t="s">
        <v>241</v>
      </c>
      <c r="M19" s="23" t="s">
        <v>2672</v>
      </c>
      <c r="N19" s="21" t="s">
        <v>127</v>
      </c>
      <c r="O19" s="23" t="s">
        <v>163</v>
      </c>
      <c r="P19" t="s">
        <v>2676</v>
      </c>
      <c r="Q19" s="21" t="s">
        <v>100</v>
      </c>
      <c r="R19" s="23" t="s">
        <v>917</v>
      </c>
      <c r="S19" s="23" t="s">
        <v>919</v>
      </c>
      <c r="T19" s="23" t="s">
        <v>2631</v>
      </c>
      <c r="U19" s="154">
        <v>3.681</v>
      </c>
      <c r="V19" s="154">
        <v>3379.913</v>
      </c>
      <c r="W19" s="154">
        <v>12441.458000000001</v>
      </c>
      <c r="X19" s="175">
        <v>2.0000000000000001E-4</v>
      </c>
      <c r="Y19" s="169">
        <v>0.10033878297019599</v>
      </c>
      <c r="Z19" s="169">
        <v>5.1959393993287698E-3</v>
      </c>
    </row>
    <row r="20" spans="1:26">
      <c r="A20" s="2" t="s">
        <v>26</v>
      </c>
      <c r="B20" s="2">
        <v>288</v>
      </c>
      <c r="C20" s="2" t="s">
        <v>2677</v>
      </c>
      <c r="D20" s="2" t="s">
        <v>2678</v>
      </c>
      <c r="E20" s="23" t="s">
        <v>34</v>
      </c>
      <c r="F20" s="2" t="s">
        <v>2679</v>
      </c>
      <c r="G20" s="2">
        <v>62020698</v>
      </c>
      <c r="H20" s="23" t="s">
        <v>34</v>
      </c>
      <c r="I20" s="2" t="s">
        <v>1049</v>
      </c>
      <c r="J20" s="23" t="s">
        <v>856</v>
      </c>
      <c r="K20" s="21" t="s">
        <v>120</v>
      </c>
      <c r="L20" s="23" t="s">
        <v>241</v>
      </c>
      <c r="M20" s="23" t="s">
        <v>2680</v>
      </c>
      <c r="N20" s="21" t="s">
        <v>319</v>
      </c>
      <c r="O20" s="23" t="s">
        <v>163</v>
      </c>
      <c r="P20" t="s">
        <v>2681</v>
      </c>
      <c r="Q20" s="2" t="s">
        <v>100</v>
      </c>
      <c r="R20" s="23" t="s">
        <v>915</v>
      </c>
      <c r="S20" s="23" t="s">
        <v>918</v>
      </c>
      <c r="T20" s="2" t="s">
        <v>2682</v>
      </c>
      <c r="U20" s="152">
        <v>3.681</v>
      </c>
      <c r="V20" s="152">
        <v>1056.7180000000001</v>
      </c>
      <c r="W20" s="152">
        <v>3889.779</v>
      </c>
      <c r="X20" s="175">
        <v>1.36986301369863E-4</v>
      </c>
      <c r="Y20" s="165">
        <v>3.1370571835289303E-2</v>
      </c>
      <c r="Z20" s="165">
        <v>1.62449239818735E-3</v>
      </c>
    </row>
    <row r="21" spans="1:26">
      <c r="A21" s="2" t="s">
        <v>26</v>
      </c>
      <c r="B21" s="2">
        <v>288</v>
      </c>
      <c r="C21" s="2" t="s">
        <v>2683</v>
      </c>
      <c r="D21" s="2" t="s">
        <v>2684</v>
      </c>
      <c r="E21" s="2" t="s">
        <v>334</v>
      </c>
      <c r="F21" s="2" t="s">
        <v>2685</v>
      </c>
      <c r="G21" s="2">
        <v>62008925</v>
      </c>
      <c r="H21" s="2" t="s">
        <v>34</v>
      </c>
      <c r="I21" s="2" t="s">
        <v>1049</v>
      </c>
      <c r="J21" s="2" t="s">
        <v>856</v>
      </c>
      <c r="K21" s="2" t="s">
        <v>120</v>
      </c>
      <c r="L21" s="2" t="s">
        <v>241</v>
      </c>
      <c r="M21" s="2" t="s">
        <v>2686</v>
      </c>
      <c r="N21" s="2" t="s">
        <v>127</v>
      </c>
      <c r="O21" s="2" t="s">
        <v>163</v>
      </c>
      <c r="P21" t="s">
        <v>2687</v>
      </c>
      <c r="Q21" s="2" t="s">
        <v>100</v>
      </c>
      <c r="R21" s="2" t="s">
        <v>915</v>
      </c>
      <c r="S21" s="2" t="s">
        <v>918</v>
      </c>
      <c r="T21" s="2" t="s">
        <v>2603</v>
      </c>
      <c r="U21" s="152">
        <v>3.681</v>
      </c>
      <c r="V21" s="152">
        <v>3081.1990000000001</v>
      </c>
      <c r="W21" s="152">
        <v>11341.892</v>
      </c>
      <c r="X21" s="175">
        <v>2.0000000000000001E-4</v>
      </c>
      <c r="Y21" s="165">
        <v>9.1470922596711801E-2</v>
      </c>
      <c r="Z21" s="165">
        <v>4.7367264834613501E-3</v>
      </c>
    </row>
    <row r="22" spans="1:26">
      <c r="A22" s="2" t="s">
        <v>26</v>
      </c>
      <c r="B22" s="2">
        <v>288</v>
      </c>
      <c r="C22" s="2" t="s">
        <v>2688</v>
      </c>
      <c r="D22" s="2" t="s">
        <v>2689</v>
      </c>
      <c r="E22" s="2" t="s">
        <v>1347</v>
      </c>
      <c r="F22" s="2" t="s">
        <v>2690</v>
      </c>
      <c r="G22" s="2">
        <v>62018759</v>
      </c>
      <c r="H22" s="2" t="s">
        <v>34</v>
      </c>
      <c r="I22" s="2" t="s">
        <v>1049</v>
      </c>
      <c r="J22" s="2" t="s">
        <v>866</v>
      </c>
      <c r="K22" s="2" t="s">
        <v>120</v>
      </c>
      <c r="L22" s="2" t="s">
        <v>2691</v>
      </c>
      <c r="M22" s="2" t="s">
        <v>2692</v>
      </c>
      <c r="N22" s="2" t="s">
        <v>316</v>
      </c>
      <c r="O22" s="2" t="s">
        <v>163</v>
      </c>
      <c r="P22" t="s">
        <v>2693</v>
      </c>
      <c r="Q22" s="2" t="s">
        <v>1208</v>
      </c>
      <c r="R22" s="2" t="s">
        <v>917</v>
      </c>
      <c r="S22" s="2" t="s">
        <v>919</v>
      </c>
      <c r="T22" s="2" t="s">
        <v>2694</v>
      </c>
      <c r="U22" s="152">
        <v>3.9790000000000001</v>
      </c>
      <c r="V22" s="152">
        <v>523.96</v>
      </c>
      <c r="W22" s="152">
        <v>2084.8879999999999</v>
      </c>
      <c r="X22" s="175">
        <v>1E-4</v>
      </c>
      <c r="Y22" s="165">
        <v>1.6814357385121E-2</v>
      </c>
      <c r="Z22" s="165">
        <v>8.7071398940224195E-4</v>
      </c>
    </row>
    <row r="23" spans="1:26">
      <c r="A23" s="2" t="s">
        <v>26</v>
      </c>
      <c r="B23" s="2">
        <v>288</v>
      </c>
      <c r="C23" s="2" t="s">
        <v>2695</v>
      </c>
      <c r="D23" s="2" t="s">
        <v>2696</v>
      </c>
      <c r="E23" s="2" t="s">
        <v>34</v>
      </c>
      <c r="F23" s="2" t="s">
        <v>2697</v>
      </c>
      <c r="G23" s="2">
        <v>62021118</v>
      </c>
      <c r="H23" s="2" t="s">
        <v>34</v>
      </c>
      <c r="I23" s="2" t="s">
        <v>1053</v>
      </c>
      <c r="J23" s="2" t="s">
        <v>862</v>
      </c>
      <c r="K23" s="2" t="s">
        <v>120</v>
      </c>
      <c r="L23" s="2" t="s">
        <v>256</v>
      </c>
      <c r="M23" s="2" t="s">
        <v>2698</v>
      </c>
      <c r="N23" s="2" t="s">
        <v>256</v>
      </c>
      <c r="O23" s="2" t="s">
        <v>163</v>
      </c>
      <c r="P23" t="s">
        <v>2699</v>
      </c>
      <c r="Q23" s="2" t="s">
        <v>1210</v>
      </c>
      <c r="R23" s="2" t="s">
        <v>917</v>
      </c>
      <c r="S23" s="2" t="s">
        <v>919</v>
      </c>
      <c r="T23" s="2" t="s">
        <v>1343</v>
      </c>
      <c r="U23" s="152">
        <v>4.6539999999999999</v>
      </c>
      <c r="V23" s="152">
        <v>289.75099999999998</v>
      </c>
      <c r="W23" s="152">
        <v>1348.3579999999999</v>
      </c>
      <c r="X23" s="175">
        <v>9.4339622641509402E-4</v>
      </c>
      <c r="Y23" s="165">
        <v>1.08743392845115E-2</v>
      </c>
      <c r="Z23" s="165">
        <v>5.6311633704831103E-4</v>
      </c>
    </row>
    <row r="24" spans="1:26">
      <c r="A24" s="2" t="s">
        <v>26</v>
      </c>
      <c r="B24" s="2">
        <v>288</v>
      </c>
      <c r="C24" s="2" t="s">
        <v>2700</v>
      </c>
      <c r="D24" s="2" t="s">
        <v>2701</v>
      </c>
      <c r="E24" s="2" t="s">
        <v>335</v>
      </c>
      <c r="F24" s="2" t="s">
        <v>2702</v>
      </c>
      <c r="G24" s="2">
        <v>62015821</v>
      </c>
      <c r="H24" s="2" t="s">
        <v>34</v>
      </c>
      <c r="I24" s="2" t="s">
        <v>1049</v>
      </c>
      <c r="J24" s="2" t="s">
        <v>856</v>
      </c>
      <c r="K24" s="2" t="s">
        <v>120</v>
      </c>
      <c r="L24" s="2" t="s">
        <v>241</v>
      </c>
      <c r="M24" s="2" t="s">
        <v>2703</v>
      </c>
      <c r="N24" s="2" t="s">
        <v>127</v>
      </c>
      <c r="O24" s="2" t="s">
        <v>163</v>
      </c>
      <c r="P24" t="s">
        <v>2704</v>
      </c>
      <c r="Q24" s="2" t="s">
        <v>100</v>
      </c>
      <c r="R24" s="2" t="s">
        <v>917</v>
      </c>
      <c r="S24" s="2" t="s">
        <v>919</v>
      </c>
      <c r="T24" s="2" t="s">
        <v>2603</v>
      </c>
      <c r="U24" s="152">
        <v>3.681</v>
      </c>
      <c r="V24" s="152">
        <v>960.04200000000003</v>
      </c>
      <c r="W24" s="152">
        <v>3533.9140000000002</v>
      </c>
      <c r="X24" s="175">
        <v>8.3333333333333295E-4</v>
      </c>
      <c r="Y24" s="165">
        <v>2.8500565238734201E-2</v>
      </c>
      <c r="Z24" s="165">
        <v>1.4758720949512201E-3</v>
      </c>
    </row>
    <row r="25" spans="1:26">
      <c r="A25" s="2" t="s">
        <v>26</v>
      </c>
      <c r="B25" s="2">
        <v>288</v>
      </c>
      <c r="C25" s="2" t="s">
        <v>2705</v>
      </c>
      <c r="D25" s="2" t="s">
        <v>2706</v>
      </c>
      <c r="E25" s="2" t="s">
        <v>34</v>
      </c>
      <c r="F25" s="2" t="s">
        <v>2707</v>
      </c>
      <c r="G25" s="2">
        <v>62020110</v>
      </c>
      <c r="H25" s="2" t="s">
        <v>34</v>
      </c>
      <c r="I25" s="2" t="s">
        <v>1049</v>
      </c>
      <c r="J25" s="2" t="s">
        <v>590</v>
      </c>
      <c r="K25" s="2" t="s">
        <v>120</v>
      </c>
      <c r="L25" s="2" t="s">
        <v>241</v>
      </c>
      <c r="M25" s="2" t="s">
        <v>2708</v>
      </c>
      <c r="N25" s="2" t="s">
        <v>241</v>
      </c>
      <c r="O25" s="2" t="s">
        <v>163</v>
      </c>
      <c r="P25" t="s">
        <v>2709</v>
      </c>
      <c r="Q25" s="2" t="s">
        <v>100</v>
      </c>
      <c r="R25" s="11" t="s">
        <v>915</v>
      </c>
      <c r="S25" s="2" t="s">
        <v>918</v>
      </c>
      <c r="T25" s="2" t="s">
        <v>2710</v>
      </c>
      <c r="U25" s="152">
        <v>3.681</v>
      </c>
      <c r="V25" s="152">
        <v>2582.23</v>
      </c>
      <c r="W25" s="152">
        <v>9505.1869999999999</v>
      </c>
      <c r="X25" s="175">
        <v>1.16E-3</v>
      </c>
      <c r="Y25" s="165">
        <v>7.6658130956247003E-2</v>
      </c>
      <c r="Z25" s="165">
        <v>3.9696614920352504E-3</v>
      </c>
    </row>
    <row r="26" spans="1:26">
      <c r="A26" s="2" t="s">
        <v>26</v>
      </c>
      <c r="B26" s="2">
        <v>288</v>
      </c>
      <c r="C26" s="2" t="s">
        <v>2711</v>
      </c>
      <c r="D26" s="2" t="s">
        <v>2712</v>
      </c>
      <c r="E26" s="2" t="s">
        <v>332</v>
      </c>
      <c r="F26" s="2" t="s">
        <v>2713</v>
      </c>
      <c r="G26" s="2">
        <v>62018676</v>
      </c>
      <c r="H26" s="2" t="s">
        <v>34</v>
      </c>
      <c r="I26" s="2" t="s">
        <v>1049</v>
      </c>
      <c r="J26" s="2" t="s">
        <v>862</v>
      </c>
      <c r="K26" s="2" t="s">
        <v>120</v>
      </c>
      <c r="L26" s="2" t="s">
        <v>127</v>
      </c>
      <c r="M26" s="2" t="s">
        <v>31</v>
      </c>
      <c r="N26" s="2" t="s">
        <v>127</v>
      </c>
      <c r="O26" s="2" t="s">
        <v>361</v>
      </c>
      <c r="P26" t="s">
        <v>2714</v>
      </c>
      <c r="Q26" s="2" t="s">
        <v>100</v>
      </c>
      <c r="R26" s="11" t="s">
        <v>915</v>
      </c>
      <c r="S26" s="2" t="s">
        <v>919</v>
      </c>
      <c r="T26" s="2" t="s">
        <v>2715</v>
      </c>
      <c r="U26" s="152">
        <v>3.681</v>
      </c>
      <c r="V26" s="152">
        <v>5042.625</v>
      </c>
      <c r="W26" s="152">
        <v>18561.902999999998</v>
      </c>
      <c r="X26" s="175">
        <v>0.24440000000000001</v>
      </c>
      <c r="Y26" s="165">
        <v>0.14969939602447599</v>
      </c>
      <c r="Z26" s="165">
        <v>7.7520273500859401E-3</v>
      </c>
    </row>
    <row r="27" spans="1:26">
      <c r="A27" s="2" t="s">
        <v>26</v>
      </c>
      <c r="B27" s="2">
        <v>1452</v>
      </c>
      <c r="C27" s="2" t="s">
        <v>2716</v>
      </c>
      <c r="D27" s="2" t="s">
        <v>2627</v>
      </c>
      <c r="E27" s="2" t="s">
        <v>1347</v>
      </c>
      <c r="F27" s="2" t="s">
        <v>2717</v>
      </c>
      <c r="G27" s="2">
        <v>996141</v>
      </c>
      <c r="H27" s="2" t="s">
        <v>34</v>
      </c>
      <c r="I27" s="2" t="s">
        <v>1051</v>
      </c>
      <c r="J27" s="2" t="s">
        <v>590</v>
      </c>
      <c r="K27" s="2" t="s">
        <v>31</v>
      </c>
      <c r="L27" s="2" t="s">
        <v>31</v>
      </c>
      <c r="M27" s="2" t="s">
        <v>2629</v>
      </c>
      <c r="N27" s="2" t="s">
        <v>31</v>
      </c>
      <c r="O27" s="2" t="s">
        <v>163</v>
      </c>
      <c r="P27" t="s">
        <v>2718</v>
      </c>
      <c r="Q27" s="2" t="s">
        <v>35</v>
      </c>
      <c r="R27" s="2" t="s">
        <v>121</v>
      </c>
      <c r="S27" s="2" t="s">
        <v>1342</v>
      </c>
      <c r="T27" s="2" t="s">
        <v>2631</v>
      </c>
      <c r="U27" s="152">
        <v>1</v>
      </c>
      <c r="V27" s="152">
        <v>1009.021</v>
      </c>
      <c r="W27" s="152">
        <v>1009.021</v>
      </c>
      <c r="X27" s="175">
        <v>2.0000000000000001E-4</v>
      </c>
      <c r="Y27" s="165">
        <v>1</v>
      </c>
      <c r="Z27" s="165">
        <v>2.0347052719428601E-2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topLeftCell="M1" zoomScale="70" zoomScaleNormal="70" workbookViewId="0">
      <selection activeCell="AA19" sqref="AA19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6</v>
      </c>
      <c r="J1" s="22" t="s">
        <v>7</v>
      </c>
      <c r="K1" s="22" t="s">
        <v>347</v>
      </c>
      <c r="L1" s="22" t="s">
        <v>1142</v>
      </c>
      <c r="M1" s="22" t="s">
        <v>172</v>
      </c>
      <c r="N1" s="22" t="s">
        <v>1143</v>
      </c>
      <c r="O1" s="22" t="s">
        <v>149</v>
      </c>
      <c r="P1" s="22" t="s">
        <v>180</v>
      </c>
      <c r="Q1" s="22" t="s">
        <v>11</v>
      </c>
      <c r="R1" s="22" t="s">
        <v>173</v>
      </c>
      <c r="S1" s="22" t="s">
        <v>174</v>
      </c>
      <c r="T1" s="22" t="s">
        <v>158</v>
      </c>
      <c r="U1" s="22" t="s">
        <v>1144</v>
      </c>
      <c r="V1" s="22" t="s">
        <v>1145</v>
      </c>
      <c r="W1" s="22" t="s">
        <v>17</v>
      </c>
      <c r="X1" s="22" t="s">
        <v>19</v>
      </c>
      <c r="Y1" s="22" t="s">
        <v>18</v>
      </c>
      <c r="Z1" s="22" t="s">
        <v>20</v>
      </c>
      <c r="AA1" s="164" t="s">
        <v>24</v>
      </c>
      <c r="AB1" s="164" t="s">
        <v>25</v>
      </c>
    </row>
    <row r="2" spans="1:28">
      <c r="A2" s="23" t="s">
        <v>26</v>
      </c>
      <c r="B2" s="23">
        <v>288</v>
      </c>
      <c r="C2" s="23" t="s">
        <v>1345</v>
      </c>
      <c r="D2" s="23" t="s">
        <v>1346</v>
      </c>
      <c r="E2" s="21" t="s">
        <v>1347</v>
      </c>
      <c r="F2" s="23" t="s">
        <v>1348</v>
      </c>
      <c r="G2" s="23" t="s">
        <v>1349</v>
      </c>
      <c r="H2" s="23" t="s">
        <v>342</v>
      </c>
      <c r="I2" s="21" t="s">
        <v>31</v>
      </c>
      <c r="J2" s="21" t="s">
        <v>31</v>
      </c>
      <c r="K2" s="23" t="s">
        <v>350</v>
      </c>
      <c r="L2" s="23" t="s">
        <v>121</v>
      </c>
      <c r="M2" s="23" t="s">
        <v>498</v>
      </c>
      <c r="N2" s="23" t="s">
        <v>1350</v>
      </c>
      <c r="O2" s="23" t="s">
        <v>163</v>
      </c>
      <c r="P2" s="23" t="s">
        <v>1351</v>
      </c>
      <c r="Q2" s="21" t="s">
        <v>35</v>
      </c>
      <c r="R2" s="23" t="s">
        <v>121</v>
      </c>
      <c r="S2" s="23"/>
      <c r="T2" s="23" t="s">
        <v>1343</v>
      </c>
      <c r="U2" s="154">
        <v>22.5</v>
      </c>
      <c r="V2" s="154">
        <v>1</v>
      </c>
      <c r="W2" s="154">
        <v>33550</v>
      </c>
      <c r="X2" s="154">
        <v>5.6420000000000003</v>
      </c>
      <c r="Y2" s="154">
        <v>1</v>
      </c>
      <c r="Z2" s="154">
        <v>1.893</v>
      </c>
      <c r="AA2" s="169">
        <v>1.8682717674222998E-2</v>
      </c>
      <c r="AB2" s="169">
        <v>7.90530095487081E-7</v>
      </c>
    </row>
    <row r="3" spans="1:28">
      <c r="A3" s="23" t="s">
        <v>26</v>
      </c>
      <c r="B3" s="23">
        <v>288</v>
      </c>
      <c r="C3" s="23" t="s">
        <v>1352</v>
      </c>
      <c r="D3" s="23" t="s">
        <v>1353</v>
      </c>
      <c r="E3" s="21" t="s">
        <v>335</v>
      </c>
      <c r="F3" s="23" t="s">
        <v>1354</v>
      </c>
      <c r="G3" s="23" t="s">
        <v>1355</v>
      </c>
      <c r="H3" s="23" t="s">
        <v>34</v>
      </c>
      <c r="I3" s="21" t="s">
        <v>120</v>
      </c>
      <c r="J3" s="21" t="s">
        <v>127</v>
      </c>
      <c r="K3" s="23" t="s">
        <v>121</v>
      </c>
      <c r="L3" s="23" t="s">
        <v>121</v>
      </c>
      <c r="M3" s="23" t="s">
        <v>121</v>
      </c>
      <c r="N3" s="23" t="s">
        <v>1356</v>
      </c>
      <c r="O3" s="23" t="s">
        <v>163</v>
      </c>
      <c r="P3" s="23" t="s">
        <v>1357</v>
      </c>
      <c r="Q3" s="21" t="s">
        <v>100</v>
      </c>
      <c r="R3" s="23" t="s">
        <v>121</v>
      </c>
      <c r="S3" s="23"/>
      <c r="T3" s="23" t="s">
        <v>1357</v>
      </c>
      <c r="U3" s="154">
        <v>0</v>
      </c>
      <c r="V3" s="154">
        <v>0</v>
      </c>
      <c r="W3" s="154">
        <v>15184</v>
      </c>
      <c r="X3" s="154">
        <v>1.7789999999999999</v>
      </c>
      <c r="Y3" s="154">
        <v>3.681</v>
      </c>
      <c r="Z3" s="154">
        <v>99.424999999999997</v>
      </c>
      <c r="AA3" s="169">
        <v>0.98131728232577697</v>
      </c>
      <c r="AB3" s="169">
        <v>4.1522912160175402E-5</v>
      </c>
    </row>
    <row r="4" spans="1:28">
      <c r="A4" s="23" t="s">
        <v>26</v>
      </c>
      <c r="B4" s="23">
        <v>1452</v>
      </c>
      <c r="C4" s="23" t="s">
        <v>1345</v>
      </c>
      <c r="D4" s="23" t="s">
        <v>1346</v>
      </c>
      <c r="E4" s="21" t="s">
        <v>1347</v>
      </c>
      <c r="F4" s="23" t="s">
        <v>1348</v>
      </c>
      <c r="G4" s="23" t="s">
        <v>1349</v>
      </c>
      <c r="H4" s="23" t="s">
        <v>342</v>
      </c>
      <c r="I4" s="21" t="s">
        <v>31</v>
      </c>
      <c r="J4" s="21" t="s">
        <v>31</v>
      </c>
      <c r="K4" s="23" t="s">
        <v>350</v>
      </c>
      <c r="L4" s="23" t="s">
        <v>121</v>
      </c>
      <c r="M4" s="23" t="s">
        <v>498</v>
      </c>
      <c r="N4" s="23" t="s">
        <v>1350</v>
      </c>
      <c r="O4" s="23" t="s">
        <v>163</v>
      </c>
      <c r="P4" s="23" t="s">
        <v>1351</v>
      </c>
      <c r="Q4" s="21" t="s">
        <v>35</v>
      </c>
      <c r="R4" s="23" t="s">
        <v>121</v>
      </c>
      <c r="S4" s="23"/>
      <c r="T4" s="23" t="s">
        <v>1343</v>
      </c>
      <c r="U4" s="154">
        <v>22.5</v>
      </c>
      <c r="V4" s="154">
        <v>1</v>
      </c>
      <c r="W4" s="154">
        <v>1454</v>
      </c>
      <c r="X4" s="154">
        <v>5.6420000000000003</v>
      </c>
      <c r="Y4" s="154">
        <v>1</v>
      </c>
      <c r="Z4" s="154">
        <v>8.2000000000000003E-2</v>
      </c>
      <c r="AA4" s="169">
        <v>1</v>
      </c>
      <c r="AB4" s="169">
        <v>1.6542407626993801E-6</v>
      </c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172</v>
      </c>
      <c r="M1" s="22" t="s">
        <v>195</v>
      </c>
      <c r="N1" s="22" t="s">
        <v>1143</v>
      </c>
      <c r="O1" s="22" t="s">
        <v>149</v>
      </c>
      <c r="P1" s="22" t="s">
        <v>180</v>
      </c>
      <c r="Q1" s="22" t="s">
        <v>11</v>
      </c>
      <c r="R1" s="22" t="s">
        <v>173</v>
      </c>
      <c r="S1" s="22" t="s">
        <v>174</v>
      </c>
      <c r="T1" s="22" t="s">
        <v>158</v>
      </c>
      <c r="U1" s="22" t="s">
        <v>1144</v>
      </c>
      <c r="V1" s="22" t="s">
        <v>1145</v>
      </c>
      <c r="W1" s="22" t="s">
        <v>17</v>
      </c>
      <c r="X1" s="22" t="s">
        <v>19</v>
      </c>
      <c r="Y1" s="22" t="s">
        <v>18</v>
      </c>
      <c r="Z1" s="22" t="s">
        <v>1358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Q1" zoomScale="70" zoomScaleNormal="70" workbookViewId="0">
      <selection activeCell="U13" sqref="U13"/>
    </sheetView>
  </sheetViews>
  <sheetFormatPr defaultColWidth="9" defaultRowHeight="14.25"/>
  <cols>
    <col min="1" max="13" width="11.625" style="11" customWidth="1"/>
    <col min="14" max="14" width="14.75" style="11" bestFit="1" customWidth="1"/>
    <col min="15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1158</v>
      </c>
      <c r="E1" s="22" t="s">
        <v>1159</v>
      </c>
      <c r="F1" s="22" t="s">
        <v>18</v>
      </c>
      <c r="G1" s="22" t="s">
        <v>1160</v>
      </c>
      <c r="H1" s="22" t="s">
        <v>1161</v>
      </c>
      <c r="I1" s="22" t="s">
        <v>1162</v>
      </c>
      <c r="J1" s="22" t="s">
        <v>1163</v>
      </c>
      <c r="K1" s="22" t="s">
        <v>1164</v>
      </c>
      <c r="L1" s="22" t="s">
        <v>1165</v>
      </c>
      <c r="M1" s="22" t="s">
        <v>18</v>
      </c>
      <c r="N1" s="22" t="s">
        <v>1166</v>
      </c>
      <c r="O1" s="22" t="s">
        <v>1167</v>
      </c>
      <c r="P1" s="22" t="s">
        <v>1322</v>
      </c>
      <c r="Q1" s="22" t="s">
        <v>1323</v>
      </c>
      <c r="R1" s="22" t="s">
        <v>1324</v>
      </c>
      <c r="S1" s="22" t="s">
        <v>6</v>
      </c>
      <c r="T1" s="22" t="s">
        <v>7</v>
      </c>
      <c r="U1" s="22" t="s">
        <v>1171</v>
      </c>
      <c r="V1" s="22" t="s">
        <v>950</v>
      </c>
      <c r="W1" s="22" t="s">
        <v>957</v>
      </c>
      <c r="X1" s="22" t="s">
        <v>345</v>
      </c>
      <c r="Y1" s="22" t="s">
        <v>149</v>
      </c>
      <c r="Z1" s="22" t="s">
        <v>1172</v>
      </c>
      <c r="AA1" s="22" t="s">
        <v>1173</v>
      </c>
      <c r="AB1" s="22" t="s">
        <v>921</v>
      </c>
      <c r="AC1" s="22" t="s">
        <v>929</v>
      </c>
      <c r="AD1" s="22" t="s">
        <v>1174</v>
      </c>
      <c r="AE1" s="22" t="s">
        <v>947</v>
      </c>
      <c r="AF1" s="22" t="s">
        <v>932</v>
      </c>
      <c r="AG1" s="22" t="s">
        <v>943</v>
      </c>
      <c r="AH1" s="160" t="s">
        <v>1175</v>
      </c>
      <c r="AI1" s="22" t="s">
        <v>1176</v>
      </c>
      <c r="AJ1" s="22" t="s">
        <v>1177</v>
      </c>
      <c r="AK1" s="22" t="s">
        <v>972</v>
      </c>
      <c r="AL1" s="22" t="s">
        <v>1178</v>
      </c>
      <c r="AM1" s="22" t="s">
        <v>1179</v>
      </c>
      <c r="AN1" s="164" t="s">
        <v>24</v>
      </c>
      <c r="AO1" s="164" t="s">
        <v>25</v>
      </c>
    </row>
    <row r="2" spans="1:41">
      <c r="A2" s="12" t="s">
        <v>26</v>
      </c>
      <c r="B2" s="12" t="s">
        <v>26</v>
      </c>
      <c r="C2" s="12" t="s">
        <v>1068</v>
      </c>
      <c r="D2" s="1" t="s">
        <v>1325</v>
      </c>
      <c r="E2" s="12" t="s">
        <v>100</v>
      </c>
      <c r="F2" s="158">
        <v>3.681</v>
      </c>
      <c r="G2" s="158">
        <v>-77500000</v>
      </c>
      <c r="H2" s="151">
        <v>285108.05176</v>
      </c>
      <c r="I2" s="159">
        <v>89.81</v>
      </c>
      <c r="J2" s="151">
        <v>0.11913926800386254</v>
      </c>
      <c r="K2" s="11" t="s">
        <v>1325</v>
      </c>
      <c r="L2" s="12" t="s">
        <v>35</v>
      </c>
      <c r="M2" s="159">
        <v>1</v>
      </c>
      <c r="N2" s="159">
        <v>282875000</v>
      </c>
      <c r="O2" s="159">
        <v>-286630.90081000002</v>
      </c>
      <c r="P2" s="159">
        <v>89.84</v>
      </c>
      <c r="Q2" s="159">
        <v>-0.1197756271665638</v>
      </c>
      <c r="R2" s="158">
        <v>-1348.2674999999999</v>
      </c>
      <c r="S2" s="11" t="s">
        <v>31</v>
      </c>
      <c r="T2" s="21" t="s">
        <v>31</v>
      </c>
      <c r="U2" s="12" t="s">
        <v>768</v>
      </c>
      <c r="V2" s="12" t="s">
        <v>121</v>
      </c>
      <c r="W2" s="11" t="s">
        <v>121</v>
      </c>
      <c r="X2" s="12" t="s">
        <v>100</v>
      </c>
      <c r="Y2" s="12" t="s">
        <v>163</v>
      </c>
      <c r="Z2" s="176">
        <v>45377</v>
      </c>
      <c r="AA2" s="27">
        <v>45471</v>
      </c>
      <c r="AB2" s="12" t="s">
        <v>925</v>
      </c>
      <c r="AC2" s="12" t="s">
        <v>1326</v>
      </c>
      <c r="AD2" s="12" t="s">
        <v>163</v>
      </c>
      <c r="AE2" s="12" t="s">
        <v>949</v>
      </c>
      <c r="AF2" s="12" t="s">
        <v>590</v>
      </c>
      <c r="AG2" s="12" t="s">
        <v>925</v>
      </c>
      <c r="AH2" s="173">
        <v>5.5570000000000001E-2</v>
      </c>
      <c r="AI2" s="158">
        <v>3.66</v>
      </c>
      <c r="AJ2" s="11">
        <v>3.65</v>
      </c>
      <c r="AK2" s="12" t="s">
        <v>163</v>
      </c>
      <c r="AL2" s="11">
        <v>0</v>
      </c>
      <c r="AM2" s="11" t="s">
        <v>1327</v>
      </c>
      <c r="AN2" s="169">
        <v>0.97340000000000004</v>
      </c>
      <c r="AO2" s="169">
        <v>-5.6340605616643614E-6</v>
      </c>
    </row>
    <row r="3" spans="1:41">
      <c r="A3" s="12" t="s">
        <v>26</v>
      </c>
      <c r="B3" s="12" t="s">
        <v>26</v>
      </c>
      <c r="C3" s="12" t="s">
        <v>1068</v>
      </c>
      <c r="D3" s="1" t="s">
        <v>1328</v>
      </c>
      <c r="E3" s="12" t="s">
        <v>1208</v>
      </c>
      <c r="F3" s="158">
        <v>3.9790999999999999</v>
      </c>
      <c r="G3" s="158">
        <v>-6719000</v>
      </c>
      <c r="H3" s="151">
        <v>28322.813969999999</v>
      </c>
      <c r="I3" s="159">
        <v>8.49</v>
      </c>
      <c r="J3" s="151">
        <v>1.1835370146038039E-2</v>
      </c>
      <c r="K3" s="11" t="s">
        <v>1328</v>
      </c>
      <c r="L3" s="12" t="s">
        <v>35</v>
      </c>
      <c r="M3" s="159">
        <v>1</v>
      </c>
      <c r="N3" s="159">
        <v>26734901</v>
      </c>
      <c r="O3" s="159">
        <v>-28351.575579999997</v>
      </c>
      <c r="P3" s="159">
        <v>8.4499999999999993</v>
      </c>
      <c r="Q3" s="159">
        <v>-1.1847388877676305E-2</v>
      </c>
      <c r="R3" s="158">
        <v>-1.5386500000000001</v>
      </c>
      <c r="S3" s="11" t="s">
        <v>31</v>
      </c>
      <c r="T3" s="21" t="s">
        <v>31</v>
      </c>
      <c r="U3" s="12" t="s">
        <v>768</v>
      </c>
      <c r="V3" s="12" t="s">
        <v>121</v>
      </c>
      <c r="W3" s="11" t="s">
        <v>121</v>
      </c>
      <c r="X3" s="12" t="s">
        <v>1208</v>
      </c>
      <c r="Y3" s="12" t="s">
        <v>163</v>
      </c>
      <c r="Z3" s="176">
        <v>45377</v>
      </c>
      <c r="AA3" s="27">
        <v>45471</v>
      </c>
      <c r="AB3" s="12" t="s">
        <v>925</v>
      </c>
      <c r="AC3" s="12" t="s">
        <v>1326</v>
      </c>
      <c r="AD3" s="12" t="s">
        <v>163</v>
      </c>
      <c r="AE3" s="12" t="s">
        <v>949</v>
      </c>
      <c r="AF3" s="12" t="s">
        <v>590</v>
      </c>
      <c r="AG3" s="12" t="s">
        <v>925</v>
      </c>
      <c r="AH3" s="162">
        <v>3.891E-2</v>
      </c>
      <c r="AI3" s="158">
        <v>3.9712999999999998</v>
      </c>
      <c r="AJ3" s="12">
        <v>3.9790000000000001</v>
      </c>
      <c r="AK3" s="12" t="s">
        <v>163</v>
      </c>
      <c r="AL3" s="11">
        <v>0</v>
      </c>
      <c r="AM3" s="11" t="s">
        <v>1327</v>
      </c>
      <c r="AN3" s="169">
        <v>1.1000000000000001E-3</v>
      </c>
      <c r="AO3" s="169">
        <v>-6.4296197032153254E-9</v>
      </c>
    </row>
    <row r="4" spans="1:41">
      <c r="A4" s="12" t="s">
        <v>26</v>
      </c>
      <c r="B4" s="12" t="s">
        <v>26</v>
      </c>
      <c r="C4" s="12" t="s">
        <v>1068</v>
      </c>
      <c r="D4" s="1" t="s">
        <v>1329</v>
      </c>
      <c r="E4" s="12" t="s">
        <v>1209</v>
      </c>
      <c r="F4" s="158">
        <v>0.24334</v>
      </c>
      <c r="G4" s="158">
        <v>-220000000</v>
      </c>
      <c r="H4" s="151">
        <v>5311.24</v>
      </c>
      <c r="I4" s="159">
        <v>1.7</v>
      </c>
      <c r="J4" s="151">
        <v>2.2194295877883447E-3</v>
      </c>
      <c r="K4" s="11" t="s">
        <v>1329</v>
      </c>
      <c r="L4" s="12" t="s">
        <v>35</v>
      </c>
      <c r="M4" s="159">
        <v>1</v>
      </c>
      <c r="N4" s="159">
        <v>5368000</v>
      </c>
      <c r="O4" s="159">
        <v>-5349.08</v>
      </c>
      <c r="P4" s="159">
        <v>1.71</v>
      </c>
      <c r="Q4" s="159">
        <v>-2.235241943396811E-3</v>
      </c>
      <c r="R4" s="158">
        <v>-35.42</v>
      </c>
      <c r="S4" s="11" t="s">
        <v>31</v>
      </c>
      <c r="T4" s="21" t="s">
        <v>31</v>
      </c>
      <c r="U4" s="12" t="s">
        <v>768</v>
      </c>
      <c r="V4" s="12" t="s">
        <v>121</v>
      </c>
      <c r="W4" s="11" t="s">
        <v>121</v>
      </c>
      <c r="X4" s="12" t="s">
        <v>1209</v>
      </c>
      <c r="Y4" s="12" t="s">
        <v>163</v>
      </c>
      <c r="Z4" s="176">
        <v>45377</v>
      </c>
      <c r="AA4" s="27">
        <v>45471</v>
      </c>
      <c r="AB4" s="12" t="s">
        <v>925</v>
      </c>
      <c r="AC4" s="12" t="s">
        <v>1326</v>
      </c>
      <c r="AD4" s="12" t="s">
        <v>163</v>
      </c>
      <c r="AE4" s="12" t="s">
        <v>949</v>
      </c>
      <c r="AF4" s="12" t="s">
        <v>590</v>
      </c>
      <c r="AG4" s="12" t="s">
        <v>925</v>
      </c>
      <c r="AH4" s="162">
        <v>2.5900000000000003E-3</v>
      </c>
      <c r="AI4" s="158">
        <v>2.4161999999999999E-2</v>
      </c>
      <c r="AJ4" s="12">
        <v>0.24406</v>
      </c>
      <c r="AK4" s="12" t="s">
        <v>163</v>
      </c>
      <c r="AL4" s="11">
        <v>0</v>
      </c>
      <c r="AM4" s="11" t="s">
        <v>1327</v>
      </c>
      <c r="AN4" s="169">
        <v>2.5499999999999998E-2</v>
      </c>
      <c r="AO4" s="169">
        <v>-1.4801100307924925E-7</v>
      </c>
    </row>
    <row r="5" spans="1:41">
      <c r="A5" s="12" t="s">
        <v>26</v>
      </c>
      <c r="B5" s="12" t="s">
        <v>1330</v>
      </c>
      <c r="C5" s="12" t="s">
        <v>1068</v>
      </c>
      <c r="D5" s="1" t="s">
        <v>1325</v>
      </c>
      <c r="E5" s="12" t="s">
        <v>100</v>
      </c>
      <c r="F5" s="158">
        <v>3.681</v>
      </c>
      <c r="G5" s="158">
        <v>-1445000</v>
      </c>
      <c r="H5" s="151">
        <v>5315.8856102348391</v>
      </c>
      <c r="I5" s="159">
        <v>73.62</v>
      </c>
      <c r="J5" s="151">
        <v>0.80640258630992523</v>
      </c>
      <c r="K5" s="11" t="s">
        <v>1325</v>
      </c>
      <c r="L5" s="12" t="s">
        <v>35</v>
      </c>
      <c r="M5" s="159">
        <v>1</v>
      </c>
      <c r="N5" s="159">
        <v>5274250</v>
      </c>
      <c r="O5" s="159">
        <v>-5344.279376392903</v>
      </c>
      <c r="P5" s="159">
        <v>73.7</v>
      </c>
      <c r="Q5" s="159">
        <v>-0.81070982844110617</v>
      </c>
      <c r="R5" s="158">
        <v>-25.138670000000001</v>
      </c>
      <c r="S5" s="11" t="s">
        <v>31</v>
      </c>
      <c r="T5" s="21" t="s">
        <v>31</v>
      </c>
      <c r="U5" s="12" t="s">
        <v>768</v>
      </c>
      <c r="V5" s="12" t="s">
        <v>121</v>
      </c>
      <c r="W5" s="11" t="s">
        <v>121</v>
      </c>
      <c r="X5" s="12" t="s">
        <v>100</v>
      </c>
      <c r="Y5" s="12" t="s">
        <v>163</v>
      </c>
      <c r="Z5" s="176">
        <v>45377</v>
      </c>
      <c r="AA5" s="27">
        <v>45471</v>
      </c>
      <c r="AB5" s="12" t="s">
        <v>925</v>
      </c>
      <c r="AC5" s="12" t="s">
        <v>1326</v>
      </c>
      <c r="AD5" s="12" t="s">
        <v>163</v>
      </c>
      <c r="AE5" s="12" t="s">
        <v>949</v>
      </c>
      <c r="AF5" s="12" t="s">
        <v>590</v>
      </c>
      <c r="AG5" s="12" t="s">
        <v>925</v>
      </c>
      <c r="AH5" s="162">
        <v>5.5570000000000001E-2</v>
      </c>
      <c r="AI5" s="158">
        <v>3.66</v>
      </c>
      <c r="AJ5" s="12">
        <v>3.65</v>
      </c>
      <c r="AK5" s="12" t="s">
        <v>163</v>
      </c>
      <c r="AL5" s="11">
        <v>0</v>
      </c>
      <c r="AM5" s="11" t="s">
        <v>1327</v>
      </c>
      <c r="AN5" s="169">
        <v>0.99569999999999992</v>
      </c>
      <c r="AO5" s="169">
        <v>-3.8134546133501511E-5</v>
      </c>
    </row>
    <row r="6" spans="1:41">
      <c r="A6" s="12" t="s">
        <v>26</v>
      </c>
      <c r="B6" s="12" t="s">
        <v>1330</v>
      </c>
      <c r="C6" s="12" t="s">
        <v>1068</v>
      </c>
      <c r="D6" s="1" t="s">
        <v>1328</v>
      </c>
      <c r="E6" s="12" t="s">
        <v>1208</v>
      </c>
      <c r="F6" s="158">
        <v>3.9790999999999999</v>
      </c>
      <c r="G6" s="158">
        <v>-475000</v>
      </c>
      <c r="H6" s="151">
        <v>2002.2825771320136</v>
      </c>
      <c r="I6" s="159">
        <v>26.38</v>
      </c>
      <c r="J6" s="151">
        <v>0.30373976550846588</v>
      </c>
      <c r="K6" s="11" t="s">
        <v>1328</v>
      </c>
      <c r="L6" s="12" t="s">
        <v>35</v>
      </c>
      <c r="M6" s="159">
        <v>1</v>
      </c>
      <c r="N6" s="159">
        <v>1890025</v>
      </c>
      <c r="O6" s="159">
        <v>-2004.315880413752</v>
      </c>
      <c r="P6" s="159">
        <v>26.3</v>
      </c>
      <c r="Q6" s="159">
        <v>-0.30404821101413843</v>
      </c>
      <c r="R6" s="158">
        <v>-0.10878</v>
      </c>
      <c r="S6" s="11" t="s">
        <v>31</v>
      </c>
      <c r="T6" s="21" t="s">
        <v>31</v>
      </c>
      <c r="U6" s="12" t="s">
        <v>768</v>
      </c>
      <c r="V6" s="12" t="s">
        <v>121</v>
      </c>
      <c r="W6" s="11" t="s">
        <v>121</v>
      </c>
      <c r="X6" s="12" t="s">
        <v>1208</v>
      </c>
      <c r="Y6" s="12" t="s">
        <v>163</v>
      </c>
      <c r="Z6" s="176">
        <v>45377</v>
      </c>
      <c r="AA6" s="27">
        <v>45471</v>
      </c>
      <c r="AB6" s="12" t="s">
        <v>925</v>
      </c>
      <c r="AC6" s="12" t="s">
        <v>1326</v>
      </c>
      <c r="AD6" s="12" t="s">
        <v>163</v>
      </c>
      <c r="AE6" s="12" t="s">
        <v>949</v>
      </c>
      <c r="AF6" s="12" t="s">
        <v>590</v>
      </c>
      <c r="AG6" s="12" t="s">
        <v>925</v>
      </c>
      <c r="AH6" s="162">
        <v>3.891E-2</v>
      </c>
      <c r="AI6" s="158">
        <v>3.9712999999999998</v>
      </c>
      <c r="AJ6" s="12">
        <v>3.9790000000000001</v>
      </c>
      <c r="AK6" s="12" t="s">
        <v>163</v>
      </c>
      <c r="AL6" s="11">
        <v>0</v>
      </c>
      <c r="AM6" s="11" t="s">
        <v>1327</v>
      </c>
      <c r="AN6" s="169">
        <v>4.3E-3</v>
      </c>
      <c r="AO6" s="169">
        <v>-1.6501572789659495E-7</v>
      </c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J1" zoomScale="70" zoomScaleNormal="70" workbookViewId="0">
      <selection activeCell="AZ10" sqref="AZ10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3" width="13.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144</v>
      </c>
      <c r="D1" s="22" t="s">
        <v>145</v>
      </c>
      <c r="E1" s="22" t="s">
        <v>146</v>
      </c>
      <c r="F1" s="22" t="s">
        <v>147</v>
      </c>
      <c r="G1" s="22" t="s">
        <v>5</v>
      </c>
      <c r="H1" s="22" t="s">
        <v>1180</v>
      </c>
      <c r="I1" s="22" t="s">
        <v>6</v>
      </c>
      <c r="J1" s="22" t="s">
        <v>7</v>
      </c>
      <c r="K1" s="22" t="s">
        <v>172</v>
      </c>
      <c r="L1" s="22" t="s">
        <v>149</v>
      </c>
      <c r="M1" s="22" t="s">
        <v>1181</v>
      </c>
      <c r="N1" s="22" t="s">
        <v>1182</v>
      </c>
      <c r="O1" s="22" t="s">
        <v>1183</v>
      </c>
      <c r="P1" s="22" t="s">
        <v>9</v>
      </c>
      <c r="Q1" s="22" t="s">
        <v>10</v>
      </c>
      <c r="R1" s="22" t="s">
        <v>150</v>
      </c>
      <c r="S1" s="22" t="s">
        <v>11</v>
      </c>
      <c r="T1" s="22" t="s">
        <v>12</v>
      </c>
      <c r="U1" s="22" t="s">
        <v>151</v>
      </c>
      <c r="V1" s="160" t="s">
        <v>14</v>
      </c>
      <c r="W1" s="22" t="s">
        <v>775</v>
      </c>
      <c r="X1" s="22" t="s">
        <v>932</v>
      </c>
      <c r="Y1" s="171" t="s">
        <v>1185</v>
      </c>
      <c r="Z1" s="164" t="s">
        <v>15</v>
      </c>
      <c r="AA1" s="22" t="s">
        <v>13</v>
      </c>
      <c r="AB1" s="22" t="s">
        <v>432</v>
      </c>
      <c r="AC1" s="22" t="s">
        <v>780</v>
      </c>
      <c r="AD1" s="171" t="s">
        <v>1186</v>
      </c>
      <c r="AE1" s="171" t="s">
        <v>1187</v>
      </c>
      <c r="AF1" s="22" t="s">
        <v>1188</v>
      </c>
      <c r="AG1" s="22" t="s">
        <v>803</v>
      </c>
      <c r="AH1" s="22" t="s">
        <v>804</v>
      </c>
      <c r="AI1" s="22" t="s">
        <v>1189</v>
      </c>
      <c r="AJ1" s="22" t="s">
        <v>810</v>
      </c>
      <c r="AK1" s="22" t="s">
        <v>173</v>
      </c>
      <c r="AL1" s="22" t="s">
        <v>186</v>
      </c>
      <c r="AM1" s="22" t="s">
        <v>174</v>
      </c>
      <c r="AN1" s="22" t="s">
        <v>158</v>
      </c>
      <c r="AO1" s="22" t="s">
        <v>175</v>
      </c>
      <c r="AP1" s="160" t="s">
        <v>1190</v>
      </c>
      <c r="AQ1" s="22" t="s">
        <v>1191</v>
      </c>
      <c r="AR1" s="22" t="s">
        <v>1192</v>
      </c>
      <c r="AS1" s="22" t="s">
        <v>18</v>
      </c>
      <c r="AT1" s="22" t="s">
        <v>20</v>
      </c>
      <c r="AU1" s="22" t="s">
        <v>187</v>
      </c>
      <c r="AV1" s="22" t="s">
        <v>21</v>
      </c>
      <c r="AW1" s="22" t="s">
        <v>188</v>
      </c>
      <c r="AX1" s="22" t="s">
        <v>853</v>
      </c>
      <c r="AY1" s="22" t="s">
        <v>22</v>
      </c>
      <c r="AZ1" s="164" t="s">
        <v>24</v>
      </c>
      <c r="BA1" s="164" t="s">
        <v>25</v>
      </c>
    </row>
    <row r="2" spans="1:53">
      <c r="A2" s="2" t="s">
        <v>26</v>
      </c>
      <c r="B2" s="2">
        <v>288</v>
      </c>
      <c r="C2" s="23" t="s">
        <v>1331</v>
      </c>
      <c r="D2" s="23" t="s">
        <v>34</v>
      </c>
      <c r="E2" s="23" t="s">
        <v>1332</v>
      </c>
      <c r="F2" s="23" t="s">
        <v>1333</v>
      </c>
      <c r="G2" s="23" t="s">
        <v>1062</v>
      </c>
      <c r="H2" s="2" t="s">
        <v>1334</v>
      </c>
      <c r="I2" s="21" t="s">
        <v>31</v>
      </c>
      <c r="J2" s="21" t="s">
        <v>31</v>
      </c>
      <c r="K2" s="23" t="s">
        <v>1335</v>
      </c>
      <c r="L2" s="23" t="s">
        <v>163</v>
      </c>
      <c r="M2" s="23" t="s">
        <v>163</v>
      </c>
      <c r="N2" s="23"/>
      <c r="O2" s="23" t="s">
        <v>1336</v>
      </c>
      <c r="P2" s="23" t="s">
        <v>1337</v>
      </c>
      <c r="Q2" s="23" t="s">
        <v>121</v>
      </c>
      <c r="R2" s="23" t="s">
        <v>429</v>
      </c>
      <c r="S2" s="21" t="s">
        <v>35</v>
      </c>
      <c r="T2" s="154">
        <v>2.6659999999999999</v>
      </c>
      <c r="U2" s="23" t="s">
        <v>1338</v>
      </c>
      <c r="V2" s="168">
        <v>5.6030000000000003E-2</v>
      </c>
      <c r="W2" s="23" t="s">
        <v>779</v>
      </c>
      <c r="X2" s="23" t="s">
        <v>1339</v>
      </c>
      <c r="Y2" s="172">
        <v>5.6029999999999998</v>
      </c>
      <c r="Z2" s="169">
        <v>5.1389999999999998E-2</v>
      </c>
      <c r="AA2" s="23"/>
      <c r="AB2" s="21" t="s">
        <v>434</v>
      </c>
      <c r="AC2" s="23" t="s">
        <v>785</v>
      </c>
      <c r="AD2" s="23"/>
      <c r="AE2" s="23"/>
      <c r="AF2" s="23"/>
      <c r="AG2" s="23" t="s">
        <v>163</v>
      </c>
      <c r="AH2" s="23" t="s">
        <v>809</v>
      </c>
      <c r="AI2" s="2" t="s">
        <v>1340</v>
      </c>
      <c r="AJ2" s="2" t="s">
        <v>163</v>
      </c>
      <c r="AK2" s="23" t="s">
        <v>121</v>
      </c>
      <c r="AL2" s="23" t="s">
        <v>1341</v>
      </c>
      <c r="AM2" s="23" t="s">
        <v>1342</v>
      </c>
      <c r="AN2" s="2" t="s">
        <v>1343</v>
      </c>
      <c r="AO2" s="2" t="s">
        <v>1344</v>
      </c>
      <c r="AQ2" s="152">
        <v>37062358.770000003</v>
      </c>
      <c r="AR2" s="154">
        <v>101.79600000000001</v>
      </c>
      <c r="AS2" s="154">
        <v>1</v>
      </c>
      <c r="AT2" s="154">
        <v>37728.178999999996</v>
      </c>
      <c r="AU2" s="157">
        <v>37728.178999999996</v>
      </c>
      <c r="AV2" s="30"/>
      <c r="AW2" s="30"/>
      <c r="AX2" s="21" t="s">
        <v>163</v>
      </c>
      <c r="AY2" s="23" t="s">
        <v>37</v>
      </c>
      <c r="AZ2" s="169">
        <v>1</v>
      </c>
      <c r="BA2" s="169">
        <v>1.5756459894959201E-2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0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149</v>
      </c>
      <c r="M1" s="22" t="s">
        <v>195</v>
      </c>
      <c r="N1" s="22" t="s">
        <v>180</v>
      </c>
      <c r="O1" s="22" t="s">
        <v>9</v>
      </c>
      <c r="P1" s="22" t="s">
        <v>10</v>
      </c>
      <c r="Q1" s="22" t="s">
        <v>196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173</v>
      </c>
      <c r="W1" s="22" t="s">
        <v>174</v>
      </c>
      <c r="X1" s="22" t="s">
        <v>158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189</v>
      </c>
      <c r="D1" s="22" t="s">
        <v>190</v>
      </c>
      <c r="E1" s="22" t="s">
        <v>191</v>
      </c>
      <c r="F1" s="22" t="s">
        <v>5</v>
      </c>
      <c r="G1" s="22" t="s">
        <v>192</v>
      </c>
      <c r="H1" s="22" t="s">
        <v>6</v>
      </c>
      <c r="I1" s="22" t="s">
        <v>7</v>
      </c>
      <c r="J1" s="22" t="s">
        <v>149</v>
      </c>
      <c r="K1" s="22" t="s">
        <v>193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159</v>
      </c>
      <c r="R1" s="22" t="s">
        <v>18</v>
      </c>
      <c r="S1" s="22" t="s">
        <v>194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178</v>
      </c>
      <c r="D1" s="22" t="s">
        <v>5</v>
      </c>
      <c r="E1" s="22" t="s">
        <v>179</v>
      </c>
      <c r="F1" s="22" t="s">
        <v>149</v>
      </c>
      <c r="G1" s="22" t="s">
        <v>180</v>
      </c>
      <c r="H1" s="22" t="s">
        <v>181</v>
      </c>
      <c r="I1" s="22" t="s">
        <v>182</v>
      </c>
      <c r="J1" s="22" t="s">
        <v>183</v>
      </c>
      <c r="K1" s="22" t="s">
        <v>184</v>
      </c>
      <c r="L1" s="22" t="s">
        <v>185</v>
      </c>
      <c r="M1" s="22" t="s">
        <v>173</v>
      </c>
      <c r="N1" s="22" t="s">
        <v>186</v>
      </c>
      <c r="O1" s="22" t="s">
        <v>174</v>
      </c>
      <c r="P1" s="22" t="s">
        <v>158</v>
      </c>
      <c r="Q1" s="22" t="s">
        <v>11</v>
      </c>
      <c r="R1" s="22" t="s">
        <v>187</v>
      </c>
      <c r="S1" s="22" t="s">
        <v>20</v>
      </c>
      <c r="T1" s="22" t="s">
        <v>21</v>
      </c>
      <c r="U1" s="22" t="s">
        <v>188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169</v>
      </c>
      <c r="E1" s="22" t="s">
        <v>170</v>
      </c>
      <c r="F1" s="22" t="s">
        <v>3</v>
      </c>
      <c r="G1" s="22" t="s">
        <v>4</v>
      </c>
      <c r="H1" s="22" t="s">
        <v>171</v>
      </c>
      <c r="I1" s="22" t="s">
        <v>5</v>
      </c>
      <c r="J1" s="22" t="s">
        <v>6</v>
      </c>
      <c r="K1" s="22" t="s">
        <v>7</v>
      </c>
      <c r="L1" s="22" t="s">
        <v>172</v>
      </c>
      <c r="M1" s="22" t="s">
        <v>149</v>
      </c>
      <c r="N1" s="22" t="s">
        <v>11</v>
      </c>
      <c r="O1" s="22" t="s">
        <v>173</v>
      </c>
      <c r="P1" s="22" t="s">
        <v>174</v>
      </c>
      <c r="Q1" s="22" t="s">
        <v>158</v>
      </c>
      <c r="R1" s="22" t="s">
        <v>175</v>
      </c>
      <c r="S1" s="22" t="s">
        <v>176</v>
      </c>
      <c r="T1" s="22" t="s">
        <v>177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M16" sqref="M16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155</v>
      </c>
      <c r="D1" s="22" t="s">
        <v>156</v>
      </c>
      <c r="E1" s="22" t="s">
        <v>5</v>
      </c>
      <c r="F1" s="22" t="s">
        <v>6</v>
      </c>
      <c r="G1" s="22" t="s">
        <v>7</v>
      </c>
      <c r="H1" s="22" t="s">
        <v>149</v>
      </c>
      <c r="I1" s="22" t="s">
        <v>157</v>
      </c>
      <c r="J1" s="22" t="s">
        <v>11</v>
      </c>
      <c r="K1" s="22" t="s">
        <v>158</v>
      </c>
      <c r="L1" s="22" t="s">
        <v>159</v>
      </c>
      <c r="M1" s="22" t="s">
        <v>18</v>
      </c>
      <c r="N1" s="22" t="s">
        <v>20</v>
      </c>
      <c r="O1" s="22" t="s">
        <v>21</v>
      </c>
      <c r="P1" s="22" t="s">
        <v>22</v>
      </c>
      <c r="Q1" s="164" t="s">
        <v>24</v>
      </c>
      <c r="R1" s="164" t="s">
        <v>25</v>
      </c>
    </row>
    <row r="2" spans="1:18">
      <c r="A2" s="23" t="s">
        <v>26</v>
      </c>
      <c r="B2" s="23">
        <v>288</v>
      </c>
      <c r="C2" s="30" t="s">
        <v>160</v>
      </c>
      <c r="D2" s="30" t="s">
        <v>161</v>
      </c>
      <c r="E2" s="30" t="s">
        <v>162</v>
      </c>
      <c r="F2" s="21"/>
      <c r="G2" s="21" t="s">
        <v>31</v>
      </c>
      <c r="H2" s="23" t="s">
        <v>163</v>
      </c>
      <c r="I2" s="23" t="s">
        <v>164</v>
      </c>
      <c r="J2" s="21" t="s">
        <v>35</v>
      </c>
      <c r="K2" s="23" t="s">
        <v>165</v>
      </c>
      <c r="L2" s="152">
        <v>-587.11941999999806</v>
      </c>
      <c r="M2" s="154">
        <v>1</v>
      </c>
      <c r="N2" s="154">
        <v>-587.11941999999806</v>
      </c>
      <c r="O2" s="23"/>
      <c r="P2" s="21" t="s">
        <v>37</v>
      </c>
      <c r="Q2" s="169">
        <v>0.87554902717781602</v>
      </c>
      <c r="R2" s="169">
        <v>-2.4212386858046801E-4</v>
      </c>
    </row>
    <row r="3" spans="1:18">
      <c r="A3" s="23" t="s">
        <v>26</v>
      </c>
      <c r="B3" s="23">
        <v>288</v>
      </c>
      <c r="C3" s="30" t="s">
        <v>166</v>
      </c>
      <c r="D3" s="23" t="s">
        <v>167</v>
      </c>
      <c r="E3" s="30" t="s">
        <v>168</v>
      </c>
      <c r="F3" s="21"/>
      <c r="G3" s="21" t="s">
        <v>31</v>
      </c>
      <c r="H3" s="23" t="s">
        <v>163</v>
      </c>
      <c r="I3" s="23" t="s">
        <v>164</v>
      </c>
      <c r="J3" s="21" t="s">
        <v>35</v>
      </c>
      <c r="K3" s="23" t="s">
        <v>165</v>
      </c>
      <c r="L3" s="152">
        <v>-82.406999999999996</v>
      </c>
      <c r="M3" s="154">
        <v>1</v>
      </c>
      <c r="N3" s="154">
        <v>-82.406999999999996</v>
      </c>
      <c r="O3" s="23"/>
      <c r="P3" s="21" t="s">
        <v>37</v>
      </c>
      <c r="Q3" s="169">
        <v>0.12445097282218399</v>
      </c>
      <c r="R3" s="169">
        <v>-3.4415606725573301E-5</v>
      </c>
    </row>
    <row r="4" spans="1:18">
      <c r="A4" s="23" t="s">
        <v>26</v>
      </c>
      <c r="B4" s="23">
        <v>1451</v>
      </c>
      <c r="C4" s="30" t="s">
        <v>160</v>
      </c>
      <c r="D4" s="23" t="s">
        <v>161</v>
      </c>
      <c r="E4" s="30" t="s">
        <v>162</v>
      </c>
      <c r="F4" s="21"/>
      <c r="G4" s="21" t="s">
        <v>31</v>
      </c>
      <c r="H4" s="23" t="s">
        <v>163</v>
      </c>
      <c r="I4" s="23" t="s">
        <v>164</v>
      </c>
      <c r="J4" s="21" t="s">
        <v>35</v>
      </c>
      <c r="K4" s="23" t="s">
        <v>165</v>
      </c>
      <c r="L4" s="152">
        <v>-13.627000000000001</v>
      </c>
      <c r="M4" s="154">
        <v>1</v>
      </c>
      <c r="N4" s="154">
        <v>-13.627000000000001</v>
      </c>
      <c r="O4" s="23"/>
      <c r="P4" s="21" t="s">
        <v>37</v>
      </c>
      <c r="Q4" s="169">
        <v>0.99922715374067805</v>
      </c>
      <c r="R4" s="169">
        <v>-2.4108807128143299E-4</v>
      </c>
    </row>
    <row r="5" spans="1:18">
      <c r="A5" s="23" t="s">
        <v>26</v>
      </c>
      <c r="B5" s="23">
        <v>1451</v>
      </c>
      <c r="C5" s="30" t="s">
        <v>166</v>
      </c>
      <c r="D5" s="23" t="s">
        <v>167</v>
      </c>
      <c r="E5" s="30" t="s">
        <v>168</v>
      </c>
      <c r="F5" s="21"/>
      <c r="G5" s="21" t="s">
        <v>31</v>
      </c>
      <c r="H5" s="23" t="s">
        <v>163</v>
      </c>
      <c r="I5" s="23" t="s">
        <v>164</v>
      </c>
      <c r="J5" s="21" t="s">
        <v>35</v>
      </c>
      <c r="K5" s="23" t="s">
        <v>165</v>
      </c>
      <c r="L5" s="152">
        <v>-1.0999999999999999E-2</v>
      </c>
      <c r="M5" s="154">
        <v>1</v>
      </c>
      <c r="N5" s="154">
        <v>-1.0999999999999999E-2</v>
      </c>
      <c r="O5" s="23"/>
      <c r="P5" s="21" t="s">
        <v>37</v>
      </c>
      <c r="Q5" s="169">
        <v>7.7284625932145005E-4</v>
      </c>
      <c r="R5" s="169">
        <v>-1.8646812524996001E-7</v>
      </c>
    </row>
    <row r="6" spans="1:18">
      <c r="A6" s="23" t="s">
        <v>26</v>
      </c>
      <c r="B6" s="23">
        <v>1452</v>
      </c>
      <c r="C6" s="30" t="s">
        <v>160</v>
      </c>
      <c r="D6" s="23" t="s">
        <v>161</v>
      </c>
      <c r="E6" s="30" t="s">
        <v>162</v>
      </c>
      <c r="F6" s="21"/>
      <c r="G6" s="21" t="s">
        <v>31</v>
      </c>
      <c r="H6" s="23" t="s">
        <v>163</v>
      </c>
      <c r="I6" s="23" t="s">
        <v>164</v>
      </c>
      <c r="J6" s="21" t="s">
        <v>35</v>
      </c>
      <c r="K6" s="23" t="s">
        <v>165</v>
      </c>
      <c r="L6" s="152">
        <v>-12.193</v>
      </c>
      <c r="M6" s="154">
        <v>1</v>
      </c>
      <c r="N6" s="154">
        <v>-12.193</v>
      </c>
      <c r="O6" s="23"/>
      <c r="P6" s="21" t="s">
        <v>37</v>
      </c>
      <c r="Q6" s="169">
        <v>0.99482064821855798</v>
      </c>
      <c r="R6" s="169">
        <v>-2.45871125610559E-4</v>
      </c>
    </row>
    <row r="7" spans="1:18">
      <c r="A7" s="23" t="s">
        <v>26</v>
      </c>
      <c r="B7" s="23">
        <v>1452</v>
      </c>
      <c r="C7" s="30" t="s">
        <v>166</v>
      </c>
      <c r="D7" s="23" t="s">
        <v>167</v>
      </c>
      <c r="E7" s="30" t="s">
        <v>168</v>
      </c>
      <c r="F7" s="21"/>
      <c r="G7" s="21" t="s">
        <v>31</v>
      </c>
      <c r="H7" s="23" t="s">
        <v>163</v>
      </c>
      <c r="I7" s="23" t="s">
        <v>164</v>
      </c>
      <c r="J7" s="21" t="s">
        <v>35</v>
      </c>
      <c r="K7" s="23" t="s">
        <v>165</v>
      </c>
      <c r="L7" s="152">
        <v>-6.3E-2</v>
      </c>
      <c r="M7" s="154">
        <v>1</v>
      </c>
      <c r="N7" s="154">
        <v>-6.3E-2</v>
      </c>
      <c r="O7" s="23"/>
      <c r="P7" s="21" t="s">
        <v>37</v>
      </c>
      <c r="Q7" s="169">
        <v>5.1793517814424503E-3</v>
      </c>
      <c r="R7" s="169">
        <v>-1.28008305287662E-6</v>
      </c>
    </row>
    <row r="8" spans="1:18">
      <c r="A8" s="23" t="s">
        <v>26</v>
      </c>
      <c r="B8" s="23">
        <v>15046</v>
      </c>
      <c r="C8" s="30" t="s">
        <v>160</v>
      </c>
      <c r="D8" s="23" t="s">
        <v>161</v>
      </c>
      <c r="E8" s="30" t="s">
        <v>162</v>
      </c>
      <c r="F8" s="21"/>
      <c r="G8" s="21" t="s">
        <v>31</v>
      </c>
      <c r="H8" s="23" t="s">
        <v>163</v>
      </c>
      <c r="I8" s="23" t="s">
        <v>164</v>
      </c>
      <c r="J8" s="21" t="s">
        <v>35</v>
      </c>
      <c r="K8" s="23" t="s">
        <v>165</v>
      </c>
      <c r="L8" s="152">
        <v>-0.11700000000000001</v>
      </c>
      <c r="M8" s="154">
        <v>1</v>
      </c>
      <c r="N8" s="154">
        <v>-0.11700000000000001</v>
      </c>
      <c r="O8" s="23"/>
      <c r="P8" s="21" t="s">
        <v>37</v>
      </c>
      <c r="Q8" s="169">
        <v>1</v>
      </c>
      <c r="R8" s="169">
        <v>-1.16897361314261E-4</v>
      </c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144</v>
      </c>
      <c r="D1" s="22" t="s">
        <v>145</v>
      </c>
      <c r="E1" s="22" t="s">
        <v>146</v>
      </c>
      <c r="F1" s="22" t="s">
        <v>147</v>
      </c>
      <c r="G1" s="22" t="s">
        <v>148</v>
      </c>
      <c r="H1" s="22" t="s">
        <v>6</v>
      </c>
      <c r="I1" s="22" t="s">
        <v>7</v>
      </c>
      <c r="J1" s="22" t="s">
        <v>149</v>
      </c>
      <c r="K1" s="22" t="s">
        <v>9</v>
      </c>
      <c r="L1" s="22" t="s">
        <v>10</v>
      </c>
      <c r="M1" s="22" t="s">
        <v>150</v>
      </c>
      <c r="N1" s="22" t="s">
        <v>11</v>
      </c>
      <c r="O1" s="22" t="s">
        <v>18</v>
      </c>
      <c r="P1" s="145" t="s">
        <v>14</v>
      </c>
      <c r="Q1" s="22" t="s">
        <v>151</v>
      </c>
      <c r="R1" s="22" t="s">
        <v>152</v>
      </c>
      <c r="S1" s="22" t="s">
        <v>153</v>
      </c>
      <c r="T1" s="22" t="s">
        <v>154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A30" sqref="A30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212</v>
      </c>
      <c r="E1" s="22" t="s">
        <v>213</v>
      </c>
      <c r="F1" s="22" t="s">
        <v>214</v>
      </c>
      <c r="G1" s="22" t="s">
        <v>215</v>
      </c>
      <c r="H1" s="22" t="s">
        <v>216</v>
      </c>
      <c r="I1" s="22" t="s">
        <v>217</v>
      </c>
      <c r="J1" s="22" t="s">
        <v>11</v>
      </c>
      <c r="K1" s="22" t="s">
        <v>218</v>
      </c>
      <c r="L1" s="22" t="s">
        <v>219</v>
      </c>
      <c r="M1" s="22" t="s">
        <v>220</v>
      </c>
      <c r="N1" s="22" t="s">
        <v>221</v>
      </c>
      <c r="O1" s="22" t="s">
        <v>222</v>
      </c>
      <c r="P1" s="22" t="s">
        <v>223</v>
      </c>
      <c r="Q1" s="22" t="s">
        <v>224</v>
      </c>
    </row>
    <row r="2" spans="1:22" ht="14.1" customHeight="1">
      <c r="A2" s="11">
        <v>288</v>
      </c>
      <c r="B2" s="11">
        <v>288</v>
      </c>
      <c r="C2" s="11" t="s">
        <v>1123</v>
      </c>
      <c r="D2" s="11" t="s">
        <v>2645</v>
      </c>
      <c r="E2" s="11" t="s">
        <v>2654</v>
      </c>
      <c r="F2" s="30" t="s">
        <v>335</v>
      </c>
      <c r="G2" s="11" t="s">
        <v>2655</v>
      </c>
      <c r="H2" s="11">
        <v>62021589</v>
      </c>
      <c r="I2" s="30" t="s">
        <v>34</v>
      </c>
      <c r="J2" s="11" t="s">
        <v>1210</v>
      </c>
      <c r="K2" s="30" t="s">
        <v>2631</v>
      </c>
      <c r="L2" s="177">
        <v>1700000</v>
      </c>
      <c r="M2" s="177">
        <v>7910.95</v>
      </c>
      <c r="N2" s="177">
        <v>1360000</v>
      </c>
      <c r="O2" s="177">
        <v>6328.76</v>
      </c>
      <c r="P2" s="174">
        <v>0.8</v>
      </c>
      <c r="Q2" s="178">
        <v>47178</v>
      </c>
      <c r="R2" s="11"/>
      <c r="V2" s="21"/>
    </row>
    <row r="3" spans="1:22" ht="14.1" customHeight="1">
      <c r="A3" s="11">
        <v>288</v>
      </c>
      <c r="B3" s="11">
        <v>288</v>
      </c>
      <c r="C3" s="11" t="s">
        <v>1123</v>
      </c>
      <c r="D3" s="11" t="s">
        <v>2658</v>
      </c>
      <c r="E3" s="11" t="s">
        <v>2659</v>
      </c>
      <c r="F3" s="30" t="s">
        <v>334</v>
      </c>
      <c r="G3" s="11" t="s">
        <v>2660</v>
      </c>
      <c r="H3" s="11">
        <v>62020904</v>
      </c>
      <c r="I3" s="30" t="s">
        <v>34</v>
      </c>
      <c r="J3" s="11" t="s">
        <v>100</v>
      </c>
      <c r="K3" s="30" t="s">
        <v>2662</v>
      </c>
      <c r="L3" s="177">
        <v>3000000</v>
      </c>
      <c r="M3" s="177">
        <v>11043</v>
      </c>
      <c r="N3" s="177">
        <v>1641527</v>
      </c>
      <c r="O3" s="177">
        <v>6042.4608870000002</v>
      </c>
      <c r="P3" s="174">
        <v>0.54717566666666673</v>
      </c>
      <c r="Q3" s="178">
        <v>47757</v>
      </c>
      <c r="V3" s="21"/>
    </row>
    <row r="4" spans="1:22" ht="13.5" customHeight="1">
      <c r="A4" s="11">
        <v>288</v>
      </c>
      <c r="B4" s="11">
        <v>288</v>
      </c>
      <c r="C4" s="11" t="s">
        <v>1123</v>
      </c>
      <c r="D4" s="11" t="s">
        <v>2669</v>
      </c>
      <c r="E4" s="11" t="s">
        <v>2831</v>
      </c>
      <c r="F4" s="30" t="s">
        <v>334</v>
      </c>
      <c r="G4" s="11" t="s">
        <v>2675</v>
      </c>
      <c r="H4" s="11">
        <v>62008453</v>
      </c>
      <c r="I4" s="30" t="s">
        <v>34</v>
      </c>
      <c r="J4" s="11" t="s">
        <v>100</v>
      </c>
      <c r="K4" s="30" t="s">
        <v>2676</v>
      </c>
      <c r="L4" s="177">
        <v>3000000</v>
      </c>
      <c r="M4" s="177">
        <v>11043</v>
      </c>
      <c r="N4" s="177">
        <v>650708</v>
      </c>
      <c r="O4" s="177">
        <v>2395.2561479999999</v>
      </c>
      <c r="P4" s="174">
        <v>0.21690266666666666</v>
      </c>
      <c r="Q4" s="178">
        <v>46188</v>
      </c>
      <c r="V4" s="21"/>
    </row>
    <row r="5" spans="1:22" ht="13.5" customHeight="1">
      <c r="A5" s="11">
        <v>288</v>
      </c>
      <c r="B5" s="11">
        <v>288</v>
      </c>
      <c r="C5" s="11" t="s">
        <v>1123</v>
      </c>
      <c r="D5" s="11" t="s">
        <v>2669</v>
      </c>
      <c r="E5" s="11" t="s">
        <v>2831</v>
      </c>
      <c r="F5" s="30" t="s">
        <v>334</v>
      </c>
      <c r="G5" s="11" t="s">
        <v>2671</v>
      </c>
      <c r="H5" s="11">
        <v>62007901</v>
      </c>
      <c r="I5" s="30" t="s">
        <v>34</v>
      </c>
      <c r="J5" s="11" t="s">
        <v>100</v>
      </c>
      <c r="K5" s="30" t="s">
        <v>2630</v>
      </c>
      <c r="L5" s="177">
        <v>1000000</v>
      </c>
      <c r="M5" s="177">
        <v>3681</v>
      </c>
      <c r="N5" s="177">
        <v>140850</v>
      </c>
      <c r="O5" s="177">
        <v>518.46884999999997</v>
      </c>
      <c r="P5" s="174">
        <v>0.14085</v>
      </c>
      <c r="Q5" s="178">
        <v>45444</v>
      </c>
      <c r="V5" s="21"/>
    </row>
    <row r="6" spans="1:22" ht="14.1" customHeight="1">
      <c r="A6" s="11">
        <v>288</v>
      </c>
      <c r="B6" s="11">
        <v>288</v>
      </c>
      <c r="C6" s="11" t="s">
        <v>1123</v>
      </c>
      <c r="D6" s="11" t="s">
        <v>2677</v>
      </c>
      <c r="E6" s="11" t="s">
        <v>2678</v>
      </c>
      <c r="F6" s="30" t="s">
        <v>34</v>
      </c>
      <c r="G6" s="11" t="s">
        <v>2679</v>
      </c>
      <c r="H6" s="11">
        <v>62020698</v>
      </c>
      <c r="I6" s="30" t="s">
        <v>34</v>
      </c>
      <c r="J6" s="11" t="s">
        <v>100</v>
      </c>
      <c r="K6" s="30" t="s">
        <v>2681</v>
      </c>
      <c r="L6" s="177">
        <v>1000000</v>
      </c>
      <c r="M6" s="177">
        <v>3681</v>
      </c>
      <c r="N6" s="177">
        <v>190000</v>
      </c>
      <c r="O6" s="177">
        <v>699.39</v>
      </c>
      <c r="P6" s="174">
        <v>0.19</v>
      </c>
      <c r="Q6" s="178">
        <v>46813</v>
      </c>
      <c r="V6" s="21"/>
    </row>
    <row r="7" spans="1:22" ht="14.1" customHeight="1">
      <c r="A7" s="11">
        <v>288</v>
      </c>
      <c r="B7" s="11">
        <v>288</v>
      </c>
      <c r="C7" s="11" t="s">
        <v>1123</v>
      </c>
      <c r="D7" s="11" t="s">
        <v>2634</v>
      </c>
      <c r="E7" s="11" t="s">
        <v>2635</v>
      </c>
      <c r="F7" s="30" t="s">
        <v>1347</v>
      </c>
      <c r="G7" s="11" t="s">
        <v>2636</v>
      </c>
      <c r="H7" s="11">
        <v>62019773</v>
      </c>
      <c r="I7" s="30" t="s">
        <v>34</v>
      </c>
      <c r="J7" s="11" t="s">
        <v>100</v>
      </c>
      <c r="K7" s="30" t="s">
        <v>2638</v>
      </c>
      <c r="L7" s="177">
        <v>1000000</v>
      </c>
      <c r="M7" s="177">
        <v>3681</v>
      </c>
      <c r="N7" s="177">
        <v>200000</v>
      </c>
      <c r="O7" s="177">
        <v>736.2</v>
      </c>
      <c r="P7" s="174">
        <v>0.2</v>
      </c>
      <c r="Q7" s="178">
        <v>47757</v>
      </c>
      <c r="V7" s="21"/>
    </row>
    <row r="8" spans="1:22" ht="14.1" customHeight="1">
      <c r="A8" s="11">
        <v>288</v>
      </c>
      <c r="B8" s="11">
        <v>288</v>
      </c>
      <c r="C8" s="11" t="s">
        <v>1123</v>
      </c>
      <c r="D8" s="11" t="s">
        <v>2683</v>
      </c>
      <c r="E8" s="11" t="s">
        <v>2684</v>
      </c>
      <c r="F8" s="30" t="s">
        <v>334</v>
      </c>
      <c r="G8" s="11" t="s">
        <v>2685</v>
      </c>
      <c r="H8" s="11">
        <v>62008925</v>
      </c>
      <c r="I8" s="30" t="s">
        <v>34</v>
      </c>
      <c r="J8" s="11" t="s">
        <v>100</v>
      </c>
      <c r="K8" s="30" t="s">
        <v>2687</v>
      </c>
      <c r="L8" s="177">
        <v>2000000</v>
      </c>
      <c r="M8" s="177">
        <v>7362</v>
      </c>
      <c r="N8" s="177">
        <v>159010.74</v>
      </c>
      <c r="O8" s="177">
        <v>585.31853393999995</v>
      </c>
      <c r="P8" s="174">
        <v>7.9505369999999992E-2</v>
      </c>
      <c r="Q8" s="178">
        <v>46174</v>
      </c>
      <c r="V8" s="21"/>
    </row>
    <row r="9" spans="1:22" ht="14.1" customHeight="1">
      <c r="A9" s="11">
        <v>288</v>
      </c>
      <c r="B9" s="11">
        <v>288</v>
      </c>
      <c r="C9" s="11" t="s">
        <v>1123</v>
      </c>
      <c r="D9" s="11" t="s">
        <v>2695</v>
      </c>
      <c r="E9" s="11" t="s">
        <v>2696</v>
      </c>
      <c r="F9" s="30" t="s">
        <v>34</v>
      </c>
      <c r="G9" s="11" t="s">
        <v>2697</v>
      </c>
      <c r="H9" s="11">
        <v>62021118</v>
      </c>
      <c r="I9" s="30" t="s">
        <v>34</v>
      </c>
      <c r="J9" s="11" t="s">
        <v>1210</v>
      </c>
      <c r="K9" s="30" t="s">
        <v>2699</v>
      </c>
      <c r="L9" s="177">
        <v>2500000</v>
      </c>
      <c r="M9" s="177">
        <v>11633.75</v>
      </c>
      <c r="N9" s="177">
        <v>2201348.75</v>
      </c>
      <c r="O9" s="177">
        <v>10243.976408125</v>
      </c>
      <c r="P9" s="174">
        <v>0.88053949999999992</v>
      </c>
      <c r="Q9" s="178">
        <v>48580</v>
      </c>
      <c r="V9" s="21"/>
    </row>
    <row r="10" spans="1:22" ht="14.1" customHeight="1">
      <c r="A10" s="11">
        <v>288</v>
      </c>
      <c r="B10" s="11">
        <v>288</v>
      </c>
      <c r="C10" s="11" t="s">
        <v>1123</v>
      </c>
      <c r="D10" s="11" t="s">
        <v>2700</v>
      </c>
      <c r="E10" s="11" t="s">
        <v>2701</v>
      </c>
      <c r="F10" s="30" t="s">
        <v>335</v>
      </c>
      <c r="G10" s="11" t="s">
        <v>2702</v>
      </c>
      <c r="H10" s="11">
        <v>62015821</v>
      </c>
      <c r="I10" s="30" t="s">
        <v>34</v>
      </c>
      <c r="J10" s="11" t="s">
        <v>100</v>
      </c>
      <c r="K10" s="30" t="s">
        <v>2704</v>
      </c>
      <c r="L10" s="177">
        <v>1000000</v>
      </c>
      <c r="M10" s="177">
        <v>3681</v>
      </c>
      <c r="N10" s="177">
        <v>275961.33</v>
      </c>
      <c r="O10" s="177">
        <v>1015.8136557300001</v>
      </c>
      <c r="P10" s="174">
        <v>0.27596133</v>
      </c>
      <c r="Q10" s="178">
        <v>47453</v>
      </c>
      <c r="V10" s="21"/>
    </row>
    <row r="11" spans="1:22" ht="14.1" customHeight="1">
      <c r="A11" s="11">
        <v>288</v>
      </c>
      <c r="B11" s="11">
        <v>288</v>
      </c>
      <c r="C11" s="11" t="s">
        <v>1123</v>
      </c>
      <c r="D11" s="11" t="s">
        <v>2663</v>
      </c>
      <c r="E11" s="11" t="s">
        <v>2664</v>
      </c>
      <c r="F11" s="30" t="s">
        <v>1347</v>
      </c>
      <c r="G11" s="11" t="s">
        <v>2665</v>
      </c>
      <c r="H11" s="11">
        <v>62002035</v>
      </c>
      <c r="I11" s="30" t="s">
        <v>34</v>
      </c>
      <c r="J11" s="11" t="s">
        <v>1208</v>
      </c>
      <c r="K11" s="30" t="s">
        <v>2667</v>
      </c>
      <c r="L11" s="177">
        <v>1500000</v>
      </c>
      <c r="M11" s="177">
        <v>5968.65</v>
      </c>
      <c r="N11" s="177">
        <v>9256</v>
      </c>
      <c r="O11" s="177">
        <v>36.830549599999998</v>
      </c>
      <c r="P11" s="174">
        <v>6.1706666666666663E-3</v>
      </c>
      <c r="Q11" s="178">
        <v>45814</v>
      </c>
    </row>
    <row r="12" spans="1:22" ht="14.1" customHeight="1">
      <c r="A12" s="11">
        <v>288</v>
      </c>
      <c r="B12" s="11">
        <v>288</v>
      </c>
      <c r="C12" s="11" t="s">
        <v>1123</v>
      </c>
      <c r="D12" s="11" t="s">
        <v>2639</v>
      </c>
      <c r="E12" s="11" t="s">
        <v>2640</v>
      </c>
      <c r="F12" s="30" t="s">
        <v>34</v>
      </c>
      <c r="G12" s="11" t="s">
        <v>2641</v>
      </c>
      <c r="H12" s="11">
        <v>62021456</v>
      </c>
      <c r="I12" s="30" t="s">
        <v>34</v>
      </c>
      <c r="J12" s="11" t="s">
        <v>1208</v>
      </c>
      <c r="K12" s="30" t="s">
        <v>2644</v>
      </c>
      <c r="L12" s="177">
        <v>3800000</v>
      </c>
      <c r="M12" s="177">
        <v>15120.58</v>
      </c>
      <c r="N12" s="177">
        <v>3111994.04</v>
      </c>
      <c r="O12" s="177">
        <v>12382.935484564001</v>
      </c>
      <c r="P12" s="174">
        <v>0.81894580000000006</v>
      </c>
      <c r="Q12" s="178">
        <v>48153</v>
      </c>
    </row>
    <row r="13" spans="1:22" ht="14.1" customHeight="1">
      <c r="A13" s="11">
        <v>288</v>
      </c>
      <c r="B13" s="11">
        <v>288</v>
      </c>
      <c r="C13" s="11" t="s">
        <v>1123</v>
      </c>
      <c r="D13" s="11" t="s">
        <v>2645</v>
      </c>
      <c r="E13" s="11" t="s">
        <v>2646</v>
      </c>
      <c r="F13" s="30" t="s">
        <v>34</v>
      </c>
      <c r="G13" s="11" t="s">
        <v>2647</v>
      </c>
      <c r="H13" s="11">
        <v>62021167</v>
      </c>
      <c r="I13" s="30" t="s">
        <v>34</v>
      </c>
      <c r="J13" s="11" t="s">
        <v>100</v>
      </c>
      <c r="K13" s="30" t="s">
        <v>2649</v>
      </c>
      <c r="L13" s="177">
        <v>2250000</v>
      </c>
      <c r="M13" s="177">
        <v>8282.25</v>
      </c>
      <c r="N13" s="177">
        <v>1170000</v>
      </c>
      <c r="O13" s="177">
        <v>4306.7700000000004</v>
      </c>
      <c r="P13" s="174">
        <v>0.52</v>
      </c>
      <c r="Q13" s="178">
        <v>47453</v>
      </c>
    </row>
    <row r="14" spans="1:22" ht="14.1" customHeight="1">
      <c r="A14" s="11">
        <v>288</v>
      </c>
      <c r="B14" s="11">
        <v>288</v>
      </c>
      <c r="C14" s="11" t="s">
        <v>1123</v>
      </c>
      <c r="D14" s="11" t="s">
        <v>2669</v>
      </c>
      <c r="E14" s="11" t="s">
        <v>2831</v>
      </c>
      <c r="F14" s="30" t="s">
        <v>334</v>
      </c>
      <c r="G14" s="11" t="s">
        <v>2673</v>
      </c>
      <c r="H14" s="11">
        <v>62018031</v>
      </c>
      <c r="I14" s="30" t="s">
        <v>34</v>
      </c>
      <c r="J14" s="11" t="s">
        <v>100</v>
      </c>
      <c r="K14" s="30" t="s">
        <v>2674</v>
      </c>
      <c r="L14" s="177">
        <v>1500000</v>
      </c>
      <c r="M14" s="177">
        <v>5521.5</v>
      </c>
      <c r="N14" s="177">
        <v>146724</v>
      </c>
      <c r="O14" s="177">
        <v>540.09104400000001</v>
      </c>
      <c r="P14" s="174">
        <v>9.7816E-2</v>
      </c>
      <c r="Q14" s="178">
        <v>46082</v>
      </c>
    </row>
    <row r="15" spans="1:22" ht="14.1" customHeight="1">
      <c r="A15" s="11">
        <v>288</v>
      </c>
      <c r="B15" s="11">
        <v>288</v>
      </c>
      <c r="C15" s="11" t="s">
        <v>1123</v>
      </c>
      <c r="D15" s="11" t="s">
        <v>2598</v>
      </c>
      <c r="E15" s="11" t="s">
        <v>2599</v>
      </c>
      <c r="F15" s="30" t="s">
        <v>334</v>
      </c>
      <c r="G15" s="11" t="s">
        <v>2600</v>
      </c>
      <c r="H15" s="11">
        <v>50007921</v>
      </c>
      <c r="I15" s="30" t="s">
        <v>34</v>
      </c>
      <c r="J15" s="11" t="s">
        <v>35</v>
      </c>
      <c r="K15" s="30" t="s">
        <v>2602</v>
      </c>
      <c r="L15" s="177">
        <v>12000000</v>
      </c>
      <c r="M15" s="177">
        <v>12000</v>
      </c>
      <c r="N15" s="177">
        <v>8400000</v>
      </c>
      <c r="O15" s="177">
        <v>8400</v>
      </c>
      <c r="P15" s="174">
        <v>0.7</v>
      </c>
      <c r="Q15" s="178">
        <v>47939</v>
      </c>
    </row>
    <row r="16" spans="1:22" ht="14.1" customHeight="1">
      <c r="A16" s="11">
        <v>288</v>
      </c>
      <c r="B16" s="11">
        <v>288</v>
      </c>
      <c r="C16" s="11" t="s">
        <v>1123</v>
      </c>
      <c r="D16" s="11" t="s">
        <v>2688</v>
      </c>
      <c r="E16" s="11" t="s">
        <v>2689</v>
      </c>
      <c r="F16" s="30" t="s">
        <v>1347</v>
      </c>
      <c r="G16" s="11" t="s">
        <v>2690</v>
      </c>
      <c r="H16" s="11">
        <v>62018759</v>
      </c>
      <c r="I16" s="30" t="s">
        <v>34</v>
      </c>
      <c r="J16" s="11" t="s">
        <v>1208</v>
      </c>
      <c r="K16" s="30" t="s">
        <v>2693</v>
      </c>
      <c r="L16" s="177">
        <v>700000</v>
      </c>
      <c r="M16" s="177">
        <v>2785.37</v>
      </c>
      <c r="N16" s="177">
        <v>62222.559999999998</v>
      </c>
      <c r="O16" s="177">
        <v>247.58978849599998</v>
      </c>
      <c r="P16" s="174">
        <v>8.8889371428571423E-2</v>
      </c>
      <c r="Q16" s="178">
        <v>46753</v>
      </c>
    </row>
    <row r="17" spans="1:17" ht="14.1" customHeight="1">
      <c r="A17" s="11">
        <v>288</v>
      </c>
      <c r="B17" s="11">
        <v>288</v>
      </c>
      <c r="C17" s="11" t="s">
        <v>1123</v>
      </c>
      <c r="D17" s="11" t="s">
        <v>2705</v>
      </c>
      <c r="E17" s="11" t="s">
        <v>2706</v>
      </c>
      <c r="F17" s="30" t="s">
        <v>34</v>
      </c>
      <c r="G17" s="11" t="s">
        <v>2707</v>
      </c>
      <c r="H17" s="11">
        <v>62020110</v>
      </c>
      <c r="I17" s="30" t="s">
        <v>34</v>
      </c>
      <c r="J17" s="11" t="s">
        <v>100</v>
      </c>
      <c r="K17" s="30" t="s">
        <v>2709</v>
      </c>
      <c r="L17" s="177">
        <v>2900000</v>
      </c>
      <c r="M17" s="177">
        <v>10674.9</v>
      </c>
      <c r="N17" s="177">
        <v>290000</v>
      </c>
      <c r="O17" s="177">
        <v>1067.49</v>
      </c>
      <c r="P17" s="174">
        <v>0.1</v>
      </c>
      <c r="Q17" s="178">
        <v>47027</v>
      </c>
    </row>
    <row r="18" spans="1:17" ht="14.1" customHeight="1">
      <c r="A18" s="11">
        <v>288</v>
      </c>
      <c r="B18" s="11">
        <v>288</v>
      </c>
      <c r="C18" s="11" t="s">
        <v>1123</v>
      </c>
      <c r="D18" s="11" t="s">
        <v>2608</v>
      </c>
      <c r="E18" s="11" t="s">
        <v>2609</v>
      </c>
      <c r="F18" s="30" t="s">
        <v>333</v>
      </c>
      <c r="G18" s="11" t="s">
        <v>2610</v>
      </c>
      <c r="H18" s="11">
        <v>50000868</v>
      </c>
      <c r="I18" s="30" t="s">
        <v>34</v>
      </c>
      <c r="J18" s="11" t="s">
        <v>35</v>
      </c>
      <c r="K18" s="30" t="s">
        <v>2612</v>
      </c>
      <c r="L18" s="177">
        <v>7000000</v>
      </c>
      <c r="M18" s="177">
        <v>7000</v>
      </c>
      <c r="N18" s="177">
        <v>2316540</v>
      </c>
      <c r="O18" s="177">
        <v>2316.54</v>
      </c>
      <c r="P18" s="174">
        <v>0.33093428571428574</v>
      </c>
      <c r="Q18" s="178">
        <v>46327</v>
      </c>
    </row>
    <row r="19" spans="1:17" ht="14.1" customHeight="1">
      <c r="F19" s="23"/>
      <c r="I19" s="23"/>
      <c r="K19" s="23"/>
    </row>
    <row r="20" spans="1:17" ht="14.1" customHeight="1">
      <c r="F20" s="23"/>
      <c r="I20" s="23"/>
    </row>
    <row r="24" spans="1:17" ht="14.1" customHeight="1">
      <c r="K24" s="11"/>
    </row>
    <row r="25" spans="1:17" ht="14.1" customHeight="1">
      <c r="K25" s="11"/>
    </row>
    <row r="26" spans="1:17" ht="14.1" customHeight="1">
      <c r="K26" s="11"/>
    </row>
    <row r="28" spans="1:17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C19</xm:sqref>
        </x14:dataValidation>
        <x14:dataValidation type="list" allowBlank="1" showInputMessage="1" showErrorMessage="1" xr:uid="{C4D76CE9-F82A-4181-B8EA-29B3CDA1C81E}">
          <x14:formula1>
            <xm:f>'אפשרויות בחירה'!#REF!</xm:f>
          </x14:formula1>
          <xm:sqref>C2:C18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225</v>
      </c>
      <c r="B1" s="53" t="s">
        <v>226</v>
      </c>
      <c r="C1" s="53" t="s">
        <v>227</v>
      </c>
      <c r="D1" s="53" t="s">
        <v>228</v>
      </c>
    </row>
    <row r="2" spans="1:5">
      <c r="A2" s="88"/>
      <c r="B2" s="88" t="s">
        <v>229</v>
      </c>
      <c r="C2" s="24" t="s">
        <v>31</v>
      </c>
      <c r="D2" s="24"/>
    </row>
    <row r="3" spans="1:5">
      <c r="A3" s="89"/>
      <c r="B3" s="89"/>
      <c r="C3" s="24" t="s">
        <v>120</v>
      </c>
      <c r="D3" s="24"/>
    </row>
    <row r="4" spans="1:5" ht="42.75">
      <c r="A4" s="81"/>
      <c r="B4" s="102" t="s">
        <v>230</v>
      </c>
      <c r="C4" s="25" t="s">
        <v>31</v>
      </c>
      <c r="D4" s="25"/>
    </row>
    <row r="5" spans="1:5">
      <c r="A5" s="82"/>
      <c r="B5" s="103"/>
      <c r="C5" s="25" t="s">
        <v>231</v>
      </c>
      <c r="D5" s="25"/>
    </row>
    <row r="6" spans="1:5">
      <c r="A6" s="82"/>
      <c r="B6" s="103"/>
      <c r="C6" s="25" t="s">
        <v>232</v>
      </c>
      <c r="D6" s="25"/>
    </row>
    <row r="7" spans="1:5">
      <c r="A7" s="82"/>
      <c r="B7" s="103"/>
      <c r="C7" s="25" t="s">
        <v>233</v>
      </c>
      <c r="D7" s="25"/>
    </row>
    <row r="8" spans="1:5">
      <c r="A8" s="82"/>
      <c r="B8" s="103"/>
      <c r="C8" s="25" t="s">
        <v>234</v>
      </c>
      <c r="D8" s="25"/>
    </row>
    <row r="9" spans="1:5">
      <c r="A9" s="82"/>
      <c r="B9" s="103"/>
      <c r="C9" s="25" t="s">
        <v>235</v>
      </c>
      <c r="D9" s="25"/>
    </row>
    <row r="10" spans="1:5">
      <c r="A10" s="82"/>
      <c r="B10" s="103"/>
      <c r="C10" s="25" t="s">
        <v>236</v>
      </c>
      <c r="D10" s="25"/>
    </row>
    <row r="11" spans="1:5">
      <c r="A11" s="82"/>
      <c r="B11" s="103"/>
      <c r="C11" s="25" t="s">
        <v>237</v>
      </c>
      <c r="D11" s="25"/>
      <c r="E11" t="s">
        <v>238</v>
      </c>
    </row>
    <row r="12" spans="1:5">
      <c r="A12" s="82"/>
      <c r="B12" s="103"/>
      <c r="C12" s="25" t="s">
        <v>239</v>
      </c>
      <c r="D12" s="25"/>
      <c r="E12" t="s">
        <v>238</v>
      </c>
    </row>
    <row r="13" spans="1:5">
      <c r="A13" s="82"/>
      <c r="B13" s="103"/>
      <c r="C13" s="25" t="s">
        <v>240</v>
      </c>
      <c r="D13" s="25"/>
    </row>
    <row r="14" spans="1:5">
      <c r="A14" s="82"/>
      <c r="B14" s="103"/>
      <c r="C14" s="25" t="s">
        <v>241</v>
      </c>
      <c r="D14" s="25"/>
    </row>
    <row r="15" spans="1:5">
      <c r="A15" s="82"/>
      <c r="B15" s="103"/>
      <c r="C15" s="25" t="s">
        <v>242</v>
      </c>
      <c r="D15" s="25"/>
    </row>
    <row r="16" spans="1:5">
      <c r="A16" s="82"/>
      <c r="B16" s="103"/>
      <c r="C16" s="25" t="s">
        <v>243</v>
      </c>
      <c r="D16" s="25"/>
    </row>
    <row r="17" spans="1:4">
      <c r="A17" s="82"/>
      <c r="B17" s="103"/>
      <c r="C17" s="25" t="s">
        <v>244</v>
      </c>
      <c r="D17" s="25"/>
    </row>
    <row r="18" spans="1:4">
      <c r="A18" s="82"/>
      <c r="B18" s="103"/>
      <c r="C18" s="25" t="s">
        <v>245</v>
      </c>
      <c r="D18" s="25"/>
    </row>
    <row r="19" spans="1:4">
      <c r="A19" s="82"/>
      <c r="B19" s="103"/>
      <c r="C19" s="25" t="s">
        <v>246</v>
      </c>
      <c r="D19" s="25"/>
    </row>
    <row r="20" spans="1:4">
      <c r="A20" s="82"/>
      <c r="B20" s="103"/>
      <c r="C20" s="25" t="s">
        <v>247</v>
      </c>
      <c r="D20" s="25"/>
    </row>
    <row r="21" spans="1:4">
      <c r="A21" s="82"/>
      <c r="B21" s="103"/>
      <c r="C21" s="25" t="s">
        <v>127</v>
      </c>
      <c r="D21" s="25"/>
    </row>
    <row r="22" spans="1:4">
      <c r="A22" s="82"/>
      <c r="B22" s="103"/>
      <c r="C22" s="25" t="s">
        <v>248</v>
      </c>
      <c r="D22" s="25"/>
    </row>
    <row r="23" spans="1:4">
      <c r="A23" s="82"/>
      <c r="B23" s="103"/>
      <c r="C23" s="25" t="s">
        <v>249</v>
      </c>
      <c r="D23" s="25"/>
    </row>
    <row r="24" spans="1:4">
      <c r="A24" s="82"/>
      <c r="B24" s="103"/>
      <c r="C24" s="25" t="s">
        <v>250</v>
      </c>
      <c r="D24" s="25"/>
    </row>
    <row r="25" spans="1:4">
      <c r="A25" s="82"/>
      <c r="B25" s="103"/>
      <c r="C25" s="25" t="s">
        <v>251</v>
      </c>
      <c r="D25" s="25"/>
    </row>
    <row r="26" spans="1:4">
      <c r="A26" s="82"/>
      <c r="B26" s="103"/>
      <c r="C26" s="25" t="s">
        <v>252</v>
      </c>
      <c r="D26" s="25"/>
    </row>
    <row r="27" spans="1:4">
      <c r="A27" s="82"/>
      <c r="B27" s="103"/>
      <c r="C27" s="25" t="s">
        <v>253</v>
      </c>
      <c r="D27" s="25"/>
    </row>
    <row r="28" spans="1:4">
      <c r="A28" s="82"/>
      <c r="B28" s="103"/>
      <c r="C28" s="25" t="s">
        <v>254</v>
      </c>
      <c r="D28" s="25"/>
    </row>
    <row r="29" spans="1:4">
      <c r="A29" s="82"/>
      <c r="B29" s="103"/>
      <c r="C29" s="25" t="s">
        <v>255</v>
      </c>
      <c r="D29" s="25"/>
    </row>
    <row r="30" spans="1:4">
      <c r="A30" s="82"/>
      <c r="B30" s="103"/>
      <c r="C30" s="25" t="s">
        <v>256</v>
      </c>
      <c r="D30" s="25"/>
    </row>
    <row r="31" spans="1:4">
      <c r="A31" s="82"/>
      <c r="B31" s="103"/>
      <c r="C31" s="25" t="s">
        <v>257</v>
      </c>
      <c r="D31" s="25"/>
    </row>
    <row r="32" spans="1:4">
      <c r="A32" s="82"/>
      <c r="B32" s="103"/>
      <c r="C32" s="25" t="s">
        <v>258</v>
      </c>
      <c r="D32" s="25"/>
    </row>
    <row r="33" spans="1:5">
      <c r="A33" s="82"/>
      <c r="B33" s="103"/>
      <c r="C33" s="25" t="s">
        <v>259</v>
      </c>
      <c r="D33" s="25"/>
    </row>
    <row r="34" spans="1:5">
      <c r="A34" s="82"/>
      <c r="B34" s="103"/>
      <c r="C34" s="25" t="s">
        <v>260</v>
      </c>
      <c r="D34" s="25"/>
    </row>
    <row r="35" spans="1:5">
      <c r="A35" s="82"/>
      <c r="B35" s="103"/>
      <c r="C35" s="25" t="s">
        <v>261</v>
      </c>
      <c r="D35" s="25"/>
    </row>
    <row r="36" spans="1:5">
      <c r="A36" s="82"/>
      <c r="B36" s="103"/>
      <c r="C36" s="25" t="s">
        <v>262</v>
      </c>
      <c r="D36" s="25"/>
      <c r="E36" t="s">
        <v>238</v>
      </c>
    </row>
    <row r="37" spans="1:5">
      <c r="A37" s="82"/>
      <c r="B37" s="103"/>
      <c r="C37" s="11" t="s">
        <v>263</v>
      </c>
      <c r="D37" s="25"/>
      <c r="E37" t="s">
        <v>238</v>
      </c>
    </row>
    <row r="38" spans="1:5">
      <c r="A38" s="82"/>
      <c r="B38" s="103"/>
      <c r="C38" s="25" t="s">
        <v>264</v>
      </c>
      <c r="D38" s="25"/>
    </row>
    <row r="39" spans="1:5">
      <c r="A39" s="82"/>
      <c r="B39" s="103"/>
      <c r="C39" s="25" t="s">
        <v>265</v>
      </c>
      <c r="D39" s="25"/>
    </row>
    <row r="40" spans="1:5">
      <c r="A40" s="82"/>
      <c r="B40" s="103"/>
      <c r="C40" s="25" t="s">
        <v>266</v>
      </c>
      <c r="D40" s="25"/>
      <c r="E40" t="s">
        <v>238</v>
      </c>
    </row>
    <row r="41" spans="1:5">
      <c r="A41" s="82"/>
      <c r="B41" s="103"/>
      <c r="C41" s="25" t="s">
        <v>267</v>
      </c>
      <c r="D41" s="25"/>
    </row>
    <row r="42" spans="1:5">
      <c r="A42" s="82"/>
      <c r="B42" s="103"/>
      <c r="C42" s="25" t="s">
        <v>268</v>
      </c>
      <c r="D42" s="25"/>
    </row>
    <row r="43" spans="1:5">
      <c r="A43" s="82"/>
      <c r="B43" s="103"/>
      <c r="C43" s="25" t="s">
        <v>269</v>
      </c>
      <c r="D43" s="25"/>
    </row>
    <row r="44" spans="1:5">
      <c r="A44" s="82"/>
      <c r="B44" s="103"/>
      <c r="C44" s="25" t="s">
        <v>270</v>
      </c>
      <c r="D44" s="25"/>
    </row>
    <row r="45" spans="1:5">
      <c r="A45" s="82"/>
      <c r="B45" s="103"/>
      <c r="C45" s="25" t="s">
        <v>271</v>
      </c>
      <c r="D45" s="25"/>
    </row>
    <row r="46" spans="1:5">
      <c r="A46" s="82"/>
      <c r="B46" s="103"/>
      <c r="C46" s="25" t="s">
        <v>272</v>
      </c>
      <c r="D46" s="25"/>
      <c r="E46" t="s">
        <v>238</v>
      </c>
    </row>
    <row r="47" spans="1:5">
      <c r="A47" s="82"/>
      <c r="B47" s="103"/>
      <c r="C47" s="25" t="s">
        <v>273</v>
      </c>
      <c r="D47" s="25"/>
    </row>
    <row r="48" spans="1:5">
      <c r="A48" s="82"/>
      <c r="B48" s="103"/>
      <c r="C48" s="25" t="s">
        <v>274</v>
      </c>
      <c r="D48" s="25"/>
    </row>
    <row r="49" spans="1:5">
      <c r="A49" s="82"/>
      <c r="B49" s="103"/>
      <c r="C49" s="25" t="s">
        <v>275</v>
      </c>
      <c r="D49" s="25"/>
    </row>
    <row r="50" spans="1:5">
      <c r="A50" s="82"/>
      <c r="B50" s="103"/>
      <c r="C50" s="25" t="s">
        <v>276</v>
      </c>
      <c r="D50" s="25"/>
    </row>
    <row r="51" spans="1:5">
      <c r="A51" s="82"/>
      <c r="B51" s="103"/>
      <c r="C51" s="25" t="s">
        <v>277</v>
      </c>
      <c r="D51" s="25"/>
    </row>
    <row r="52" spans="1:5">
      <c r="A52" s="82"/>
      <c r="B52" s="103"/>
      <c r="C52" s="25" t="s">
        <v>278</v>
      </c>
      <c r="D52" s="25"/>
    </row>
    <row r="53" spans="1:5">
      <c r="A53" s="82"/>
      <c r="B53" s="103"/>
      <c r="C53" s="25" t="s">
        <v>279</v>
      </c>
      <c r="D53" s="25"/>
    </row>
    <row r="54" spans="1:5">
      <c r="A54" s="82"/>
      <c r="B54" s="103"/>
      <c r="C54" s="25" t="s">
        <v>280</v>
      </c>
      <c r="D54" s="25"/>
    </row>
    <row r="55" spans="1:5">
      <c r="A55" s="82"/>
      <c r="B55" s="103"/>
      <c r="C55" s="25" t="s">
        <v>281</v>
      </c>
      <c r="D55" s="25"/>
    </row>
    <row r="56" spans="1:5">
      <c r="A56" s="82"/>
      <c r="B56" s="103"/>
      <c r="C56" s="25" t="s">
        <v>282</v>
      </c>
      <c r="D56" s="25"/>
    </row>
    <row r="57" spans="1:5">
      <c r="A57" s="82"/>
      <c r="B57" s="103"/>
      <c r="C57" s="25" t="s">
        <v>283</v>
      </c>
      <c r="D57" s="25"/>
    </row>
    <row r="58" spans="1:5">
      <c r="A58" s="82"/>
      <c r="B58" s="103"/>
      <c r="C58" s="25" t="s">
        <v>284</v>
      </c>
      <c r="D58" s="25"/>
    </row>
    <row r="59" spans="1:5">
      <c r="A59" s="82"/>
      <c r="B59" s="103"/>
      <c r="C59" s="25" t="s">
        <v>285</v>
      </c>
      <c r="D59" s="25"/>
    </row>
    <row r="60" spans="1:5">
      <c r="A60" s="82"/>
      <c r="B60" s="103"/>
      <c r="C60" s="25" t="s">
        <v>286</v>
      </c>
      <c r="D60" s="25"/>
    </row>
    <row r="61" spans="1:5">
      <c r="A61" s="82"/>
      <c r="B61" s="103"/>
      <c r="C61" s="25" t="s">
        <v>287</v>
      </c>
      <c r="D61" s="25"/>
    </row>
    <row r="62" spans="1:5">
      <c r="A62" s="82"/>
      <c r="B62" s="103"/>
      <c r="C62" s="25" t="s">
        <v>288</v>
      </c>
      <c r="D62" s="25"/>
    </row>
    <row r="63" spans="1:5">
      <c r="A63" s="82"/>
      <c r="B63" s="103"/>
      <c r="C63" s="25" t="s">
        <v>289</v>
      </c>
      <c r="D63" s="25"/>
      <c r="E63" t="s">
        <v>238</v>
      </c>
    </row>
    <row r="64" spans="1:5">
      <c r="A64" s="82"/>
      <c r="B64" s="103"/>
      <c r="C64" s="25" t="s">
        <v>290</v>
      </c>
      <c r="D64" s="25"/>
    </row>
    <row r="65" spans="1:4">
      <c r="A65" s="82"/>
      <c r="B65" s="103"/>
      <c r="C65" s="25" t="s">
        <v>291</v>
      </c>
      <c r="D65" s="25"/>
    </row>
    <row r="66" spans="1:4">
      <c r="A66" s="82"/>
      <c r="B66" s="103"/>
      <c r="C66" s="25" t="s">
        <v>292</v>
      </c>
      <c r="D66" s="25"/>
    </row>
    <row r="67" spans="1:4">
      <c r="A67" s="82"/>
      <c r="B67" s="103"/>
      <c r="C67" s="25" t="s">
        <v>293</v>
      </c>
      <c r="D67" s="25"/>
    </row>
    <row r="68" spans="1:4">
      <c r="A68" s="82"/>
      <c r="B68" s="103"/>
      <c r="C68" s="25" t="s">
        <v>294</v>
      </c>
      <c r="D68" s="25"/>
    </row>
    <row r="69" spans="1:4">
      <c r="A69" s="82"/>
      <c r="B69" s="103"/>
      <c r="C69" s="25" t="s">
        <v>295</v>
      </c>
      <c r="D69" s="25"/>
    </row>
    <row r="70" spans="1:4">
      <c r="A70" s="82"/>
      <c r="B70" s="103"/>
      <c r="C70" s="25" t="s">
        <v>296</v>
      </c>
      <c r="D70" s="25"/>
    </row>
    <row r="71" spans="1:4">
      <c r="A71" s="82"/>
      <c r="B71" s="103"/>
      <c r="C71" s="25" t="s">
        <v>297</v>
      </c>
      <c r="D71" s="25"/>
    </row>
    <row r="72" spans="1:4">
      <c r="A72" s="82"/>
      <c r="B72" s="103"/>
      <c r="C72" s="25" t="s">
        <v>298</v>
      </c>
      <c r="D72" s="25"/>
    </row>
    <row r="73" spans="1:4">
      <c r="A73" s="82"/>
      <c r="B73" s="103"/>
      <c r="C73" s="25" t="s">
        <v>299</v>
      </c>
      <c r="D73" s="25"/>
    </row>
    <row r="74" spans="1:4">
      <c r="A74" s="82"/>
      <c r="B74" s="103"/>
      <c r="C74" s="25" t="s">
        <v>300</v>
      </c>
      <c r="D74" s="25"/>
    </row>
    <row r="75" spans="1:4">
      <c r="A75" s="82"/>
      <c r="B75" s="103"/>
      <c r="C75" s="25" t="s">
        <v>301</v>
      </c>
      <c r="D75" s="25"/>
    </row>
    <row r="76" spans="1:4">
      <c r="A76" s="82"/>
      <c r="B76" s="103"/>
      <c r="C76" s="25" t="s">
        <v>302</v>
      </c>
      <c r="D76" s="25"/>
    </row>
    <row r="77" spans="1:4">
      <c r="A77" s="82"/>
      <c r="B77" s="103"/>
      <c r="C77" s="25" t="s">
        <v>303</v>
      </c>
      <c r="D77" s="25"/>
    </row>
    <row r="78" spans="1:4">
      <c r="A78" s="82"/>
      <c r="B78" s="103"/>
      <c r="C78" s="25" t="s">
        <v>304</v>
      </c>
      <c r="D78" s="25"/>
    </row>
    <row r="79" spans="1:4">
      <c r="A79" s="82"/>
      <c r="B79" s="103"/>
      <c r="C79" s="25" t="s">
        <v>305</v>
      </c>
      <c r="D79" s="25"/>
    </row>
    <row r="80" spans="1:4">
      <c r="A80" s="82"/>
      <c r="B80" s="103"/>
      <c r="C80" s="25" t="s">
        <v>306</v>
      </c>
      <c r="D80" s="25"/>
    </row>
    <row r="81" spans="1:5">
      <c r="A81" s="82"/>
      <c r="B81" s="103"/>
      <c r="C81" s="25" t="s">
        <v>307</v>
      </c>
      <c r="D81" s="25"/>
    </row>
    <row r="82" spans="1:5">
      <c r="A82" s="82"/>
      <c r="B82" s="103"/>
      <c r="C82" s="25" t="s">
        <v>308</v>
      </c>
      <c r="D82" s="25"/>
    </row>
    <row r="83" spans="1:5">
      <c r="A83" s="82"/>
      <c r="B83" s="103"/>
      <c r="C83" s="25" t="s">
        <v>309</v>
      </c>
      <c r="D83" s="25"/>
    </row>
    <row r="84" spans="1:5">
      <c r="A84" s="82"/>
      <c r="B84" s="103"/>
      <c r="C84" s="25" t="s">
        <v>310</v>
      </c>
      <c r="D84" s="25"/>
    </row>
    <row r="85" spans="1:5">
      <c r="A85" s="82"/>
      <c r="B85" s="103"/>
      <c r="C85" s="25" t="s">
        <v>311</v>
      </c>
      <c r="D85" s="25"/>
    </row>
    <row r="86" spans="1:5">
      <c r="A86" s="82"/>
      <c r="B86" s="103"/>
      <c r="C86" s="25" t="s">
        <v>312</v>
      </c>
      <c r="D86" s="25"/>
    </row>
    <row r="87" spans="1:5">
      <c r="A87" s="82"/>
      <c r="B87" s="103"/>
      <c r="C87" s="25" t="s">
        <v>313</v>
      </c>
      <c r="D87" s="25"/>
    </row>
    <row r="88" spans="1:5">
      <c r="A88" s="82"/>
      <c r="B88" s="103"/>
      <c r="C88" s="25" t="s">
        <v>314</v>
      </c>
      <c r="D88" s="25"/>
    </row>
    <row r="89" spans="1:5">
      <c r="A89" s="82"/>
      <c r="B89" s="103"/>
      <c r="C89" s="25" t="s">
        <v>315</v>
      </c>
      <c r="D89" s="25"/>
    </row>
    <row r="90" spans="1:5">
      <c r="A90" s="82"/>
      <c r="B90" s="103"/>
      <c r="C90" s="25" t="s">
        <v>316</v>
      </c>
      <c r="D90" s="25"/>
    </row>
    <row r="91" spans="1:5">
      <c r="A91" s="82"/>
      <c r="B91" s="103"/>
      <c r="C91" s="25" t="s">
        <v>317</v>
      </c>
      <c r="D91" s="25"/>
    </row>
    <row r="92" spans="1:5">
      <c r="A92" s="82"/>
      <c r="B92" s="103"/>
      <c r="C92" s="25" t="s">
        <v>318</v>
      </c>
      <c r="D92" s="25"/>
    </row>
    <row r="93" spans="1:5">
      <c r="A93" s="82"/>
      <c r="B93" s="103"/>
      <c r="C93" s="25" t="s">
        <v>319</v>
      </c>
      <c r="D93" s="25"/>
    </row>
    <row r="94" spans="1:5">
      <c r="A94" s="82"/>
      <c r="B94" s="103"/>
      <c r="C94" s="25" t="s">
        <v>320</v>
      </c>
      <c r="D94" s="25" t="s">
        <v>321</v>
      </c>
      <c r="E94" t="s">
        <v>238</v>
      </c>
    </row>
    <row r="95" spans="1:5">
      <c r="A95" s="82"/>
      <c r="B95" s="103"/>
      <c r="C95" s="25" t="s">
        <v>322</v>
      </c>
      <c r="D95" s="25" t="s">
        <v>323</v>
      </c>
      <c r="E95" t="s">
        <v>238</v>
      </c>
    </row>
    <row r="96" spans="1:5">
      <c r="A96" s="82"/>
      <c r="B96" s="103"/>
      <c r="C96" s="25" t="s">
        <v>324</v>
      </c>
      <c r="D96" s="25" t="s">
        <v>323</v>
      </c>
      <c r="E96" t="s">
        <v>238</v>
      </c>
    </row>
    <row r="97" spans="1:5">
      <c r="A97" s="82"/>
      <c r="B97" s="103"/>
      <c r="C97" s="25" t="s">
        <v>325</v>
      </c>
      <c r="D97" s="25" t="s">
        <v>323</v>
      </c>
      <c r="E97" t="s">
        <v>238</v>
      </c>
    </row>
    <row r="98" spans="1:5">
      <c r="A98" s="82"/>
      <c r="B98" s="103"/>
      <c r="C98" s="25" t="s">
        <v>326</v>
      </c>
      <c r="D98" s="25" t="s">
        <v>323</v>
      </c>
      <c r="E98" t="s">
        <v>238</v>
      </c>
    </row>
    <row r="99" spans="1:5">
      <c r="A99" s="82"/>
      <c r="B99" s="103"/>
      <c r="C99" s="25" t="s">
        <v>327</v>
      </c>
      <c r="D99" s="25" t="s">
        <v>323</v>
      </c>
      <c r="E99" t="s">
        <v>238</v>
      </c>
    </row>
    <row r="100" spans="1:5">
      <c r="A100" s="82"/>
      <c r="B100" s="103"/>
      <c r="C100" s="25" t="s">
        <v>328</v>
      </c>
      <c r="D100" s="25" t="s">
        <v>323</v>
      </c>
      <c r="E100" t="s">
        <v>238</v>
      </c>
    </row>
    <row r="101" spans="1:5">
      <c r="A101" s="82"/>
      <c r="B101" s="103"/>
      <c r="C101" s="25" t="s">
        <v>329</v>
      </c>
      <c r="D101" s="25" t="s">
        <v>323</v>
      </c>
      <c r="E101" t="s">
        <v>238</v>
      </c>
    </row>
    <row r="102" spans="1:5">
      <c r="A102" s="82"/>
      <c r="B102" s="103"/>
      <c r="C102" s="25" t="s">
        <v>330</v>
      </c>
      <c r="D102" s="25" t="s">
        <v>323</v>
      </c>
      <c r="E102" t="s">
        <v>238</v>
      </c>
    </row>
    <row r="103" spans="1:5">
      <c r="A103" s="82"/>
      <c r="B103" s="103"/>
      <c r="C103" s="25" t="s">
        <v>331</v>
      </c>
      <c r="D103" s="25" t="s">
        <v>323</v>
      </c>
      <c r="E103" t="s">
        <v>238</v>
      </c>
    </row>
    <row r="104" spans="1:5">
      <c r="A104" s="77"/>
      <c r="B104" s="77" t="s">
        <v>170</v>
      </c>
      <c r="C104" s="24" t="s">
        <v>332</v>
      </c>
      <c r="D104" s="24"/>
    </row>
    <row r="105" spans="1:5">
      <c r="A105" s="78"/>
      <c r="B105" s="78"/>
      <c r="C105" s="24" t="s">
        <v>169</v>
      </c>
      <c r="D105" s="24"/>
    </row>
    <row r="106" spans="1:5">
      <c r="A106" s="78"/>
      <c r="B106" s="78"/>
      <c r="C106" s="24" t="s">
        <v>333</v>
      </c>
      <c r="D106" s="24"/>
    </row>
    <row r="107" spans="1:5">
      <c r="A107" s="78"/>
      <c r="B107" s="78"/>
      <c r="C107" s="24" t="s">
        <v>334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335</v>
      </c>
      <c r="D109" s="24"/>
    </row>
    <row r="110" spans="1:5">
      <c r="A110" s="79"/>
      <c r="B110" s="79"/>
      <c r="C110" s="24" t="s">
        <v>121</v>
      </c>
      <c r="D110" s="24"/>
    </row>
    <row r="111" spans="1:5">
      <c r="A111" s="82"/>
      <c r="B111" s="68" t="s">
        <v>191</v>
      </c>
      <c r="C111" s="25" t="s">
        <v>332</v>
      </c>
      <c r="D111" s="25"/>
    </row>
    <row r="112" spans="1:5">
      <c r="A112" s="82"/>
      <c r="B112" s="69"/>
      <c r="C112" s="25" t="s">
        <v>336</v>
      </c>
      <c r="D112" s="25"/>
    </row>
    <row r="113" spans="1:4">
      <c r="A113" s="82"/>
      <c r="B113" s="70"/>
      <c r="C113" s="25" t="s">
        <v>337</v>
      </c>
      <c r="D113" s="25"/>
    </row>
    <row r="114" spans="1:4">
      <c r="A114" s="95"/>
      <c r="B114" s="95" t="s">
        <v>338</v>
      </c>
      <c r="C114" s="24" t="s">
        <v>332</v>
      </c>
      <c r="D114" s="24"/>
    </row>
    <row r="115" spans="1:4">
      <c r="A115" s="95"/>
      <c r="B115" s="95"/>
      <c r="C115" s="24" t="s">
        <v>333</v>
      </c>
      <c r="D115" s="24"/>
    </row>
    <row r="116" spans="1:4">
      <c r="A116" s="95"/>
      <c r="B116" s="95"/>
      <c r="C116" s="24" t="s">
        <v>334</v>
      </c>
      <c r="D116" s="24"/>
    </row>
    <row r="117" spans="1:4">
      <c r="A117" s="95"/>
      <c r="B117" s="95"/>
      <c r="C117" s="24" t="s">
        <v>335</v>
      </c>
      <c r="D117" s="24"/>
    </row>
    <row r="118" spans="1:4">
      <c r="A118" s="81"/>
      <c r="B118" s="96" t="s">
        <v>145</v>
      </c>
      <c r="C118" s="25" t="s">
        <v>332</v>
      </c>
      <c r="D118" s="25"/>
    </row>
    <row r="119" spans="1:4">
      <c r="A119" s="12"/>
      <c r="B119" s="115"/>
      <c r="C119" s="25" t="s">
        <v>339</v>
      </c>
      <c r="D119" s="25"/>
    </row>
    <row r="120" spans="1:4">
      <c r="A120" s="12"/>
      <c r="B120" s="115"/>
      <c r="C120" s="25" t="s">
        <v>334</v>
      </c>
      <c r="D120" s="25"/>
    </row>
    <row r="121" spans="1:4">
      <c r="A121" s="12"/>
      <c r="B121" s="115"/>
      <c r="C121" s="25" t="s">
        <v>34</v>
      </c>
      <c r="D121" s="25"/>
    </row>
    <row r="122" spans="1:4">
      <c r="A122" s="12"/>
      <c r="B122" s="115"/>
      <c r="C122" s="25" t="s">
        <v>333</v>
      </c>
      <c r="D122" s="25"/>
    </row>
    <row r="123" spans="1:4">
      <c r="A123" s="12"/>
      <c r="B123" s="115"/>
      <c r="C123" s="25" t="s">
        <v>340</v>
      </c>
      <c r="D123" s="25"/>
    </row>
    <row r="124" spans="1:4">
      <c r="A124" s="12"/>
      <c r="B124" s="115"/>
      <c r="C124" s="25" t="s">
        <v>341</v>
      </c>
      <c r="D124" s="25"/>
    </row>
    <row r="125" spans="1:4">
      <c r="A125" s="12"/>
      <c r="B125" s="115"/>
      <c r="C125" s="25" t="s">
        <v>335</v>
      </c>
      <c r="D125" s="25"/>
    </row>
    <row r="126" spans="1:4">
      <c r="A126" s="82"/>
      <c r="B126" s="97"/>
      <c r="C126" s="25" t="s">
        <v>121</v>
      </c>
      <c r="D126" s="25"/>
    </row>
    <row r="127" spans="1:4">
      <c r="A127" s="77"/>
      <c r="B127" s="77" t="s">
        <v>171</v>
      </c>
      <c r="C127" s="24" t="s">
        <v>342</v>
      </c>
      <c r="D127" s="24"/>
    </row>
    <row r="128" spans="1:4">
      <c r="A128" s="78"/>
      <c r="B128" s="78"/>
      <c r="C128" s="24" t="s">
        <v>343</v>
      </c>
      <c r="D128" s="24"/>
    </row>
    <row r="129" spans="1:5">
      <c r="A129" s="78"/>
      <c r="B129" s="78"/>
      <c r="C129" s="24" t="s">
        <v>344</v>
      </c>
      <c r="D129" s="24"/>
    </row>
    <row r="130" spans="1:5">
      <c r="A130" s="78"/>
      <c r="B130" s="78"/>
      <c r="C130" s="24" t="s">
        <v>345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346</v>
      </c>
      <c r="C132" s="25" t="s">
        <v>342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121</v>
      </c>
      <c r="D134" s="25"/>
    </row>
    <row r="135" spans="1:5">
      <c r="A135" s="84"/>
      <c r="B135" s="84" t="s">
        <v>347</v>
      </c>
      <c r="C135" s="24" t="s">
        <v>348</v>
      </c>
      <c r="D135" s="24"/>
    </row>
    <row r="136" spans="1:5">
      <c r="A136" s="85"/>
      <c r="B136" s="85"/>
      <c r="C136" s="24" t="s">
        <v>349</v>
      </c>
      <c r="D136" s="24"/>
      <c r="E136" t="s">
        <v>238</v>
      </c>
    </row>
    <row r="137" spans="1:5">
      <c r="A137" s="85"/>
      <c r="B137" s="85"/>
      <c r="C137" s="24" t="s">
        <v>350</v>
      </c>
      <c r="D137" s="24" t="s">
        <v>351</v>
      </c>
    </row>
    <row r="138" spans="1:5">
      <c r="A138" s="85"/>
      <c r="B138" s="85"/>
      <c r="C138" s="24" t="s">
        <v>352</v>
      </c>
      <c r="D138" s="24" t="s">
        <v>353</v>
      </c>
    </row>
    <row r="139" spans="1:5">
      <c r="A139" s="85"/>
      <c r="B139" s="85"/>
      <c r="C139" s="24" t="s">
        <v>354</v>
      </c>
      <c r="D139" s="24"/>
    </row>
    <row r="140" spans="1:5">
      <c r="A140" s="85"/>
      <c r="B140" s="85"/>
      <c r="C140" s="24" t="s">
        <v>355</v>
      </c>
      <c r="D140" s="24"/>
    </row>
    <row r="141" spans="1:5">
      <c r="A141" s="85"/>
      <c r="B141" s="85"/>
      <c r="C141" s="24" t="s">
        <v>356</v>
      </c>
      <c r="D141" s="24"/>
    </row>
    <row r="142" spans="1:5">
      <c r="A142" s="85"/>
      <c r="B142" s="85"/>
      <c r="C142" s="24" t="s">
        <v>357</v>
      </c>
      <c r="D142" s="24"/>
    </row>
    <row r="143" spans="1:5">
      <c r="A143" s="85"/>
      <c r="B143" s="85"/>
      <c r="C143" s="24" t="s">
        <v>358</v>
      </c>
      <c r="D143" s="24"/>
    </row>
    <row r="144" spans="1:5">
      <c r="A144" s="85"/>
      <c r="B144" s="85"/>
      <c r="C144" s="24" t="s">
        <v>359</v>
      </c>
      <c r="D144" s="24"/>
    </row>
    <row r="145" spans="1:4">
      <c r="A145" s="85"/>
      <c r="B145" s="85"/>
      <c r="C145" s="24" t="s">
        <v>121</v>
      </c>
      <c r="D145" s="24"/>
    </row>
    <row r="146" spans="1:4">
      <c r="A146" s="81"/>
      <c r="B146" s="74" t="s">
        <v>360</v>
      </c>
      <c r="C146" s="25" t="s">
        <v>361</v>
      </c>
      <c r="D146" s="25"/>
    </row>
    <row r="147" spans="1:4">
      <c r="A147" s="83"/>
      <c r="B147" s="76"/>
      <c r="C147" s="25" t="s">
        <v>163</v>
      </c>
      <c r="D147" s="25"/>
    </row>
    <row r="148" spans="1:4">
      <c r="A148" s="63"/>
      <c r="B148" s="114" t="s">
        <v>8</v>
      </c>
      <c r="C148" s="24" t="s">
        <v>40</v>
      </c>
      <c r="D148" s="24" t="s">
        <v>362</v>
      </c>
    </row>
    <row r="149" spans="1:4">
      <c r="A149" s="64"/>
      <c r="B149" s="64"/>
      <c r="C149" s="24" t="s">
        <v>363</v>
      </c>
      <c r="D149" s="24" t="s">
        <v>364</v>
      </c>
    </row>
    <row r="150" spans="1:4">
      <c r="A150" s="64"/>
      <c r="B150" s="64"/>
      <c r="C150" s="24" t="s">
        <v>365</v>
      </c>
      <c r="D150" s="24" t="s">
        <v>366</v>
      </c>
    </row>
    <row r="151" spans="1:4">
      <c r="A151" s="64"/>
      <c r="B151" s="64"/>
      <c r="C151" s="24" t="s">
        <v>367</v>
      </c>
      <c r="D151" s="24" t="s">
        <v>368</v>
      </c>
    </row>
    <row r="152" spans="1:4">
      <c r="A152" s="64"/>
      <c r="B152" s="64"/>
      <c r="C152" s="24" t="s">
        <v>369</v>
      </c>
      <c r="D152" s="24" t="s">
        <v>370</v>
      </c>
    </row>
    <row r="153" spans="1:4">
      <c r="A153" s="64"/>
      <c r="B153" s="64"/>
      <c r="C153" s="24" t="s">
        <v>371</v>
      </c>
      <c r="D153" s="24" t="s">
        <v>372</v>
      </c>
    </row>
    <row r="154" spans="1:4">
      <c r="A154" s="64"/>
      <c r="B154" s="64"/>
      <c r="C154" s="24" t="s">
        <v>373</v>
      </c>
      <c r="D154" s="24" t="s">
        <v>374</v>
      </c>
    </row>
    <row r="155" spans="1:4">
      <c r="A155" s="64"/>
      <c r="B155" s="64"/>
      <c r="C155" s="24" t="s">
        <v>375</v>
      </c>
      <c r="D155" s="24" t="s">
        <v>376</v>
      </c>
    </row>
    <row r="156" spans="1:4">
      <c r="A156" s="64"/>
      <c r="B156" s="64"/>
      <c r="C156" s="24" t="s">
        <v>377</v>
      </c>
      <c r="D156" s="24" t="s">
        <v>378</v>
      </c>
    </row>
    <row r="157" spans="1:4">
      <c r="A157" s="64"/>
      <c r="B157" s="64"/>
      <c r="C157" s="24" t="s">
        <v>379</v>
      </c>
      <c r="D157" s="24" t="s">
        <v>380</v>
      </c>
    </row>
    <row r="158" spans="1:4">
      <c r="A158" s="64"/>
      <c r="B158" s="64"/>
      <c r="C158" s="24" t="s">
        <v>381</v>
      </c>
      <c r="D158" s="24" t="s">
        <v>382</v>
      </c>
    </row>
    <row r="159" spans="1:4">
      <c r="A159" s="64"/>
      <c r="B159" s="64"/>
      <c r="C159" s="24" t="s">
        <v>383</v>
      </c>
      <c r="D159" s="24" t="s">
        <v>384</v>
      </c>
    </row>
    <row r="160" spans="1:4">
      <c r="A160" s="64"/>
      <c r="B160" s="64"/>
      <c r="C160" s="24" t="s">
        <v>385</v>
      </c>
      <c r="D160" s="24" t="s">
        <v>386</v>
      </c>
    </row>
    <row r="161" spans="1:4">
      <c r="A161" s="64"/>
      <c r="B161" s="64"/>
      <c r="C161" s="24" t="s">
        <v>387</v>
      </c>
      <c r="D161" s="24" t="s">
        <v>388</v>
      </c>
    </row>
    <row r="162" spans="1:4">
      <c r="A162" s="64"/>
      <c r="B162" s="64"/>
      <c r="C162" s="24" t="s">
        <v>389</v>
      </c>
      <c r="D162" s="24" t="s">
        <v>390</v>
      </c>
    </row>
    <row r="163" spans="1:4">
      <c r="A163" s="64"/>
      <c r="B163" s="64"/>
      <c r="C163" s="24" t="s">
        <v>391</v>
      </c>
      <c r="D163" s="24" t="s">
        <v>392</v>
      </c>
    </row>
    <row r="164" spans="1:4">
      <c r="A164" s="64"/>
      <c r="B164" s="64"/>
      <c r="C164" s="24" t="s">
        <v>393</v>
      </c>
      <c r="D164" s="24" t="s">
        <v>394</v>
      </c>
    </row>
    <row r="165" spans="1:4">
      <c r="A165" s="64"/>
      <c r="B165" s="64"/>
      <c r="C165" s="24" t="s">
        <v>395</v>
      </c>
      <c r="D165" s="24" t="s">
        <v>396</v>
      </c>
    </row>
    <row r="166" spans="1:4">
      <c r="A166" s="64"/>
      <c r="B166" s="64"/>
      <c r="C166" s="24" t="s">
        <v>397</v>
      </c>
      <c r="D166" s="24" t="s">
        <v>398</v>
      </c>
    </row>
    <row r="167" spans="1:4">
      <c r="A167" s="64"/>
      <c r="B167" s="64"/>
      <c r="C167" s="24" t="s">
        <v>399</v>
      </c>
      <c r="D167" s="24" t="s">
        <v>400</v>
      </c>
    </row>
    <row r="168" spans="1:4">
      <c r="A168" s="64"/>
      <c r="B168" s="64"/>
      <c r="C168" s="24" t="s">
        <v>401</v>
      </c>
      <c r="D168" s="24" t="s">
        <v>402</v>
      </c>
    </row>
    <row r="169" spans="1:4">
      <c r="A169" s="64"/>
      <c r="B169" s="64"/>
      <c r="C169" s="24" t="s">
        <v>403</v>
      </c>
      <c r="D169" s="24" t="s">
        <v>404</v>
      </c>
    </row>
    <row r="170" spans="1:4">
      <c r="A170" s="64"/>
      <c r="B170" s="64"/>
      <c r="C170" s="24" t="s">
        <v>405</v>
      </c>
      <c r="D170" s="24" t="s">
        <v>406</v>
      </c>
    </row>
    <row r="171" spans="1:4">
      <c r="A171" s="64"/>
      <c r="B171" s="64"/>
      <c r="C171" s="24" t="s">
        <v>407</v>
      </c>
      <c r="D171" s="24" t="s">
        <v>408</v>
      </c>
    </row>
    <row r="172" spans="1:4">
      <c r="A172" s="64"/>
      <c r="B172" s="64"/>
      <c r="C172" s="24" t="s">
        <v>409</v>
      </c>
      <c r="D172" s="24" t="s">
        <v>410</v>
      </c>
    </row>
    <row r="173" spans="1:4">
      <c r="A173" s="64"/>
      <c r="B173" s="64"/>
      <c r="C173" s="24" t="s">
        <v>411</v>
      </c>
      <c r="D173" s="24" t="s">
        <v>412</v>
      </c>
    </row>
    <row r="174" spans="1:4">
      <c r="A174" s="64"/>
      <c r="B174" s="64"/>
      <c r="C174" s="24" t="s">
        <v>413</v>
      </c>
      <c r="D174" s="24" t="s">
        <v>414</v>
      </c>
    </row>
    <row r="175" spans="1:4">
      <c r="A175" s="64"/>
      <c r="B175" s="64"/>
      <c r="C175" s="24" t="s">
        <v>415</v>
      </c>
      <c r="D175" s="24" t="s">
        <v>416</v>
      </c>
    </row>
    <row r="176" spans="1:4">
      <c r="A176" s="64"/>
      <c r="B176" s="64"/>
      <c r="C176" s="24" t="s">
        <v>417</v>
      </c>
      <c r="D176" s="24" t="s">
        <v>418</v>
      </c>
    </row>
    <row r="177" spans="1:5">
      <c r="A177" s="64"/>
      <c r="B177" s="64"/>
      <c r="C177" s="24" t="s">
        <v>419</v>
      </c>
      <c r="D177" s="24" t="s">
        <v>420</v>
      </c>
    </row>
    <row r="178" spans="1:5">
      <c r="A178" s="64"/>
      <c r="B178" s="64"/>
      <c r="C178" s="24" t="s">
        <v>421</v>
      </c>
      <c r="D178" s="24" t="s">
        <v>422</v>
      </c>
    </row>
    <row r="179" spans="1:5">
      <c r="A179" s="64"/>
      <c r="B179" s="64"/>
      <c r="C179" s="24" t="s">
        <v>423</v>
      </c>
      <c r="D179" s="24" t="s">
        <v>424</v>
      </c>
    </row>
    <row r="180" spans="1:5">
      <c r="A180" s="64"/>
      <c r="B180" s="64"/>
      <c r="C180" s="24" t="s">
        <v>425</v>
      </c>
      <c r="D180" s="24" t="s">
        <v>426</v>
      </c>
      <c r="E180" t="s">
        <v>238</v>
      </c>
    </row>
    <row r="181" spans="1:5">
      <c r="A181" s="64"/>
      <c r="B181" s="64"/>
      <c r="C181" s="24" t="s">
        <v>121</v>
      </c>
      <c r="D181" s="24" t="s">
        <v>121</v>
      </c>
    </row>
    <row r="182" spans="1:5">
      <c r="A182" s="81"/>
      <c r="B182" s="74" t="s">
        <v>427</v>
      </c>
      <c r="C182" s="56" t="s">
        <v>428</v>
      </c>
      <c r="D182" s="56"/>
    </row>
    <row r="183" spans="1:5">
      <c r="A183" s="82"/>
      <c r="B183" s="75"/>
      <c r="C183" s="56" t="s">
        <v>429</v>
      </c>
      <c r="D183" s="56"/>
    </row>
    <row r="184" spans="1:5">
      <c r="A184" s="82"/>
      <c r="B184" s="75"/>
      <c r="C184" s="56" t="s">
        <v>430</v>
      </c>
      <c r="D184" s="56"/>
    </row>
    <row r="185" spans="1:5">
      <c r="A185" s="83"/>
      <c r="B185" s="76"/>
      <c r="C185" s="57" t="s">
        <v>431</v>
      </c>
      <c r="D185" s="57"/>
    </row>
    <row r="186" spans="1:5">
      <c r="A186" s="77"/>
      <c r="B186" s="77" t="s">
        <v>432</v>
      </c>
      <c r="C186" s="55" t="s">
        <v>433</v>
      </c>
      <c r="D186" s="55"/>
    </row>
    <row r="187" spans="1:5">
      <c r="A187" s="78"/>
      <c r="B187" s="78"/>
      <c r="C187" s="55" t="s">
        <v>434</v>
      </c>
      <c r="D187" s="55"/>
    </row>
    <row r="188" spans="1:5">
      <c r="A188" s="81"/>
      <c r="B188" s="74" t="s">
        <v>10</v>
      </c>
      <c r="C188" s="57" t="s">
        <v>435</v>
      </c>
      <c r="D188" s="57" t="s">
        <v>436</v>
      </c>
    </row>
    <row r="189" spans="1:5">
      <c r="A189" s="82"/>
      <c r="B189" s="75"/>
      <c r="C189" s="57" t="s">
        <v>437</v>
      </c>
      <c r="D189" s="57" t="s">
        <v>438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439</v>
      </c>
      <c r="D191" s="57" t="s">
        <v>440</v>
      </c>
    </row>
    <row r="192" spans="1:5">
      <c r="A192" s="82"/>
      <c r="B192" s="75"/>
      <c r="C192" s="57" t="s">
        <v>441</v>
      </c>
      <c r="D192" s="57" t="s">
        <v>442</v>
      </c>
    </row>
    <row r="193" spans="1:4">
      <c r="A193" s="82"/>
      <c r="B193" s="75"/>
      <c r="C193" s="57" t="s">
        <v>443</v>
      </c>
      <c r="D193" s="57" t="s">
        <v>444</v>
      </c>
    </row>
    <row r="194" spans="1:4">
      <c r="A194" s="82"/>
      <c r="B194" s="75"/>
      <c r="C194" s="57" t="s">
        <v>445</v>
      </c>
      <c r="D194" s="57" t="s">
        <v>446</v>
      </c>
    </row>
    <row r="195" spans="1:4">
      <c r="A195" s="82"/>
      <c r="B195" s="75"/>
      <c r="C195" s="57" t="s">
        <v>447</v>
      </c>
      <c r="D195" s="57" t="s">
        <v>448</v>
      </c>
    </row>
    <row r="196" spans="1:4">
      <c r="A196" s="82"/>
      <c r="B196" s="75"/>
      <c r="C196" s="57" t="s">
        <v>449</v>
      </c>
      <c r="D196" s="57" t="s">
        <v>450</v>
      </c>
    </row>
    <row r="197" spans="1:4">
      <c r="A197" s="82"/>
      <c r="B197" s="75"/>
      <c r="C197" s="57" t="s">
        <v>451</v>
      </c>
      <c r="D197" s="57" t="s">
        <v>452</v>
      </c>
    </row>
    <row r="198" spans="1:4">
      <c r="A198" s="82"/>
      <c r="B198" s="75"/>
      <c r="C198" s="57" t="s">
        <v>122</v>
      </c>
      <c r="D198" s="57" t="s">
        <v>453</v>
      </c>
    </row>
    <row r="199" spans="1:4">
      <c r="A199" s="82"/>
      <c r="B199" s="75"/>
      <c r="C199" s="57" t="s">
        <v>99</v>
      </c>
      <c r="D199" s="57" t="s">
        <v>454</v>
      </c>
    </row>
    <row r="200" spans="1:4">
      <c r="A200" s="82"/>
      <c r="B200" s="75"/>
      <c r="C200" s="57" t="s">
        <v>121</v>
      </c>
      <c r="D200" s="57" t="s">
        <v>121</v>
      </c>
    </row>
    <row r="201" spans="1:4">
      <c r="A201" s="83"/>
      <c r="B201" s="76"/>
      <c r="C201" s="57" t="s">
        <v>431</v>
      </c>
      <c r="D201" s="57" t="s">
        <v>455</v>
      </c>
    </row>
    <row r="202" spans="1:4">
      <c r="A202" s="114"/>
      <c r="B202" s="114" t="s">
        <v>172</v>
      </c>
      <c r="C202" s="24" t="s">
        <v>456</v>
      </c>
      <c r="D202" s="24"/>
    </row>
    <row r="203" spans="1:4">
      <c r="A203" s="64"/>
      <c r="B203" s="64"/>
      <c r="C203" s="24" t="s">
        <v>457</v>
      </c>
      <c r="D203" s="24"/>
    </row>
    <row r="204" spans="1:4">
      <c r="A204" s="64"/>
      <c r="B204" s="64"/>
      <c r="C204" s="24" t="s">
        <v>458</v>
      </c>
      <c r="D204" s="24"/>
    </row>
    <row r="205" spans="1:4">
      <c r="A205" s="64"/>
      <c r="B205" s="64"/>
      <c r="C205" s="24" t="s">
        <v>459</v>
      </c>
      <c r="D205" s="24"/>
    </row>
    <row r="206" spans="1:4">
      <c r="A206" s="64"/>
      <c r="B206" s="64"/>
      <c r="C206" s="24" t="s">
        <v>460</v>
      </c>
      <c r="D206" s="24"/>
    </row>
    <row r="207" spans="1:4">
      <c r="A207" s="64"/>
      <c r="B207" s="64"/>
      <c r="C207" s="24" t="s">
        <v>461</v>
      </c>
      <c r="D207" s="24"/>
    </row>
    <row r="208" spans="1:4">
      <c r="A208" s="64"/>
      <c r="B208" s="64"/>
      <c r="C208" s="24" t="s">
        <v>462</v>
      </c>
      <c r="D208" s="24"/>
    </row>
    <row r="209" spans="1:5">
      <c r="A209" s="64"/>
      <c r="B209" s="64"/>
      <c r="C209" s="24" t="s">
        <v>463</v>
      </c>
      <c r="D209" s="24"/>
    </row>
    <row r="210" spans="1:5">
      <c r="A210" s="64"/>
      <c r="B210" s="64"/>
      <c r="C210" s="24" t="s">
        <v>464</v>
      </c>
      <c r="D210" s="24"/>
    </row>
    <row r="211" spans="1:5">
      <c r="A211" s="64"/>
      <c r="B211" s="64"/>
      <c r="C211" s="24" t="s">
        <v>465</v>
      </c>
      <c r="D211" s="24"/>
    </row>
    <row r="212" spans="1:5">
      <c r="A212" s="64"/>
      <c r="B212" s="64"/>
      <c r="C212" s="24" t="s">
        <v>466</v>
      </c>
      <c r="D212" s="24"/>
    </row>
    <row r="213" spans="1:5">
      <c r="A213" s="64"/>
      <c r="B213" s="64"/>
      <c r="C213" s="24" t="s">
        <v>467</v>
      </c>
      <c r="D213" s="24"/>
    </row>
    <row r="214" spans="1:5">
      <c r="A214" s="64"/>
      <c r="B214" s="64"/>
      <c r="C214" s="24" t="s">
        <v>468</v>
      </c>
      <c r="D214" s="24"/>
    </row>
    <row r="215" spans="1:5">
      <c r="A215" s="64"/>
      <c r="B215" s="64"/>
      <c r="C215" s="24" t="s">
        <v>469</v>
      </c>
      <c r="D215" s="24"/>
    </row>
    <row r="216" spans="1:5">
      <c r="A216" s="64"/>
      <c r="B216" s="64"/>
      <c r="C216" s="24" t="s">
        <v>470</v>
      </c>
      <c r="D216" s="24"/>
    </row>
    <row r="217" spans="1:5">
      <c r="A217" s="64"/>
      <c r="B217" s="64"/>
      <c r="C217" s="24" t="s">
        <v>471</v>
      </c>
      <c r="D217" s="24"/>
    </row>
    <row r="218" spans="1:5">
      <c r="A218" s="64"/>
      <c r="B218" s="64"/>
      <c r="C218" s="24" t="s">
        <v>472</v>
      </c>
      <c r="D218" s="24" t="s">
        <v>473</v>
      </c>
      <c r="E218" t="s">
        <v>238</v>
      </c>
    </row>
    <row r="219" spans="1:5">
      <c r="A219" s="64"/>
      <c r="B219" s="64"/>
      <c r="C219" s="24" t="s">
        <v>474</v>
      </c>
      <c r="D219" s="24"/>
    </row>
    <row r="220" spans="1:5">
      <c r="A220" s="64"/>
      <c r="B220" s="64"/>
      <c r="C220" s="24" t="s">
        <v>475</v>
      </c>
      <c r="D220" s="24"/>
    </row>
    <row r="221" spans="1:5">
      <c r="A221" s="64"/>
      <c r="B221" s="64"/>
      <c r="C221" s="24" t="s">
        <v>476</v>
      </c>
      <c r="D221" s="24"/>
    </row>
    <row r="222" spans="1:5">
      <c r="A222" s="64"/>
      <c r="B222" s="64"/>
      <c r="C222" s="24" t="s">
        <v>477</v>
      </c>
      <c r="D222" s="24"/>
    </row>
    <row r="223" spans="1:5">
      <c r="A223" s="64"/>
      <c r="B223" s="64"/>
      <c r="C223" s="24" t="s">
        <v>478</v>
      </c>
      <c r="D223" s="24"/>
    </row>
    <row r="224" spans="1:5">
      <c r="A224" s="64"/>
      <c r="B224" s="64"/>
      <c r="C224" s="24" t="s">
        <v>479</v>
      </c>
      <c r="D224" s="24"/>
    </row>
    <row r="225" spans="1:4">
      <c r="A225" s="64"/>
      <c r="B225" s="64"/>
      <c r="C225" s="24" t="s">
        <v>480</v>
      </c>
      <c r="D225" s="24"/>
    </row>
    <row r="226" spans="1:4">
      <c r="A226" s="64"/>
      <c r="B226" s="64"/>
      <c r="C226" s="24" t="s">
        <v>481</v>
      </c>
      <c r="D226" s="24"/>
    </row>
    <row r="227" spans="1:4">
      <c r="A227" s="64"/>
      <c r="B227" s="64"/>
      <c r="C227" s="24" t="s">
        <v>482</v>
      </c>
      <c r="D227" s="24"/>
    </row>
    <row r="228" spans="1:4">
      <c r="A228" s="64"/>
      <c r="B228" s="64"/>
      <c r="C228" s="24" t="s">
        <v>483</v>
      </c>
      <c r="D228" s="24"/>
    </row>
    <row r="229" spans="1:4">
      <c r="A229" s="64"/>
      <c r="B229" s="64"/>
      <c r="C229" s="24" t="s">
        <v>484</v>
      </c>
      <c r="D229" s="24"/>
    </row>
    <row r="230" spans="1:4">
      <c r="A230" s="64"/>
      <c r="B230" s="64"/>
      <c r="C230" s="24" t="s">
        <v>485</v>
      </c>
      <c r="D230" s="24"/>
    </row>
    <row r="231" spans="1:4">
      <c r="A231" s="64"/>
      <c r="B231" s="64"/>
      <c r="C231" s="24" t="s">
        <v>486</v>
      </c>
      <c r="D231" s="24"/>
    </row>
    <row r="232" spans="1:4">
      <c r="A232" s="64"/>
      <c r="B232" s="64"/>
      <c r="C232" s="24" t="s">
        <v>487</v>
      </c>
      <c r="D232" s="24"/>
    </row>
    <row r="233" spans="1:4">
      <c r="A233" s="64"/>
      <c r="B233" s="64"/>
      <c r="C233" s="24" t="s">
        <v>488</v>
      </c>
      <c r="D233" s="24"/>
    </row>
    <row r="234" spans="1:4">
      <c r="A234" s="64"/>
      <c r="B234" s="64"/>
      <c r="C234" s="24" t="s">
        <v>489</v>
      </c>
      <c r="D234" s="24"/>
    </row>
    <row r="235" spans="1:4">
      <c r="A235" s="64"/>
      <c r="B235" s="64"/>
      <c r="C235" s="24" t="s">
        <v>490</v>
      </c>
      <c r="D235" s="24"/>
    </row>
    <row r="236" spans="1:4">
      <c r="A236" s="64"/>
      <c r="B236" s="64"/>
      <c r="C236" s="24" t="s">
        <v>491</v>
      </c>
      <c r="D236" s="24"/>
    </row>
    <row r="237" spans="1:4">
      <c r="A237" s="64"/>
      <c r="B237" s="64"/>
      <c r="C237" s="24" t="s">
        <v>492</v>
      </c>
      <c r="D237" s="24"/>
    </row>
    <row r="238" spans="1:4">
      <c r="A238" s="64"/>
      <c r="B238" s="64"/>
      <c r="C238" s="24" t="s">
        <v>493</v>
      </c>
      <c r="D238" s="24"/>
    </row>
    <row r="239" spans="1:4">
      <c r="A239" s="64"/>
      <c r="B239" s="64"/>
      <c r="C239" s="24" t="s">
        <v>494</v>
      </c>
      <c r="D239" s="24"/>
    </row>
    <row r="240" spans="1:4">
      <c r="A240" s="64"/>
      <c r="B240" s="64"/>
      <c r="C240" s="24" t="s">
        <v>495</v>
      </c>
      <c r="D240" s="24"/>
    </row>
    <row r="241" spans="1:4">
      <c r="A241" s="64"/>
      <c r="B241" s="64"/>
      <c r="C241" s="24" t="s">
        <v>496</v>
      </c>
      <c r="D241" s="24"/>
    </row>
    <row r="242" spans="1:4">
      <c r="A242" s="64"/>
      <c r="B242" s="64"/>
      <c r="C242" s="24" t="s">
        <v>497</v>
      </c>
      <c r="D242" s="24"/>
    </row>
    <row r="243" spans="1:4">
      <c r="A243" s="64"/>
      <c r="B243" s="64"/>
      <c r="C243" s="24" t="s">
        <v>498</v>
      </c>
      <c r="D243" s="24"/>
    </row>
    <row r="244" spans="1:4">
      <c r="A244" s="64"/>
      <c r="B244" s="64"/>
      <c r="C244" s="24" t="s">
        <v>499</v>
      </c>
      <c r="D244" s="24"/>
    </row>
    <row r="245" spans="1:4">
      <c r="A245" s="64"/>
      <c r="B245" s="64"/>
      <c r="C245" s="24" t="s">
        <v>500</v>
      </c>
      <c r="D245" s="24"/>
    </row>
    <row r="246" spans="1:4">
      <c r="A246" s="64"/>
      <c r="B246" s="64"/>
      <c r="C246" s="24" t="s">
        <v>501</v>
      </c>
      <c r="D246" s="24"/>
    </row>
    <row r="247" spans="1:4">
      <c r="A247" s="64"/>
      <c r="B247" s="64"/>
      <c r="C247" s="24" t="s">
        <v>502</v>
      </c>
      <c r="D247" s="24"/>
    </row>
    <row r="248" spans="1:4">
      <c r="A248" s="64"/>
      <c r="B248" s="64"/>
      <c r="C248" s="24" t="s">
        <v>503</v>
      </c>
      <c r="D248" s="24"/>
    </row>
    <row r="249" spans="1:4">
      <c r="A249" s="64"/>
      <c r="B249" s="64"/>
      <c r="C249" s="24" t="s">
        <v>504</v>
      </c>
      <c r="D249" s="24"/>
    </row>
    <row r="250" spans="1:4">
      <c r="A250" s="64"/>
      <c r="B250" s="64"/>
      <c r="C250" s="24" t="s">
        <v>505</v>
      </c>
      <c r="D250" s="24"/>
    </row>
    <row r="251" spans="1:4">
      <c r="A251" s="64"/>
      <c r="B251" s="64"/>
      <c r="C251" s="24" t="s">
        <v>506</v>
      </c>
      <c r="D251" s="24"/>
    </row>
    <row r="252" spans="1:4">
      <c r="A252" s="64"/>
      <c r="B252" s="64"/>
      <c r="C252" s="24" t="s">
        <v>121</v>
      </c>
      <c r="D252" s="24"/>
    </row>
    <row r="253" spans="1:4">
      <c r="A253" s="64"/>
      <c r="B253" s="64"/>
      <c r="C253" s="24" t="s">
        <v>507</v>
      </c>
      <c r="D253" s="24"/>
    </row>
    <row r="254" spans="1:4">
      <c r="A254" s="64"/>
      <c r="B254" s="64"/>
      <c r="C254" s="24" t="s">
        <v>508</v>
      </c>
      <c r="D254" s="24"/>
    </row>
    <row r="255" spans="1:4">
      <c r="A255" s="64"/>
      <c r="B255" s="64"/>
      <c r="C255" s="24" t="s">
        <v>509</v>
      </c>
      <c r="D255" s="24"/>
    </row>
    <row r="256" spans="1:4">
      <c r="A256" s="64"/>
      <c r="B256" s="64"/>
      <c r="C256" s="24" t="s">
        <v>510</v>
      </c>
      <c r="D256" s="24"/>
    </row>
    <row r="257" spans="1:5">
      <c r="A257" s="64"/>
      <c r="B257" s="64"/>
      <c r="C257" s="24" t="s">
        <v>511</v>
      </c>
      <c r="D257" s="24"/>
    </row>
    <row r="258" spans="1:5">
      <c r="A258" s="64"/>
      <c r="B258" s="64"/>
      <c r="C258" s="24" t="s">
        <v>512</v>
      </c>
      <c r="D258" s="24"/>
    </row>
    <row r="259" spans="1:5">
      <c r="A259" s="64"/>
      <c r="B259" s="64"/>
      <c r="C259" s="24" t="s">
        <v>513</v>
      </c>
      <c r="D259" s="24"/>
    </row>
    <row r="260" spans="1:5">
      <c r="A260" s="64"/>
      <c r="B260" s="64"/>
      <c r="C260" s="24" t="s">
        <v>514</v>
      </c>
      <c r="D260" s="24"/>
    </row>
    <row r="261" spans="1:5">
      <c r="A261" s="64"/>
      <c r="B261" s="64"/>
      <c r="C261" s="24" t="s">
        <v>515</v>
      </c>
      <c r="D261" s="24"/>
    </row>
    <row r="262" spans="1:5">
      <c r="A262" s="64"/>
      <c r="B262" s="64"/>
      <c r="C262" s="24" t="s">
        <v>516</v>
      </c>
      <c r="D262" s="24"/>
    </row>
    <row r="263" spans="1:5">
      <c r="A263" s="64"/>
      <c r="B263" s="64"/>
      <c r="C263" s="24" t="s">
        <v>517</v>
      </c>
      <c r="D263" s="24"/>
    </row>
    <row r="264" spans="1:5">
      <c r="A264" s="64"/>
      <c r="B264" s="64"/>
      <c r="C264" s="24" t="s">
        <v>518</v>
      </c>
      <c r="D264" s="24"/>
    </row>
    <row r="265" spans="1:5">
      <c r="A265" s="64"/>
      <c r="B265" s="64"/>
      <c r="C265" s="24" t="s">
        <v>519</v>
      </c>
      <c r="D265" s="24"/>
    </row>
    <row r="266" spans="1:5">
      <c r="A266" s="64"/>
      <c r="B266" s="64"/>
      <c r="C266" s="24" t="s">
        <v>520</v>
      </c>
      <c r="D266" s="24"/>
    </row>
    <row r="267" spans="1:5">
      <c r="A267" s="64"/>
      <c r="B267" s="64"/>
      <c r="C267" s="24" t="s">
        <v>521</v>
      </c>
      <c r="D267" s="24"/>
    </row>
    <row r="268" spans="1:5">
      <c r="A268" s="64"/>
      <c r="B268" s="64"/>
      <c r="C268" s="24" t="s">
        <v>522</v>
      </c>
      <c r="D268" s="24"/>
    </row>
    <row r="269" spans="1:5">
      <c r="A269" s="64"/>
      <c r="B269" s="64"/>
      <c r="C269" s="24" t="s">
        <v>523</v>
      </c>
      <c r="D269" s="24"/>
    </row>
    <row r="270" spans="1:5">
      <c r="A270" s="64"/>
      <c r="B270" s="64"/>
      <c r="C270" s="24" t="s">
        <v>524</v>
      </c>
      <c r="D270" s="24" t="s">
        <v>525</v>
      </c>
      <c r="E270" t="s">
        <v>238</v>
      </c>
    </row>
    <row r="271" spans="1:5">
      <c r="A271" s="64"/>
      <c r="B271" s="64"/>
      <c r="C271" s="24" t="s">
        <v>526</v>
      </c>
      <c r="D271" s="24" t="s">
        <v>527</v>
      </c>
      <c r="E271" t="s">
        <v>238</v>
      </c>
    </row>
    <row r="272" spans="1:5">
      <c r="A272" s="64"/>
      <c r="B272" s="64"/>
      <c r="C272" s="24" t="s">
        <v>528</v>
      </c>
      <c r="D272" s="24" t="s">
        <v>529</v>
      </c>
      <c r="E272" t="s">
        <v>238</v>
      </c>
    </row>
    <row r="273" spans="1:5">
      <c r="A273" s="64"/>
      <c r="B273" s="64"/>
      <c r="C273" s="24" t="s">
        <v>530</v>
      </c>
      <c r="D273" s="24"/>
    </row>
    <row r="274" spans="1:5">
      <c r="A274" s="64"/>
      <c r="B274" s="64"/>
      <c r="C274" s="24" t="s">
        <v>531</v>
      </c>
      <c r="D274" s="24" t="s">
        <v>532</v>
      </c>
      <c r="E274" t="s">
        <v>238</v>
      </c>
    </row>
    <row r="275" spans="1:5">
      <c r="A275" s="64"/>
      <c r="B275" s="64"/>
      <c r="C275" s="24" t="s">
        <v>533</v>
      </c>
      <c r="D275" s="24"/>
    </row>
    <row r="276" spans="1:5">
      <c r="A276" s="64"/>
      <c r="B276" s="64"/>
      <c r="C276" s="24" t="s">
        <v>534</v>
      </c>
      <c r="D276" s="24"/>
    </row>
    <row r="277" spans="1:5">
      <c r="A277" s="64"/>
      <c r="B277" s="64"/>
      <c r="C277" s="24" t="s">
        <v>535</v>
      </c>
      <c r="D277" s="24"/>
    </row>
    <row r="278" spans="1:5">
      <c r="A278" s="64"/>
      <c r="B278" s="64"/>
      <c r="C278" s="24" t="s">
        <v>536</v>
      </c>
      <c r="D278" s="24"/>
    </row>
    <row r="279" spans="1:5">
      <c r="A279" s="64"/>
      <c r="B279" s="64"/>
      <c r="C279" s="24" t="s">
        <v>537</v>
      </c>
      <c r="D279" s="24"/>
    </row>
    <row r="280" spans="1:5">
      <c r="A280" s="64"/>
      <c r="B280" s="64"/>
      <c r="C280" s="24" t="s">
        <v>538</v>
      </c>
      <c r="D280" s="24"/>
    </row>
    <row r="281" spans="1:5">
      <c r="A281" s="64"/>
      <c r="B281" s="64"/>
      <c r="C281" s="24" t="s">
        <v>539</v>
      </c>
      <c r="D281" s="24"/>
    </row>
    <row r="282" spans="1:5">
      <c r="A282" s="64"/>
      <c r="B282" s="64"/>
      <c r="C282" s="24" t="s">
        <v>540</v>
      </c>
      <c r="D282" s="24" t="s">
        <v>541</v>
      </c>
      <c r="E282" t="s">
        <v>238</v>
      </c>
    </row>
    <row r="283" spans="1:5">
      <c r="A283" s="64"/>
      <c r="B283" s="64"/>
      <c r="C283" s="24" t="s">
        <v>542</v>
      </c>
      <c r="D283" s="24"/>
    </row>
    <row r="284" spans="1:5">
      <c r="A284" s="64"/>
      <c r="B284" s="64"/>
      <c r="C284" s="24" t="s">
        <v>543</v>
      </c>
      <c r="D284" s="24" t="s">
        <v>544</v>
      </c>
      <c r="E284" t="s">
        <v>238</v>
      </c>
    </row>
    <row r="285" spans="1:5">
      <c r="A285" s="64"/>
      <c r="B285" s="64"/>
      <c r="C285" s="24" t="s">
        <v>545</v>
      </c>
      <c r="D285" s="24"/>
    </row>
    <row r="286" spans="1:5">
      <c r="A286" s="64"/>
      <c r="B286" s="64"/>
      <c r="C286" s="24" t="s">
        <v>546</v>
      </c>
      <c r="D286" s="24"/>
    </row>
    <row r="287" spans="1:5">
      <c r="A287" s="64"/>
      <c r="B287" s="64"/>
      <c r="C287" s="24" t="s">
        <v>547</v>
      </c>
      <c r="D287" s="24"/>
    </row>
    <row r="288" spans="1:5">
      <c r="A288" s="64"/>
      <c r="B288" s="64"/>
      <c r="C288" s="24" t="s">
        <v>548</v>
      </c>
      <c r="D288" s="24"/>
    </row>
    <row r="289" spans="1:5">
      <c r="A289" s="64"/>
      <c r="B289" s="64"/>
      <c r="C289" s="24" t="s">
        <v>549</v>
      </c>
      <c r="D289" s="24" t="s">
        <v>550</v>
      </c>
      <c r="E289" t="s">
        <v>238</v>
      </c>
    </row>
    <row r="290" spans="1:5">
      <c r="A290" s="64"/>
      <c r="B290" s="64"/>
      <c r="C290" s="24" t="s">
        <v>551</v>
      </c>
      <c r="D290" s="24"/>
    </row>
    <row r="291" spans="1:5">
      <c r="A291" s="64"/>
      <c r="B291" s="64"/>
      <c r="C291" s="24" t="s">
        <v>552</v>
      </c>
      <c r="D291" s="24"/>
    </row>
    <row r="292" spans="1:5">
      <c r="A292" s="64"/>
      <c r="B292" s="64"/>
      <c r="C292" s="24" t="s">
        <v>553</v>
      </c>
      <c r="D292" s="24"/>
    </row>
    <row r="293" spans="1:5">
      <c r="A293" s="64"/>
      <c r="B293" s="64"/>
      <c r="C293" s="24" t="s">
        <v>554</v>
      </c>
      <c r="D293" s="24"/>
    </row>
    <row r="294" spans="1:5">
      <c r="A294" s="64"/>
      <c r="B294" s="64"/>
      <c r="C294" s="24" t="s">
        <v>555</v>
      </c>
      <c r="D294" s="24"/>
    </row>
    <row r="295" spans="1:5">
      <c r="A295" s="64"/>
      <c r="B295" s="64"/>
      <c r="C295" s="24" t="s">
        <v>556</v>
      </c>
      <c r="D295" s="24"/>
    </row>
    <row r="296" spans="1:5">
      <c r="A296" s="64"/>
      <c r="B296" s="64"/>
      <c r="C296" s="24" t="s">
        <v>557</v>
      </c>
      <c r="D296" s="24"/>
    </row>
    <row r="297" spans="1:5">
      <c r="A297" s="64"/>
      <c r="B297" s="64"/>
      <c r="C297" s="24" t="s">
        <v>558</v>
      </c>
      <c r="D297" s="24" t="s">
        <v>559</v>
      </c>
      <c r="E297" t="s">
        <v>238</v>
      </c>
    </row>
    <row r="298" spans="1:5">
      <c r="A298" s="64"/>
      <c r="B298" s="64"/>
      <c r="C298" s="24" t="s">
        <v>560</v>
      </c>
      <c r="D298" s="24"/>
    </row>
    <row r="299" spans="1:5">
      <c r="A299" s="64"/>
      <c r="B299" s="64"/>
      <c r="C299" s="24" t="s">
        <v>561</v>
      </c>
      <c r="D299" s="24"/>
    </row>
    <row r="300" spans="1:5">
      <c r="A300" s="64"/>
      <c r="B300" s="64"/>
      <c r="C300" s="133" t="s">
        <v>562</v>
      </c>
      <c r="D300" s="24"/>
      <c r="E300" t="s">
        <v>238</v>
      </c>
    </row>
    <row r="301" spans="1:5">
      <c r="A301" s="64"/>
      <c r="B301" s="64"/>
      <c r="C301" s="24" t="s">
        <v>563</v>
      </c>
      <c r="D301" s="24"/>
    </row>
    <row r="302" spans="1:5">
      <c r="A302" s="64"/>
      <c r="B302" s="64"/>
      <c r="C302" s="24" t="s">
        <v>564</v>
      </c>
      <c r="D302" s="24"/>
    </row>
    <row r="303" spans="1:5">
      <c r="A303" s="64"/>
      <c r="B303" s="64"/>
      <c r="C303" s="24" t="s">
        <v>565</v>
      </c>
      <c r="D303" s="24"/>
    </row>
    <row r="304" spans="1:5">
      <c r="A304" s="64"/>
      <c r="B304" s="64"/>
      <c r="C304" s="24" t="s">
        <v>566</v>
      </c>
      <c r="D304" s="24"/>
    </row>
    <row r="305" spans="1:5">
      <c r="A305" s="64"/>
      <c r="B305" s="64"/>
      <c r="C305" s="24" t="s">
        <v>567</v>
      </c>
      <c r="D305" s="24"/>
    </row>
    <row r="306" spans="1:5">
      <c r="A306" s="64"/>
      <c r="B306" s="64"/>
      <c r="C306" s="24" t="s">
        <v>568</v>
      </c>
      <c r="D306" s="24"/>
    </row>
    <row r="307" spans="1:5">
      <c r="A307" s="64"/>
      <c r="B307" s="64"/>
      <c r="C307" s="24" t="s">
        <v>569</v>
      </c>
      <c r="D307" s="24"/>
    </row>
    <row r="308" spans="1:5">
      <c r="A308" s="64"/>
      <c r="B308" s="64"/>
      <c r="C308" s="24" t="s">
        <v>570</v>
      </c>
      <c r="D308" s="24"/>
    </row>
    <row r="309" spans="1:5">
      <c r="A309" s="64"/>
      <c r="B309" s="64"/>
      <c r="C309" s="24" t="s">
        <v>571</v>
      </c>
      <c r="D309" s="24"/>
    </row>
    <row r="310" spans="1:5">
      <c r="A310" s="64"/>
      <c r="B310" s="64"/>
      <c r="C310" s="133" t="s">
        <v>572</v>
      </c>
      <c r="D310" s="24"/>
      <c r="E310" t="s">
        <v>238</v>
      </c>
    </row>
    <row r="311" spans="1:5">
      <c r="A311" s="64"/>
      <c r="B311" s="64"/>
      <c r="C311" s="133" t="s">
        <v>573</v>
      </c>
      <c r="D311" s="24"/>
      <c r="E311" t="s">
        <v>238</v>
      </c>
    </row>
    <row r="312" spans="1:5">
      <c r="A312" s="64"/>
      <c r="B312" s="64"/>
      <c r="C312" s="133" t="s">
        <v>574</v>
      </c>
      <c r="D312" s="24"/>
      <c r="E312" t="s">
        <v>238</v>
      </c>
    </row>
    <row r="313" spans="1:5">
      <c r="A313" s="64"/>
      <c r="B313" s="64"/>
      <c r="C313" s="24" t="s">
        <v>575</v>
      </c>
      <c r="D313" s="24"/>
    </row>
    <row r="314" spans="1:5">
      <c r="A314" s="64"/>
      <c r="B314" s="64"/>
      <c r="C314" s="24" t="s">
        <v>576</v>
      </c>
      <c r="D314" s="24"/>
    </row>
    <row r="315" spans="1:5">
      <c r="A315" s="64"/>
      <c r="B315" s="64"/>
      <c r="C315" s="24" t="s">
        <v>577</v>
      </c>
      <c r="D315" s="24"/>
    </row>
    <row r="316" spans="1:5">
      <c r="A316" s="64"/>
      <c r="B316" s="64"/>
      <c r="C316" s="24" t="s">
        <v>578</v>
      </c>
      <c r="D316" s="24"/>
    </row>
    <row r="317" spans="1:5">
      <c r="A317" s="64"/>
      <c r="B317" s="64"/>
      <c r="C317" s="24" t="s">
        <v>579</v>
      </c>
      <c r="D317" s="24"/>
    </row>
    <row r="318" spans="1:5">
      <c r="A318" s="64"/>
      <c r="B318" s="64"/>
      <c r="C318" s="24" t="s">
        <v>580</v>
      </c>
      <c r="D318" s="128" t="s">
        <v>581</v>
      </c>
      <c r="E318" t="s">
        <v>238</v>
      </c>
    </row>
    <row r="319" spans="1:5">
      <c r="A319" s="64"/>
      <c r="B319" s="64"/>
      <c r="C319" s="24" t="s">
        <v>582</v>
      </c>
      <c r="D319" s="24"/>
    </row>
    <row r="320" spans="1:5">
      <c r="A320" s="64"/>
      <c r="B320" s="64"/>
      <c r="C320" s="24" t="s">
        <v>583</v>
      </c>
      <c r="D320" s="24"/>
    </row>
    <row r="321" spans="1:5">
      <c r="A321" s="64"/>
      <c r="B321" s="64"/>
      <c r="C321" s="24" t="s">
        <v>584</v>
      </c>
      <c r="D321" s="24"/>
    </row>
    <row r="322" spans="1:5">
      <c r="A322" s="64"/>
      <c r="B322" s="64"/>
      <c r="C322" s="24" t="s">
        <v>585</v>
      </c>
      <c r="D322" s="24"/>
    </row>
    <row r="323" spans="1:5">
      <c r="A323" s="64"/>
      <c r="B323" s="64"/>
      <c r="C323" s="24" t="s">
        <v>586</v>
      </c>
      <c r="D323" s="24"/>
    </row>
    <row r="324" spans="1:5">
      <c r="A324" s="64"/>
      <c r="B324" s="64"/>
      <c r="C324" s="24" t="s">
        <v>587</v>
      </c>
      <c r="D324" s="24"/>
    </row>
    <row r="325" spans="1:5">
      <c r="A325" s="64"/>
      <c r="B325" s="64"/>
      <c r="C325" s="24" t="s">
        <v>588</v>
      </c>
      <c r="D325" s="24"/>
    </row>
    <row r="326" spans="1:5">
      <c r="A326" s="64"/>
      <c r="B326" s="64"/>
      <c r="C326" s="24" t="s">
        <v>589</v>
      </c>
      <c r="D326" s="24"/>
    </row>
    <row r="327" spans="1:5">
      <c r="A327" s="64"/>
      <c r="B327" s="64"/>
      <c r="C327" s="24" t="s">
        <v>590</v>
      </c>
      <c r="D327" s="24"/>
    </row>
    <row r="328" spans="1:5">
      <c r="A328" s="81"/>
      <c r="B328" s="71" t="s">
        <v>591</v>
      </c>
      <c r="C328" s="57" t="s">
        <v>592</v>
      </c>
      <c r="D328" s="57"/>
      <c r="E328" t="s">
        <v>238</v>
      </c>
    </row>
    <row r="329" spans="1:5">
      <c r="A329" s="82"/>
      <c r="B329" s="72"/>
      <c r="C329" s="57" t="s">
        <v>593</v>
      </c>
      <c r="D329" s="57"/>
      <c r="E329" t="s">
        <v>238</v>
      </c>
    </row>
    <row r="330" spans="1:5">
      <c r="A330" s="82"/>
      <c r="B330" s="72"/>
      <c r="C330" s="130" t="s">
        <v>594</v>
      </c>
      <c r="D330" s="57"/>
      <c r="E330" t="s">
        <v>238</v>
      </c>
    </row>
    <row r="331" spans="1:5">
      <c r="A331" s="82"/>
      <c r="B331" s="72"/>
      <c r="C331" s="129" t="s">
        <v>595</v>
      </c>
      <c r="D331" s="57"/>
      <c r="E331" t="s">
        <v>238</v>
      </c>
    </row>
    <row r="332" spans="1:5">
      <c r="A332" s="82"/>
      <c r="B332" s="72"/>
      <c r="C332" s="129" t="s">
        <v>596</v>
      </c>
      <c r="D332" s="57"/>
      <c r="E332" t="s">
        <v>238</v>
      </c>
    </row>
    <row r="333" spans="1:5">
      <c r="A333" s="82"/>
      <c r="B333" s="72"/>
      <c r="C333" s="129" t="s">
        <v>597</v>
      </c>
      <c r="D333" s="57"/>
      <c r="E333" t="s">
        <v>238</v>
      </c>
    </row>
    <row r="334" spans="1:5">
      <c r="A334" s="82"/>
      <c r="B334" s="72"/>
      <c r="C334" s="129" t="s">
        <v>598</v>
      </c>
      <c r="D334" s="57"/>
      <c r="E334" t="s">
        <v>238</v>
      </c>
    </row>
    <row r="335" spans="1:5">
      <c r="A335" s="82"/>
      <c r="B335" s="72"/>
      <c r="C335" s="57" t="s">
        <v>599</v>
      </c>
      <c r="D335" s="57"/>
      <c r="E335" t="s">
        <v>238</v>
      </c>
    </row>
    <row r="336" spans="1:5">
      <c r="A336" s="82"/>
      <c r="B336" s="72"/>
      <c r="C336" s="57" t="s">
        <v>600</v>
      </c>
      <c r="D336" s="57"/>
      <c r="E336" t="s">
        <v>238</v>
      </c>
    </row>
    <row r="337" spans="1:5">
      <c r="A337" s="82"/>
      <c r="B337" s="72"/>
      <c r="C337" s="57" t="s">
        <v>601</v>
      </c>
      <c r="D337" s="57"/>
      <c r="E337" t="s">
        <v>238</v>
      </c>
    </row>
    <row r="338" spans="1:5">
      <c r="A338" s="82"/>
      <c r="B338" s="72"/>
      <c r="C338" s="57" t="s">
        <v>602</v>
      </c>
      <c r="D338" s="57"/>
      <c r="E338" t="s">
        <v>238</v>
      </c>
    </row>
    <row r="339" spans="1:5">
      <c r="A339" s="82"/>
      <c r="B339" s="72"/>
      <c r="C339" s="57" t="s">
        <v>603</v>
      </c>
      <c r="D339" s="57"/>
      <c r="E339" t="s">
        <v>238</v>
      </c>
    </row>
    <row r="340" spans="1:5">
      <c r="A340" s="82"/>
      <c r="B340" s="72"/>
      <c r="C340" s="57" t="s">
        <v>604</v>
      </c>
      <c r="D340" s="57"/>
      <c r="E340" t="s">
        <v>238</v>
      </c>
    </row>
    <row r="341" spans="1:5">
      <c r="A341" s="82"/>
      <c r="B341" s="72"/>
      <c r="C341" s="57" t="s">
        <v>605</v>
      </c>
      <c r="D341" s="57"/>
      <c r="E341" t="s">
        <v>238</v>
      </c>
    </row>
    <row r="342" spans="1:5">
      <c r="A342" s="82"/>
      <c r="B342" s="72"/>
      <c r="C342" s="57" t="s">
        <v>606</v>
      </c>
      <c r="D342" s="57"/>
      <c r="E342" t="s">
        <v>238</v>
      </c>
    </row>
    <row r="343" spans="1:5">
      <c r="A343" s="82"/>
      <c r="B343" s="72"/>
      <c r="C343" s="57" t="s">
        <v>607</v>
      </c>
      <c r="D343" s="57"/>
      <c r="E343" t="s">
        <v>238</v>
      </c>
    </row>
    <row r="344" spans="1:5">
      <c r="A344" s="82"/>
      <c r="B344" s="72"/>
      <c r="C344" s="57" t="s">
        <v>608</v>
      </c>
      <c r="D344" s="57"/>
      <c r="E344" t="s">
        <v>238</v>
      </c>
    </row>
    <row r="345" spans="1:5">
      <c r="A345" s="82"/>
      <c r="B345" s="72"/>
      <c r="C345" s="57" t="s">
        <v>609</v>
      </c>
      <c r="D345" s="57"/>
      <c r="E345" t="s">
        <v>238</v>
      </c>
    </row>
    <row r="346" spans="1:5">
      <c r="A346" s="82"/>
      <c r="B346" s="72"/>
      <c r="C346" s="57" t="s">
        <v>610</v>
      </c>
      <c r="D346" s="57"/>
      <c r="E346" t="s">
        <v>238</v>
      </c>
    </row>
    <row r="347" spans="1:5">
      <c r="A347" s="82"/>
      <c r="B347" s="72"/>
      <c r="C347" s="57" t="s">
        <v>611</v>
      </c>
      <c r="D347" s="57"/>
      <c r="E347" t="s">
        <v>238</v>
      </c>
    </row>
    <row r="348" spans="1:5">
      <c r="A348" s="82"/>
      <c r="B348" s="72"/>
      <c r="C348" s="57" t="s">
        <v>612</v>
      </c>
      <c r="D348" s="57"/>
      <c r="E348" t="s">
        <v>238</v>
      </c>
    </row>
    <row r="349" spans="1:5">
      <c r="A349" s="82"/>
      <c r="B349" s="72"/>
      <c r="C349" s="57" t="s">
        <v>613</v>
      </c>
      <c r="D349" s="57"/>
      <c r="E349" t="s">
        <v>238</v>
      </c>
    </row>
    <row r="350" spans="1:5">
      <c r="A350" s="82"/>
      <c r="B350" s="72"/>
      <c r="C350" s="57" t="s">
        <v>614</v>
      </c>
      <c r="D350" s="57"/>
      <c r="E350" t="s">
        <v>238</v>
      </c>
    </row>
    <row r="351" spans="1:5">
      <c r="A351" s="82"/>
      <c r="B351" s="72"/>
      <c r="C351" s="57" t="s">
        <v>615</v>
      </c>
      <c r="D351" s="57"/>
      <c r="E351" t="s">
        <v>238</v>
      </c>
    </row>
    <row r="352" spans="1:5">
      <c r="A352" s="82"/>
      <c r="B352" s="72"/>
      <c r="C352" s="57" t="s">
        <v>616</v>
      </c>
      <c r="D352" s="57"/>
      <c r="E352" t="s">
        <v>238</v>
      </c>
    </row>
    <row r="353" spans="1:5">
      <c r="A353" s="82"/>
      <c r="B353" s="72"/>
      <c r="C353" s="57" t="s">
        <v>617</v>
      </c>
      <c r="D353" s="57"/>
      <c r="E353" t="s">
        <v>238</v>
      </c>
    </row>
    <row r="354" spans="1:5">
      <c r="A354" s="82"/>
      <c r="B354" s="72"/>
      <c r="C354" s="57" t="s">
        <v>618</v>
      </c>
      <c r="D354" s="57"/>
      <c r="E354" t="s">
        <v>238</v>
      </c>
    </row>
    <row r="355" spans="1:5">
      <c r="A355" s="82"/>
      <c r="B355" s="72"/>
      <c r="C355" s="57" t="s">
        <v>619</v>
      </c>
      <c r="D355" s="57"/>
      <c r="E355" t="s">
        <v>238</v>
      </c>
    </row>
    <row r="356" spans="1:5">
      <c r="A356" s="82"/>
      <c r="B356" s="72"/>
      <c r="C356" s="57" t="s">
        <v>620</v>
      </c>
      <c r="D356" s="57"/>
      <c r="E356" t="s">
        <v>238</v>
      </c>
    </row>
    <row r="357" spans="1:5">
      <c r="A357" s="82"/>
      <c r="B357" s="72"/>
      <c r="C357" s="57" t="s">
        <v>621</v>
      </c>
      <c r="D357" s="57"/>
      <c r="E357" t="s">
        <v>238</v>
      </c>
    </row>
    <row r="358" spans="1:5">
      <c r="A358" s="82"/>
      <c r="B358" s="72"/>
      <c r="C358" s="57" t="s">
        <v>622</v>
      </c>
      <c r="D358" s="57"/>
      <c r="E358" t="s">
        <v>238</v>
      </c>
    </row>
    <row r="359" spans="1:5">
      <c r="A359" s="82"/>
      <c r="B359" s="72"/>
      <c r="C359" s="57" t="s">
        <v>623</v>
      </c>
      <c r="D359" s="57"/>
      <c r="E359" t="s">
        <v>238</v>
      </c>
    </row>
    <row r="360" spans="1:5">
      <c r="A360" s="82"/>
      <c r="B360" s="72"/>
      <c r="C360" s="57" t="s">
        <v>624</v>
      </c>
      <c r="D360" s="57"/>
      <c r="E360" t="s">
        <v>238</v>
      </c>
    </row>
    <row r="361" spans="1:5">
      <c r="A361" s="82"/>
      <c r="B361" s="72"/>
      <c r="C361" s="57" t="s">
        <v>625</v>
      </c>
      <c r="D361" s="57"/>
      <c r="E361" t="s">
        <v>238</v>
      </c>
    </row>
    <row r="362" spans="1:5">
      <c r="A362" s="82"/>
      <c r="B362" s="72"/>
      <c r="C362" s="57" t="s">
        <v>626</v>
      </c>
      <c r="D362" s="57"/>
      <c r="E362" t="s">
        <v>238</v>
      </c>
    </row>
    <row r="363" spans="1:5">
      <c r="A363" s="82"/>
      <c r="B363" s="72"/>
      <c r="C363" s="57" t="s">
        <v>627</v>
      </c>
      <c r="D363" s="57"/>
      <c r="E363" t="s">
        <v>238</v>
      </c>
    </row>
    <row r="364" spans="1:5">
      <c r="A364" s="82"/>
      <c r="B364" s="72"/>
      <c r="C364" s="57" t="s">
        <v>628</v>
      </c>
      <c r="D364" s="57"/>
      <c r="E364" t="s">
        <v>238</v>
      </c>
    </row>
    <row r="365" spans="1:5">
      <c r="A365" s="82"/>
      <c r="B365" s="72"/>
      <c r="C365" s="57" t="s">
        <v>629</v>
      </c>
      <c r="D365" s="57"/>
      <c r="E365" t="s">
        <v>238</v>
      </c>
    </row>
    <row r="366" spans="1:5">
      <c r="A366" s="82"/>
      <c r="B366" s="72"/>
      <c r="C366" s="57" t="s">
        <v>630</v>
      </c>
      <c r="D366" s="57"/>
      <c r="E366" t="s">
        <v>238</v>
      </c>
    </row>
    <row r="367" spans="1:5">
      <c r="A367" s="82"/>
      <c r="B367" s="72"/>
      <c r="C367" s="57" t="s">
        <v>631</v>
      </c>
      <c r="D367" s="57"/>
      <c r="E367" t="s">
        <v>238</v>
      </c>
    </row>
    <row r="368" spans="1:5">
      <c r="A368" s="82"/>
      <c r="B368" s="72"/>
      <c r="C368" s="57" t="s">
        <v>632</v>
      </c>
      <c r="D368" s="57"/>
      <c r="E368" t="s">
        <v>238</v>
      </c>
    </row>
    <row r="369" spans="1:5">
      <c r="A369" s="82"/>
      <c r="B369" s="72"/>
      <c r="C369" s="57" t="s">
        <v>633</v>
      </c>
      <c r="D369" s="57"/>
      <c r="E369" t="s">
        <v>238</v>
      </c>
    </row>
    <row r="370" spans="1:5">
      <c r="A370" s="82"/>
      <c r="B370" s="72"/>
      <c r="C370" s="57" t="s">
        <v>634</v>
      </c>
      <c r="D370" s="57"/>
      <c r="E370" t="s">
        <v>238</v>
      </c>
    </row>
    <row r="371" spans="1:5">
      <c r="A371" s="82"/>
      <c r="B371" s="72"/>
      <c r="C371" s="57" t="s">
        <v>635</v>
      </c>
      <c r="D371" s="57"/>
      <c r="E371" t="s">
        <v>238</v>
      </c>
    </row>
    <row r="372" spans="1:5">
      <c r="A372" s="82"/>
      <c r="B372" s="72"/>
      <c r="C372" s="57" t="s">
        <v>636</v>
      </c>
      <c r="D372" s="57"/>
      <c r="E372" t="s">
        <v>238</v>
      </c>
    </row>
    <row r="373" spans="1:5">
      <c r="A373" s="82"/>
      <c r="B373" s="72"/>
      <c r="C373" s="57" t="s">
        <v>637</v>
      </c>
      <c r="D373" s="57"/>
      <c r="E373" t="s">
        <v>238</v>
      </c>
    </row>
    <row r="374" spans="1:5">
      <c r="A374" s="82"/>
      <c r="B374" s="72"/>
      <c r="C374" s="57" t="s">
        <v>638</v>
      </c>
      <c r="D374" s="57"/>
      <c r="E374" t="s">
        <v>238</v>
      </c>
    </row>
    <row r="375" spans="1:5">
      <c r="A375" s="82"/>
      <c r="B375" s="72"/>
      <c r="C375" s="57" t="s">
        <v>639</v>
      </c>
      <c r="D375" s="57"/>
      <c r="E375" t="s">
        <v>238</v>
      </c>
    </row>
    <row r="376" spans="1:5">
      <c r="A376" s="82"/>
      <c r="B376" s="72"/>
      <c r="C376" s="57" t="s">
        <v>640</v>
      </c>
      <c r="D376" s="57"/>
      <c r="E376" t="s">
        <v>238</v>
      </c>
    </row>
    <row r="377" spans="1:5">
      <c r="A377" s="82"/>
      <c r="B377" s="72"/>
      <c r="C377" s="57" t="s">
        <v>641</v>
      </c>
      <c r="D377" s="57"/>
      <c r="E377" t="s">
        <v>238</v>
      </c>
    </row>
    <row r="378" spans="1:5">
      <c r="A378" s="82"/>
      <c r="B378" s="72"/>
      <c r="C378" s="57" t="s">
        <v>642</v>
      </c>
      <c r="D378" s="57"/>
      <c r="E378" t="s">
        <v>238</v>
      </c>
    </row>
    <row r="379" spans="1:5">
      <c r="A379" s="82"/>
      <c r="B379" s="72"/>
      <c r="C379" s="57" t="s">
        <v>643</v>
      </c>
      <c r="D379" s="57"/>
      <c r="E379" t="s">
        <v>238</v>
      </c>
    </row>
    <row r="380" spans="1:5">
      <c r="A380" s="82"/>
      <c r="B380" s="72"/>
      <c r="C380" s="57" t="s">
        <v>644</v>
      </c>
      <c r="D380" s="57"/>
      <c r="E380" t="s">
        <v>238</v>
      </c>
    </row>
    <row r="381" spans="1:5">
      <c r="A381" s="82"/>
      <c r="B381" s="72"/>
      <c r="C381" s="57" t="s">
        <v>645</v>
      </c>
      <c r="D381" s="57"/>
      <c r="E381" t="s">
        <v>238</v>
      </c>
    </row>
    <row r="382" spans="1:5">
      <c r="A382" s="82"/>
      <c r="B382" s="72"/>
      <c r="C382" s="57" t="s">
        <v>646</v>
      </c>
      <c r="D382" s="57"/>
      <c r="E382" t="s">
        <v>238</v>
      </c>
    </row>
    <row r="383" spans="1:5">
      <c r="A383" s="82"/>
      <c r="B383" s="72"/>
      <c r="C383" s="57" t="s">
        <v>647</v>
      </c>
      <c r="D383" s="57"/>
      <c r="E383" t="s">
        <v>238</v>
      </c>
    </row>
    <row r="384" spans="1:5">
      <c r="A384" s="82"/>
      <c r="B384" s="72"/>
      <c r="C384" s="57" t="s">
        <v>648</v>
      </c>
      <c r="D384" s="57"/>
      <c r="E384" t="s">
        <v>238</v>
      </c>
    </row>
    <row r="385" spans="1:5">
      <c r="A385" s="82"/>
      <c r="B385" s="72"/>
      <c r="C385" s="57" t="s">
        <v>649</v>
      </c>
      <c r="D385" s="57"/>
      <c r="E385" t="s">
        <v>238</v>
      </c>
    </row>
    <row r="386" spans="1:5">
      <c r="A386" s="82"/>
      <c r="B386" s="72"/>
      <c r="C386" s="57" t="s">
        <v>650</v>
      </c>
      <c r="D386" s="57"/>
      <c r="E386" t="s">
        <v>238</v>
      </c>
    </row>
    <row r="387" spans="1:5">
      <c r="A387" s="82"/>
      <c r="B387" s="72"/>
      <c r="C387" s="57" t="s">
        <v>651</v>
      </c>
      <c r="D387" s="57"/>
      <c r="E387" t="s">
        <v>238</v>
      </c>
    </row>
    <row r="388" spans="1:5">
      <c r="A388" s="82"/>
      <c r="B388" s="72"/>
      <c r="C388" s="57" t="s">
        <v>652</v>
      </c>
      <c r="D388" s="57"/>
      <c r="E388" t="s">
        <v>238</v>
      </c>
    </row>
    <row r="389" spans="1:5">
      <c r="A389" s="82"/>
      <c r="B389" s="72"/>
      <c r="C389" s="57" t="s">
        <v>653</v>
      </c>
      <c r="D389" s="57"/>
      <c r="E389" t="s">
        <v>238</v>
      </c>
    </row>
    <row r="390" spans="1:5">
      <c r="A390" s="82"/>
      <c r="B390" s="72"/>
      <c r="C390" s="57" t="s">
        <v>654</v>
      </c>
      <c r="D390" s="57"/>
      <c r="E390" t="s">
        <v>238</v>
      </c>
    </row>
    <row r="391" spans="1:5">
      <c r="A391" s="82"/>
      <c r="B391" s="72"/>
      <c r="C391" s="57" t="s">
        <v>655</v>
      </c>
      <c r="D391" s="57"/>
      <c r="E391" t="s">
        <v>238</v>
      </c>
    </row>
    <row r="392" spans="1:5">
      <c r="A392" s="82"/>
      <c r="B392" s="72"/>
      <c r="C392" s="57" t="s">
        <v>656</v>
      </c>
      <c r="D392" s="57"/>
      <c r="E392" t="s">
        <v>238</v>
      </c>
    </row>
    <row r="393" spans="1:5">
      <c r="A393" s="82"/>
      <c r="B393" s="72"/>
      <c r="C393" s="57" t="s">
        <v>657</v>
      </c>
      <c r="D393" s="57"/>
      <c r="E393" t="s">
        <v>238</v>
      </c>
    </row>
    <row r="394" spans="1:5">
      <c r="A394" s="82"/>
      <c r="B394" s="72"/>
      <c r="C394" s="57" t="s">
        <v>658</v>
      </c>
      <c r="D394" s="57"/>
      <c r="E394" t="s">
        <v>238</v>
      </c>
    </row>
    <row r="395" spans="1:5">
      <c r="A395" s="82"/>
      <c r="B395" s="72"/>
      <c r="C395" s="57" t="s">
        <v>659</v>
      </c>
      <c r="D395" s="57"/>
      <c r="E395" t="s">
        <v>238</v>
      </c>
    </row>
    <row r="396" spans="1:5">
      <c r="A396" s="82"/>
      <c r="B396" s="72"/>
      <c r="C396" s="57" t="s">
        <v>660</v>
      </c>
      <c r="D396" s="57"/>
      <c r="E396" t="s">
        <v>238</v>
      </c>
    </row>
    <row r="397" spans="1:5">
      <c r="A397" s="82"/>
      <c r="B397" s="72"/>
      <c r="C397" s="57" t="s">
        <v>661</v>
      </c>
      <c r="D397" s="57"/>
      <c r="E397" t="s">
        <v>238</v>
      </c>
    </row>
    <row r="398" spans="1:5">
      <c r="A398" s="82"/>
      <c r="B398" s="72"/>
      <c r="C398" s="57" t="s">
        <v>662</v>
      </c>
      <c r="D398" s="57"/>
      <c r="E398" t="s">
        <v>238</v>
      </c>
    </row>
    <row r="399" spans="1:5">
      <c r="A399" s="82"/>
      <c r="B399" s="72"/>
      <c r="C399" s="57" t="s">
        <v>663</v>
      </c>
      <c r="D399" s="57"/>
      <c r="E399" t="s">
        <v>238</v>
      </c>
    </row>
    <row r="400" spans="1:5">
      <c r="A400" s="82"/>
      <c r="B400" s="72"/>
      <c r="C400" s="57" t="s">
        <v>664</v>
      </c>
      <c r="D400" s="57"/>
      <c r="E400" t="s">
        <v>238</v>
      </c>
    </row>
    <row r="401" spans="1:5">
      <c r="A401" s="82"/>
      <c r="B401" s="72"/>
      <c r="C401" s="57" t="s">
        <v>665</v>
      </c>
      <c r="D401" s="57"/>
      <c r="E401" t="s">
        <v>238</v>
      </c>
    </row>
    <row r="402" spans="1:5">
      <c r="A402" s="82"/>
      <c r="B402" s="72"/>
      <c r="C402" s="57" t="s">
        <v>666</v>
      </c>
      <c r="D402" s="57"/>
      <c r="E402" t="s">
        <v>238</v>
      </c>
    </row>
    <row r="403" spans="1:5">
      <c r="A403" s="82"/>
      <c r="B403" s="72"/>
      <c r="C403" s="57" t="s">
        <v>667</v>
      </c>
      <c r="D403" s="57"/>
      <c r="E403" t="s">
        <v>238</v>
      </c>
    </row>
    <row r="404" spans="1:5">
      <c r="A404" s="82"/>
      <c r="B404" s="72"/>
      <c r="C404" s="57" t="s">
        <v>668</v>
      </c>
      <c r="D404" s="57"/>
      <c r="E404" t="s">
        <v>238</v>
      </c>
    </row>
    <row r="405" spans="1:5">
      <c r="A405" s="82"/>
      <c r="B405" s="72"/>
      <c r="C405" s="57" t="s">
        <v>669</v>
      </c>
      <c r="D405" s="57"/>
      <c r="E405" t="s">
        <v>238</v>
      </c>
    </row>
    <row r="406" spans="1:5">
      <c r="A406" s="82"/>
      <c r="B406" s="72"/>
      <c r="C406" s="57" t="s">
        <v>670</v>
      </c>
      <c r="D406" s="57"/>
      <c r="E406" t="s">
        <v>238</v>
      </c>
    </row>
    <row r="407" spans="1:5">
      <c r="A407" s="82"/>
      <c r="B407" s="72"/>
      <c r="C407" s="57" t="s">
        <v>671</v>
      </c>
      <c r="D407" s="57"/>
      <c r="E407" t="s">
        <v>238</v>
      </c>
    </row>
    <row r="408" spans="1:5">
      <c r="A408" s="82"/>
      <c r="B408" s="72"/>
      <c r="C408" s="57" t="s">
        <v>672</v>
      </c>
      <c r="D408" s="57"/>
      <c r="E408" t="s">
        <v>238</v>
      </c>
    </row>
    <row r="409" spans="1:5">
      <c r="A409" s="82"/>
      <c r="B409" s="72"/>
      <c r="C409" s="57" t="s">
        <v>673</v>
      </c>
      <c r="D409" s="57"/>
      <c r="E409" t="s">
        <v>238</v>
      </c>
    </row>
    <row r="410" spans="1:5">
      <c r="A410" s="82"/>
      <c r="B410" s="72"/>
      <c r="C410" s="57" t="s">
        <v>674</v>
      </c>
      <c r="D410" s="57"/>
      <c r="E410" t="s">
        <v>238</v>
      </c>
    </row>
    <row r="411" spans="1:5">
      <c r="A411" s="82"/>
      <c r="B411" s="72"/>
      <c r="C411" s="57" t="s">
        <v>675</v>
      </c>
      <c r="D411" s="57"/>
      <c r="E411" t="s">
        <v>238</v>
      </c>
    </row>
    <row r="412" spans="1:5">
      <c r="A412" s="82"/>
      <c r="B412" s="72"/>
      <c r="C412" s="57" t="s">
        <v>676</v>
      </c>
      <c r="D412" s="57"/>
      <c r="E412" t="s">
        <v>238</v>
      </c>
    </row>
    <row r="413" spans="1:5">
      <c r="A413" s="82"/>
      <c r="B413" s="72"/>
      <c r="C413" s="57" t="s">
        <v>677</v>
      </c>
      <c r="D413" s="57"/>
      <c r="E413" t="s">
        <v>238</v>
      </c>
    </row>
    <row r="414" spans="1:5">
      <c r="A414" s="82"/>
      <c r="B414" s="72"/>
      <c r="C414" s="57" t="s">
        <v>678</v>
      </c>
      <c r="D414" s="57"/>
      <c r="E414" t="s">
        <v>238</v>
      </c>
    </row>
    <row r="415" spans="1:5">
      <c r="A415" s="82"/>
      <c r="B415" s="72"/>
      <c r="C415" s="57" t="s">
        <v>679</v>
      </c>
      <c r="D415" s="57"/>
      <c r="E415" t="s">
        <v>238</v>
      </c>
    </row>
    <row r="416" spans="1:5">
      <c r="A416" s="82"/>
      <c r="B416" s="72"/>
      <c r="C416" s="57" t="s">
        <v>680</v>
      </c>
      <c r="D416" s="57"/>
      <c r="E416" t="s">
        <v>238</v>
      </c>
    </row>
    <row r="417" spans="1:5">
      <c r="A417" s="82"/>
      <c r="B417" s="72"/>
      <c r="C417" s="57" t="s">
        <v>681</v>
      </c>
      <c r="D417" s="57"/>
      <c r="E417" t="s">
        <v>238</v>
      </c>
    </row>
    <row r="418" spans="1:5">
      <c r="A418" s="82"/>
      <c r="B418" s="72"/>
      <c r="C418" s="57" t="s">
        <v>682</v>
      </c>
      <c r="D418" s="57"/>
      <c r="E418" t="s">
        <v>238</v>
      </c>
    </row>
    <row r="419" spans="1:5">
      <c r="A419" s="82"/>
      <c r="B419" s="72"/>
      <c r="C419" s="57" t="s">
        <v>683</v>
      </c>
      <c r="D419" s="57"/>
      <c r="E419" t="s">
        <v>238</v>
      </c>
    </row>
    <row r="420" spans="1:5">
      <c r="A420" s="82"/>
      <c r="B420" s="72"/>
      <c r="C420" s="57" t="s">
        <v>684</v>
      </c>
      <c r="D420" s="57"/>
      <c r="E420" t="s">
        <v>238</v>
      </c>
    </row>
    <row r="421" spans="1:5">
      <c r="A421" s="82"/>
      <c r="B421" s="72"/>
      <c r="C421" s="57" t="s">
        <v>685</v>
      </c>
      <c r="D421" s="57"/>
      <c r="E421" t="s">
        <v>238</v>
      </c>
    </row>
    <row r="422" spans="1:5">
      <c r="A422" s="82"/>
      <c r="B422" s="72"/>
      <c r="C422" s="57" t="s">
        <v>686</v>
      </c>
      <c r="D422" s="57"/>
      <c r="E422" t="s">
        <v>238</v>
      </c>
    </row>
    <row r="423" spans="1:5">
      <c r="A423" s="82"/>
      <c r="B423" s="72"/>
      <c r="C423" s="57" t="s">
        <v>687</v>
      </c>
      <c r="D423" s="57"/>
      <c r="E423" t="s">
        <v>238</v>
      </c>
    </row>
    <row r="424" spans="1:5">
      <c r="A424" s="82"/>
      <c r="B424" s="72"/>
      <c r="C424" s="57" t="s">
        <v>688</v>
      </c>
      <c r="D424" s="57"/>
      <c r="E424" t="s">
        <v>238</v>
      </c>
    </row>
    <row r="425" spans="1:5">
      <c r="A425" s="82"/>
      <c r="B425" s="72"/>
      <c r="C425" s="57" t="s">
        <v>689</v>
      </c>
      <c r="D425" s="57"/>
      <c r="E425" t="s">
        <v>238</v>
      </c>
    </row>
    <row r="426" spans="1:5">
      <c r="A426" s="82"/>
      <c r="B426" s="72"/>
      <c r="C426" s="57" t="s">
        <v>690</v>
      </c>
      <c r="D426" s="57"/>
      <c r="E426" t="s">
        <v>238</v>
      </c>
    </row>
    <row r="427" spans="1:5">
      <c r="A427" s="82"/>
      <c r="B427" s="72"/>
      <c r="C427" s="57" t="s">
        <v>691</v>
      </c>
      <c r="D427" s="57"/>
      <c r="E427" t="s">
        <v>238</v>
      </c>
    </row>
    <row r="428" spans="1:5">
      <c r="A428" s="82"/>
      <c r="B428" s="72"/>
      <c r="C428" s="57" t="s">
        <v>692</v>
      </c>
      <c r="D428" s="57"/>
      <c r="E428" t="s">
        <v>238</v>
      </c>
    </row>
    <row r="429" spans="1:5">
      <c r="A429" s="82"/>
      <c r="B429" s="72"/>
      <c r="C429" s="57" t="s">
        <v>693</v>
      </c>
      <c r="D429" s="57"/>
      <c r="E429" t="s">
        <v>238</v>
      </c>
    </row>
    <row r="430" spans="1:5">
      <c r="A430" s="82"/>
      <c r="B430" s="72"/>
      <c r="C430" s="57" t="s">
        <v>694</v>
      </c>
      <c r="D430" s="57"/>
      <c r="E430" t="s">
        <v>238</v>
      </c>
    </row>
    <row r="431" spans="1:5">
      <c r="A431" s="82"/>
      <c r="B431" s="72"/>
      <c r="C431" s="57" t="s">
        <v>695</v>
      </c>
      <c r="D431" s="57"/>
      <c r="E431" t="s">
        <v>238</v>
      </c>
    </row>
    <row r="432" spans="1:5">
      <c r="A432" s="82"/>
      <c r="B432" s="72"/>
      <c r="C432" s="57" t="s">
        <v>696</v>
      </c>
      <c r="D432" s="57"/>
      <c r="E432" t="s">
        <v>238</v>
      </c>
    </row>
    <row r="433" spans="1:5">
      <c r="A433" s="82"/>
      <c r="B433" s="72"/>
      <c r="C433" s="57" t="s">
        <v>697</v>
      </c>
      <c r="D433" s="57"/>
      <c r="E433" t="s">
        <v>238</v>
      </c>
    </row>
    <row r="434" spans="1:5">
      <c r="A434" s="82"/>
      <c r="B434" s="72"/>
      <c r="C434" s="57" t="s">
        <v>698</v>
      </c>
      <c r="D434" s="57"/>
      <c r="E434" t="s">
        <v>238</v>
      </c>
    </row>
    <row r="435" spans="1:5">
      <c r="A435" s="82"/>
      <c r="B435" s="72"/>
      <c r="C435" s="57" t="s">
        <v>699</v>
      </c>
      <c r="D435" s="57"/>
      <c r="E435" t="s">
        <v>238</v>
      </c>
    </row>
    <row r="436" spans="1:5">
      <c r="A436" s="82"/>
      <c r="B436" s="72"/>
      <c r="C436" s="57" t="s">
        <v>700</v>
      </c>
      <c r="D436" s="57"/>
      <c r="E436" t="s">
        <v>238</v>
      </c>
    </row>
    <row r="437" spans="1:5">
      <c r="A437" s="82"/>
      <c r="B437" s="72"/>
      <c r="C437" s="57" t="s">
        <v>701</v>
      </c>
      <c r="D437" s="57"/>
      <c r="E437" t="s">
        <v>238</v>
      </c>
    </row>
    <row r="438" spans="1:5">
      <c r="A438" s="82"/>
      <c r="B438" s="72"/>
      <c r="C438" s="57" t="s">
        <v>702</v>
      </c>
      <c r="D438" s="57"/>
      <c r="E438" t="s">
        <v>238</v>
      </c>
    </row>
    <row r="439" spans="1:5">
      <c r="A439" s="82"/>
      <c r="B439" s="72"/>
      <c r="C439" s="57" t="s">
        <v>703</v>
      </c>
      <c r="D439" s="57"/>
      <c r="E439" t="s">
        <v>238</v>
      </c>
    </row>
    <row r="440" spans="1:5">
      <c r="A440" s="82"/>
      <c r="B440" s="72"/>
      <c r="C440" s="57" t="s">
        <v>704</v>
      </c>
      <c r="D440" s="57"/>
      <c r="E440" t="s">
        <v>238</v>
      </c>
    </row>
    <row r="441" spans="1:5">
      <c r="A441" s="82"/>
      <c r="B441" s="72"/>
      <c r="C441" s="57" t="s">
        <v>705</v>
      </c>
      <c r="D441" s="57"/>
      <c r="E441" t="s">
        <v>238</v>
      </c>
    </row>
    <row r="442" spans="1:5">
      <c r="A442" s="82"/>
      <c r="B442" s="72"/>
      <c r="C442" s="57" t="s">
        <v>706</v>
      </c>
      <c r="D442" s="57"/>
      <c r="E442" t="s">
        <v>238</v>
      </c>
    </row>
    <row r="443" spans="1:5">
      <c r="A443" s="82"/>
      <c r="B443" s="72"/>
      <c r="C443" s="57" t="s">
        <v>707</v>
      </c>
      <c r="D443" s="57"/>
      <c r="E443" t="s">
        <v>238</v>
      </c>
    </row>
    <row r="444" spans="1:5">
      <c r="A444" s="82"/>
      <c r="B444" s="72"/>
      <c r="C444" s="57" t="s">
        <v>708</v>
      </c>
      <c r="D444" s="57"/>
      <c r="E444" t="s">
        <v>238</v>
      </c>
    </row>
    <row r="445" spans="1:5">
      <c r="A445" s="82"/>
      <c r="B445" s="72"/>
      <c r="C445" s="57" t="s">
        <v>709</v>
      </c>
      <c r="D445" s="57"/>
      <c r="E445" t="s">
        <v>238</v>
      </c>
    </row>
    <row r="446" spans="1:5">
      <c r="A446" s="82"/>
      <c r="B446" s="72"/>
      <c r="C446" s="57" t="s">
        <v>710</v>
      </c>
      <c r="D446" s="57"/>
      <c r="E446" t="s">
        <v>238</v>
      </c>
    </row>
    <row r="447" spans="1:5">
      <c r="A447" s="82"/>
      <c r="B447" s="72"/>
      <c r="C447" s="57" t="s">
        <v>711</v>
      </c>
      <c r="D447" s="57"/>
      <c r="E447" t="s">
        <v>238</v>
      </c>
    </row>
    <row r="448" spans="1:5">
      <c r="A448" s="82"/>
      <c r="B448" s="72"/>
      <c r="C448" s="57" t="s">
        <v>712</v>
      </c>
      <c r="D448" s="57"/>
      <c r="E448" t="s">
        <v>238</v>
      </c>
    </row>
    <row r="449" spans="1:5">
      <c r="A449" s="82"/>
      <c r="B449" s="72"/>
      <c r="C449" s="57" t="s">
        <v>713</v>
      </c>
      <c r="D449" s="57"/>
      <c r="E449" t="s">
        <v>238</v>
      </c>
    </row>
    <row r="450" spans="1:5">
      <c r="A450" s="82"/>
      <c r="B450" s="72"/>
      <c r="C450" s="57" t="s">
        <v>714</v>
      </c>
      <c r="D450" s="57"/>
      <c r="E450" t="s">
        <v>238</v>
      </c>
    </row>
    <row r="451" spans="1:5">
      <c r="A451" s="82"/>
      <c r="B451" s="72"/>
      <c r="C451" s="57" t="s">
        <v>715</v>
      </c>
      <c r="D451" s="57"/>
      <c r="E451" t="s">
        <v>238</v>
      </c>
    </row>
    <row r="452" spans="1:5">
      <c r="A452" s="82"/>
      <c r="B452" s="72"/>
      <c r="C452" s="57" t="s">
        <v>716</v>
      </c>
      <c r="D452" s="57"/>
      <c r="E452" t="s">
        <v>238</v>
      </c>
    </row>
    <row r="453" spans="1:5">
      <c r="A453" s="82"/>
      <c r="B453" s="72"/>
      <c r="C453" s="57" t="s">
        <v>717</v>
      </c>
      <c r="D453" s="57"/>
      <c r="E453" t="s">
        <v>238</v>
      </c>
    </row>
    <row r="454" spans="1:5">
      <c r="A454" s="82"/>
      <c r="B454" s="72"/>
      <c r="C454" s="57" t="s">
        <v>718</v>
      </c>
      <c r="D454" s="57"/>
      <c r="E454" t="s">
        <v>238</v>
      </c>
    </row>
    <row r="455" spans="1:5">
      <c r="A455" s="82"/>
      <c r="B455" s="72"/>
      <c r="C455" s="57" t="s">
        <v>719</v>
      </c>
      <c r="D455" s="57"/>
      <c r="E455" t="s">
        <v>238</v>
      </c>
    </row>
    <row r="456" spans="1:5">
      <c r="A456" s="82"/>
      <c r="B456" s="72"/>
      <c r="C456" s="57" t="s">
        <v>720</v>
      </c>
      <c r="D456" s="57"/>
      <c r="E456" t="s">
        <v>238</v>
      </c>
    </row>
    <row r="457" spans="1:5">
      <c r="A457" s="82"/>
      <c r="B457" s="72"/>
      <c r="C457" s="57" t="s">
        <v>721</v>
      </c>
      <c r="D457" s="57"/>
      <c r="E457" t="s">
        <v>238</v>
      </c>
    </row>
    <row r="458" spans="1:5">
      <c r="A458" s="82"/>
      <c r="B458" s="72"/>
      <c r="C458" s="57" t="s">
        <v>722</v>
      </c>
      <c r="D458" s="57"/>
      <c r="E458" t="s">
        <v>238</v>
      </c>
    </row>
    <row r="459" spans="1:5">
      <c r="A459" s="82"/>
      <c r="B459" s="72"/>
      <c r="C459" s="57" t="s">
        <v>723</v>
      </c>
      <c r="D459" s="57"/>
      <c r="E459" t="s">
        <v>238</v>
      </c>
    </row>
    <row r="460" spans="1:5">
      <c r="A460" s="82"/>
      <c r="B460" s="72"/>
      <c r="C460" s="57" t="s">
        <v>724</v>
      </c>
      <c r="D460" s="57"/>
      <c r="E460" t="s">
        <v>238</v>
      </c>
    </row>
    <row r="461" spans="1:5">
      <c r="A461" s="82"/>
      <c r="B461" s="72"/>
      <c r="C461" s="57" t="s">
        <v>725</v>
      </c>
      <c r="D461" s="57"/>
      <c r="E461" t="s">
        <v>238</v>
      </c>
    </row>
    <row r="462" spans="1:5">
      <c r="A462" s="82"/>
      <c r="B462" s="72"/>
      <c r="C462" s="57" t="s">
        <v>726</v>
      </c>
      <c r="D462" s="57"/>
      <c r="E462" t="s">
        <v>238</v>
      </c>
    </row>
    <row r="463" spans="1:5">
      <c r="A463" s="82"/>
      <c r="B463" s="72"/>
      <c r="C463" s="57" t="s">
        <v>727</v>
      </c>
      <c r="D463" s="57"/>
      <c r="E463" t="s">
        <v>238</v>
      </c>
    </row>
    <row r="464" spans="1:5">
      <c r="A464" s="82"/>
      <c r="B464" s="72"/>
      <c r="C464" s="57" t="s">
        <v>728</v>
      </c>
      <c r="D464" s="57"/>
      <c r="E464" t="s">
        <v>238</v>
      </c>
    </row>
    <row r="465" spans="1:5">
      <c r="A465" s="82"/>
      <c r="B465" s="72"/>
      <c r="C465" s="57" t="s">
        <v>729</v>
      </c>
      <c r="D465" s="57"/>
      <c r="E465" t="s">
        <v>238</v>
      </c>
    </row>
    <row r="466" spans="1:5">
      <c r="A466" s="82"/>
      <c r="B466" s="72"/>
      <c r="C466" s="57" t="s">
        <v>730</v>
      </c>
      <c r="D466" s="57"/>
      <c r="E466" t="s">
        <v>238</v>
      </c>
    </row>
    <row r="467" spans="1:5">
      <c r="A467" s="82"/>
      <c r="B467" s="72"/>
      <c r="C467" s="57" t="s">
        <v>731</v>
      </c>
      <c r="D467" s="57"/>
      <c r="E467" t="s">
        <v>238</v>
      </c>
    </row>
    <row r="468" spans="1:5">
      <c r="A468" s="82"/>
      <c r="B468" s="72"/>
      <c r="C468" s="57" t="s">
        <v>732</v>
      </c>
      <c r="D468" s="57"/>
      <c r="E468" t="s">
        <v>238</v>
      </c>
    </row>
    <row r="469" spans="1:5">
      <c r="A469" s="82"/>
      <c r="B469" s="72"/>
      <c r="C469" s="57" t="s">
        <v>733</v>
      </c>
      <c r="D469" s="57"/>
      <c r="E469" t="s">
        <v>238</v>
      </c>
    </row>
    <row r="470" spans="1:5">
      <c r="A470" s="82"/>
      <c r="B470" s="72"/>
      <c r="C470" s="57" t="s">
        <v>734</v>
      </c>
      <c r="D470" s="57"/>
      <c r="E470" t="s">
        <v>238</v>
      </c>
    </row>
    <row r="471" spans="1:5">
      <c r="A471" s="82"/>
      <c r="B471" s="72"/>
      <c r="C471" s="57" t="s">
        <v>735</v>
      </c>
      <c r="D471" s="57"/>
      <c r="E471" t="s">
        <v>238</v>
      </c>
    </row>
    <row r="472" spans="1:5">
      <c r="A472" s="82"/>
      <c r="B472" s="72"/>
      <c r="C472" s="57" t="s">
        <v>736</v>
      </c>
      <c r="D472" s="57"/>
      <c r="E472" t="s">
        <v>238</v>
      </c>
    </row>
    <row r="473" spans="1:5">
      <c r="A473" s="82"/>
      <c r="B473" s="72"/>
      <c r="C473" s="57" t="s">
        <v>737</v>
      </c>
      <c r="D473" s="57"/>
      <c r="E473" t="s">
        <v>238</v>
      </c>
    </row>
    <row r="474" spans="1:5">
      <c r="A474" s="82"/>
      <c r="B474" s="72"/>
      <c r="C474" s="57" t="s">
        <v>738</v>
      </c>
      <c r="D474" s="57"/>
      <c r="E474" t="s">
        <v>238</v>
      </c>
    </row>
    <row r="475" spans="1:5">
      <c r="A475" s="82"/>
      <c r="B475" s="72"/>
      <c r="C475" s="57" t="s">
        <v>739</v>
      </c>
      <c r="D475" s="57"/>
      <c r="E475" t="s">
        <v>238</v>
      </c>
    </row>
    <row r="476" spans="1:5">
      <c r="A476" s="82"/>
      <c r="B476" s="72"/>
      <c r="C476" s="57" t="s">
        <v>740</v>
      </c>
      <c r="D476" s="57"/>
      <c r="E476" t="s">
        <v>238</v>
      </c>
    </row>
    <row r="477" spans="1:5">
      <c r="A477" s="82"/>
      <c r="B477" s="72"/>
      <c r="C477" s="57" t="s">
        <v>741</v>
      </c>
      <c r="D477" s="57"/>
      <c r="E477" t="s">
        <v>238</v>
      </c>
    </row>
    <row r="478" spans="1:5">
      <c r="A478" s="82"/>
      <c r="B478" s="72"/>
      <c r="C478" s="57" t="s">
        <v>742</v>
      </c>
      <c r="D478" s="57"/>
      <c r="E478" t="s">
        <v>238</v>
      </c>
    </row>
    <row r="479" spans="1:5">
      <c r="A479" s="82"/>
      <c r="B479" s="72"/>
      <c r="C479" s="57" t="s">
        <v>743</v>
      </c>
      <c r="D479" s="57"/>
      <c r="E479" t="s">
        <v>238</v>
      </c>
    </row>
    <row r="480" spans="1:5">
      <c r="A480" s="82"/>
      <c r="B480" s="72"/>
      <c r="C480" s="57" t="s">
        <v>744</v>
      </c>
      <c r="D480" s="57"/>
      <c r="E480" t="s">
        <v>238</v>
      </c>
    </row>
    <row r="481" spans="1:5">
      <c r="A481" s="82"/>
      <c r="B481" s="72"/>
      <c r="C481" s="57" t="s">
        <v>745</v>
      </c>
      <c r="D481" s="57"/>
      <c r="E481" t="s">
        <v>238</v>
      </c>
    </row>
    <row r="482" spans="1:5">
      <c r="A482" s="82"/>
      <c r="B482" s="72"/>
      <c r="C482" s="57" t="s">
        <v>746</v>
      </c>
      <c r="D482" s="57"/>
      <c r="E482" t="s">
        <v>238</v>
      </c>
    </row>
    <row r="483" spans="1:5">
      <c r="A483" s="82"/>
      <c r="B483" s="72"/>
      <c r="C483" s="57" t="s">
        <v>747</v>
      </c>
      <c r="D483" s="57"/>
      <c r="E483" t="s">
        <v>238</v>
      </c>
    </row>
    <row r="484" spans="1:5">
      <c r="A484" s="82"/>
      <c r="B484" s="72"/>
      <c r="C484" s="57" t="s">
        <v>748</v>
      </c>
      <c r="D484" s="57"/>
      <c r="E484" t="s">
        <v>238</v>
      </c>
    </row>
    <row r="485" spans="1:5">
      <c r="A485" s="82"/>
      <c r="B485" s="72"/>
      <c r="C485" s="57" t="s">
        <v>749</v>
      </c>
      <c r="D485" s="57"/>
      <c r="E485" t="s">
        <v>238</v>
      </c>
    </row>
    <row r="486" spans="1:5">
      <c r="A486" s="82"/>
      <c r="B486" s="72"/>
      <c r="C486" s="57" t="s">
        <v>750</v>
      </c>
      <c r="D486" s="57"/>
      <c r="E486" t="s">
        <v>238</v>
      </c>
    </row>
    <row r="487" spans="1:5">
      <c r="A487" s="82"/>
      <c r="B487" s="72"/>
      <c r="C487" s="57" t="s">
        <v>751</v>
      </c>
      <c r="D487" s="57"/>
      <c r="E487" t="s">
        <v>238</v>
      </c>
    </row>
    <row r="488" spans="1:5">
      <c r="A488" s="82"/>
      <c r="B488" s="72"/>
      <c r="C488" s="57" t="s">
        <v>752</v>
      </c>
      <c r="D488" s="57"/>
      <c r="E488" t="s">
        <v>238</v>
      </c>
    </row>
    <row r="489" spans="1:5">
      <c r="A489" s="82"/>
      <c r="B489" s="72"/>
      <c r="C489" s="57" t="s">
        <v>121</v>
      </c>
      <c r="D489" s="57"/>
    </row>
    <row r="490" spans="1:5">
      <c r="A490" s="82"/>
      <c r="B490" s="72"/>
      <c r="C490" s="57" t="s">
        <v>753</v>
      </c>
      <c r="D490" s="57"/>
    </row>
    <row r="491" spans="1:5">
      <c r="A491" s="82"/>
      <c r="B491" s="72"/>
      <c r="C491" s="57" t="s">
        <v>754</v>
      </c>
      <c r="D491" s="57"/>
    </row>
    <row r="492" spans="1:5">
      <c r="A492" s="82"/>
      <c r="B492" s="72"/>
      <c r="C492" s="57" t="s">
        <v>755</v>
      </c>
      <c r="D492" s="57"/>
    </row>
    <row r="493" spans="1:5">
      <c r="A493" s="82"/>
      <c r="B493" s="72"/>
      <c r="C493" s="57" t="s">
        <v>756</v>
      </c>
      <c r="D493" s="57"/>
    </row>
    <row r="494" spans="1:5">
      <c r="A494" s="82"/>
      <c r="B494" s="72"/>
      <c r="C494" s="57" t="s">
        <v>757</v>
      </c>
      <c r="D494" s="57"/>
    </row>
    <row r="495" spans="1:5">
      <c r="A495" s="82"/>
      <c r="B495" s="72"/>
      <c r="C495" s="57" t="s">
        <v>758</v>
      </c>
      <c r="D495" s="57"/>
    </row>
    <row r="496" spans="1:5">
      <c r="A496" s="82"/>
      <c r="B496" s="72"/>
      <c r="C496" s="57" t="s">
        <v>759</v>
      </c>
      <c r="D496" s="57"/>
    </row>
    <row r="497" spans="1:4">
      <c r="A497" s="82"/>
      <c r="B497" s="72"/>
      <c r="C497" s="57" t="s">
        <v>760</v>
      </c>
      <c r="D497" s="57"/>
    </row>
    <row r="498" spans="1:4">
      <c r="A498" s="83"/>
      <c r="B498" s="73"/>
      <c r="C498" s="57" t="s">
        <v>590</v>
      </c>
      <c r="D498" s="57"/>
    </row>
    <row r="499" spans="1:4">
      <c r="A499" s="114"/>
      <c r="B499" s="118" t="s">
        <v>761</v>
      </c>
      <c r="C499" s="55" t="s">
        <v>460</v>
      </c>
      <c r="D499" s="55"/>
    </row>
    <row r="500" spans="1:4">
      <c r="A500" s="64"/>
      <c r="B500" s="118"/>
      <c r="C500" s="55" t="s">
        <v>762</v>
      </c>
      <c r="D500" s="55"/>
    </row>
    <row r="501" spans="1:4">
      <c r="A501" s="64"/>
      <c r="B501" s="118"/>
      <c r="C501" s="55" t="s">
        <v>763</v>
      </c>
      <c r="D501" s="55"/>
    </row>
    <row r="502" spans="1:4">
      <c r="A502" s="64"/>
      <c r="B502" s="118"/>
      <c r="C502" s="55" t="s">
        <v>764</v>
      </c>
      <c r="D502" s="55"/>
    </row>
    <row r="503" spans="1:4">
      <c r="A503" s="64"/>
      <c r="B503" s="118"/>
      <c r="C503" s="55" t="s">
        <v>765</v>
      </c>
      <c r="D503" s="55"/>
    </row>
    <row r="504" spans="1:4">
      <c r="A504" s="64"/>
      <c r="B504" s="118"/>
      <c r="C504" s="55" t="s">
        <v>766</v>
      </c>
      <c r="D504" s="55"/>
    </row>
    <row r="505" spans="1:4">
      <c r="A505" s="64"/>
      <c r="B505" s="118"/>
      <c r="C505" s="55" t="s">
        <v>767</v>
      </c>
      <c r="D505" s="55"/>
    </row>
    <row r="506" spans="1:4">
      <c r="A506" s="64"/>
      <c r="B506" s="118"/>
      <c r="C506" s="55" t="s">
        <v>768</v>
      </c>
      <c r="D506" s="55"/>
    </row>
    <row r="507" spans="1:4">
      <c r="A507" s="64"/>
      <c r="B507" s="118"/>
      <c r="C507" s="55" t="s">
        <v>769</v>
      </c>
      <c r="D507" s="55"/>
    </row>
    <row r="508" spans="1:4">
      <c r="A508" s="64"/>
      <c r="B508" s="118"/>
      <c r="C508" s="55" t="s">
        <v>770</v>
      </c>
      <c r="D508" s="55"/>
    </row>
    <row r="509" spans="1:4">
      <c r="A509" s="64"/>
      <c r="B509" s="118"/>
      <c r="C509" s="55" t="s">
        <v>771</v>
      </c>
      <c r="D509" s="55"/>
    </row>
    <row r="510" spans="1:4">
      <c r="A510" s="64"/>
      <c r="B510" s="118"/>
      <c r="C510" s="55" t="s">
        <v>772</v>
      </c>
      <c r="D510" s="55"/>
    </row>
    <row r="511" spans="1:4">
      <c r="A511" s="64"/>
      <c r="B511" s="118"/>
      <c r="C511" s="55" t="s">
        <v>773</v>
      </c>
      <c r="D511" s="55"/>
    </row>
    <row r="512" spans="1:4">
      <c r="A512" s="64"/>
      <c r="B512" s="118"/>
      <c r="C512" s="55" t="s">
        <v>506</v>
      </c>
      <c r="D512" s="55"/>
    </row>
    <row r="513" spans="1:4">
      <c r="A513" s="64"/>
      <c r="B513" s="118"/>
      <c r="C513" s="55" t="s">
        <v>121</v>
      </c>
      <c r="D513" s="55"/>
    </row>
    <row r="514" spans="1:4">
      <c r="A514" s="82"/>
      <c r="B514" s="68" t="s">
        <v>774</v>
      </c>
      <c r="C514" s="57" t="s">
        <v>361</v>
      </c>
      <c r="D514" s="57"/>
    </row>
    <row r="515" spans="1:4">
      <c r="A515" s="83"/>
      <c r="B515" s="70"/>
      <c r="C515" s="57" t="s">
        <v>163</v>
      </c>
      <c r="D515" s="57"/>
    </row>
    <row r="516" spans="1:4">
      <c r="A516" s="64"/>
      <c r="B516" s="118" t="s">
        <v>775</v>
      </c>
      <c r="C516" s="55" t="s">
        <v>776</v>
      </c>
      <c r="D516" s="55"/>
    </row>
    <row r="517" spans="1:4">
      <c r="A517" s="64"/>
      <c r="B517" s="118"/>
      <c r="C517" s="55" t="s">
        <v>777</v>
      </c>
      <c r="D517" s="55"/>
    </row>
    <row r="518" spans="1:4">
      <c r="A518" s="64"/>
      <c r="B518" s="118"/>
      <c r="C518" s="55" t="s">
        <v>778</v>
      </c>
      <c r="D518" s="55"/>
    </row>
    <row r="519" spans="1:4">
      <c r="A519" s="64"/>
      <c r="B519" s="118"/>
      <c r="C519" s="55" t="s">
        <v>779</v>
      </c>
      <c r="D519" s="55"/>
    </row>
    <row r="520" spans="1:4">
      <c r="A520" s="116"/>
      <c r="B520" s="68" t="s">
        <v>780</v>
      </c>
      <c r="C520" s="57" t="s">
        <v>781</v>
      </c>
      <c r="D520" s="57"/>
    </row>
    <row r="521" spans="1:4">
      <c r="A521" s="80"/>
      <c r="B521" s="69"/>
      <c r="C521" s="57" t="s">
        <v>782</v>
      </c>
      <c r="D521" s="57"/>
    </row>
    <row r="522" spans="1:4">
      <c r="A522" s="80"/>
      <c r="B522" s="69"/>
      <c r="C522" s="57" t="s">
        <v>783</v>
      </c>
      <c r="D522" s="57"/>
    </row>
    <row r="523" spans="1:4">
      <c r="A523" s="80"/>
      <c r="B523" s="69"/>
      <c r="C523" s="57" t="s">
        <v>784</v>
      </c>
      <c r="D523" s="57"/>
    </row>
    <row r="524" spans="1:4">
      <c r="A524" s="80"/>
      <c r="B524" s="69"/>
      <c r="C524" s="57" t="s">
        <v>785</v>
      </c>
      <c r="D524" s="57"/>
    </row>
    <row r="525" spans="1:4">
      <c r="A525" s="80"/>
      <c r="B525" s="69"/>
      <c r="C525" s="57" t="s">
        <v>786</v>
      </c>
      <c r="D525" s="57"/>
    </row>
    <row r="526" spans="1:4">
      <c r="A526" s="80"/>
      <c r="B526" s="69"/>
      <c r="C526" s="57" t="s">
        <v>787</v>
      </c>
      <c r="D526" s="57"/>
    </row>
    <row r="527" spans="1:4">
      <c r="A527" s="80"/>
      <c r="B527" s="69"/>
      <c r="C527" s="57" t="s">
        <v>788</v>
      </c>
      <c r="D527" s="57"/>
    </row>
    <row r="528" spans="1:4">
      <c r="A528" s="80"/>
      <c r="B528" s="69"/>
      <c r="C528" s="57" t="s">
        <v>789</v>
      </c>
      <c r="D528" s="57"/>
    </row>
    <row r="529" spans="1:4">
      <c r="A529" s="80"/>
      <c r="B529" s="69"/>
      <c r="C529" s="57" t="s">
        <v>770</v>
      </c>
      <c r="D529" s="57"/>
    </row>
    <row r="530" spans="1:4">
      <c r="B530" s="69"/>
      <c r="C530" s="57" t="s">
        <v>790</v>
      </c>
      <c r="D530" s="57"/>
    </row>
    <row r="531" spans="1:4" ht="15">
      <c r="A531" s="80"/>
      <c r="B531" s="69"/>
      <c r="C531" s="57" t="s">
        <v>791</v>
      </c>
      <c r="D531" s="57" t="s">
        <v>792</v>
      </c>
    </row>
    <row r="532" spans="1:4" ht="15">
      <c r="A532" s="80"/>
      <c r="B532" s="69"/>
      <c r="C532" s="57" t="s">
        <v>793</v>
      </c>
      <c r="D532" s="57" t="s">
        <v>792</v>
      </c>
    </row>
    <row r="533" spans="1:4" ht="15">
      <c r="A533" s="80"/>
      <c r="B533" s="69"/>
      <c r="C533" s="57" t="s">
        <v>794</v>
      </c>
      <c r="D533" s="57" t="s">
        <v>792</v>
      </c>
    </row>
    <row r="534" spans="1:4">
      <c r="A534" s="80"/>
      <c r="B534" s="69"/>
      <c r="C534" s="57" t="s">
        <v>795</v>
      </c>
      <c r="D534" s="57"/>
    </row>
    <row r="535" spans="1:4">
      <c r="A535" s="80"/>
      <c r="B535" s="69"/>
      <c r="C535" s="57" t="s">
        <v>796</v>
      </c>
      <c r="D535" s="57"/>
    </row>
    <row r="536" spans="1:4">
      <c r="A536" s="80"/>
      <c r="B536" s="69"/>
      <c r="C536" s="57" t="s">
        <v>797</v>
      </c>
      <c r="D536" s="57"/>
    </row>
    <row r="537" spans="1:4">
      <c r="A537" s="80"/>
      <c r="B537" s="69"/>
      <c r="C537" s="57" t="s">
        <v>798</v>
      </c>
      <c r="D537" s="57"/>
    </row>
    <row r="538" spans="1:4">
      <c r="A538" s="80"/>
      <c r="B538" s="69"/>
      <c r="C538" s="57" t="s">
        <v>799</v>
      </c>
      <c r="D538" s="57"/>
    </row>
    <row r="539" spans="1:4">
      <c r="A539" s="80"/>
      <c r="B539" s="69"/>
      <c r="C539" s="57" t="s">
        <v>800</v>
      </c>
      <c r="D539" s="57"/>
    </row>
    <row r="540" spans="1:4">
      <c r="A540" s="80"/>
      <c r="B540" s="69"/>
      <c r="C540" s="57" t="s">
        <v>801</v>
      </c>
      <c r="D540" s="57"/>
    </row>
    <row r="541" spans="1:4">
      <c r="A541" s="80"/>
      <c r="B541" s="69"/>
      <c r="C541" s="57" t="s">
        <v>802</v>
      </c>
      <c r="D541" s="57"/>
    </row>
    <row r="542" spans="1:4">
      <c r="A542" s="80"/>
      <c r="B542" s="69"/>
      <c r="C542" s="57" t="s">
        <v>506</v>
      </c>
      <c r="D542" s="57"/>
    </row>
    <row r="543" spans="1:4">
      <c r="A543" s="80"/>
      <c r="B543" s="69"/>
      <c r="C543" s="57" t="s">
        <v>121</v>
      </c>
      <c r="D543" s="58"/>
    </row>
    <row r="544" spans="1:4">
      <c r="A544" s="86"/>
      <c r="B544" s="59" t="s">
        <v>803</v>
      </c>
      <c r="C544" s="55" t="s">
        <v>361</v>
      </c>
      <c r="D544" s="55"/>
    </row>
    <row r="545" spans="1:4">
      <c r="A545" s="87"/>
      <c r="B545" s="117"/>
      <c r="C545" s="55" t="s">
        <v>163</v>
      </c>
      <c r="D545" s="55"/>
    </row>
    <row r="546" spans="1:4">
      <c r="A546" s="80"/>
      <c r="B546" s="68" t="s">
        <v>804</v>
      </c>
      <c r="C546" s="57" t="s">
        <v>805</v>
      </c>
      <c r="D546" s="57"/>
    </row>
    <row r="547" spans="1:4">
      <c r="A547" s="80"/>
      <c r="B547" s="69"/>
      <c r="C547" s="57" t="s">
        <v>806</v>
      </c>
      <c r="D547" s="57"/>
    </row>
    <row r="548" spans="1:4">
      <c r="A548" s="80"/>
      <c r="B548" s="69"/>
      <c r="C548" s="57" t="s">
        <v>807</v>
      </c>
      <c r="D548" s="57"/>
    </row>
    <row r="549" spans="1:4">
      <c r="A549" s="80"/>
      <c r="B549" s="69"/>
      <c r="C549" s="57" t="s">
        <v>808</v>
      </c>
      <c r="D549" s="57"/>
    </row>
    <row r="550" spans="1:4">
      <c r="A550" s="80"/>
      <c r="B550" s="69"/>
      <c r="C550" s="57" t="s">
        <v>809</v>
      </c>
      <c r="D550" s="57"/>
    </row>
    <row r="551" spans="1:4">
      <c r="A551" s="86"/>
      <c r="B551" s="59" t="s">
        <v>810</v>
      </c>
      <c r="C551" s="55" t="s">
        <v>361</v>
      </c>
      <c r="D551" s="55"/>
    </row>
    <row r="552" spans="1:4">
      <c r="A552" s="87"/>
      <c r="B552" s="117"/>
      <c r="C552" s="55" t="s">
        <v>163</v>
      </c>
      <c r="D552" s="55"/>
    </row>
    <row r="553" spans="1:4">
      <c r="A553" s="65"/>
      <c r="B553" s="68" t="s">
        <v>811</v>
      </c>
      <c r="C553" s="57" t="s">
        <v>812</v>
      </c>
      <c r="D553" s="57"/>
    </row>
    <row r="554" spans="1:4">
      <c r="A554" s="66"/>
      <c r="B554" s="66"/>
      <c r="C554" s="57" t="s">
        <v>813</v>
      </c>
      <c r="D554" s="57"/>
    </row>
    <row r="555" spans="1:4">
      <c r="A555" s="66"/>
      <c r="B555" s="66"/>
      <c r="C555" s="57" t="s">
        <v>814</v>
      </c>
      <c r="D555" s="57"/>
    </row>
    <row r="556" spans="1:4">
      <c r="A556" s="66"/>
      <c r="B556" s="66"/>
      <c r="C556" s="57" t="s">
        <v>815</v>
      </c>
      <c r="D556" s="57"/>
    </row>
    <row r="557" spans="1:4">
      <c r="A557" s="66"/>
      <c r="B557" s="66"/>
      <c r="C557" s="57" t="s">
        <v>816</v>
      </c>
      <c r="D557" s="57"/>
    </row>
    <row r="558" spans="1:4">
      <c r="A558" s="66"/>
      <c r="B558" s="66"/>
      <c r="C558" s="57" t="s">
        <v>817</v>
      </c>
      <c r="D558" s="57"/>
    </row>
    <row r="559" spans="1:4">
      <c r="A559" s="66"/>
      <c r="B559" s="66"/>
      <c r="C559" s="57" t="s">
        <v>818</v>
      </c>
      <c r="D559" s="57"/>
    </row>
    <row r="560" spans="1:4">
      <c r="A560" s="66"/>
      <c r="B560" s="66"/>
      <c r="C560" s="57" t="s">
        <v>819</v>
      </c>
      <c r="D560" s="57"/>
    </row>
    <row r="561" spans="1:4">
      <c r="A561" s="66"/>
      <c r="B561" s="66"/>
      <c r="C561" s="57" t="s">
        <v>820</v>
      </c>
      <c r="D561" s="57"/>
    </row>
    <row r="562" spans="1:4">
      <c r="A562" s="66"/>
      <c r="B562" s="66"/>
      <c r="C562" s="57" t="s">
        <v>821</v>
      </c>
      <c r="D562" s="57"/>
    </row>
    <row r="563" spans="1:4">
      <c r="A563" s="66"/>
      <c r="B563" s="66"/>
      <c r="C563" s="57" t="s">
        <v>822</v>
      </c>
      <c r="D563" s="57"/>
    </row>
    <row r="564" spans="1:4">
      <c r="A564" s="66"/>
      <c r="B564" s="66"/>
      <c r="C564" s="57" t="s">
        <v>823</v>
      </c>
      <c r="D564" s="57"/>
    </row>
    <row r="565" spans="1:4">
      <c r="A565" s="66"/>
      <c r="B565" s="66"/>
      <c r="C565" s="57" t="s">
        <v>824</v>
      </c>
      <c r="D565" s="57"/>
    </row>
    <row r="566" spans="1:4">
      <c r="A566" s="66"/>
      <c r="B566" s="66"/>
      <c r="C566" s="57" t="s">
        <v>825</v>
      </c>
      <c r="D566" s="57"/>
    </row>
    <row r="567" spans="1:4">
      <c r="A567" s="66"/>
      <c r="B567" s="66"/>
      <c r="C567" s="57" t="s">
        <v>826</v>
      </c>
      <c r="D567" s="57"/>
    </row>
    <row r="568" spans="1:4">
      <c r="A568" s="66"/>
      <c r="B568" s="66"/>
      <c r="C568" s="57" t="s">
        <v>827</v>
      </c>
      <c r="D568" s="57"/>
    </row>
    <row r="569" spans="1:4">
      <c r="A569" s="66"/>
      <c r="B569" s="66"/>
      <c r="C569" s="57" t="s">
        <v>828</v>
      </c>
      <c r="D569" s="57"/>
    </row>
    <row r="570" spans="1:4">
      <c r="A570" s="66"/>
      <c r="B570" s="66"/>
      <c r="C570" s="57" t="s">
        <v>829</v>
      </c>
      <c r="D570" s="57"/>
    </row>
    <row r="571" spans="1:4">
      <c r="A571" s="66"/>
      <c r="B571" s="66"/>
      <c r="C571" s="57" t="s">
        <v>830</v>
      </c>
      <c r="D571" s="57"/>
    </row>
    <row r="572" spans="1:4">
      <c r="A572" s="66"/>
      <c r="B572" s="66"/>
      <c r="C572" s="57" t="s">
        <v>831</v>
      </c>
      <c r="D572" s="57"/>
    </row>
    <row r="573" spans="1:4">
      <c r="A573" s="66"/>
      <c r="B573" s="66"/>
      <c r="C573" s="57" t="s">
        <v>832</v>
      </c>
      <c r="D573" s="57"/>
    </row>
    <row r="574" spans="1:4">
      <c r="A574" s="66"/>
      <c r="B574" s="66"/>
      <c r="C574" s="57" t="s">
        <v>833</v>
      </c>
      <c r="D574" s="57"/>
    </row>
    <row r="575" spans="1:4">
      <c r="A575" s="66"/>
      <c r="B575" s="66"/>
      <c r="C575" s="57" t="s">
        <v>834</v>
      </c>
      <c r="D575" s="57"/>
    </row>
    <row r="576" spans="1:4">
      <c r="A576" s="66"/>
      <c r="B576" s="66"/>
      <c r="C576" s="57" t="s">
        <v>835</v>
      </c>
      <c r="D576" s="57"/>
    </row>
    <row r="577" spans="1:5">
      <c r="A577" s="66"/>
      <c r="B577" s="66"/>
      <c r="C577" s="57" t="s">
        <v>836</v>
      </c>
      <c r="D577" s="57"/>
    </row>
    <row r="578" spans="1:5">
      <c r="A578" s="66"/>
      <c r="B578" s="66"/>
      <c r="C578" s="57" t="s">
        <v>837</v>
      </c>
      <c r="D578" s="57"/>
    </row>
    <row r="579" spans="1:5">
      <c r="A579" s="66"/>
      <c r="B579" s="66"/>
      <c r="C579" s="57" t="s">
        <v>838</v>
      </c>
      <c r="D579" s="57"/>
    </row>
    <row r="580" spans="1:5">
      <c r="A580" s="66"/>
      <c r="B580" s="66"/>
      <c r="C580" s="57" t="s">
        <v>839</v>
      </c>
      <c r="D580" s="57"/>
      <c r="E580" t="s">
        <v>238</v>
      </c>
    </row>
    <row r="581" spans="1:5">
      <c r="A581" s="66"/>
      <c r="B581" s="66"/>
      <c r="C581" s="57" t="s">
        <v>840</v>
      </c>
      <c r="D581" s="57"/>
      <c r="E581" t="s">
        <v>238</v>
      </c>
    </row>
    <row r="582" spans="1:5">
      <c r="A582" s="66"/>
      <c r="B582" s="66"/>
      <c r="C582" s="57" t="s">
        <v>841</v>
      </c>
      <c r="D582" s="57"/>
    </row>
    <row r="583" spans="1:5">
      <c r="A583" s="66"/>
      <c r="B583" s="66"/>
      <c r="C583" s="57" t="s">
        <v>842</v>
      </c>
      <c r="D583" s="57"/>
    </row>
    <row r="584" spans="1:5">
      <c r="A584" s="66"/>
      <c r="B584" s="66"/>
      <c r="C584" s="57" t="s">
        <v>843</v>
      </c>
      <c r="D584" s="57"/>
    </row>
    <row r="585" spans="1:5">
      <c r="A585" s="66"/>
      <c r="B585" s="66"/>
      <c r="C585" s="57" t="s">
        <v>844</v>
      </c>
      <c r="D585" s="57"/>
    </row>
    <row r="586" spans="1:5">
      <c r="A586" s="66"/>
      <c r="B586" s="66"/>
      <c r="C586" s="57" t="s">
        <v>845</v>
      </c>
      <c r="D586" s="57"/>
    </row>
    <row r="587" spans="1:5">
      <c r="A587" s="66"/>
      <c r="B587" s="66"/>
      <c r="C587" s="57" t="s">
        <v>846</v>
      </c>
      <c r="D587" s="57"/>
    </row>
    <row r="588" spans="1:5">
      <c r="A588" s="66"/>
      <c r="B588" s="66"/>
      <c r="C588" s="57" t="s">
        <v>847</v>
      </c>
      <c r="D588" s="57"/>
    </row>
    <row r="589" spans="1:5">
      <c r="A589" s="66"/>
      <c r="B589" s="66"/>
      <c r="C589" s="57" t="s">
        <v>848</v>
      </c>
      <c r="D589" s="57"/>
    </row>
    <row r="590" spans="1:5">
      <c r="A590" s="66"/>
      <c r="B590" s="66"/>
      <c r="C590" s="57" t="s">
        <v>849</v>
      </c>
      <c r="D590" s="57"/>
    </row>
    <row r="591" spans="1:5">
      <c r="A591" s="67"/>
      <c r="B591" s="67"/>
      <c r="C591" s="57" t="s">
        <v>850</v>
      </c>
      <c r="D591" s="57"/>
    </row>
    <row r="592" spans="1:5">
      <c r="A592" s="64"/>
      <c r="B592" s="118" t="s">
        <v>151</v>
      </c>
      <c r="C592" s="55" t="s">
        <v>851</v>
      </c>
      <c r="D592" s="55"/>
    </row>
    <row r="593" spans="1:4">
      <c r="A593" s="64"/>
      <c r="B593" s="118"/>
      <c r="C593" s="55" t="s">
        <v>852</v>
      </c>
      <c r="D593" s="55"/>
    </row>
    <row r="594" spans="1:4">
      <c r="A594" s="64"/>
      <c r="B594" s="118"/>
      <c r="C594" s="55" t="s">
        <v>121</v>
      </c>
      <c r="D594" s="55"/>
    </row>
    <row r="595" spans="1:4">
      <c r="A595" s="68"/>
      <c r="B595" s="74" t="s">
        <v>853</v>
      </c>
      <c r="C595" s="57" t="s">
        <v>361</v>
      </c>
      <c r="D595" s="57"/>
    </row>
    <row r="596" spans="1:4">
      <c r="A596" s="119"/>
      <c r="B596" s="121"/>
      <c r="C596" s="120" t="s">
        <v>163</v>
      </c>
      <c r="D596" s="57"/>
    </row>
    <row r="597" spans="1:4">
      <c r="A597" s="114"/>
      <c r="B597" s="114" t="s">
        <v>854</v>
      </c>
      <c r="C597" s="55" t="s">
        <v>855</v>
      </c>
      <c r="D597" s="55"/>
    </row>
    <row r="598" spans="1:4">
      <c r="A598" s="64"/>
      <c r="B598" s="64"/>
      <c r="C598" s="55" t="s">
        <v>856</v>
      </c>
      <c r="D598" s="55"/>
    </row>
    <row r="599" spans="1:4">
      <c r="A599" s="64"/>
      <c r="B599" s="64"/>
      <c r="C599" s="55" t="s">
        <v>857</v>
      </c>
      <c r="D599" s="55"/>
    </row>
    <row r="600" spans="1:4">
      <c r="A600" s="64"/>
      <c r="B600" s="64"/>
      <c r="C600" s="55" t="s">
        <v>858</v>
      </c>
      <c r="D600" s="55"/>
    </row>
    <row r="601" spans="1:4">
      <c r="A601" s="64"/>
      <c r="B601" s="64"/>
      <c r="C601" s="55" t="s">
        <v>859</v>
      </c>
      <c r="D601" s="55"/>
    </row>
    <row r="602" spans="1:4">
      <c r="A602" s="64"/>
      <c r="B602" s="64"/>
      <c r="C602" s="55" t="s">
        <v>860</v>
      </c>
      <c r="D602" s="55"/>
    </row>
    <row r="603" spans="1:4">
      <c r="A603" s="64"/>
      <c r="B603" s="64"/>
      <c r="C603" s="55" t="s">
        <v>861</v>
      </c>
      <c r="D603" s="55"/>
    </row>
    <row r="604" spans="1:4">
      <c r="A604" s="64"/>
      <c r="B604" s="64"/>
      <c r="C604" s="55" t="s">
        <v>862</v>
      </c>
      <c r="D604" s="55"/>
    </row>
    <row r="605" spans="1:4">
      <c r="A605" s="64"/>
      <c r="B605" s="64"/>
      <c r="C605" s="55" t="s">
        <v>863</v>
      </c>
      <c r="D605" s="55"/>
    </row>
    <row r="606" spans="1:4">
      <c r="A606" s="64"/>
      <c r="B606" s="64"/>
      <c r="C606" s="55" t="s">
        <v>864</v>
      </c>
      <c r="D606" s="55"/>
    </row>
    <row r="607" spans="1:4">
      <c r="A607" s="64"/>
      <c r="B607" s="64"/>
      <c r="C607" s="55" t="s">
        <v>865</v>
      </c>
      <c r="D607" s="55"/>
    </row>
    <row r="608" spans="1:4">
      <c r="A608" s="64"/>
      <c r="B608" s="64"/>
      <c r="C608" s="55" t="s">
        <v>866</v>
      </c>
      <c r="D608" s="55"/>
    </row>
    <row r="609" spans="1:5">
      <c r="A609" s="64"/>
      <c r="B609" s="64"/>
      <c r="C609" s="55" t="s">
        <v>867</v>
      </c>
      <c r="D609" s="55"/>
    </row>
    <row r="610" spans="1:5">
      <c r="A610" s="64"/>
      <c r="B610" s="64"/>
      <c r="C610" s="55" t="s">
        <v>868</v>
      </c>
      <c r="D610" s="55"/>
    </row>
    <row r="611" spans="1:5">
      <c r="A611" s="64"/>
      <c r="B611" s="64"/>
      <c r="C611" s="55" t="s">
        <v>869</v>
      </c>
      <c r="D611" s="55"/>
    </row>
    <row r="612" spans="1:5">
      <c r="A612" s="64"/>
      <c r="B612" s="64"/>
      <c r="C612" s="55" t="s">
        <v>870</v>
      </c>
      <c r="D612" s="55"/>
    </row>
    <row r="613" spans="1:5">
      <c r="A613" s="64"/>
      <c r="B613" s="64"/>
      <c r="C613" s="55" t="s">
        <v>871</v>
      </c>
      <c r="D613" s="55"/>
    </row>
    <row r="614" spans="1:5">
      <c r="A614" s="64"/>
      <c r="B614" s="64"/>
      <c r="C614" s="55" t="s">
        <v>872</v>
      </c>
      <c r="D614" s="55"/>
    </row>
    <row r="615" spans="1:5">
      <c r="A615" s="64"/>
      <c r="B615" s="64"/>
      <c r="C615" s="55" t="s">
        <v>873</v>
      </c>
      <c r="D615" s="55"/>
    </row>
    <row r="616" spans="1:5">
      <c r="A616" s="64"/>
      <c r="B616" s="64"/>
      <c r="C616" s="55" t="s">
        <v>874</v>
      </c>
      <c r="D616" s="55"/>
    </row>
    <row r="617" spans="1:5">
      <c r="A617" s="64"/>
      <c r="B617" s="64"/>
      <c r="C617" s="55" t="s">
        <v>875</v>
      </c>
      <c r="D617" s="55"/>
    </row>
    <row r="618" spans="1:5">
      <c r="A618" s="64"/>
      <c r="B618" s="64"/>
      <c r="C618" s="55" t="s">
        <v>876</v>
      </c>
      <c r="D618" s="55"/>
    </row>
    <row r="619" spans="1:5">
      <c r="A619" s="64"/>
      <c r="B619" s="64"/>
      <c r="C619" s="55" t="s">
        <v>877</v>
      </c>
      <c r="D619" s="55"/>
    </row>
    <row r="620" spans="1:5">
      <c r="A620" s="64"/>
      <c r="B620" s="64"/>
      <c r="C620" s="55" t="s">
        <v>590</v>
      </c>
      <c r="D620" s="55"/>
    </row>
    <row r="621" spans="1:5">
      <c r="A621" s="64"/>
      <c r="B621" s="64"/>
      <c r="C621" s="55" t="s">
        <v>878</v>
      </c>
      <c r="D621" s="55"/>
      <c r="E621" t="s">
        <v>238</v>
      </c>
    </row>
    <row r="622" spans="1:5">
      <c r="A622" s="68"/>
      <c r="B622" s="68" t="s">
        <v>181</v>
      </c>
      <c r="C622" s="57" t="s">
        <v>879</v>
      </c>
      <c r="D622" s="57"/>
    </row>
    <row r="623" spans="1:5">
      <c r="A623" s="69"/>
      <c r="B623" s="69"/>
      <c r="C623" s="57" t="s">
        <v>880</v>
      </c>
      <c r="D623" s="57"/>
    </row>
    <row r="624" spans="1:5">
      <c r="A624" s="69"/>
      <c r="B624" s="69"/>
      <c r="C624" s="57" t="s">
        <v>881</v>
      </c>
      <c r="D624" s="57"/>
    </row>
    <row r="625" spans="1:5">
      <c r="A625" s="69"/>
      <c r="B625" s="69"/>
      <c r="C625" s="57" t="s">
        <v>882</v>
      </c>
      <c r="D625" s="57"/>
    </row>
    <row r="626" spans="1:5">
      <c r="A626" s="69"/>
      <c r="B626" s="69"/>
      <c r="C626" s="57" t="s">
        <v>883</v>
      </c>
      <c r="D626" s="57"/>
      <c r="E626" t="s">
        <v>238</v>
      </c>
    </row>
    <row r="627" spans="1:5">
      <c r="A627" s="69"/>
      <c r="B627" s="69"/>
      <c r="C627" s="57" t="s">
        <v>884</v>
      </c>
      <c r="D627" s="57"/>
    </row>
    <row r="628" spans="1:5">
      <c r="A628" s="69"/>
      <c r="B628" s="69"/>
      <c r="C628" s="57" t="s">
        <v>885</v>
      </c>
      <c r="D628" s="57"/>
    </row>
    <row r="629" spans="1:5">
      <c r="A629" s="69"/>
      <c r="B629" s="69"/>
      <c r="C629" s="57" t="s">
        <v>482</v>
      </c>
      <c r="D629" s="57"/>
    </row>
    <row r="630" spans="1:5">
      <c r="A630" s="69"/>
      <c r="B630" s="69"/>
      <c r="C630" s="57" t="s">
        <v>886</v>
      </c>
      <c r="D630" s="57"/>
    </row>
    <row r="631" spans="1:5">
      <c r="A631" s="69"/>
      <c r="B631" s="69"/>
      <c r="C631" s="57" t="s">
        <v>887</v>
      </c>
      <c r="D631" s="57"/>
    </row>
    <row r="632" spans="1:5">
      <c r="A632" s="69"/>
      <c r="B632" s="69"/>
      <c r="C632" s="57" t="s">
        <v>888</v>
      </c>
      <c r="D632" s="57"/>
    </row>
    <row r="633" spans="1:5">
      <c r="A633" s="70"/>
      <c r="B633" s="70"/>
      <c r="C633" s="57" t="s">
        <v>121</v>
      </c>
      <c r="D633" s="57"/>
    </row>
    <row r="634" spans="1:5">
      <c r="A634" s="64"/>
      <c r="B634" s="118" t="s">
        <v>182</v>
      </c>
      <c r="C634" s="55" t="s">
        <v>889</v>
      </c>
      <c r="D634" s="55" t="s">
        <v>890</v>
      </c>
    </row>
    <row r="635" spans="1:5">
      <c r="A635" s="64"/>
      <c r="B635" s="118"/>
      <c r="C635" s="55" t="s">
        <v>891</v>
      </c>
      <c r="D635" s="55" t="s">
        <v>892</v>
      </c>
    </row>
    <row r="636" spans="1:5">
      <c r="A636" s="64"/>
      <c r="B636" s="118"/>
      <c r="C636" s="55" t="s">
        <v>893</v>
      </c>
      <c r="D636" s="55" t="s">
        <v>894</v>
      </c>
    </row>
    <row r="637" spans="1:5">
      <c r="A637" s="64"/>
      <c r="B637" s="118"/>
      <c r="C637" s="55" t="s">
        <v>895</v>
      </c>
      <c r="D637" s="55" t="s">
        <v>896</v>
      </c>
    </row>
    <row r="638" spans="1:5">
      <c r="A638" s="64"/>
      <c r="B638" s="118"/>
      <c r="C638" s="55" t="s">
        <v>897</v>
      </c>
      <c r="D638" s="55" t="s">
        <v>898</v>
      </c>
    </row>
    <row r="639" spans="1:5">
      <c r="A639" s="64"/>
      <c r="B639" s="118"/>
      <c r="C639" s="55" t="s">
        <v>899</v>
      </c>
      <c r="D639" s="55" t="s">
        <v>900</v>
      </c>
    </row>
    <row r="640" spans="1:5">
      <c r="A640" s="64"/>
      <c r="B640" s="118"/>
      <c r="C640" s="55" t="s">
        <v>901</v>
      </c>
      <c r="D640" s="55" t="s">
        <v>902</v>
      </c>
    </row>
    <row r="641" spans="1:4">
      <c r="A641" s="64"/>
      <c r="B641" s="118"/>
      <c r="C641" s="55" t="s">
        <v>903</v>
      </c>
      <c r="D641" s="55" t="s">
        <v>903</v>
      </c>
    </row>
    <row r="642" spans="1:4">
      <c r="A642" s="64"/>
      <c r="B642" s="118"/>
      <c r="C642" s="55" t="s">
        <v>121</v>
      </c>
      <c r="D642" s="55"/>
    </row>
    <row r="643" spans="1:4">
      <c r="A643" s="71"/>
      <c r="B643" s="71" t="s">
        <v>904</v>
      </c>
      <c r="C643" s="57" t="s">
        <v>905</v>
      </c>
      <c r="D643" s="57" t="s">
        <v>906</v>
      </c>
    </row>
    <row r="644" spans="1:4">
      <c r="A644" s="72"/>
      <c r="B644" s="72"/>
      <c r="C644" s="57" t="s">
        <v>907</v>
      </c>
      <c r="D644" s="57" t="s">
        <v>908</v>
      </c>
    </row>
    <row r="645" spans="1:4">
      <c r="A645" s="72"/>
      <c r="B645" s="72"/>
      <c r="C645" s="57" t="s">
        <v>909</v>
      </c>
      <c r="D645" s="57" t="s">
        <v>910</v>
      </c>
    </row>
    <row r="646" spans="1:4">
      <c r="A646" s="72"/>
      <c r="B646" s="72"/>
      <c r="C646" s="57" t="s">
        <v>911</v>
      </c>
      <c r="D646" s="57" t="s">
        <v>912</v>
      </c>
    </row>
    <row r="647" spans="1:4">
      <c r="A647" s="72"/>
      <c r="B647" s="72"/>
      <c r="C647" s="57" t="s">
        <v>913</v>
      </c>
      <c r="D647" s="57"/>
    </row>
    <row r="648" spans="1:4">
      <c r="A648" s="73"/>
      <c r="B648" s="73"/>
      <c r="C648" s="57" t="s">
        <v>121</v>
      </c>
      <c r="D648" s="57"/>
    </row>
    <row r="649" spans="1:4">
      <c r="A649" s="64"/>
      <c r="B649" s="118" t="s">
        <v>173</v>
      </c>
      <c r="C649" s="55" t="s">
        <v>914</v>
      </c>
      <c r="D649" s="55"/>
    </row>
    <row r="650" spans="1:4">
      <c r="A650" s="64"/>
      <c r="B650" s="118"/>
      <c r="C650" s="55" t="s">
        <v>915</v>
      </c>
      <c r="D650" s="55"/>
    </row>
    <row r="651" spans="1:4">
      <c r="A651" s="64"/>
      <c r="B651" s="118"/>
      <c r="C651" s="55" t="s">
        <v>916</v>
      </c>
      <c r="D651" s="55"/>
    </row>
    <row r="652" spans="1:4">
      <c r="A652" s="64"/>
      <c r="B652" s="118"/>
      <c r="C652" s="55" t="s">
        <v>917</v>
      </c>
      <c r="D652" s="55"/>
    </row>
    <row r="653" spans="1:4">
      <c r="A653" s="64"/>
      <c r="B653" s="118"/>
      <c r="C653" s="55" t="s">
        <v>121</v>
      </c>
      <c r="D653" s="55"/>
    </row>
    <row r="654" spans="1:4">
      <c r="A654" s="71"/>
      <c r="B654" s="71" t="s">
        <v>174</v>
      </c>
      <c r="C654" s="57" t="s">
        <v>918</v>
      </c>
      <c r="D654" s="57"/>
    </row>
    <row r="655" spans="1:4">
      <c r="A655" s="72"/>
      <c r="B655" s="72"/>
      <c r="C655" s="57" t="s">
        <v>919</v>
      </c>
      <c r="D655" s="57"/>
    </row>
    <row r="656" spans="1:4">
      <c r="A656" s="64"/>
      <c r="B656" s="118" t="s">
        <v>22</v>
      </c>
      <c r="C656" s="55" t="s">
        <v>37</v>
      </c>
      <c r="D656" s="55"/>
    </row>
    <row r="657" spans="1:6">
      <c r="A657" s="64"/>
      <c r="B657" s="118"/>
      <c r="C657" s="55" t="s">
        <v>920</v>
      </c>
      <c r="D657" s="55"/>
    </row>
    <row r="658" spans="1:6">
      <c r="A658" s="71"/>
      <c r="B658" s="71" t="s">
        <v>921</v>
      </c>
      <c r="C658" s="57" t="s">
        <v>922</v>
      </c>
      <c r="D658" s="57"/>
    </row>
    <row r="659" spans="1:6">
      <c r="A659" s="72"/>
      <c r="B659" s="72"/>
      <c r="C659" s="57" t="s">
        <v>923</v>
      </c>
      <c r="D659" s="57"/>
    </row>
    <row r="660" spans="1:6">
      <c r="A660" s="72"/>
      <c r="B660" s="72"/>
      <c r="C660" s="57" t="s">
        <v>924</v>
      </c>
      <c r="D660" s="57"/>
    </row>
    <row r="661" spans="1:6">
      <c r="A661" s="72"/>
      <c r="B661" s="72"/>
      <c r="C661" s="57" t="s">
        <v>925</v>
      </c>
      <c r="D661" s="57"/>
    </row>
    <row r="662" spans="1:6">
      <c r="A662" s="72"/>
      <c r="B662" s="72"/>
      <c r="C662" s="57" t="s">
        <v>926</v>
      </c>
      <c r="D662" s="57"/>
    </row>
    <row r="663" spans="1:6">
      <c r="A663" s="72"/>
      <c r="B663" s="72"/>
      <c r="C663" s="57" t="s">
        <v>927</v>
      </c>
      <c r="D663" s="57"/>
    </row>
    <row r="664" spans="1:6">
      <c r="A664" s="72"/>
      <c r="B664" s="72"/>
      <c r="C664" s="57" t="s">
        <v>121</v>
      </c>
      <c r="D664" s="57"/>
    </row>
    <row r="665" spans="1:6">
      <c r="A665" s="73"/>
      <c r="B665" s="73"/>
      <c r="C665" s="57" t="s">
        <v>928</v>
      </c>
      <c r="D665" s="57"/>
    </row>
    <row r="666" spans="1:6">
      <c r="A666" s="64"/>
      <c r="B666" s="118" t="s">
        <v>929</v>
      </c>
      <c r="C666" s="55" t="s">
        <v>930</v>
      </c>
      <c r="D666" s="55"/>
    </row>
    <row r="667" spans="1:6">
      <c r="A667" s="64"/>
      <c r="B667" s="118"/>
      <c r="C667" s="55" t="s">
        <v>931</v>
      </c>
      <c r="D667" s="55"/>
      <c r="F667" s="8"/>
    </row>
    <row r="668" spans="1:6">
      <c r="A668" s="71"/>
      <c r="B668" s="71" t="s">
        <v>932</v>
      </c>
      <c r="C668" s="57" t="s">
        <v>933</v>
      </c>
      <c r="D668" s="57"/>
    </row>
    <row r="669" spans="1:6">
      <c r="A669" s="72"/>
      <c r="B669" s="72"/>
      <c r="C669" s="57" t="s">
        <v>934</v>
      </c>
      <c r="D669" s="57"/>
    </row>
    <row r="670" spans="1:6">
      <c r="A670" s="72"/>
      <c r="B670" s="72"/>
      <c r="C670" s="57" t="s">
        <v>935</v>
      </c>
      <c r="D670" s="57"/>
    </row>
    <row r="671" spans="1:6">
      <c r="A671" s="72"/>
      <c r="B671" s="72"/>
      <c r="C671" s="57" t="s">
        <v>936</v>
      </c>
      <c r="D671" s="57"/>
    </row>
    <row r="672" spans="1:6">
      <c r="A672" s="72"/>
      <c r="B672" s="72"/>
      <c r="C672" s="57" t="s">
        <v>937</v>
      </c>
      <c r="D672" s="57"/>
    </row>
    <row r="673" spans="1:4">
      <c r="A673" s="72"/>
      <c r="B673" s="72"/>
      <c r="C673" s="57" t="s">
        <v>938</v>
      </c>
      <c r="D673" s="57"/>
    </row>
    <row r="674" spans="1:4">
      <c r="A674" s="72"/>
      <c r="B674" s="72"/>
      <c r="C674" s="57" t="s">
        <v>939</v>
      </c>
      <c r="D674" s="57"/>
    </row>
    <row r="675" spans="1:4">
      <c r="A675" s="72"/>
      <c r="B675" s="72"/>
      <c r="C675" s="57" t="s">
        <v>940</v>
      </c>
      <c r="D675" s="57"/>
    </row>
    <row r="676" spans="1:4">
      <c r="A676" s="72"/>
      <c r="B676" s="72"/>
      <c r="C676" s="57" t="s">
        <v>941</v>
      </c>
      <c r="D676" s="57"/>
    </row>
    <row r="677" spans="1:4">
      <c r="A677" s="72"/>
      <c r="B677" s="72"/>
      <c r="C677" s="57" t="s">
        <v>942</v>
      </c>
      <c r="D677" s="57"/>
    </row>
    <row r="678" spans="1:4">
      <c r="A678" s="72"/>
      <c r="B678" s="72"/>
      <c r="C678" s="57" t="s">
        <v>590</v>
      </c>
      <c r="D678" s="57"/>
    </row>
    <row r="679" spans="1:4">
      <c r="A679" s="73"/>
      <c r="B679" s="73"/>
      <c r="C679" s="57" t="s">
        <v>928</v>
      </c>
      <c r="D679" s="57"/>
    </row>
    <row r="680" spans="1:4">
      <c r="A680" s="93"/>
      <c r="B680" s="93" t="s">
        <v>943</v>
      </c>
      <c r="C680" s="55" t="s">
        <v>922</v>
      </c>
      <c r="D680" s="55"/>
    </row>
    <row r="681" spans="1:4">
      <c r="A681" s="95"/>
      <c r="B681" s="95"/>
      <c r="C681" s="55" t="s">
        <v>923</v>
      </c>
      <c r="D681" s="55"/>
    </row>
    <row r="682" spans="1:4">
      <c r="A682" s="95"/>
      <c r="B682" s="95"/>
      <c r="C682" s="55" t="s">
        <v>924</v>
      </c>
      <c r="D682" s="55"/>
    </row>
    <row r="683" spans="1:4">
      <c r="A683" s="95"/>
      <c r="B683" s="95"/>
      <c r="C683" s="55" t="s">
        <v>925</v>
      </c>
      <c r="D683" s="55"/>
    </row>
    <row r="684" spans="1:4">
      <c r="A684" s="95"/>
      <c r="B684" s="95"/>
      <c r="C684" s="55" t="s">
        <v>926</v>
      </c>
      <c r="D684" s="55"/>
    </row>
    <row r="685" spans="1:4">
      <c r="A685" s="95"/>
      <c r="B685" s="95"/>
      <c r="C685" s="55" t="s">
        <v>927</v>
      </c>
      <c r="D685" s="55"/>
    </row>
    <row r="686" spans="1:4">
      <c r="A686" s="95"/>
      <c r="B686" s="95"/>
      <c r="C686" s="55" t="s">
        <v>121</v>
      </c>
      <c r="D686" s="55"/>
    </row>
    <row r="687" spans="1:4">
      <c r="A687" s="95"/>
      <c r="B687" s="95"/>
      <c r="C687" s="55" t="s">
        <v>928</v>
      </c>
      <c r="D687" s="55"/>
    </row>
    <row r="688" spans="1:4">
      <c r="A688" s="71"/>
      <c r="B688" s="68" t="s">
        <v>944</v>
      </c>
      <c r="C688" s="57" t="s">
        <v>945</v>
      </c>
      <c r="D688" s="57"/>
    </row>
    <row r="689" spans="1:4">
      <c r="A689" s="72"/>
      <c r="B689" s="70"/>
      <c r="C689" s="57" t="s">
        <v>946</v>
      </c>
      <c r="D689" s="57"/>
    </row>
    <row r="690" spans="1:4">
      <c r="A690" s="93"/>
      <c r="B690" s="93" t="s">
        <v>947</v>
      </c>
      <c r="C690" s="55" t="s">
        <v>948</v>
      </c>
      <c r="D690" s="55"/>
    </row>
    <row r="691" spans="1:4">
      <c r="A691" s="95"/>
      <c r="B691" s="95"/>
      <c r="C691" s="55" t="s">
        <v>949</v>
      </c>
      <c r="D691" s="55"/>
    </row>
    <row r="692" spans="1:4">
      <c r="A692" s="71"/>
      <c r="B692" s="71" t="s">
        <v>950</v>
      </c>
      <c r="C692" s="57" t="s">
        <v>951</v>
      </c>
      <c r="D692" s="57"/>
    </row>
    <row r="693" spans="1:4">
      <c r="A693" s="72"/>
      <c r="B693" s="72"/>
      <c r="C693" s="57" t="s">
        <v>767</v>
      </c>
      <c r="D693" s="57"/>
    </row>
    <row r="694" spans="1:4">
      <c r="A694" s="72"/>
      <c r="B694" s="72"/>
      <c r="C694" s="57" t="s">
        <v>952</v>
      </c>
      <c r="D694" s="57"/>
    </row>
    <row r="695" spans="1:4">
      <c r="A695" s="72"/>
      <c r="B695" s="72"/>
      <c r="C695" s="57" t="s">
        <v>953</v>
      </c>
      <c r="D695" s="57"/>
    </row>
    <row r="696" spans="1:4">
      <c r="A696" s="72"/>
      <c r="B696" s="72"/>
      <c r="C696" s="57" t="s">
        <v>954</v>
      </c>
      <c r="D696" s="57"/>
    </row>
    <row r="697" spans="1:4">
      <c r="A697" s="72"/>
      <c r="B697" s="72"/>
      <c r="C697" s="57" t="s">
        <v>172</v>
      </c>
      <c r="D697" s="57"/>
    </row>
    <row r="698" spans="1:4">
      <c r="A698" s="72"/>
      <c r="B698" s="72"/>
      <c r="C698" s="57" t="s">
        <v>955</v>
      </c>
      <c r="D698" s="57"/>
    </row>
    <row r="699" spans="1:4">
      <c r="A699" s="72"/>
      <c r="B699" s="72"/>
      <c r="C699" s="57" t="s">
        <v>956</v>
      </c>
      <c r="D699" s="57"/>
    </row>
    <row r="700" spans="1:4">
      <c r="A700" s="72"/>
      <c r="B700" s="72"/>
      <c r="C700" s="57" t="s">
        <v>121</v>
      </c>
      <c r="D700" s="57"/>
    </row>
    <row r="701" spans="1:4">
      <c r="A701" s="93"/>
      <c r="B701" s="93" t="s">
        <v>957</v>
      </c>
      <c r="C701" s="55" t="s">
        <v>456</v>
      </c>
      <c r="D701" s="55"/>
    </row>
    <row r="702" spans="1:4">
      <c r="A702" s="95"/>
      <c r="B702" s="95"/>
      <c r="C702" s="55" t="s">
        <v>457</v>
      </c>
      <c r="D702" s="55"/>
    </row>
    <row r="703" spans="1:4">
      <c r="A703" s="95"/>
      <c r="B703" s="95"/>
      <c r="C703" s="55" t="s">
        <v>458</v>
      </c>
      <c r="D703" s="55"/>
    </row>
    <row r="704" spans="1:4">
      <c r="A704" s="95"/>
      <c r="B704" s="95"/>
      <c r="C704" s="55" t="s">
        <v>459</v>
      </c>
      <c r="D704" s="55"/>
    </row>
    <row r="705" spans="1:5">
      <c r="A705" s="95"/>
      <c r="B705" s="95"/>
      <c r="C705" s="55" t="s">
        <v>460</v>
      </c>
      <c r="D705" s="55"/>
    </row>
    <row r="706" spans="1:5">
      <c r="A706" s="95"/>
      <c r="B706" s="95"/>
      <c r="C706" s="55" t="s">
        <v>461</v>
      </c>
      <c r="D706" s="55"/>
    </row>
    <row r="707" spans="1:5">
      <c r="A707" s="95"/>
      <c r="B707" s="95"/>
      <c r="C707" s="55" t="s">
        <v>463</v>
      </c>
      <c r="D707" s="55"/>
    </row>
    <row r="708" spans="1:5">
      <c r="A708" s="95"/>
      <c r="B708" s="95"/>
      <c r="C708" s="55" t="s">
        <v>464</v>
      </c>
      <c r="D708" s="55"/>
    </row>
    <row r="709" spans="1:5">
      <c r="A709" s="95"/>
      <c r="B709" s="95"/>
      <c r="C709" s="55" t="s">
        <v>465</v>
      </c>
      <c r="D709" s="55"/>
    </row>
    <row r="710" spans="1:5">
      <c r="A710" s="95"/>
      <c r="B710" s="95"/>
      <c r="C710" s="55" t="s">
        <v>466</v>
      </c>
      <c r="D710" s="55"/>
    </row>
    <row r="711" spans="1:5">
      <c r="A711" s="95"/>
      <c r="B711" s="95"/>
      <c r="C711" s="55" t="s">
        <v>467</v>
      </c>
      <c r="D711" s="55"/>
    </row>
    <row r="712" spans="1:5">
      <c r="A712" s="95"/>
      <c r="B712" s="95"/>
      <c r="C712" s="55" t="s">
        <v>468</v>
      </c>
      <c r="D712" s="55"/>
    </row>
    <row r="713" spans="1:5">
      <c r="A713" s="95"/>
      <c r="B713" s="95"/>
      <c r="C713" s="55" t="s">
        <v>469</v>
      </c>
      <c r="D713" s="55"/>
    </row>
    <row r="714" spans="1:5">
      <c r="A714" s="95"/>
      <c r="B714" s="95"/>
      <c r="C714" s="55" t="s">
        <v>470</v>
      </c>
      <c r="D714" s="55"/>
    </row>
    <row r="715" spans="1:5">
      <c r="A715" s="95"/>
      <c r="B715" s="95"/>
      <c r="C715" s="55" t="s">
        <v>471</v>
      </c>
      <c r="D715" s="55"/>
    </row>
    <row r="716" spans="1:5">
      <c r="A716" s="95"/>
      <c r="B716" s="95"/>
      <c r="C716" s="55" t="s">
        <v>472</v>
      </c>
      <c r="D716" s="55" t="s">
        <v>473</v>
      </c>
      <c r="E716" t="s">
        <v>238</v>
      </c>
    </row>
    <row r="717" spans="1:5">
      <c r="A717" s="95"/>
      <c r="B717" s="95"/>
      <c r="C717" s="55" t="s">
        <v>474</v>
      </c>
      <c r="D717" s="55"/>
    </row>
    <row r="718" spans="1:5">
      <c r="A718" s="95"/>
      <c r="B718" s="95"/>
      <c r="C718" s="55" t="s">
        <v>475</v>
      </c>
      <c r="D718" s="55"/>
    </row>
    <row r="719" spans="1:5">
      <c r="A719" s="95"/>
      <c r="B719" s="95"/>
      <c r="C719" s="55" t="s">
        <v>476</v>
      </c>
      <c r="D719" s="55"/>
    </row>
    <row r="720" spans="1:5">
      <c r="A720" s="95"/>
      <c r="B720" s="95"/>
      <c r="C720" s="55" t="s">
        <v>477</v>
      </c>
      <c r="D720" s="55"/>
    </row>
    <row r="721" spans="1:4">
      <c r="A721" s="95"/>
      <c r="B721" s="95"/>
      <c r="C721" s="55" t="s">
        <v>478</v>
      </c>
      <c r="D721" s="55"/>
    </row>
    <row r="722" spans="1:4">
      <c r="A722" s="95"/>
      <c r="B722" s="95"/>
      <c r="C722" s="55" t="s">
        <v>479</v>
      </c>
      <c r="D722" s="55"/>
    </row>
    <row r="723" spans="1:4">
      <c r="A723" s="95"/>
      <c r="B723" s="95"/>
      <c r="C723" s="55" t="s">
        <v>480</v>
      </c>
      <c r="D723" s="55"/>
    </row>
    <row r="724" spans="1:4">
      <c r="A724" s="95"/>
      <c r="B724" s="95"/>
      <c r="C724" s="55" t="s">
        <v>481</v>
      </c>
      <c r="D724" s="55"/>
    </row>
    <row r="725" spans="1:4">
      <c r="A725" s="95"/>
      <c r="B725" s="95"/>
      <c r="C725" s="55" t="s">
        <v>482</v>
      </c>
      <c r="D725" s="55"/>
    </row>
    <row r="726" spans="1:4">
      <c r="A726" s="95"/>
      <c r="B726" s="95"/>
      <c r="C726" s="55" t="s">
        <v>483</v>
      </c>
      <c r="D726" s="55"/>
    </row>
    <row r="727" spans="1:4">
      <c r="A727" s="95"/>
      <c r="B727" s="95"/>
      <c r="C727" s="55" t="s">
        <v>484</v>
      </c>
      <c r="D727" s="55"/>
    </row>
    <row r="728" spans="1:4">
      <c r="A728" s="95"/>
      <c r="B728" s="95"/>
      <c r="C728" s="55" t="s">
        <v>485</v>
      </c>
      <c r="D728" s="55"/>
    </row>
    <row r="729" spans="1:4">
      <c r="A729" s="95"/>
      <c r="B729" s="95"/>
      <c r="C729" s="55" t="s">
        <v>486</v>
      </c>
      <c r="D729" s="55"/>
    </row>
    <row r="730" spans="1:4">
      <c r="A730" s="95"/>
      <c r="B730" s="95"/>
      <c r="C730" s="55" t="s">
        <v>487</v>
      </c>
      <c r="D730" s="55"/>
    </row>
    <row r="731" spans="1:4">
      <c r="A731" s="95"/>
      <c r="B731" s="95"/>
      <c r="C731" s="55" t="s">
        <v>488</v>
      </c>
      <c r="D731" s="55"/>
    </row>
    <row r="732" spans="1:4">
      <c r="A732" s="95"/>
      <c r="B732" s="95"/>
      <c r="C732" s="55" t="s">
        <v>489</v>
      </c>
      <c r="D732" s="55"/>
    </row>
    <row r="733" spans="1:4">
      <c r="A733" s="95"/>
      <c r="B733" s="95"/>
      <c r="C733" s="55" t="s">
        <v>490</v>
      </c>
      <c r="D733" s="55"/>
    </row>
    <row r="734" spans="1:4">
      <c r="A734" s="95"/>
      <c r="B734" s="95"/>
      <c r="C734" s="55" t="s">
        <v>491</v>
      </c>
      <c r="D734" s="55"/>
    </row>
    <row r="735" spans="1:4">
      <c r="A735" s="95"/>
      <c r="B735" s="95"/>
      <c r="C735" s="55" t="s">
        <v>492</v>
      </c>
      <c r="D735" s="55"/>
    </row>
    <row r="736" spans="1:4">
      <c r="A736" s="95"/>
      <c r="B736" s="95"/>
      <c r="C736" s="55" t="s">
        <v>493</v>
      </c>
      <c r="D736" s="55"/>
    </row>
    <row r="737" spans="1:4">
      <c r="A737" s="95"/>
      <c r="B737" s="95"/>
      <c r="C737" s="55" t="s">
        <v>494</v>
      </c>
      <c r="D737" s="55"/>
    </row>
    <row r="738" spans="1:4">
      <c r="A738" s="95"/>
      <c r="B738" s="95"/>
      <c r="C738" s="55" t="s">
        <v>495</v>
      </c>
      <c r="D738" s="55"/>
    </row>
    <row r="739" spans="1:4">
      <c r="A739" s="95"/>
      <c r="B739" s="95"/>
      <c r="C739" s="55" t="s">
        <v>496</v>
      </c>
      <c r="D739" s="55"/>
    </row>
    <row r="740" spans="1:4">
      <c r="A740" s="95"/>
      <c r="B740" s="95"/>
      <c r="C740" s="55" t="s">
        <v>497</v>
      </c>
      <c r="D740" s="55"/>
    </row>
    <row r="741" spans="1:4">
      <c r="A741" s="95"/>
      <c r="B741" s="95"/>
      <c r="C741" s="55" t="s">
        <v>498</v>
      </c>
      <c r="D741" s="55"/>
    </row>
    <row r="742" spans="1:4">
      <c r="A742" s="95"/>
      <c r="B742" s="95"/>
      <c r="C742" s="55" t="s">
        <v>499</v>
      </c>
      <c r="D742" s="55"/>
    </row>
    <row r="743" spans="1:4">
      <c r="A743" s="95"/>
      <c r="B743" s="95"/>
      <c r="C743" s="55" t="s">
        <v>500</v>
      </c>
      <c r="D743" s="55"/>
    </row>
    <row r="744" spans="1:4">
      <c r="A744" s="95"/>
      <c r="B744" s="95"/>
      <c r="C744" s="55" t="s">
        <v>501</v>
      </c>
      <c r="D744" s="55"/>
    </row>
    <row r="745" spans="1:4">
      <c r="A745" s="95"/>
      <c r="B745" s="95"/>
      <c r="C745" s="55" t="s">
        <v>502</v>
      </c>
      <c r="D745" s="55"/>
    </row>
    <row r="746" spans="1:4">
      <c r="A746" s="95"/>
      <c r="B746" s="95"/>
      <c r="C746" s="55" t="s">
        <v>503</v>
      </c>
      <c r="D746" s="55"/>
    </row>
    <row r="747" spans="1:4">
      <c r="A747" s="95"/>
      <c r="B747" s="95"/>
      <c r="C747" s="55" t="s">
        <v>504</v>
      </c>
      <c r="D747" s="55"/>
    </row>
    <row r="748" spans="1:4">
      <c r="A748" s="95"/>
      <c r="B748" s="95"/>
      <c r="C748" s="55" t="s">
        <v>505</v>
      </c>
      <c r="D748" s="55"/>
    </row>
    <row r="749" spans="1:4">
      <c r="A749" s="95"/>
      <c r="B749" s="95"/>
      <c r="C749" s="55" t="s">
        <v>506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231</v>
      </c>
      <c r="D751" s="55"/>
    </row>
    <row r="752" spans="1:4">
      <c r="A752" s="95"/>
      <c r="B752" s="95"/>
      <c r="C752" s="55" t="s">
        <v>232</v>
      </c>
      <c r="D752" s="55"/>
    </row>
    <row r="753" spans="1:4">
      <c r="A753" s="95"/>
      <c r="B753" s="95"/>
      <c r="C753" s="55" t="s">
        <v>233</v>
      </c>
      <c r="D753" s="55"/>
    </row>
    <row r="754" spans="1:4">
      <c r="A754" s="95"/>
      <c r="B754" s="95"/>
      <c r="C754" s="55" t="s">
        <v>234</v>
      </c>
      <c r="D754" s="55"/>
    </row>
    <row r="755" spans="1:4">
      <c r="A755" s="95"/>
      <c r="B755" s="95"/>
      <c r="C755" s="55" t="s">
        <v>235</v>
      </c>
      <c r="D755" s="55"/>
    </row>
    <row r="756" spans="1:4">
      <c r="A756" s="95"/>
      <c r="B756" s="95"/>
      <c r="C756" s="55" t="s">
        <v>236</v>
      </c>
      <c r="D756" s="55"/>
    </row>
    <row r="757" spans="1:4">
      <c r="A757" s="95"/>
      <c r="B757" s="95"/>
      <c r="C757" s="55" t="s">
        <v>237</v>
      </c>
      <c r="D757" s="55"/>
    </row>
    <row r="758" spans="1:4">
      <c r="A758" s="95"/>
      <c r="B758" s="95"/>
      <c r="C758" s="55" t="s">
        <v>239</v>
      </c>
      <c r="D758" s="55"/>
    </row>
    <row r="759" spans="1:4">
      <c r="A759" s="95"/>
      <c r="B759" s="95"/>
      <c r="C759" s="55" t="s">
        <v>240</v>
      </c>
      <c r="D759" s="55"/>
    </row>
    <row r="760" spans="1:4">
      <c r="A760" s="95"/>
      <c r="B760" s="95"/>
      <c r="C760" s="55" t="s">
        <v>241</v>
      </c>
      <c r="D760" s="55"/>
    </row>
    <row r="761" spans="1:4">
      <c r="A761" s="95"/>
      <c r="B761" s="95"/>
      <c r="C761" s="55" t="s">
        <v>242</v>
      </c>
      <c r="D761" s="55"/>
    </row>
    <row r="762" spans="1:4">
      <c r="A762" s="95"/>
      <c r="B762" s="95"/>
      <c r="C762" s="55" t="s">
        <v>243</v>
      </c>
      <c r="D762" s="55"/>
    </row>
    <row r="763" spans="1:4">
      <c r="A763" s="95"/>
      <c r="B763" s="95"/>
      <c r="C763" s="55" t="s">
        <v>244</v>
      </c>
      <c r="D763" s="55"/>
    </row>
    <row r="764" spans="1:4">
      <c r="A764" s="95"/>
      <c r="B764" s="95"/>
      <c r="C764" s="55" t="s">
        <v>245</v>
      </c>
      <c r="D764" s="55"/>
    </row>
    <row r="765" spans="1:4">
      <c r="A765" s="95"/>
      <c r="B765" s="95"/>
      <c r="C765" s="55" t="s">
        <v>246</v>
      </c>
      <c r="D765" s="55"/>
    </row>
    <row r="766" spans="1:4">
      <c r="A766" s="95"/>
      <c r="B766" s="95"/>
      <c r="C766" s="55" t="s">
        <v>247</v>
      </c>
      <c r="D766" s="55"/>
    </row>
    <row r="767" spans="1:4">
      <c r="A767" s="95"/>
      <c r="B767" s="95"/>
      <c r="C767" s="55" t="s">
        <v>127</v>
      </c>
      <c r="D767" s="55"/>
    </row>
    <row r="768" spans="1:4">
      <c r="A768" s="95"/>
      <c r="B768" s="95"/>
      <c r="C768" s="55" t="s">
        <v>248</v>
      </c>
      <c r="D768" s="55"/>
    </row>
    <row r="769" spans="1:5">
      <c r="A769" s="95"/>
      <c r="B769" s="95"/>
      <c r="C769" s="55" t="s">
        <v>249</v>
      </c>
      <c r="D769" s="55"/>
    </row>
    <row r="770" spans="1:5">
      <c r="A770" s="95"/>
      <c r="B770" s="95"/>
      <c r="C770" s="55" t="s">
        <v>250</v>
      </c>
      <c r="D770" s="55"/>
    </row>
    <row r="771" spans="1:5">
      <c r="A771" s="95"/>
      <c r="B771" s="95"/>
      <c r="C771" s="55" t="s">
        <v>251</v>
      </c>
      <c r="D771" s="55"/>
    </row>
    <row r="772" spans="1:5">
      <c r="A772" s="95"/>
      <c r="B772" s="95"/>
      <c r="C772" s="55" t="s">
        <v>252</v>
      </c>
      <c r="D772" s="55"/>
    </row>
    <row r="773" spans="1:5">
      <c r="A773" s="95"/>
      <c r="B773" s="95"/>
      <c r="C773" s="55" t="s">
        <v>253</v>
      </c>
      <c r="D773" s="55"/>
    </row>
    <row r="774" spans="1:5">
      <c r="A774" s="95"/>
      <c r="B774" s="95"/>
      <c r="C774" s="55" t="s">
        <v>254</v>
      </c>
      <c r="D774" s="55"/>
    </row>
    <row r="775" spans="1:5">
      <c r="A775" s="95"/>
      <c r="B775" s="95"/>
      <c r="C775" s="55" t="s">
        <v>255</v>
      </c>
      <c r="D775" s="55"/>
    </row>
    <row r="776" spans="1:5">
      <c r="A776" s="95"/>
      <c r="B776" s="95"/>
      <c r="C776" s="55" t="s">
        <v>256</v>
      </c>
      <c r="D776" s="55"/>
    </row>
    <row r="777" spans="1:5">
      <c r="A777" s="95"/>
      <c r="B777" s="95"/>
      <c r="C777" s="55" t="s">
        <v>257</v>
      </c>
      <c r="D777" s="55"/>
    </row>
    <row r="778" spans="1:5">
      <c r="A778" s="95"/>
      <c r="B778" s="95"/>
      <c r="C778" s="55" t="s">
        <v>258</v>
      </c>
      <c r="D778" s="55"/>
    </row>
    <row r="779" spans="1:5">
      <c r="A779" s="95"/>
      <c r="B779" s="95"/>
      <c r="C779" s="55" t="s">
        <v>259</v>
      </c>
      <c r="D779" s="55"/>
    </row>
    <row r="780" spans="1:5">
      <c r="A780" s="95"/>
      <c r="B780" s="95"/>
      <c r="C780" s="55" t="s">
        <v>260</v>
      </c>
      <c r="D780" s="55"/>
    </row>
    <row r="781" spans="1:5">
      <c r="A781" s="95"/>
      <c r="B781" s="95"/>
      <c r="C781" s="55" t="s">
        <v>261</v>
      </c>
      <c r="D781" s="55"/>
    </row>
    <row r="782" spans="1:5">
      <c r="A782" s="95"/>
      <c r="B782" s="95"/>
      <c r="C782" s="55" t="s">
        <v>262</v>
      </c>
      <c r="D782" s="55"/>
      <c r="E782" t="s">
        <v>238</v>
      </c>
    </row>
    <row r="783" spans="1:5">
      <c r="A783" s="95"/>
      <c r="B783" s="95"/>
      <c r="C783" s="55" t="s">
        <v>263</v>
      </c>
      <c r="D783" s="55"/>
      <c r="E783" t="s">
        <v>238</v>
      </c>
    </row>
    <row r="784" spans="1:5">
      <c r="A784" s="95"/>
      <c r="B784" s="95"/>
      <c r="C784" s="55" t="s">
        <v>266</v>
      </c>
      <c r="D784" s="55"/>
      <c r="E784" t="s">
        <v>238</v>
      </c>
    </row>
    <row r="785" spans="1:5">
      <c r="A785" s="95"/>
      <c r="B785" s="95"/>
      <c r="C785" s="55" t="s">
        <v>267</v>
      </c>
      <c r="D785" s="55"/>
    </row>
    <row r="786" spans="1:5">
      <c r="A786" s="95"/>
      <c r="B786" s="95"/>
      <c r="C786" s="55" t="s">
        <v>268</v>
      </c>
      <c r="D786" s="55"/>
    </row>
    <row r="787" spans="1:5">
      <c r="A787" s="95"/>
      <c r="B787" s="95"/>
      <c r="C787" s="55" t="s">
        <v>269</v>
      </c>
      <c r="D787" s="55"/>
    </row>
    <row r="788" spans="1:5">
      <c r="A788" s="95"/>
      <c r="B788" s="95"/>
      <c r="C788" s="55" t="s">
        <v>270</v>
      </c>
      <c r="D788" s="55"/>
    </row>
    <row r="789" spans="1:5">
      <c r="A789" s="95"/>
      <c r="B789" s="95"/>
      <c r="C789" s="55" t="s">
        <v>271</v>
      </c>
      <c r="D789" s="55"/>
    </row>
    <row r="790" spans="1:5">
      <c r="A790" s="95"/>
      <c r="B790" s="95"/>
      <c r="C790" s="55" t="s">
        <v>272</v>
      </c>
      <c r="D790" s="55"/>
      <c r="E790" t="s">
        <v>238</v>
      </c>
    </row>
    <row r="791" spans="1:5">
      <c r="A791" s="95"/>
      <c r="B791" s="95"/>
      <c r="C791" s="55" t="s">
        <v>273</v>
      </c>
      <c r="D791" s="55"/>
    </row>
    <row r="792" spans="1:5">
      <c r="A792" s="95"/>
      <c r="B792" s="95"/>
      <c r="C792" s="55" t="s">
        <v>274</v>
      </c>
      <c r="D792" s="55"/>
    </row>
    <row r="793" spans="1:5">
      <c r="A793" s="95"/>
      <c r="B793" s="95"/>
      <c r="C793" s="55" t="s">
        <v>275</v>
      </c>
      <c r="D793" s="55"/>
    </row>
    <row r="794" spans="1:5">
      <c r="A794" s="95"/>
      <c r="B794" s="95"/>
      <c r="C794" s="55" t="s">
        <v>958</v>
      </c>
      <c r="D794" s="55"/>
    </row>
    <row r="795" spans="1:5">
      <c r="A795" s="95"/>
      <c r="B795" s="95"/>
      <c r="C795" s="55" t="s">
        <v>276</v>
      </c>
      <c r="D795" s="55"/>
    </row>
    <row r="796" spans="1:5">
      <c r="A796" s="95"/>
      <c r="B796" s="95"/>
      <c r="C796" s="55" t="s">
        <v>277</v>
      </c>
      <c r="D796" s="55"/>
    </row>
    <row r="797" spans="1:5">
      <c r="A797" s="95"/>
      <c r="B797" s="95"/>
      <c r="C797" s="55" t="s">
        <v>278</v>
      </c>
      <c r="D797" s="55"/>
    </row>
    <row r="798" spans="1:5">
      <c r="A798" s="95"/>
      <c r="B798" s="95"/>
      <c r="C798" s="55" t="s">
        <v>279</v>
      </c>
      <c r="D798" s="55"/>
    </row>
    <row r="799" spans="1:5">
      <c r="A799" s="95"/>
      <c r="B799" s="95"/>
      <c r="C799" s="55" t="s">
        <v>280</v>
      </c>
      <c r="D799" s="55"/>
    </row>
    <row r="800" spans="1:5">
      <c r="A800" s="95"/>
      <c r="B800" s="95"/>
      <c r="C800" s="55" t="s">
        <v>281</v>
      </c>
      <c r="D800" s="55"/>
    </row>
    <row r="801" spans="1:5">
      <c r="A801" s="95"/>
      <c r="B801" s="95"/>
      <c r="C801" s="55" t="s">
        <v>282</v>
      </c>
      <c r="D801" s="55"/>
    </row>
    <row r="802" spans="1:5">
      <c r="A802" s="95"/>
      <c r="B802" s="95"/>
      <c r="C802" s="55" t="s">
        <v>283</v>
      </c>
      <c r="D802" s="55"/>
    </row>
    <row r="803" spans="1:5">
      <c r="A803" s="95"/>
      <c r="B803" s="95"/>
      <c r="C803" s="55" t="s">
        <v>284</v>
      </c>
      <c r="D803" s="55"/>
    </row>
    <row r="804" spans="1:5">
      <c r="A804" s="95"/>
      <c r="B804" s="95"/>
      <c r="C804" s="55" t="s">
        <v>285</v>
      </c>
      <c r="D804" s="55"/>
    </row>
    <row r="805" spans="1:5">
      <c r="A805" s="95"/>
      <c r="B805" s="95"/>
      <c r="C805" s="55" t="s">
        <v>286</v>
      </c>
      <c r="D805" s="55"/>
    </row>
    <row r="806" spans="1:5">
      <c r="A806" s="95"/>
      <c r="B806" s="95"/>
      <c r="C806" s="55" t="s">
        <v>287</v>
      </c>
      <c r="D806" s="55"/>
    </row>
    <row r="807" spans="1:5">
      <c r="A807" s="95"/>
      <c r="B807" s="95"/>
      <c r="C807" s="55" t="s">
        <v>288</v>
      </c>
      <c r="D807" s="55"/>
    </row>
    <row r="808" spans="1:5">
      <c r="A808" s="95"/>
      <c r="B808" s="95"/>
      <c r="C808" s="55" t="s">
        <v>290</v>
      </c>
      <c r="D808" s="55"/>
    </row>
    <row r="809" spans="1:5">
      <c r="A809" s="95"/>
      <c r="B809" s="95"/>
      <c r="C809" s="55" t="s">
        <v>289</v>
      </c>
      <c r="D809" s="55"/>
      <c r="E809" t="s">
        <v>238</v>
      </c>
    </row>
    <row r="810" spans="1:5">
      <c r="A810" s="95"/>
      <c r="B810" s="95"/>
      <c r="C810" s="55" t="s">
        <v>291</v>
      </c>
      <c r="D810" s="55"/>
    </row>
    <row r="811" spans="1:5">
      <c r="A811" s="95"/>
      <c r="B811" s="95"/>
      <c r="C811" s="55" t="s">
        <v>292</v>
      </c>
      <c r="D811" s="55"/>
    </row>
    <row r="812" spans="1:5">
      <c r="A812" s="95"/>
      <c r="B812" s="95"/>
      <c r="C812" s="55" t="s">
        <v>293</v>
      </c>
      <c r="D812" s="55"/>
    </row>
    <row r="813" spans="1:5">
      <c r="A813" s="95"/>
      <c r="B813" s="95"/>
      <c r="C813" s="55" t="s">
        <v>294</v>
      </c>
      <c r="D813" s="55"/>
    </row>
    <row r="814" spans="1:5">
      <c r="A814" s="95"/>
      <c r="B814" s="95"/>
      <c r="C814" s="55" t="s">
        <v>295</v>
      </c>
      <c r="D814" s="55"/>
    </row>
    <row r="815" spans="1:5">
      <c r="A815" s="95"/>
      <c r="B815" s="95"/>
      <c r="C815" s="55" t="s">
        <v>296</v>
      </c>
      <c r="D815" s="55"/>
    </row>
    <row r="816" spans="1:5">
      <c r="A816" s="95"/>
      <c r="B816" s="95"/>
      <c r="C816" s="55" t="s">
        <v>297</v>
      </c>
      <c r="D816" s="55"/>
    </row>
    <row r="817" spans="1:4">
      <c r="A817" s="95"/>
      <c r="B817" s="95"/>
      <c r="C817" s="55" t="s">
        <v>298</v>
      </c>
      <c r="D817" s="55"/>
    </row>
    <row r="818" spans="1:4">
      <c r="A818" s="95"/>
      <c r="B818" s="95"/>
      <c r="C818" s="55" t="s">
        <v>299</v>
      </c>
      <c r="D818" s="55"/>
    </row>
    <row r="819" spans="1:4">
      <c r="A819" s="95"/>
      <c r="B819" s="95"/>
      <c r="C819" s="55" t="s">
        <v>300</v>
      </c>
      <c r="D819" s="55"/>
    </row>
    <row r="820" spans="1:4">
      <c r="A820" s="95"/>
      <c r="B820" s="95"/>
      <c r="C820" s="55" t="s">
        <v>301</v>
      </c>
      <c r="D820" s="55"/>
    </row>
    <row r="821" spans="1:4">
      <c r="A821" s="95"/>
      <c r="B821" s="95"/>
      <c r="C821" s="55" t="s">
        <v>302</v>
      </c>
      <c r="D821" s="55"/>
    </row>
    <row r="822" spans="1:4">
      <c r="A822" s="95"/>
      <c r="B822" s="95"/>
      <c r="C822" s="55" t="s">
        <v>303</v>
      </c>
      <c r="D822" s="55"/>
    </row>
    <row r="823" spans="1:4">
      <c r="A823" s="95"/>
      <c r="B823" s="95"/>
      <c r="C823" s="55" t="s">
        <v>304</v>
      </c>
      <c r="D823" s="55"/>
    </row>
    <row r="824" spans="1:4">
      <c r="A824" s="95"/>
      <c r="B824" s="95"/>
      <c r="C824" s="55" t="s">
        <v>305</v>
      </c>
      <c r="D824" s="55"/>
    </row>
    <row r="825" spans="1:4">
      <c r="A825" s="95"/>
      <c r="B825" s="95"/>
      <c r="C825" s="55" t="s">
        <v>306</v>
      </c>
      <c r="D825" s="55"/>
    </row>
    <row r="826" spans="1:4">
      <c r="A826" s="95"/>
      <c r="B826" s="95"/>
      <c r="C826" s="55" t="s">
        <v>307</v>
      </c>
      <c r="D826" s="55"/>
    </row>
    <row r="827" spans="1:4">
      <c r="A827" s="95"/>
      <c r="B827" s="95"/>
      <c r="C827" s="55" t="s">
        <v>308</v>
      </c>
      <c r="D827" s="55"/>
    </row>
    <row r="828" spans="1:4">
      <c r="A828" s="95"/>
      <c r="B828" s="95"/>
      <c r="C828" s="55" t="s">
        <v>309</v>
      </c>
      <c r="D828" s="55"/>
    </row>
    <row r="829" spans="1:4">
      <c r="A829" s="95"/>
      <c r="B829" s="95"/>
      <c r="C829" s="55" t="s">
        <v>310</v>
      </c>
      <c r="D829" s="55"/>
    </row>
    <row r="830" spans="1:4">
      <c r="A830" s="95"/>
      <c r="B830" s="95"/>
      <c r="C830" s="55" t="s">
        <v>311</v>
      </c>
      <c r="D830" s="55"/>
    </row>
    <row r="831" spans="1:4">
      <c r="A831" s="95"/>
      <c r="B831" s="95"/>
      <c r="C831" s="55" t="s">
        <v>959</v>
      </c>
      <c r="D831" s="126" t="s">
        <v>960</v>
      </c>
    </row>
    <row r="832" spans="1:4">
      <c r="A832" s="95"/>
      <c r="B832" s="95"/>
      <c r="C832" s="55" t="s">
        <v>961</v>
      </c>
      <c r="D832" s="126" t="s">
        <v>323</v>
      </c>
    </row>
    <row r="833" spans="1:4">
      <c r="A833" s="95"/>
      <c r="B833" s="95"/>
      <c r="C833" s="55" t="s">
        <v>962</v>
      </c>
      <c r="D833" s="126" t="s">
        <v>323</v>
      </c>
    </row>
    <row r="834" spans="1:4" ht="15">
      <c r="A834" s="95"/>
      <c r="B834" s="95"/>
      <c r="C834" s="55" t="s">
        <v>963</v>
      </c>
      <c r="D834" s="124"/>
    </row>
    <row r="835" spans="1:4">
      <c r="A835" s="95"/>
      <c r="B835" s="95"/>
      <c r="C835" s="55" t="s">
        <v>319</v>
      </c>
      <c r="D835" s="55"/>
    </row>
    <row r="836" spans="1:4">
      <c r="A836" s="95"/>
      <c r="B836" s="95"/>
      <c r="C836" s="55" t="s">
        <v>314</v>
      </c>
      <c r="D836" s="55"/>
    </row>
    <row r="837" spans="1:4">
      <c r="A837" s="95"/>
      <c r="B837" s="95"/>
      <c r="C837" s="55" t="s">
        <v>315</v>
      </c>
      <c r="D837" s="55"/>
    </row>
    <row r="838" spans="1:4">
      <c r="A838" s="95"/>
      <c r="B838" s="95"/>
      <c r="C838" s="55" t="s">
        <v>312</v>
      </c>
      <c r="D838" s="55"/>
    </row>
    <row r="839" spans="1:4">
      <c r="A839" s="95"/>
      <c r="B839" s="95"/>
      <c r="C839" s="55" t="s">
        <v>316</v>
      </c>
      <c r="D839" s="55"/>
    </row>
    <row r="840" spans="1:4">
      <c r="A840" s="95"/>
      <c r="B840" s="95"/>
      <c r="C840" s="55" t="s">
        <v>313</v>
      </c>
      <c r="D840" s="55"/>
    </row>
    <row r="841" spans="1:4">
      <c r="A841" s="95"/>
      <c r="B841" s="95"/>
      <c r="C841" s="55" t="s">
        <v>317</v>
      </c>
      <c r="D841" s="55"/>
    </row>
    <row r="842" spans="1:4">
      <c r="A842" s="95"/>
      <c r="B842" s="95"/>
      <c r="C842" s="55" t="s">
        <v>964</v>
      </c>
      <c r="D842" s="55"/>
    </row>
    <row r="843" spans="1:4">
      <c r="A843" s="95"/>
      <c r="B843" s="95"/>
      <c r="C843" s="55" t="s">
        <v>965</v>
      </c>
      <c r="D843" s="55"/>
    </row>
    <row r="844" spans="1:4">
      <c r="A844" s="95"/>
      <c r="B844" s="95"/>
      <c r="C844" s="55" t="s">
        <v>966</v>
      </c>
      <c r="D844" s="55"/>
    </row>
    <row r="845" spans="1:4">
      <c r="A845" s="95"/>
      <c r="B845" s="95"/>
      <c r="C845" s="55" t="s">
        <v>967</v>
      </c>
      <c r="D845" s="55"/>
    </row>
    <row r="846" spans="1:4">
      <c r="A846" s="95"/>
      <c r="B846" s="95"/>
      <c r="C846" s="55" t="s">
        <v>968</v>
      </c>
      <c r="D846" s="55"/>
    </row>
    <row r="847" spans="1:4">
      <c r="A847" s="95"/>
      <c r="B847" s="95"/>
      <c r="C847" s="55" t="s">
        <v>969</v>
      </c>
      <c r="D847" s="55"/>
    </row>
    <row r="848" spans="1:4">
      <c r="A848" s="95"/>
      <c r="B848" s="95"/>
      <c r="C848" s="55" t="s">
        <v>970</v>
      </c>
      <c r="D848" s="55"/>
    </row>
    <row r="849" spans="1:4">
      <c r="A849" s="95"/>
      <c r="B849" s="95"/>
      <c r="C849" s="55" t="s">
        <v>971</v>
      </c>
      <c r="D849" s="55"/>
    </row>
    <row r="850" spans="1:4">
      <c r="A850" s="95"/>
      <c r="B850" s="95"/>
      <c r="C850" s="55" t="s">
        <v>121</v>
      </c>
      <c r="D850" s="55"/>
    </row>
    <row r="851" spans="1:4">
      <c r="A851" s="68" t="s">
        <v>972</v>
      </c>
      <c r="B851" s="68"/>
      <c r="C851" s="57" t="s">
        <v>361</v>
      </c>
      <c r="D851" s="57"/>
    </row>
    <row r="852" spans="1:4">
      <c r="A852" s="69"/>
      <c r="B852" s="69"/>
      <c r="C852" s="57" t="s">
        <v>163</v>
      </c>
      <c r="D852" s="57"/>
    </row>
    <row r="853" spans="1:4">
      <c r="A853" s="95" t="s">
        <v>973</v>
      </c>
      <c r="B853" s="95" t="s">
        <v>5</v>
      </c>
      <c r="C853" s="55" t="s">
        <v>974</v>
      </c>
      <c r="D853" s="55"/>
    </row>
    <row r="854" spans="1:4">
      <c r="A854" s="95"/>
      <c r="B854" s="95"/>
      <c r="C854" s="55" t="s">
        <v>975</v>
      </c>
      <c r="D854" s="55"/>
    </row>
    <row r="855" spans="1:4">
      <c r="A855" s="95"/>
      <c r="B855" s="95"/>
      <c r="C855" s="55" t="s">
        <v>976</v>
      </c>
      <c r="D855" s="55"/>
    </row>
    <row r="856" spans="1:4">
      <c r="A856" s="95"/>
      <c r="B856" s="95"/>
      <c r="C856" s="55" t="s">
        <v>977</v>
      </c>
      <c r="D856" s="55"/>
    </row>
    <row r="857" spans="1:4">
      <c r="A857" s="95"/>
      <c r="B857" s="95"/>
      <c r="C857" s="55" t="s">
        <v>978</v>
      </c>
      <c r="D857" s="55"/>
    </row>
    <row r="858" spans="1:4">
      <c r="A858" s="95"/>
      <c r="B858" s="95"/>
      <c r="C858" s="55" t="s">
        <v>979</v>
      </c>
      <c r="D858" s="55"/>
    </row>
    <row r="859" spans="1:4">
      <c r="A859" s="95"/>
      <c r="B859" s="95"/>
      <c r="C859" s="55" t="s">
        <v>980</v>
      </c>
      <c r="D859" s="55"/>
    </row>
    <row r="860" spans="1:4">
      <c r="A860" s="95"/>
      <c r="B860" s="95"/>
      <c r="C860" s="55" t="s">
        <v>981</v>
      </c>
      <c r="D860" s="55"/>
    </row>
    <row r="861" spans="1:4">
      <c r="A861" s="95"/>
      <c r="B861" s="95"/>
      <c r="C861" s="55" t="s">
        <v>982</v>
      </c>
      <c r="D861" s="55"/>
    </row>
    <row r="862" spans="1:4">
      <c r="A862" s="68" t="s">
        <v>983</v>
      </c>
      <c r="B862" s="68" t="s">
        <v>5</v>
      </c>
      <c r="C862" s="57" t="s">
        <v>51</v>
      </c>
      <c r="D862" s="57"/>
    </row>
    <row r="863" spans="1:4">
      <c r="A863" s="69"/>
      <c r="B863" s="69"/>
      <c r="C863" s="57" t="s">
        <v>984</v>
      </c>
      <c r="D863" s="57"/>
    </row>
    <row r="864" spans="1:4">
      <c r="A864" s="69"/>
      <c r="B864" s="69"/>
      <c r="C864" s="57" t="s">
        <v>62</v>
      </c>
      <c r="D864" s="57"/>
    </row>
    <row r="865" spans="1:4">
      <c r="A865" s="69"/>
      <c r="B865" s="69"/>
      <c r="C865" s="57" t="s">
        <v>985</v>
      </c>
      <c r="D865" s="57"/>
    </row>
    <row r="866" spans="1:4">
      <c r="A866" s="69"/>
      <c r="B866" s="69"/>
      <c r="C866" s="57" t="s">
        <v>97</v>
      </c>
      <c r="D866" s="57"/>
    </row>
    <row r="867" spans="1:4">
      <c r="A867" s="69"/>
      <c r="B867" s="69"/>
      <c r="C867" s="57" t="s">
        <v>986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987</v>
      </c>
      <c r="D869" s="57"/>
    </row>
    <row r="870" spans="1:4">
      <c r="A870" s="95" t="s">
        <v>988</v>
      </c>
      <c r="B870" s="95" t="s">
        <v>5</v>
      </c>
      <c r="C870" s="55" t="s">
        <v>51</v>
      </c>
      <c r="D870" s="55"/>
    </row>
    <row r="871" spans="1:4">
      <c r="A871" s="95"/>
      <c r="B871" s="95"/>
      <c r="C871" s="55" t="s">
        <v>62</v>
      </c>
      <c r="D871" s="55"/>
    </row>
    <row r="872" spans="1:4">
      <c r="A872" s="95"/>
      <c r="B872" s="95"/>
      <c r="C872" s="55" t="s">
        <v>97</v>
      </c>
      <c r="D872" s="55"/>
    </row>
    <row r="873" spans="1:4">
      <c r="A873" s="95"/>
      <c r="B873" s="95"/>
      <c r="C873" s="55" t="s">
        <v>121</v>
      </c>
      <c r="D873" s="55"/>
    </row>
    <row r="874" spans="1:4">
      <c r="A874" s="68" t="s">
        <v>989</v>
      </c>
      <c r="B874" s="68" t="s">
        <v>5</v>
      </c>
      <c r="C874" s="57" t="s">
        <v>990</v>
      </c>
      <c r="D874" s="57"/>
    </row>
    <row r="875" spans="1:4">
      <c r="A875" s="69"/>
      <c r="B875" s="69"/>
      <c r="C875" s="57" t="s">
        <v>777</v>
      </c>
      <c r="D875" s="57"/>
    </row>
    <row r="876" spans="1:4">
      <c r="A876" s="69"/>
      <c r="B876" s="69"/>
      <c r="C876" s="57" t="s">
        <v>778</v>
      </c>
      <c r="D876" s="57"/>
    </row>
    <row r="877" spans="1:4">
      <c r="A877" s="69"/>
      <c r="B877" s="69"/>
      <c r="C877" s="57" t="s">
        <v>779</v>
      </c>
      <c r="D877" s="57"/>
    </row>
    <row r="878" spans="1:4">
      <c r="A878" s="69"/>
      <c r="B878" s="69"/>
      <c r="C878" s="57" t="s">
        <v>991</v>
      </c>
      <c r="D878" s="57"/>
    </row>
    <row r="879" spans="1:4">
      <c r="A879" s="69"/>
      <c r="B879" s="69"/>
      <c r="C879" s="57" t="s">
        <v>992</v>
      </c>
      <c r="D879" s="57"/>
    </row>
    <row r="880" spans="1:4">
      <c r="A880" s="69"/>
      <c r="B880" s="69"/>
      <c r="C880" s="57" t="s">
        <v>993</v>
      </c>
      <c r="D880" s="57"/>
    </row>
    <row r="881" spans="1:5">
      <c r="A881" s="69"/>
      <c r="B881" s="69"/>
      <c r="C881" s="57" t="s">
        <v>994</v>
      </c>
      <c r="D881" s="57"/>
    </row>
    <row r="882" spans="1:5">
      <c r="A882" s="69"/>
      <c r="B882" s="69"/>
      <c r="C882" s="57" t="s">
        <v>995</v>
      </c>
      <c r="D882" s="57" t="s">
        <v>995</v>
      </c>
      <c r="E882" t="s">
        <v>238</v>
      </c>
    </row>
    <row r="883" spans="1:5">
      <c r="A883" s="70"/>
      <c r="B883" s="70"/>
      <c r="C883" s="57" t="s">
        <v>121</v>
      </c>
      <c r="D883" s="57"/>
    </row>
    <row r="884" spans="1:5">
      <c r="A884" s="84" t="s">
        <v>996</v>
      </c>
      <c r="B884" s="84" t="s">
        <v>5</v>
      </c>
      <c r="C884" s="55" t="s">
        <v>954</v>
      </c>
      <c r="D884" s="55"/>
    </row>
    <row r="885" spans="1:5">
      <c r="A885" s="85"/>
      <c r="B885" s="85"/>
      <c r="C885" s="55" t="s">
        <v>997</v>
      </c>
      <c r="D885" s="55"/>
    </row>
    <row r="886" spans="1:5">
      <c r="A886" s="85"/>
      <c r="B886" s="85"/>
      <c r="C886" s="55" t="s">
        <v>998</v>
      </c>
      <c r="D886" s="55"/>
    </row>
    <row r="887" spans="1:5">
      <c r="A887" s="85"/>
      <c r="B887" s="85"/>
      <c r="C887" s="55" t="s">
        <v>999</v>
      </c>
      <c r="D887" s="55"/>
    </row>
    <row r="888" spans="1:5">
      <c r="A888" s="85"/>
      <c r="B888" s="85"/>
      <c r="C888" s="55" t="s">
        <v>1000</v>
      </c>
      <c r="D888" s="55"/>
    </row>
    <row r="889" spans="1:5">
      <c r="A889" s="85"/>
      <c r="B889" s="85"/>
      <c r="C889" s="55" t="s">
        <v>1001</v>
      </c>
      <c r="D889" s="55" t="s">
        <v>1002</v>
      </c>
    </row>
    <row r="890" spans="1:5">
      <c r="A890" s="85"/>
      <c r="B890" s="85"/>
      <c r="C890" s="55" t="s">
        <v>1003</v>
      </c>
      <c r="D890" s="55"/>
    </row>
    <row r="891" spans="1:5">
      <c r="A891" s="68" t="s">
        <v>493</v>
      </c>
      <c r="B891" s="68" t="s">
        <v>5</v>
      </c>
      <c r="C891" s="57" t="s">
        <v>1004</v>
      </c>
      <c r="D891" s="57"/>
    </row>
    <row r="892" spans="1:5">
      <c r="A892" s="69"/>
      <c r="B892" s="69"/>
      <c r="C892" s="57" t="s">
        <v>1005</v>
      </c>
      <c r="D892" s="57"/>
    </row>
    <row r="893" spans="1:5">
      <c r="A893" s="69"/>
      <c r="B893" s="69"/>
      <c r="C893" s="57" t="s">
        <v>1006</v>
      </c>
      <c r="D893" s="57"/>
    </row>
    <row r="894" spans="1:5">
      <c r="A894" s="69"/>
      <c r="B894" s="69"/>
      <c r="C894" s="57" t="s">
        <v>1007</v>
      </c>
      <c r="D894" s="57"/>
    </row>
    <row r="895" spans="1:5">
      <c r="A895" s="69"/>
      <c r="B895" s="69"/>
      <c r="C895" s="57" t="s">
        <v>1008</v>
      </c>
      <c r="D895" s="57"/>
    </row>
    <row r="896" spans="1:5">
      <c r="A896" s="69"/>
      <c r="B896" s="69"/>
      <c r="C896" s="57" t="s">
        <v>121</v>
      </c>
      <c r="D896" s="57"/>
    </row>
    <row r="897" spans="1:4">
      <c r="A897" s="84" t="s">
        <v>1009</v>
      </c>
      <c r="B897" s="84" t="s">
        <v>5</v>
      </c>
      <c r="C897" s="55" t="s">
        <v>1010</v>
      </c>
      <c r="D897" s="55"/>
    </row>
    <row r="898" spans="1:4">
      <c r="A898" s="85"/>
      <c r="B898" s="85"/>
      <c r="C898" s="55" t="s">
        <v>1011</v>
      </c>
      <c r="D898" s="55"/>
    </row>
    <row r="899" spans="1:4">
      <c r="A899" s="85"/>
      <c r="B899" s="85"/>
      <c r="C899" s="55" t="s">
        <v>954</v>
      </c>
      <c r="D899" s="55"/>
    </row>
    <row r="900" spans="1:4">
      <c r="A900" s="85"/>
      <c r="B900" s="85"/>
      <c r="C900" s="55" t="s">
        <v>121</v>
      </c>
      <c r="D900" s="55"/>
    </row>
    <row r="901" spans="1:4">
      <c r="A901" s="68" t="s">
        <v>1012</v>
      </c>
      <c r="B901" s="68" t="s">
        <v>5</v>
      </c>
      <c r="C901" s="57" t="s">
        <v>1013</v>
      </c>
      <c r="D901" s="57"/>
    </row>
    <row r="902" spans="1:4">
      <c r="A902" s="69"/>
      <c r="B902" s="69"/>
      <c r="C902" s="57" t="s">
        <v>1014</v>
      </c>
      <c r="D902" s="57"/>
    </row>
    <row r="903" spans="1:4">
      <c r="A903" s="69"/>
      <c r="B903" s="69"/>
      <c r="C903" s="57" t="s">
        <v>768</v>
      </c>
      <c r="D903" s="57"/>
    </row>
    <row r="904" spans="1:4">
      <c r="A904" s="69"/>
      <c r="B904" s="69"/>
      <c r="C904" s="57" t="s">
        <v>1015</v>
      </c>
      <c r="D904" s="57"/>
    </row>
    <row r="905" spans="1:4">
      <c r="A905" s="69"/>
      <c r="B905" s="69"/>
      <c r="C905" s="57" t="s">
        <v>1016</v>
      </c>
      <c r="D905" s="57"/>
    </row>
    <row r="906" spans="1:4">
      <c r="A906" s="94" t="s">
        <v>1017</v>
      </c>
      <c r="B906" s="94" t="s">
        <v>5</v>
      </c>
      <c r="C906" s="60" t="s">
        <v>1018</v>
      </c>
      <c r="D906" s="60"/>
    </row>
    <row r="907" spans="1:4">
      <c r="A907" s="95"/>
      <c r="B907" s="95"/>
      <c r="C907" s="60" t="s">
        <v>1019</v>
      </c>
      <c r="D907" s="60"/>
    </row>
    <row r="908" spans="1:4">
      <c r="A908" s="95"/>
      <c r="B908" s="95"/>
      <c r="C908" s="55" t="s">
        <v>1020</v>
      </c>
      <c r="D908" s="55"/>
    </row>
    <row r="909" spans="1:4">
      <c r="A909" s="95"/>
      <c r="B909" s="95"/>
      <c r="C909" s="55" t="s">
        <v>1021</v>
      </c>
      <c r="D909" s="55"/>
    </row>
    <row r="910" spans="1:4">
      <c r="A910" s="95"/>
      <c r="B910" s="95"/>
      <c r="C910" s="55" t="s">
        <v>1022</v>
      </c>
      <c r="D910" s="55"/>
    </row>
    <row r="911" spans="1:4">
      <c r="A911" s="95"/>
      <c r="B911" s="95"/>
      <c r="C911" s="55" t="s">
        <v>1023</v>
      </c>
      <c r="D911" s="55"/>
    </row>
    <row r="912" spans="1:4">
      <c r="A912" s="90" t="s">
        <v>1024</v>
      </c>
      <c r="B912" s="90" t="s">
        <v>5</v>
      </c>
      <c r="C912" s="62" t="s">
        <v>51</v>
      </c>
      <c r="D912" s="62"/>
    </row>
    <row r="913" spans="1:5">
      <c r="A913" s="72"/>
      <c r="B913" s="72"/>
      <c r="C913" s="62" t="s">
        <v>984</v>
      </c>
      <c r="D913" s="62"/>
    </row>
    <row r="914" spans="1:5">
      <c r="A914" s="72"/>
      <c r="B914" s="72"/>
      <c r="C914" s="57" t="s">
        <v>62</v>
      </c>
      <c r="D914" s="57"/>
    </row>
    <row r="915" spans="1:5">
      <c r="A915" s="72"/>
      <c r="B915" s="72"/>
      <c r="C915" s="57" t="s">
        <v>985</v>
      </c>
      <c r="D915" s="57"/>
    </row>
    <row r="916" spans="1:5">
      <c r="A916" s="72"/>
      <c r="B916" s="72"/>
      <c r="C916" s="57" t="s">
        <v>97</v>
      </c>
      <c r="D916" s="57"/>
    </row>
    <row r="917" spans="1:5">
      <c r="A917" s="72"/>
      <c r="B917" s="72"/>
      <c r="C917" s="57" t="s">
        <v>986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987</v>
      </c>
      <c r="D919" s="62"/>
    </row>
    <row r="920" spans="1:5" ht="15">
      <c r="A920" s="94" t="s">
        <v>1025</v>
      </c>
      <c r="B920" s="94" t="s">
        <v>5</v>
      </c>
      <c r="C920" s="60" t="s">
        <v>1026</v>
      </c>
      <c r="D920" s="60"/>
      <c r="E920" s="61"/>
    </row>
    <row r="921" spans="1:5" ht="15">
      <c r="A921" s="95"/>
      <c r="B921" s="95"/>
      <c r="C921" s="60" t="s">
        <v>1027</v>
      </c>
      <c r="D921" s="60"/>
      <c r="E921" s="61"/>
    </row>
    <row r="922" spans="1:5" ht="15">
      <c r="A922" s="95"/>
      <c r="B922" s="95"/>
      <c r="C922" s="55" t="s">
        <v>1028</v>
      </c>
      <c r="D922" s="55"/>
      <c r="E922" s="61"/>
    </row>
    <row r="923" spans="1:5" ht="15">
      <c r="A923" s="95"/>
      <c r="B923" s="95"/>
      <c r="C923" s="55" t="s">
        <v>1029</v>
      </c>
      <c r="D923" s="55"/>
      <c r="E923" s="61"/>
    </row>
    <row r="924" spans="1:5" ht="15">
      <c r="A924" s="95"/>
      <c r="B924" s="95"/>
      <c r="C924" s="55" t="s">
        <v>1030</v>
      </c>
      <c r="D924" s="55"/>
      <c r="E924" s="61"/>
    </row>
    <row r="925" spans="1:5">
      <c r="A925" s="95"/>
      <c r="B925" s="95"/>
      <c r="C925" s="55" t="s">
        <v>121</v>
      </c>
      <c r="D925" s="55"/>
    </row>
    <row r="926" spans="1:5">
      <c r="A926" s="90" t="s">
        <v>1031</v>
      </c>
      <c r="B926" s="90" t="s">
        <v>5</v>
      </c>
      <c r="C926" s="57" t="s">
        <v>1032</v>
      </c>
      <c r="D926" s="57"/>
    </row>
    <row r="927" spans="1:5">
      <c r="A927" s="72"/>
      <c r="B927" s="72"/>
      <c r="C927" s="57" t="s">
        <v>1033</v>
      </c>
      <c r="D927" s="57"/>
    </row>
    <row r="928" spans="1:5">
      <c r="A928" s="72"/>
      <c r="B928" s="72"/>
      <c r="C928" s="57" t="s">
        <v>1034</v>
      </c>
      <c r="D928" s="57"/>
    </row>
    <row r="929" spans="1:5">
      <c r="A929" s="91" t="s">
        <v>1035</v>
      </c>
      <c r="B929" s="91" t="s">
        <v>5</v>
      </c>
      <c r="C929" s="60" t="s">
        <v>1036</v>
      </c>
      <c r="D929" s="60"/>
    </row>
    <row r="930" spans="1:5">
      <c r="A930" s="92"/>
      <c r="B930" s="92"/>
      <c r="C930" s="60" t="s">
        <v>777</v>
      </c>
      <c r="D930" s="60"/>
    </row>
    <row r="931" spans="1:5">
      <c r="A931" s="92"/>
      <c r="B931" s="92"/>
      <c r="C931" s="55" t="s">
        <v>990</v>
      </c>
      <c r="D931" s="55"/>
    </row>
    <row r="932" spans="1:5">
      <c r="A932" s="92"/>
      <c r="B932" s="92"/>
      <c r="C932" s="55" t="s">
        <v>778</v>
      </c>
      <c r="D932" s="55"/>
    </row>
    <row r="933" spans="1:5">
      <c r="A933" s="92"/>
      <c r="B933" s="92"/>
      <c r="C933" s="55" t="s">
        <v>121</v>
      </c>
      <c r="D933" s="55"/>
    </row>
    <row r="934" spans="1:5">
      <c r="A934" s="98" t="s">
        <v>1037</v>
      </c>
      <c r="B934" s="98" t="s">
        <v>5</v>
      </c>
      <c r="C934" s="62" t="s">
        <v>990</v>
      </c>
      <c r="D934" s="62"/>
    </row>
    <row r="935" spans="1:5">
      <c r="A935" s="99"/>
      <c r="B935" s="99"/>
      <c r="C935" s="62" t="s">
        <v>777</v>
      </c>
      <c r="D935" s="62"/>
    </row>
    <row r="936" spans="1:5">
      <c r="A936" s="99"/>
      <c r="B936" s="99"/>
      <c r="C936" s="57" t="s">
        <v>778</v>
      </c>
      <c r="D936" s="57"/>
    </row>
    <row r="937" spans="1:5">
      <c r="A937" s="99"/>
      <c r="B937" s="99"/>
      <c r="C937" s="57" t="s">
        <v>779</v>
      </c>
      <c r="D937" s="57"/>
    </row>
    <row r="938" spans="1:5">
      <c r="A938" s="99"/>
      <c r="B938" s="99"/>
      <c r="C938" s="57" t="s">
        <v>1038</v>
      </c>
      <c r="D938" s="57"/>
    </row>
    <row r="939" spans="1:5">
      <c r="A939" s="99"/>
      <c r="B939" s="99"/>
      <c r="C939" s="62" t="s">
        <v>1038</v>
      </c>
      <c r="D939" s="62"/>
    </row>
    <row r="940" spans="1:5">
      <c r="A940" s="99"/>
      <c r="B940" s="99"/>
      <c r="C940" s="62" t="s">
        <v>992</v>
      </c>
      <c r="D940" s="62"/>
    </row>
    <row r="941" spans="1:5">
      <c r="A941" s="99"/>
      <c r="B941" s="99"/>
      <c r="C941" s="57" t="s">
        <v>993</v>
      </c>
      <c r="D941" s="57"/>
    </row>
    <row r="942" spans="1:5">
      <c r="A942" s="99"/>
      <c r="B942" s="99"/>
      <c r="C942" s="62" t="s">
        <v>994</v>
      </c>
      <c r="D942" s="62"/>
    </row>
    <row r="943" spans="1:5">
      <c r="A943" s="99"/>
      <c r="B943" s="99"/>
      <c r="C943" s="62" t="s">
        <v>1036</v>
      </c>
      <c r="D943" s="62"/>
    </row>
    <row r="944" spans="1:5">
      <c r="A944" s="99"/>
      <c r="B944" s="99"/>
      <c r="C944" s="57" t="s">
        <v>1039</v>
      </c>
      <c r="D944" s="57" t="s">
        <v>1039</v>
      </c>
      <c r="E944" t="s">
        <v>238</v>
      </c>
    </row>
    <row r="945" spans="1:4">
      <c r="A945" s="122"/>
      <c r="B945" s="122"/>
      <c r="C945" s="57" t="s">
        <v>121</v>
      </c>
      <c r="D945" s="57"/>
    </row>
    <row r="946" spans="1:4" ht="14.25" customHeight="1">
      <c r="A946" s="91" t="s">
        <v>1040</v>
      </c>
      <c r="B946" s="91" t="s">
        <v>5</v>
      </c>
      <c r="C946" s="60" t="s">
        <v>1041</v>
      </c>
      <c r="D946" s="60"/>
    </row>
    <row r="947" spans="1:4">
      <c r="A947" s="92"/>
      <c r="B947" s="92"/>
      <c r="C947" s="60" t="s">
        <v>1042</v>
      </c>
      <c r="D947" s="60"/>
    </row>
    <row r="948" spans="1:4">
      <c r="A948" s="92"/>
      <c r="B948" s="92"/>
      <c r="C948" s="55" t="s">
        <v>1043</v>
      </c>
      <c r="D948" s="55"/>
    </row>
    <row r="949" spans="1:4">
      <c r="A949" s="92"/>
      <c r="B949" s="92"/>
      <c r="C949" s="55" t="s">
        <v>1044</v>
      </c>
      <c r="D949" s="55"/>
    </row>
    <row r="950" spans="1:4">
      <c r="A950" s="92"/>
      <c r="B950" s="92"/>
      <c r="C950" s="55" t="s">
        <v>1045</v>
      </c>
      <c r="D950" s="55"/>
    </row>
    <row r="951" spans="1:4">
      <c r="A951" s="92"/>
      <c r="B951" s="92"/>
      <c r="C951" s="60" t="s">
        <v>789</v>
      </c>
      <c r="D951" s="60"/>
    </row>
    <row r="952" spans="1:4">
      <c r="A952" s="92"/>
      <c r="B952" s="92"/>
      <c r="C952" s="60" t="s">
        <v>1036</v>
      </c>
      <c r="D952" s="60"/>
    </row>
    <row r="953" spans="1:4">
      <c r="A953" s="92"/>
      <c r="B953" s="92"/>
      <c r="C953" s="55" t="s">
        <v>1046</v>
      </c>
      <c r="D953" s="55" t="s">
        <v>1047</v>
      </c>
    </row>
    <row r="954" spans="1:4">
      <c r="A954" s="92"/>
      <c r="B954" s="92"/>
      <c r="C954" s="55" t="s">
        <v>1001</v>
      </c>
      <c r="D954" s="55" t="s">
        <v>1002</v>
      </c>
    </row>
    <row r="955" spans="1:4">
      <c r="A955" s="92"/>
      <c r="B955" s="92"/>
      <c r="C955" s="55" t="s">
        <v>121</v>
      </c>
      <c r="D955" s="55"/>
    </row>
    <row r="956" spans="1:4">
      <c r="A956" s="98" t="s">
        <v>797</v>
      </c>
      <c r="B956" s="98" t="s">
        <v>5</v>
      </c>
      <c r="C956" s="57" t="s">
        <v>1048</v>
      </c>
      <c r="D956" s="57"/>
    </row>
    <row r="957" spans="1:4">
      <c r="A957" s="99"/>
      <c r="B957" s="99"/>
      <c r="C957" s="57" t="s">
        <v>1049</v>
      </c>
      <c r="D957" s="57"/>
    </row>
    <row r="958" spans="1:4">
      <c r="A958" s="99"/>
      <c r="B958" s="99"/>
      <c r="C958" s="57" t="s">
        <v>1050</v>
      </c>
      <c r="D958" s="57"/>
    </row>
    <row r="959" spans="1:4">
      <c r="A959" s="99"/>
      <c r="B959" s="99"/>
      <c r="C959" s="57" t="s">
        <v>1051</v>
      </c>
      <c r="D959" s="57"/>
    </row>
    <row r="960" spans="1:4">
      <c r="A960" s="99"/>
      <c r="B960" s="99"/>
      <c r="C960" s="57" t="s">
        <v>1052</v>
      </c>
      <c r="D960" s="57"/>
    </row>
    <row r="961" spans="1:5">
      <c r="A961" s="99"/>
      <c r="B961" s="99"/>
      <c r="C961" s="57" t="s">
        <v>1053</v>
      </c>
      <c r="D961" s="57"/>
    </row>
    <row r="962" spans="1:5">
      <c r="A962" s="99"/>
      <c r="B962" s="99"/>
      <c r="C962" s="57" t="s">
        <v>1054</v>
      </c>
      <c r="D962" s="57"/>
    </row>
    <row r="963" spans="1:5">
      <c r="A963" s="99"/>
      <c r="B963" s="99"/>
      <c r="C963" s="57" t="s">
        <v>878</v>
      </c>
      <c r="D963" s="57"/>
      <c r="E963" t="s">
        <v>238</v>
      </c>
    </row>
    <row r="964" spans="1:5">
      <c r="A964" s="100" t="s">
        <v>1055</v>
      </c>
      <c r="B964" s="91" t="s">
        <v>5</v>
      </c>
      <c r="C964" s="55" t="s">
        <v>1013</v>
      </c>
      <c r="D964" s="55"/>
    </row>
    <row r="965" spans="1:5">
      <c r="A965" s="101"/>
      <c r="B965" s="92"/>
      <c r="C965" s="55" t="s">
        <v>1014</v>
      </c>
      <c r="D965" s="55"/>
    </row>
    <row r="966" spans="1:5">
      <c r="A966" s="101"/>
      <c r="B966" s="92"/>
      <c r="C966" s="55" t="s">
        <v>768</v>
      </c>
      <c r="D966" s="55"/>
    </row>
    <row r="967" spans="1:5">
      <c r="A967" s="101"/>
      <c r="B967" s="92"/>
      <c r="C967" s="55" t="s">
        <v>1015</v>
      </c>
      <c r="D967" s="55"/>
    </row>
    <row r="968" spans="1:5">
      <c r="A968" s="101"/>
      <c r="B968" s="92"/>
      <c r="C968" s="55" t="s">
        <v>1016</v>
      </c>
      <c r="D968" s="55"/>
    </row>
    <row r="969" spans="1:5">
      <c r="A969" s="101"/>
      <c r="B969" s="92"/>
      <c r="C969" s="55" t="s">
        <v>1056</v>
      </c>
      <c r="D969" s="55"/>
      <c r="E969" t="s">
        <v>238</v>
      </c>
    </row>
    <row r="970" spans="1:5">
      <c r="A970" s="102" t="s">
        <v>1057</v>
      </c>
      <c r="B970" s="98" t="s">
        <v>5</v>
      </c>
      <c r="C970" s="57" t="s">
        <v>1058</v>
      </c>
      <c r="D970" s="57"/>
    </row>
    <row r="971" spans="1:5">
      <c r="A971" s="103"/>
      <c r="B971" s="99"/>
      <c r="C971" s="57" t="s">
        <v>1059</v>
      </c>
      <c r="D971" s="57"/>
    </row>
    <row r="972" spans="1:5">
      <c r="A972" s="103"/>
      <c r="B972" s="99"/>
      <c r="C972" s="57" t="s">
        <v>1060</v>
      </c>
      <c r="D972" s="57"/>
    </row>
    <row r="973" spans="1:5">
      <c r="A973" s="103"/>
      <c r="B973" s="99"/>
      <c r="C973" s="57" t="s">
        <v>1061</v>
      </c>
      <c r="D973" s="57"/>
    </row>
    <row r="974" spans="1:5">
      <c r="A974" s="103"/>
      <c r="B974" s="99"/>
      <c r="C974" s="57" t="s">
        <v>1062</v>
      </c>
      <c r="D974" s="57"/>
    </row>
    <row r="975" spans="1:5">
      <c r="A975" s="103"/>
      <c r="B975" s="99"/>
      <c r="C975" s="57" t="s">
        <v>1063</v>
      </c>
      <c r="D975" s="57"/>
    </row>
    <row r="976" spans="1:5">
      <c r="A976" s="123"/>
      <c r="B976" s="122"/>
      <c r="C976" s="57" t="s">
        <v>121</v>
      </c>
      <c r="D976" s="57"/>
    </row>
    <row r="977" spans="1:5">
      <c r="A977" s="91" t="s">
        <v>1064</v>
      </c>
      <c r="B977" s="91" t="s">
        <v>5</v>
      </c>
      <c r="C977" s="55" t="s">
        <v>1065</v>
      </c>
      <c r="D977" s="55"/>
      <c r="E977" t="s">
        <v>1066</v>
      </c>
    </row>
    <row r="978" spans="1:5">
      <c r="A978" s="92"/>
      <c r="B978" s="92"/>
      <c r="C978" s="55" t="s">
        <v>1067</v>
      </c>
      <c r="D978" s="55"/>
    </row>
    <row r="979" spans="1:5">
      <c r="A979" s="92"/>
      <c r="B979" s="92"/>
      <c r="C979" s="55" t="s">
        <v>1068</v>
      </c>
      <c r="D979" s="55"/>
    </row>
    <row r="980" spans="1:5">
      <c r="A980" s="92"/>
      <c r="B980" s="92"/>
      <c r="C980" s="55" t="s">
        <v>1069</v>
      </c>
      <c r="D980" s="55"/>
    </row>
    <row r="981" spans="1:5">
      <c r="A981" s="92"/>
      <c r="B981" s="92"/>
      <c r="C981" s="55" t="s">
        <v>1070</v>
      </c>
      <c r="D981" s="55"/>
    </row>
    <row r="982" spans="1:5">
      <c r="A982" s="92"/>
      <c r="B982" s="92"/>
      <c r="C982" s="55" t="s">
        <v>1071</v>
      </c>
      <c r="D982" s="55"/>
    </row>
    <row r="983" spans="1:5">
      <c r="A983" s="92"/>
      <c r="B983" s="92"/>
      <c r="C983" s="55" t="s">
        <v>1072</v>
      </c>
      <c r="D983" s="55"/>
    </row>
    <row r="984" spans="1:5">
      <c r="A984" s="92"/>
      <c r="B984" s="92"/>
      <c r="C984" s="55" t="s">
        <v>1073</v>
      </c>
      <c r="D984" s="55"/>
    </row>
    <row r="985" spans="1:5">
      <c r="A985" s="92"/>
      <c r="B985" s="92"/>
      <c r="C985" s="55" t="s">
        <v>1074</v>
      </c>
      <c r="D985" s="55" t="s">
        <v>1075</v>
      </c>
      <c r="E985" t="s">
        <v>238</v>
      </c>
    </row>
    <row r="986" spans="1:5">
      <c r="A986" s="102" t="s">
        <v>1076</v>
      </c>
      <c r="B986" s="98" t="s">
        <v>5</v>
      </c>
      <c r="C986" s="57" t="s">
        <v>1018</v>
      </c>
      <c r="D986" s="57"/>
    </row>
    <row r="987" spans="1:5">
      <c r="A987" s="103"/>
      <c r="B987" s="99"/>
      <c r="C987" s="57" t="s">
        <v>1019</v>
      </c>
      <c r="D987" s="57"/>
    </row>
    <row r="988" spans="1:5">
      <c r="A988" s="103"/>
      <c r="B988" s="99"/>
      <c r="C988" s="57" t="s">
        <v>1077</v>
      </c>
      <c r="D988" s="57"/>
    </row>
    <row r="989" spans="1:5">
      <c r="A989" s="103"/>
      <c r="B989" s="99"/>
      <c r="C989" s="57" t="s">
        <v>1078</v>
      </c>
      <c r="D989" s="57"/>
    </row>
    <row r="990" spans="1:5">
      <c r="A990" s="103"/>
      <c r="B990" s="99"/>
      <c r="C990" s="57" t="s">
        <v>1079</v>
      </c>
      <c r="D990" s="57"/>
    </row>
    <row r="991" spans="1:5">
      <c r="A991" s="103"/>
      <c r="B991" s="99"/>
      <c r="C991" s="57" t="s">
        <v>1080</v>
      </c>
      <c r="D991" s="57"/>
    </row>
    <row r="992" spans="1:5">
      <c r="A992" s="91" t="s">
        <v>1081</v>
      </c>
      <c r="B992" s="91" t="s">
        <v>5</v>
      </c>
      <c r="C992" s="55" t="s">
        <v>777</v>
      </c>
      <c r="D992" s="55"/>
    </row>
    <row r="993" spans="1:5">
      <c r="A993" s="92"/>
      <c r="B993" s="92"/>
      <c r="C993" s="55" t="s">
        <v>990</v>
      </c>
      <c r="D993" s="55"/>
    </row>
    <row r="994" spans="1:5">
      <c r="A994" s="92"/>
      <c r="B994" s="92"/>
      <c r="C994" s="55" t="s">
        <v>987</v>
      </c>
      <c r="D994" s="55"/>
    </row>
    <row r="995" spans="1:5">
      <c r="A995" s="92"/>
      <c r="B995" s="92"/>
      <c r="C995" s="55" t="s">
        <v>778</v>
      </c>
      <c r="D995" s="55"/>
    </row>
    <row r="996" spans="1:5">
      <c r="A996" s="92"/>
      <c r="B996" s="92"/>
      <c r="C996" s="55" t="s">
        <v>1082</v>
      </c>
      <c r="D996" s="55" t="s">
        <v>1083</v>
      </c>
    </row>
    <row r="997" spans="1:5">
      <c r="A997" s="92"/>
      <c r="B997" s="92"/>
      <c r="C997" s="55" t="s">
        <v>121</v>
      </c>
      <c r="D997" s="55"/>
    </row>
    <row r="998" spans="1:5">
      <c r="A998" s="98" t="s">
        <v>1084</v>
      </c>
      <c r="B998" s="98" t="s">
        <v>5</v>
      </c>
      <c r="C998" s="57" t="s">
        <v>1085</v>
      </c>
      <c r="D998" s="57"/>
      <c r="E998" t="s">
        <v>1066</v>
      </c>
    </row>
    <row r="999" spans="1:5">
      <c r="A999" s="99"/>
      <c r="B999" s="99"/>
      <c r="C999" s="57" t="s">
        <v>1086</v>
      </c>
      <c r="D999" s="57"/>
    </row>
    <row r="1000" spans="1:5">
      <c r="A1000" s="91" t="s">
        <v>1087</v>
      </c>
      <c r="B1000" s="91" t="s">
        <v>5</v>
      </c>
      <c r="C1000" s="55" t="s">
        <v>1088</v>
      </c>
      <c r="D1000" s="55"/>
    </row>
    <row r="1001" spans="1:5">
      <c r="A1001" s="92"/>
      <c r="B1001" s="92"/>
      <c r="C1001" s="55" t="s">
        <v>1089</v>
      </c>
      <c r="D1001" s="55"/>
    </row>
    <row r="1002" spans="1:5">
      <c r="A1002" s="92"/>
      <c r="B1002" s="92"/>
      <c r="C1002" s="55" t="s">
        <v>1090</v>
      </c>
      <c r="D1002" s="55"/>
    </row>
    <row r="1003" spans="1:5">
      <c r="A1003" s="92"/>
      <c r="B1003" s="92"/>
      <c r="C1003" s="55" t="s">
        <v>1091</v>
      </c>
      <c r="D1003" s="55"/>
      <c r="E1003" t="s">
        <v>238</v>
      </c>
    </row>
    <row r="1004" spans="1:5">
      <c r="A1004" s="92"/>
      <c r="B1004" s="92"/>
      <c r="C1004" s="55" t="s">
        <v>1092</v>
      </c>
      <c r="D1004" s="55"/>
    </row>
    <row r="1005" spans="1:5">
      <c r="A1005" s="92"/>
      <c r="B1005" s="92"/>
      <c r="C1005" s="55" t="s">
        <v>1093</v>
      </c>
      <c r="D1005" s="55"/>
    </row>
    <row r="1006" spans="1:5">
      <c r="A1006" s="92"/>
      <c r="B1006" s="92"/>
      <c r="C1006" s="55" t="s">
        <v>1094</v>
      </c>
      <c r="D1006" s="55"/>
      <c r="E1006" t="s">
        <v>238</v>
      </c>
    </row>
    <row r="1007" spans="1:5">
      <c r="A1007" s="92"/>
      <c r="B1007" s="92"/>
      <c r="C1007" s="55" t="s">
        <v>1095</v>
      </c>
      <c r="D1007" s="55"/>
    </row>
    <row r="1008" spans="1:5">
      <c r="A1008" s="92"/>
      <c r="B1008" s="92"/>
      <c r="C1008" s="55" t="s">
        <v>1096</v>
      </c>
      <c r="D1008" s="55"/>
    </row>
    <row r="1009" spans="1:4">
      <c r="A1009" s="92"/>
      <c r="B1009" s="92"/>
      <c r="C1009" s="55" t="s">
        <v>1097</v>
      </c>
      <c r="D1009" s="55"/>
    </row>
    <row r="1010" spans="1:4">
      <c r="A1010" s="92"/>
      <c r="B1010" s="92"/>
      <c r="C1010" s="55" t="s">
        <v>1098</v>
      </c>
      <c r="D1010" s="55"/>
    </row>
    <row r="1011" spans="1:4">
      <c r="A1011" s="92"/>
      <c r="B1011" s="92"/>
      <c r="C1011" s="55" t="s">
        <v>1099</v>
      </c>
      <c r="D1011" s="55"/>
    </row>
    <row r="1012" spans="1:4">
      <c r="A1012" s="92"/>
      <c r="B1012" s="92"/>
      <c r="C1012" s="55" t="s">
        <v>1100</v>
      </c>
      <c r="D1012" s="55"/>
    </row>
    <row r="1013" spans="1:4">
      <c r="A1013" s="92"/>
      <c r="B1013" s="92"/>
      <c r="C1013" s="55" t="s">
        <v>1101</v>
      </c>
      <c r="D1013" s="55"/>
    </row>
    <row r="1014" spans="1:4">
      <c r="A1014" s="92"/>
      <c r="B1014" s="92"/>
      <c r="C1014" s="55" t="s">
        <v>1102</v>
      </c>
      <c r="D1014" s="55"/>
    </row>
    <row r="1015" spans="1:4">
      <c r="A1015" s="92"/>
      <c r="B1015" s="92"/>
      <c r="C1015" s="55" t="s">
        <v>162</v>
      </c>
      <c r="D1015" s="55"/>
    </row>
    <row r="1016" spans="1:4">
      <c r="A1016" s="92"/>
      <c r="B1016" s="92"/>
      <c r="C1016" s="55" t="s">
        <v>1103</v>
      </c>
      <c r="D1016" s="55"/>
    </row>
    <row r="1017" spans="1:4">
      <c r="A1017" s="92"/>
      <c r="B1017" s="92"/>
      <c r="C1017" s="55" t="s">
        <v>168</v>
      </c>
      <c r="D1017" s="55"/>
    </row>
    <row r="1018" spans="1:4">
      <c r="A1018" s="92"/>
      <c r="B1018" s="92"/>
      <c r="C1018" s="55" t="s">
        <v>1104</v>
      </c>
      <c r="D1018" s="55"/>
    </row>
    <row r="1019" spans="1:4">
      <c r="A1019" s="92"/>
      <c r="B1019" s="92"/>
      <c r="C1019" s="55" t="s">
        <v>1105</v>
      </c>
      <c r="D1019" s="55"/>
    </row>
    <row r="1020" spans="1:4">
      <c r="A1020" s="92"/>
      <c r="B1020" s="92"/>
      <c r="C1020" s="55" t="s">
        <v>1106</v>
      </c>
      <c r="D1020" s="55"/>
    </row>
    <row r="1021" spans="1:4">
      <c r="A1021" s="92"/>
      <c r="B1021" s="92"/>
      <c r="C1021" s="55" t="s">
        <v>1107</v>
      </c>
      <c r="D1021" s="55"/>
    </row>
    <row r="1022" spans="1:4">
      <c r="A1022" s="92"/>
      <c r="B1022" s="92"/>
      <c r="C1022" s="55" t="s">
        <v>1108</v>
      </c>
      <c r="D1022" s="55"/>
    </row>
    <row r="1023" spans="1:4">
      <c r="A1023" s="92"/>
      <c r="B1023" s="92"/>
      <c r="C1023" s="55" t="s">
        <v>1109</v>
      </c>
      <c r="D1023" s="55"/>
    </row>
    <row r="1024" spans="1:4">
      <c r="A1024" s="92"/>
      <c r="B1024" s="92"/>
      <c r="C1024" s="55" t="s">
        <v>1110</v>
      </c>
      <c r="D1024" s="55"/>
    </row>
    <row r="1025" spans="1:5">
      <c r="A1025" s="92"/>
      <c r="B1025" s="92"/>
      <c r="C1025" s="55" t="s">
        <v>1111</v>
      </c>
      <c r="D1025" s="55"/>
    </row>
    <row r="1026" spans="1:5">
      <c r="A1026" s="92"/>
      <c r="B1026" s="92"/>
      <c r="C1026" s="55" t="s">
        <v>1112</v>
      </c>
      <c r="D1026" s="55"/>
    </row>
    <row r="1027" spans="1:5">
      <c r="A1027" s="92"/>
      <c r="B1027" s="92"/>
      <c r="C1027" s="55" t="s">
        <v>1113</v>
      </c>
      <c r="D1027" s="55"/>
    </row>
    <row r="1028" spans="1:5">
      <c r="A1028" s="92"/>
      <c r="B1028" s="92"/>
      <c r="C1028" s="55" t="s">
        <v>1114</v>
      </c>
      <c r="D1028" s="55"/>
    </row>
    <row r="1029" spans="1:5">
      <c r="A1029" s="92"/>
      <c r="B1029" s="92"/>
      <c r="C1029" s="55" t="s">
        <v>1115</v>
      </c>
      <c r="D1029" s="55"/>
    </row>
    <row r="1030" spans="1:5">
      <c r="A1030" s="92"/>
      <c r="B1030" s="92"/>
      <c r="C1030" s="55" t="s">
        <v>1116</v>
      </c>
      <c r="D1030" s="55"/>
    </row>
    <row r="1031" spans="1:5">
      <c r="A1031" s="92"/>
      <c r="B1031" s="92"/>
      <c r="C1031" s="132" t="s">
        <v>1117</v>
      </c>
      <c r="D1031" s="55"/>
      <c r="E1031" t="s">
        <v>238</v>
      </c>
    </row>
    <row r="1032" spans="1:5">
      <c r="A1032" s="92"/>
      <c r="B1032" s="92"/>
      <c r="C1032" s="55" t="s">
        <v>1118</v>
      </c>
      <c r="D1032" s="55"/>
    </row>
    <row r="1033" spans="1:5">
      <c r="A1033" s="92"/>
      <c r="B1033" s="92"/>
      <c r="C1033" s="55" t="s">
        <v>121</v>
      </c>
      <c r="D1033" s="55"/>
    </row>
    <row r="1034" spans="1:5">
      <c r="A1034" s="68" t="s">
        <v>1119</v>
      </c>
      <c r="B1034" s="68" t="s">
        <v>5</v>
      </c>
      <c r="C1034" s="57" t="s">
        <v>1120</v>
      </c>
      <c r="D1034" s="57"/>
      <c r="E1034" t="s">
        <v>1066</v>
      </c>
    </row>
    <row r="1035" spans="1:5">
      <c r="A1035" s="69"/>
      <c r="B1035" s="69"/>
      <c r="C1035" s="57" t="s">
        <v>1121</v>
      </c>
      <c r="D1035" s="57"/>
    </row>
    <row r="1036" spans="1:5">
      <c r="A1036" s="69"/>
      <c r="B1036" s="69"/>
      <c r="C1036" s="57" t="s">
        <v>121</v>
      </c>
      <c r="D1036" s="57"/>
    </row>
    <row r="1037" spans="1:5">
      <c r="A1037" s="91" t="s">
        <v>1122</v>
      </c>
      <c r="B1037" s="91" t="s">
        <v>5</v>
      </c>
      <c r="C1037" s="55" t="s">
        <v>1123</v>
      </c>
      <c r="D1037" s="55"/>
    </row>
    <row r="1038" spans="1:5">
      <c r="A1038" s="92"/>
      <c r="B1038" s="92"/>
      <c r="C1038" s="55" t="s">
        <v>1124</v>
      </c>
      <c r="D1038" s="55" t="s">
        <v>1125</v>
      </c>
    </row>
    <row r="1039" spans="1:5">
      <c r="A1039" s="92"/>
      <c r="B1039" s="92"/>
      <c r="C1039" s="55" t="s">
        <v>1126</v>
      </c>
      <c r="D1039" s="55" t="s">
        <v>1127</v>
      </c>
    </row>
    <row r="1040" spans="1:5">
      <c r="A1040" s="92"/>
      <c r="B1040" s="92"/>
      <c r="C1040" s="55" t="s">
        <v>1128</v>
      </c>
      <c r="D1040" s="55" t="s">
        <v>1129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332</v>
      </c>
    </row>
    <row r="1077" spans="1:3" s="11" customFormat="1">
      <c r="C1077" s="18" t="s">
        <v>169</v>
      </c>
    </row>
    <row r="1078" spans="1:3" s="11" customFormat="1">
      <c r="C1078" s="18" t="s">
        <v>333</v>
      </c>
    </row>
    <row r="1079" spans="1:3" s="11" customFormat="1">
      <c r="C1079" s="18" t="s">
        <v>335</v>
      </c>
    </row>
    <row r="1080" spans="1:3" s="11" customFormat="1">
      <c r="C1080" s="18"/>
    </row>
    <row r="1081" spans="1:3" s="11" customFormat="1">
      <c r="C1081" s="18" t="s">
        <v>332</v>
      </c>
    </row>
    <row r="1082" spans="1:3" s="11" customFormat="1">
      <c r="C1082" s="18" t="s">
        <v>169</v>
      </c>
    </row>
    <row r="1083" spans="1:3" s="11" customFormat="1">
      <c r="C1083" s="18" t="s">
        <v>333</v>
      </c>
    </row>
    <row r="1084" spans="1:3" s="11" customFormat="1">
      <c r="C1084" s="18" t="s">
        <v>335</v>
      </c>
    </row>
    <row r="1085" spans="1:3" s="11" customFormat="1">
      <c r="C1085" s="18" t="s">
        <v>334</v>
      </c>
    </row>
    <row r="1086" spans="1:3" s="11" customFormat="1">
      <c r="C1086" s="18"/>
    </row>
    <row r="1087" spans="1:3" s="11" customFormat="1">
      <c r="C1087" s="18" t="s">
        <v>332</v>
      </c>
    </row>
    <row r="1088" spans="1:3" s="11" customFormat="1">
      <c r="C1088" s="18" t="s">
        <v>169</v>
      </c>
    </row>
    <row r="1089" spans="3:3" s="11" customFormat="1">
      <c r="C1089" s="18" t="s">
        <v>335</v>
      </c>
    </row>
    <row r="1090" spans="3:3" s="11" customFormat="1">
      <c r="C1090" s="18"/>
    </row>
    <row r="1091" spans="3:3" s="11" customFormat="1">
      <c r="C1091" s="18" t="s">
        <v>916</v>
      </c>
    </row>
    <row r="1092" spans="3:3" s="11" customFormat="1">
      <c r="C1092" s="18" t="s">
        <v>121</v>
      </c>
    </row>
    <row r="1093" spans="3:3" s="11" customFormat="1">
      <c r="C1093" s="18"/>
    </row>
    <row r="1094" spans="3:3" s="11" customFormat="1">
      <c r="C1094" s="18" t="s">
        <v>460</v>
      </c>
    </row>
    <row r="1095" spans="3:3" s="11" customFormat="1">
      <c r="C1095" s="18" t="s">
        <v>762</v>
      </c>
    </row>
    <row r="1096" spans="3:3" s="11" customFormat="1">
      <c r="C1096" s="18" t="s">
        <v>763</v>
      </c>
    </row>
    <row r="1097" spans="3:3" s="11" customFormat="1">
      <c r="C1097" s="18" t="s">
        <v>766</v>
      </c>
    </row>
    <row r="1098" spans="3:3" s="11" customFormat="1">
      <c r="C1098" s="18" t="s">
        <v>767</v>
      </c>
    </row>
    <row r="1099" spans="3:3" s="11" customFormat="1">
      <c r="C1099" s="18" t="s">
        <v>768</v>
      </c>
    </row>
    <row r="1100" spans="3:3" s="11" customFormat="1">
      <c r="C1100" s="18" t="s">
        <v>769</v>
      </c>
    </row>
    <row r="1101" spans="3:3" s="11" customFormat="1">
      <c r="C1101" s="18" t="s">
        <v>770</v>
      </c>
    </row>
    <row r="1102" spans="3:3" s="11" customFormat="1">
      <c r="C1102" s="18" t="s">
        <v>771</v>
      </c>
    </row>
    <row r="1103" spans="3:3" s="11" customFormat="1">
      <c r="C1103" s="18" t="s">
        <v>773</v>
      </c>
    </row>
    <row r="1104" spans="3:3" s="11" customFormat="1">
      <c r="C1104" s="18" t="s">
        <v>506</v>
      </c>
    </row>
    <row r="1105" spans="3:3" s="11" customFormat="1">
      <c r="C1105" s="18" t="s">
        <v>121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914</v>
      </c>
    </row>
    <row r="1109" spans="3:3" s="11" customFormat="1">
      <c r="C1109" s="18" t="s">
        <v>915</v>
      </c>
    </row>
    <row r="1110" spans="3:3" s="11" customFormat="1">
      <c r="C1110" s="18" t="s">
        <v>917</v>
      </c>
    </row>
    <row r="1111" spans="3:3" s="11" customFormat="1">
      <c r="C1111" s="18" t="s">
        <v>121</v>
      </c>
    </row>
    <row r="1112" spans="3:3" s="11" customFormat="1">
      <c r="C1112" s="18"/>
    </row>
    <row r="1113" spans="3:3" s="11" customFormat="1">
      <c r="C1113" s="18" t="s">
        <v>342</v>
      </c>
    </row>
    <row r="1114" spans="3:3" s="11" customFormat="1">
      <c r="C1114" s="18" t="s">
        <v>343</v>
      </c>
    </row>
    <row r="1115" spans="3:3" s="11" customFormat="1">
      <c r="C1115" s="18" t="s">
        <v>34</v>
      </c>
    </row>
    <row r="1116" spans="3:3" s="11" customFormat="1">
      <c r="C1116" s="18" t="s">
        <v>121</v>
      </c>
    </row>
    <row r="1117" spans="3:3" s="11" customFormat="1">
      <c r="C1117" s="18"/>
    </row>
    <row r="1118" spans="3:3" s="11" customFormat="1">
      <c r="C1118" s="18" t="s">
        <v>348</v>
      </c>
    </row>
    <row r="1119" spans="3:3" s="11" customFormat="1">
      <c r="C1119" s="18" t="s">
        <v>1130</v>
      </c>
    </row>
    <row r="1120" spans="3:3" s="11" customFormat="1">
      <c r="C1120" s="18"/>
    </row>
    <row r="1121" spans="3:3">
      <c r="C1121" s="18" t="s">
        <v>348</v>
      </c>
    </row>
    <row r="1122" spans="3:3" s="11" customFormat="1">
      <c r="C1122" s="18" t="s">
        <v>350</v>
      </c>
    </row>
    <row r="1123" spans="3:3" s="11" customFormat="1">
      <c r="C1123" s="18" t="s">
        <v>352</v>
      </c>
    </row>
    <row r="1124" spans="3:3" s="11" customFormat="1">
      <c r="C1124" s="18" t="s">
        <v>354</v>
      </c>
    </row>
    <row r="1125" spans="3:3">
      <c r="C1125" s="18" t="s">
        <v>359</v>
      </c>
    </row>
    <row r="1126" spans="3:3">
      <c r="C1126" s="18" t="s">
        <v>121</v>
      </c>
    </row>
    <row r="1129" spans="3:3">
      <c r="C1129" s="18" t="s">
        <v>456</v>
      </c>
    </row>
    <row r="1130" spans="3:3">
      <c r="C1130" s="18" t="s">
        <v>457</v>
      </c>
    </row>
    <row r="1131" spans="3:3">
      <c r="C1131" s="18" t="s">
        <v>459</v>
      </c>
    </row>
    <row r="1132" spans="3:3">
      <c r="C1132" s="18" t="s">
        <v>460</v>
      </c>
    </row>
    <row r="1133" spans="3:3">
      <c r="C1133" s="18" t="s">
        <v>461</v>
      </c>
    </row>
    <row r="1134" spans="3:3">
      <c r="C1134" s="18" t="s">
        <v>463</v>
      </c>
    </row>
    <row r="1135" spans="3:3">
      <c r="C1135" s="18" t="s">
        <v>464</v>
      </c>
    </row>
    <row r="1136" spans="3:3">
      <c r="C1136" s="18" t="s">
        <v>465</v>
      </c>
    </row>
    <row r="1137" spans="3:3">
      <c r="C1137" s="18" t="s">
        <v>466</v>
      </c>
    </row>
    <row r="1138" spans="3:3">
      <c r="C1138" s="18" t="s">
        <v>467</v>
      </c>
    </row>
    <row r="1139" spans="3:3">
      <c r="C1139" s="18" t="s">
        <v>468</v>
      </c>
    </row>
    <row r="1140" spans="3:3">
      <c r="C1140" s="18" t="s">
        <v>469</v>
      </c>
    </row>
    <row r="1141" spans="3:3">
      <c r="C1141" s="18" t="s">
        <v>470</v>
      </c>
    </row>
    <row r="1142" spans="3:3">
      <c r="C1142" s="18" t="s">
        <v>471</v>
      </c>
    </row>
    <row r="1143" spans="3:3">
      <c r="C1143" s="18" t="s">
        <v>472</v>
      </c>
    </row>
    <row r="1144" spans="3:3">
      <c r="C1144" s="18" t="s">
        <v>474</v>
      </c>
    </row>
    <row r="1145" spans="3:3">
      <c r="C1145" s="18" t="s">
        <v>475</v>
      </c>
    </row>
    <row r="1146" spans="3:3">
      <c r="C1146" s="18" t="s">
        <v>476</v>
      </c>
    </row>
    <row r="1147" spans="3:3">
      <c r="C1147" s="18" t="s">
        <v>478</v>
      </c>
    </row>
    <row r="1148" spans="3:3">
      <c r="C1148" s="18" t="s">
        <v>479</v>
      </c>
    </row>
    <row r="1149" spans="3:3">
      <c r="C1149" s="18" t="s">
        <v>480</v>
      </c>
    </row>
    <row r="1150" spans="3:3">
      <c r="C1150" s="18" t="s">
        <v>481</v>
      </c>
    </row>
    <row r="1151" spans="3:3">
      <c r="C1151" s="18" t="s">
        <v>482</v>
      </c>
    </row>
    <row r="1152" spans="3:3">
      <c r="C1152" s="18" t="s">
        <v>483</v>
      </c>
    </row>
    <row r="1153" spans="3:3">
      <c r="C1153" s="18" t="s">
        <v>484</v>
      </c>
    </row>
    <row r="1154" spans="3:3">
      <c r="C1154" s="18" t="s">
        <v>485</v>
      </c>
    </row>
    <row r="1155" spans="3:3">
      <c r="C1155" s="18" t="s">
        <v>486</v>
      </c>
    </row>
    <row r="1156" spans="3:3">
      <c r="C1156" s="18" t="s">
        <v>487</v>
      </c>
    </row>
    <row r="1157" spans="3:3">
      <c r="C1157" s="18" t="s">
        <v>488</v>
      </c>
    </row>
    <row r="1158" spans="3:3">
      <c r="C1158" s="18" t="s">
        <v>489</v>
      </c>
    </row>
    <row r="1159" spans="3:3">
      <c r="C1159" s="18" t="s">
        <v>490</v>
      </c>
    </row>
    <row r="1160" spans="3:3">
      <c r="C1160" s="18" t="s">
        <v>491</v>
      </c>
    </row>
    <row r="1161" spans="3:3">
      <c r="C1161" s="18" t="s">
        <v>492</v>
      </c>
    </row>
    <row r="1162" spans="3:3">
      <c r="C1162" s="18" t="s">
        <v>493</v>
      </c>
    </row>
    <row r="1163" spans="3:3" ht="14.45" customHeight="1">
      <c r="C1163" s="18" t="s">
        <v>494</v>
      </c>
    </row>
    <row r="1164" spans="3:3">
      <c r="C1164" s="18" t="s">
        <v>496</v>
      </c>
    </row>
    <row r="1165" spans="3:3">
      <c r="C1165" s="18" t="s">
        <v>497</v>
      </c>
    </row>
    <row r="1166" spans="3:3">
      <c r="C1166" s="18" t="s">
        <v>498</v>
      </c>
    </row>
    <row r="1167" spans="3:3">
      <c r="C1167" s="18" t="s">
        <v>499</v>
      </c>
    </row>
    <row r="1168" spans="3:3">
      <c r="C1168" s="18" t="s">
        <v>501</v>
      </c>
    </row>
    <row r="1169" spans="3:3">
      <c r="C1169" s="18" t="s">
        <v>505</v>
      </c>
    </row>
    <row r="1170" spans="3:3">
      <c r="C1170" s="18" t="s">
        <v>121</v>
      </c>
    </row>
    <row r="1171" spans="3:3">
      <c r="C1171" s="18" t="s">
        <v>507</v>
      </c>
    </row>
    <row r="1172" spans="3:3">
      <c r="C1172" s="18" t="s">
        <v>508</v>
      </c>
    </row>
    <row r="1173" spans="3:3">
      <c r="C1173" s="18" t="s">
        <v>509</v>
      </c>
    </row>
    <row r="1174" spans="3:3">
      <c r="C1174" s="18" t="s">
        <v>510</v>
      </c>
    </row>
    <row r="1175" spans="3:3">
      <c r="C1175" s="18" t="s">
        <v>511</v>
      </c>
    </row>
    <row r="1176" spans="3:3">
      <c r="C1176" s="18" t="s">
        <v>512</v>
      </c>
    </row>
    <row r="1177" spans="3:3">
      <c r="C1177" s="18" t="s">
        <v>513</v>
      </c>
    </row>
    <row r="1178" spans="3:3">
      <c r="C1178" s="18" t="s">
        <v>514</v>
      </c>
    </row>
    <row r="1179" spans="3:3">
      <c r="C1179" s="18" t="s">
        <v>515</v>
      </c>
    </row>
    <row r="1180" spans="3:3">
      <c r="C1180" s="18" t="s">
        <v>516</v>
      </c>
    </row>
    <row r="1181" spans="3:3">
      <c r="C1181" s="18" t="s">
        <v>517</v>
      </c>
    </row>
    <row r="1182" spans="3:3">
      <c r="C1182" s="18" t="s">
        <v>518</v>
      </c>
    </row>
    <row r="1183" spans="3:3">
      <c r="C1183" s="18" t="s">
        <v>519</v>
      </c>
    </row>
    <row r="1184" spans="3:3">
      <c r="C1184" s="18" t="s">
        <v>520</v>
      </c>
    </row>
    <row r="1185" spans="3:3">
      <c r="C1185" s="18" t="s">
        <v>521</v>
      </c>
    </row>
    <row r="1186" spans="3:3">
      <c r="C1186" s="18" t="s">
        <v>522</v>
      </c>
    </row>
    <row r="1187" spans="3:3">
      <c r="C1187" s="18" t="s">
        <v>523</v>
      </c>
    </row>
    <row r="1188" spans="3:3">
      <c r="C1188" s="18" t="s">
        <v>524</v>
      </c>
    </row>
    <row r="1189" spans="3:3">
      <c r="C1189" s="18" t="s">
        <v>526</v>
      </c>
    </row>
    <row r="1190" spans="3:3">
      <c r="C1190" s="18" t="s">
        <v>528</v>
      </c>
    </row>
    <row r="1191" spans="3:3">
      <c r="C1191" s="18" t="s">
        <v>530</v>
      </c>
    </row>
    <row r="1192" spans="3:3">
      <c r="C1192" s="131" t="s">
        <v>531</v>
      </c>
    </row>
    <row r="1193" spans="3:3">
      <c r="C1193" s="18" t="s">
        <v>533</v>
      </c>
    </row>
    <row r="1194" spans="3:3">
      <c r="C1194" s="18" t="s">
        <v>534</v>
      </c>
    </row>
    <row r="1195" spans="3:3">
      <c r="C1195" s="18" t="s">
        <v>535</v>
      </c>
    </row>
    <row r="1196" spans="3:3">
      <c r="C1196" s="18" t="s">
        <v>536</v>
      </c>
    </row>
    <row r="1197" spans="3:3">
      <c r="C1197" s="18" t="s">
        <v>537</v>
      </c>
    </row>
    <row r="1198" spans="3:3">
      <c r="C1198" s="18" t="s">
        <v>538</v>
      </c>
    </row>
    <row r="1199" spans="3:3">
      <c r="C1199" s="18" t="s">
        <v>539</v>
      </c>
    </row>
    <row r="1200" spans="3:3">
      <c r="C1200" s="18" t="s">
        <v>540</v>
      </c>
    </row>
    <row r="1201" spans="3:3">
      <c r="C1201" s="18" t="s">
        <v>542</v>
      </c>
    </row>
    <row r="1202" spans="3:3">
      <c r="C1202" s="18" t="s">
        <v>543</v>
      </c>
    </row>
    <row r="1203" spans="3:3">
      <c r="C1203" s="18" t="s">
        <v>545</v>
      </c>
    </row>
    <row r="1204" spans="3:3">
      <c r="C1204" s="18" t="s">
        <v>546</v>
      </c>
    </row>
    <row r="1205" spans="3:3">
      <c r="C1205" s="18" t="s">
        <v>547</v>
      </c>
    </row>
    <row r="1206" spans="3:3">
      <c r="C1206" s="18" t="s">
        <v>548</v>
      </c>
    </row>
    <row r="1207" spans="3:3">
      <c r="C1207" s="18" t="s">
        <v>549</v>
      </c>
    </row>
    <row r="1208" spans="3:3">
      <c r="C1208" s="18" t="s">
        <v>551</v>
      </c>
    </row>
    <row r="1209" spans="3:3">
      <c r="C1209" s="18" t="s">
        <v>552</v>
      </c>
    </row>
    <row r="1210" spans="3:3">
      <c r="C1210" s="18" t="s">
        <v>553</v>
      </c>
    </row>
    <row r="1211" spans="3:3">
      <c r="C1211" s="18" t="s">
        <v>554</v>
      </c>
    </row>
    <row r="1212" spans="3:3">
      <c r="C1212" s="18" t="s">
        <v>555</v>
      </c>
    </row>
    <row r="1213" spans="3:3">
      <c r="C1213" s="18" t="s">
        <v>556</v>
      </c>
    </row>
    <row r="1214" spans="3:3">
      <c r="C1214" s="18" t="s">
        <v>557</v>
      </c>
    </row>
    <row r="1215" spans="3:3">
      <c r="C1215" s="18" t="s">
        <v>558</v>
      </c>
    </row>
    <row r="1216" spans="3:3">
      <c r="C1216" s="18" t="s">
        <v>560</v>
      </c>
    </row>
    <row r="1217" spans="3:3">
      <c r="C1217" s="18" t="s">
        <v>561</v>
      </c>
    </row>
    <row r="1218" spans="3:3">
      <c r="C1218" s="18" t="s">
        <v>562</v>
      </c>
    </row>
    <row r="1219" spans="3:3">
      <c r="C1219" s="18" t="s">
        <v>563</v>
      </c>
    </row>
    <row r="1220" spans="3:3">
      <c r="C1220" s="18" t="s">
        <v>564</v>
      </c>
    </row>
    <row r="1221" spans="3:3">
      <c r="C1221" s="18" t="s">
        <v>565</v>
      </c>
    </row>
    <row r="1222" spans="3:3">
      <c r="C1222" s="18" t="s">
        <v>566</v>
      </c>
    </row>
    <row r="1223" spans="3:3">
      <c r="C1223" s="18" t="s">
        <v>567</v>
      </c>
    </row>
    <row r="1224" spans="3:3">
      <c r="C1224" s="18" t="s">
        <v>568</v>
      </c>
    </row>
    <row r="1225" spans="3:3">
      <c r="C1225" s="18" t="s">
        <v>569</v>
      </c>
    </row>
    <row r="1226" spans="3:3">
      <c r="C1226" s="18" t="s">
        <v>570</v>
      </c>
    </row>
    <row r="1227" spans="3:3">
      <c r="C1227" s="18" t="s">
        <v>571</v>
      </c>
    </row>
    <row r="1228" spans="3:3">
      <c r="C1228" s="18" t="s">
        <v>572</v>
      </c>
    </row>
    <row r="1229" spans="3:3">
      <c r="C1229" s="18" t="s">
        <v>573</v>
      </c>
    </row>
    <row r="1230" spans="3:3">
      <c r="C1230" s="18" t="s">
        <v>574</v>
      </c>
    </row>
    <row r="1231" spans="3:3">
      <c r="C1231" s="18" t="s">
        <v>575</v>
      </c>
    </row>
    <row r="1232" spans="3:3">
      <c r="C1232" s="18" t="s">
        <v>576</v>
      </c>
    </row>
    <row r="1233" spans="3:3">
      <c r="C1233" s="18" t="s">
        <v>577</v>
      </c>
    </row>
    <row r="1234" spans="3:3">
      <c r="C1234" s="18" t="s">
        <v>578</v>
      </c>
    </row>
    <row r="1235" spans="3:3">
      <c r="C1235" s="18" t="s">
        <v>579</v>
      </c>
    </row>
    <row r="1236" spans="3:3">
      <c r="C1236" s="18" t="s">
        <v>580</v>
      </c>
    </row>
    <row r="1237" spans="3:3">
      <c r="C1237" s="18" t="s">
        <v>582</v>
      </c>
    </row>
    <row r="1238" spans="3:3">
      <c r="C1238" s="18" t="s">
        <v>583</v>
      </c>
    </row>
    <row r="1239" spans="3:3">
      <c r="C1239" s="18" t="s">
        <v>584</v>
      </c>
    </row>
    <row r="1240" spans="3:3">
      <c r="C1240" s="18" t="s">
        <v>585</v>
      </c>
    </row>
    <row r="1241" spans="3:3">
      <c r="C1241" s="18" t="s">
        <v>586</v>
      </c>
    </row>
    <row r="1242" spans="3:3">
      <c r="C1242" s="18" t="s">
        <v>587</v>
      </c>
    </row>
    <row r="1243" spans="3:3">
      <c r="C1243" s="18" t="s">
        <v>588</v>
      </c>
    </row>
    <row r="1244" spans="3:3">
      <c r="C1244" s="18" t="s">
        <v>589</v>
      </c>
    </row>
    <row r="1245" spans="3:3">
      <c r="C1245" s="18" t="s">
        <v>590</v>
      </c>
    </row>
    <row r="1248" spans="3:3">
      <c r="C1248" s="18" t="s">
        <v>349</v>
      </c>
    </row>
    <row r="1249" spans="3:3">
      <c r="C1249" s="18" t="s">
        <v>350</v>
      </c>
    </row>
    <row r="1250" spans="3:3">
      <c r="C1250" s="18" t="s">
        <v>352</v>
      </c>
    </row>
    <row r="1251" spans="3:3">
      <c r="C1251" s="18" t="s">
        <v>355</v>
      </c>
    </row>
    <row r="1252" spans="3:3">
      <c r="C1252" s="18" t="s">
        <v>357</v>
      </c>
    </row>
    <row r="1253" spans="3:3">
      <c r="C1253" s="18" t="s">
        <v>121</v>
      </c>
    </row>
    <row r="1255" spans="3:3">
      <c r="C1255" s="18" t="s">
        <v>349</v>
      </c>
    </row>
    <row r="1256" spans="3:3">
      <c r="C1256" s="18" t="s">
        <v>354</v>
      </c>
    </row>
    <row r="1257" spans="3:3">
      <c r="C1257" s="18" t="s">
        <v>359</v>
      </c>
    </row>
    <row r="1258" spans="3:3">
      <c r="C1258" s="18" t="s">
        <v>350</v>
      </c>
    </row>
    <row r="1259" spans="3:3">
      <c r="C1259" s="18" t="s">
        <v>121</v>
      </c>
    </row>
    <row r="1261" spans="3:3">
      <c r="C1261" s="18" t="s">
        <v>348</v>
      </c>
    </row>
    <row r="1262" spans="3:3">
      <c r="C1262" s="18" t="s">
        <v>350</v>
      </c>
    </row>
    <row r="1263" spans="3:3">
      <c r="C1263" s="18" t="s">
        <v>357</v>
      </c>
    </row>
    <row r="1264" spans="3:3">
      <c r="C1264" s="18" t="s">
        <v>355</v>
      </c>
    </row>
    <row r="1265" spans="3:3">
      <c r="C1265" s="18" t="s">
        <v>121</v>
      </c>
    </row>
    <row r="1267" spans="3:3">
      <c r="C1267" s="18" t="s">
        <v>349</v>
      </c>
    </row>
    <row r="1268" spans="3:3">
      <c r="C1268" s="18" t="s">
        <v>350</v>
      </c>
    </row>
    <row r="1269" spans="3:3">
      <c r="C1269" s="18" t="s">
        <v>121</v>
      </c>
    </row>
    <row r="1272" spans="3:3">
      <c r="C1272" s="18" t="s">
        <v>348</v>
      </c>
    </row>
    <row r="1273" spans="3:3">
      <c r="C1273" s="18" t="s">
        <v>350</v>
      </c>
    </row>
    <row r="1274" spans="3:3">
      <c r="C1274" s="18" t="s">
        <v>352</v>
      </c>
    </row>
    <row r="1275" spans="3:3">
      <c r="C1275" s="18" t="s">
        <v>354</v>
      </c>
    </row>
    <row r="1276" spans="3:3">
      <c r="C1276" s="18" t="s">
        <v>355</v>
      </c>
    </row>
    <row r="1277" spans="3:3">
      <c r="C1277" s="18" t="s">
        <v>356</v>
      </c>
    </row>
    <row r="1278" spans="3:3">
      <c r="C1278" s="18" t="s">
        <v>357</v>
      </c>
    </row>
    <row r="1279" spans="3:3">
      <c r="C1279" s="18" t="s">
        <v>358</v>
      </c>
    </row>
    <row r="1280" spans="3:3">
      <c r="C1280" s="18" t="s">
        <v>359</v>
      </c>
    </row>
    <row r="1281" spans="3:3">
      <c r="C1281" s="18" t="s">
        <v>121</v>
      </c>
    </row>
    <row r="1283" spans="3:3">
      <c r="C1283" s="18" t="s">
        <v>40</v>
      </c>
    </row>
    <row r="1284" spans="3:3">
      <c r="C1284" s="18" t="s">
        <v>363</v>
      </c>
    </row>
    <row r="1285" spans="3:3">
      <c r="C1285" s="18" t="s">
        <v>365</v>
      </c>
    </row>
    <row r="1286" spans="3:3">
      <c r="C1286" s="18" t="s">
        <v>367</v>
      </c>
    </row>
    <row r="1287" spans="3:3">
      <c r="C1287" s="18" t="s">
        <v>369</v>
      </c>
    </row>
    <row r="1288" spans="3:3">
      <c r="C1288" s="18" t="s">
        <v>371</v>
      </c>
    </row>
    <row r="1289" spans="3:3">
      <c r="C1289" s="18" t="s">
        <v>373</v>
      </c>
    </row>
    <row r="1290" spans="3:3">
      <c r="C1290" s="18" t="s">
        <v>375</v>
      </c>
    </row>
    <row r="1291" spans="3:3">
      <c r="C1291" s="18" t="s">
        <v>377</v>
      </c>
    </row>
    <row r="1292" spans="3:3">
      <c r="C1292" s="18" t="s">
        <v>379</v>
      </c>
    </row>
    <row r="1293" spans="3:3">
      <c r="C1293" s="18" t="s">
        <v>381</v>
      </c>
    </row>
    <row r="1294" spans="3:3">
      <c r="C1294" s="18" t="s">
        <v>383</v>
      </c>
    </row>
    <row r="1295" spans="3:3">
      <c r="C1295" s="18" t="s">
        <v>385</v>
      </c>
    </row>
    <row r="1296" spans="3:3">
      <c r="C1296" s="18" t="s">
        <v>387</v>
      </c>
    </row>
    <row r="1297" spans="3:3">
      <c r="C1297" s="18" t="s">
        <v>389</v>
      </c>
    </row>
    <row r="1298" spans="3:3">
      <c r="C1298" s="18" t="s">
        <v>391</v>
      </c>
    </row>
    <row r="1299" spans="3:3">
      <c r="C1299" s="18" t="s">
        <v>393</v>
      </c>
    </row>
    <row r="1300" spans="3:3">
      <c r="C1300" s="18" t="s">
        <v>395</v>
      </c>
    </row>
    <row r="1301" spans="3:3">
      <c r="C1301" s="18" t="s">
        <v>397</v>
      </c>
    </row>
    <row r="1302" spans="3:3">
      <c r="C1302" s="18" t="s">
        <v>399</v>
      </c>
    </row>
    <row r="1303" spans="3:3">
      <c r="C1303" s="18" t="s">
        <v>401</v>
      </c>
    </row>
    <row r="1304" spans="3:3">
      <c r="C1304" s="18" t="s">
        <v>403</v>
      </c>
    </row>
    <row r="1305" spans="3:3">
      <c r="C1305" s="18" t="s">
        <v>405</v>
      </c>
    </row>
    <row r="1306" spans="3:3">
      <c r="C1306" s="18" t="s">
        <v>407</v>
      </c>
    </row>
    <row r="1307" spans="3:3">
      <c r="C1307" s="18" t="s">
        <v>409</v>
      </c>
    </row>
    <row r="1308" spans="3:3">
      <c r="C1308" s="18" t="s">
        <v>411</v>
      </c>
    </row>
    <row r="1309" spans="3:3">
      <c r="C1309" s="18" t="s">
        <v>413</v>
      </c>
    </row>
    <row r="1310" spans="3:3">
      <c r="C1310" s="18" t="s">
        <v>415</v>
      </c>
    </row>
    <row r="1311" spans="3:3">
      <c r="C1311" s="18" t="s">
        <v>417</v>
      </c>
    </row>
    <row r="1312" spans="3:3">
      <c r="C1312" s="18" t="s">
        <v>419</v>
      </c>
    </row>
    <row r="1313" spans="3:3">
      <c r="C1313" s="18" t="s">
        <v>421</v>
      </c>
    </row>
    <row r="1314" spans="3:3">
      <c r="C1314" s="18" t="s">
        <v>423</v>
      </c>
    </row>
    <row r="1315" spans="3:3">
      <c r="C1315" s="18" t="s">
        <v>121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1131</v>
      </c>
      <c r="B1" s="110" t="s">
        <v>1132</v>
      </c>
      <c r="C1" s="110" t="s">
        <v>1133</v>
      </c>
      <c r="D1" s="111" t="s">
        <v>1134</v>
      </c>
      <c r="E1" s="125"/>
    </row>
    <row r="2" spans="1:5" ht="15.75" outlineLevel="1">
      <c r="A2" s="40" t="s">
        <v>973</v>
      </c>
      <c r="B2" s="41" t="s">
        <v>0</v>
      </c>
      <c r="C2" s="40">
        <v>5.0999999999999996</v>
      </c>
      <c r="D2" s="113"/>
    </row>
    <row r="3" spans="1:5" ht="15.75" outlineLevel="1">
      <c r="A3" s="40" t="s">
        <v>973</v>
      </c>
      <c r="B3" s="41" t="s">
        <v>1</v>
      </c>
      <c r="C3" s="40">
        <v>5.2</v>
      </c>
      <c r="D3" s="113"/>
    </row>
    <row r="4" spans="1:5" ht="15.75" outlineLevel="1">
      <c r="A4" s="40" t="s">
        <v>973</v>
      </c>
      <c r="B4" s="41" t="s">
        <v>189</v>
      </c>
      <c r="C4" s="40">
        <v>5.4</v>
      </c>
      <c r="D4" s="113"/>
    </row>
    <row r="5" spans="1:5" ht="15.75" outlineLevel="1">
      <c r="A5" s="40" t="s">
        <v>973</v>
      </c>
      <c r="B5" s="41" t="s">
        <v>190</v>
      </c>
      <c r="C5" s="40">
        <v>5.7</v>
      </c>
      <c r="D5" s="113"/>
    </row>
    <row r="6" spans="1:5" ht="15.75" outlineLevel="1">
      <c r="A6" s="40" t="s">
        <v>973</v>
      </c>
      <c r="B6" s="41" t="s">
        <v>191</v>
      </c>
      <c r="C6" s="40">
        <v>5.1100000000000003</v>
      </c>
      <c r="D6" s="113"/>
    </row>
    <row r="7" spans="1:5" ht="15.75" outlineLevel="1">
      <c r="A7" s="40" t="s">
        <v>973</v>
      </c>
      <c r="B7" s="41" t="s">
        <v>5</v>
      </c>
      <c r="C7" s="40">
        <v>5.26</v>
      </c>
      <c r="D7" s="113"/>
    </row>
    <row r="8" spans="1:5" ht="15.75" outlineLevel="1">
      <c r="A8" s="40" t="s">
        <v>973</v>
      </c>
      <c r="B8" s="41" t="s">
        <v>6</v>
      </c>
      <c r="C8" s="40">
        <v>5.27</v>
      </c>
      <c r="D8" s="113"/>
    </row>
    <row r="9" spans="1:5" ht="15.75" outlineLevel="1">
      <c r="A9" s="40" t="s">
        <v>973</v>
      </c>
      <c r="B9" s="41" t="s">
        <v>149</v>
      </c>
      <c r="C9" s="40">
        <v>5.36</v>
      </c>
      <c r="D9" s="113"/>
    </row>
    <row r="10" spans="1:5" ht="15.75" outlineLevel="1">
      <c r="A10" s="40" t="s">
        <v>973</v>
      </c>
      <c r="B10" s="41" t="s">
        <v>193</v>
      </c>
      <c r="C10" s="42">
        <v>5.5</v>
      </c>
      <c r="D10" s="113"/>
    </row>
    <row r="11" spans="1:5" ht="15.75" outlineLevel="1">
      <c r="A11" s="40" t="s">
        <v>973</v>
      </c>
      <c r="B11" s="41" t="s">
        <v>10</v>
      </c>
      <c r="C11" s="40">
        <v>5.51</v>
      </c>
      <c r="D11" s="113"/>
    </row>
    <row r="12" spans="1:5" ht="15.75" outlineLevel="1">
      <c r="A12" s="40" t="s">
        <v>973</v>
      </c>
      <c r="B12" s="41" t="s">
        <v>11</v>
      </c>
      <c r="C12" s="40">
        <v>5.53</v>
      </c>
      <c r="D12" s="113"/>
    </row>
    <row r="13" spans="1:5" ht="15.75" outlineLevel="1">
      <c r="A13" s="40" t="s">
        <v>973</v>
      </c>
      <c r="B13" s="41" t="s">
        <v>159</v>
      </c>
      <c r="C13" s="40">
        <v>5.59</v>
      </c>
      <c r="D13" s="113"/>
    </row>
    <row r="14" spans="1:5" ht="15.75" outlineLevel="1">
      <c r="A14" s="40" t="s">
        <v>973</v>
      </c>
      <c r="B14" s="41" t="s">
        <v>18</v>
      </c>
      <c r="C14" s="40">
        <v>5.54</v>
      </c>
      <c r="D14" s="113"/>
    </row>
    <row r="15" spans="1:5" ht="15.75" outlineLevel="1">
      <c r="A15" s="40" t="s">
        <v>973</v>
      </c>
      <c r="B15" s="41" t="s">
        <v>14</v>
      </c>
      <c r="C15" s="42">
        <v>5.7</v>
      </c>
      <c r="D15" s="112" t="s">
        <v>1135</v>
      </c>
    </row>
    <row r="16" spans="1:5" ht="15.75" outlineLevel="1">
      <c r="A16" s="40" t="s">
        <v>973</v>
      </c>
      <c r="B16" s="41" t="s">
        <v>20</v>
      </c>
      <c r="C16" s="40">
        <v>5.63</v>
      </c>
      <c r="D16" s="113"/>
    </row>
    <row r="17" spans="1:4" ht="15.75" outlineLevel="1">
      <c r="A17" s="40" t="s">
        <v>973</v>
      </c>
      <c r="B17" s="41" t="s">
        <v>24</v>
      </c>
      <c r="C17" s="40">
        <v>5.47</v>
      </c>
      <c r="D17" s="113"/>
    </row>
    <row r="18" spans="1:4" ht="15.75" outlineLevel="1">
      <c r="A18" s="40" t="s">
        <v>973</v>
      </c>
      <c r="B18" s="41" t="s">
        <v>25</v>
      </c>
      <c r="C18" s="40">
        <v>5.48</v>
      </c>
      <c r="D18" s="113"/>
    </row>
    <row r="19" spans="1:4" ht="15.75">
      <c r="A19" s="46" t="s">
        <v>973</v>
      </c>
      <c r="B19" s="41"/>
      <c r="C19" s="40"/>
      <c r="D19" s="113"/>
    </row>
    <row r="20" spans="1:4" ht="15.75" outlineLevel="1">
      <c r="A20" s="40" t="s">
        <v>983</v>
      </c>
      <c r="B20" s="41" t="s">
        <v>0</v>
      </c>
      <c r="C20" s="40">
        <v>5.0999999999999996</v>
      </c>
      <c r="D20" s="113"/>
    </row>
    <row r="21" spans="1:4" ht="15.75" outlineLevel="1">
      <c r="A21" s="40" t="s">
        <v>983</v>
      </c>
      <c r="B21" s="41" t="s">
        <v>1</v>
      </c>
      <c r="C21" s="40">
        <v>5.2</v>
      </c>
      <c r="D21" s="113"/>
    </row>
    <row r="22" spans="1:4" ht="15.75" outlineLevel="1">
      <c r="A22" s="40" t="s">
        <v>983</v>
      </c>
      <c r="B22" s="41" t="s">
        <v>2</v>
      </c>
      <c r="C22" s="40">
        <v>5.3</v>
      </c>
      <c r="D22" s="113"/>
    </row>
    <row r="23" spans="1:4" ht="15.75" outlineLevel="1">
      <c r="A23" s="40" t="s">
        <v>983</v>
      </c>
      <c r="B23" s="41" t="s">
        <v>1136</v>
      </c>
      <c r="C23" s="40">
        <v>5.14</v>
      </c>
      <c r="D23" s="113"/>
    </row>
    <row r="24" spans="1:4" ht="15.75" outlineLevel="1">
      <c r="A24" s="40" t="s">
        <v>983</v>
      </c>
      <c r="B24" s="41" t="s">
        <v>4</v>
      </c>
      <c r="C24" s="40">
        <v>5.19</v>
      </c>
      <c r="D24" s="113"/>
    </row>
    <row r="25" spans="1:4" ht="15.75" outlineLevel="1">
      <c r="A25" s="40" t="s">
        <v>983</v>
      </c>
      <c r="B25" s="41" t="s">
        <v>5</v>
      </c>
      <c r="C25" s="40">
        <v>5.26</v>
      </c>
      <c r="D25" s="113"/>
    </row>
    <row r="26" spans="1:4" ht="15.75" outlineLevel="1">
      <c r="A26" s="40" t="s">
        <v>983</v>
      </c>
      <c r="B26" s="41" t="s">
        <v>6</v>
      </c>
      <c r="C26" s="40">
        <v>5.27</v>
      </c>
      <c r="D26" s="113"/>
    </row>
    <row r="27" spans="1:4" ht="15.75" outlineLevel="1">
      <c r="A27" s="40" t="s">
        <v>983</v>
      </c>
      <c r="B27" s="41" t="s">
        <v>7</v>
      </c>
      <c r="C27" s="40">
        <v>5.28</v>
      </c>
      <c r="D27" s="113"/>
    </row>
    <row r="28" spans="1:4" ht="15.75" outlineLevel="1">
      <c r="A28" s="40" t="s">
        <v>983</v>
      </c>
      <c r="B28" s="41" t="s">
        <v>8</v>
      </c>
      <c r="C28" s="42">
        <v>5.3</v>
      </c>
      <c r="D28" s="113"/>
    </row>
    <row r="29" spans="1:4" ht="15.75" outlineLevel="1">
      <c r="A29" s="40" t="s">
        <v>983</v>
      </c>
      <c r="B29" s="41" t="s">
        <v>9</v>
      </c>
      <c r="C29" s="40">
        <v>5.49</v>
      </c>
      <c r="D29" s="113"/>
    </row>
    <row r="30" spans="1:4" ht="15.75" outlineLevel="1">
      <c r="A30" s="40" t="s">
        <v>983</v>
      </c>
      <c r="B30" s="41" t="s">
        <v>10</v>
      </c>
      <c r="C30" s="40">
        <v>5.51</v>
      </c>
      <c r="D30" s="113"/>
    </row>
    <row r="31" spans="1:4" ht="15.75" outlineLevel="1">
      <c r="A31" s="40" t="s">
        <v>983</v>
      </c>
      <c r="B31" s="41" t="s">
        <v>11</v>
      </c>
      <c r="C31" s="40">
        <v>5.53</v>
      </c>
      <c r="D31" s="113"/>
    </row>
    <row r="32" spans="1:4" ht="15.75" outlineLevel="1">
      <c r="A32" s="40" t="s">
        <v>983</v>
      </c>
      <c r="B32" s="41" t="s">
        <v>12</v>
      </c>
      <c r="C32" s="40">
        <v>5.69</v>
      </c>
      <c r="D32" s="113"/>
    </row>
    <row r="33" spans="1:4" ht="15.75" outlineLevel="1">
      <c r="A33" s="40" t="s">
        <v>983</v>
      </c>
      <c r="B33" s="41" t="s">
        <v>13</v>
      </c>
      <c r="C33" s="40">
        <v>5.75</v>
      </c>
      <c r="D33" s="113"/>
    </row>
    <row r="34" spans="1:4" ht="15.75" outlineLevel="1">
      <c r="A34" s="40" t="s">
        <v>983</v>
      </c>
      <c r="B34" s="41" t="s">
        <v>14</v>
      </c>
      <c r="C34" s="42">
        <v>5.7</v>
      </c>
      <c r="D34" s="113"/>
    </row>
    <row r="35" spans="1:4" ht="15.75" outlineLevel="1">
      <c r="A35" s="40" t="s">
        <v>983</v>
      </c>
      <c r="B35" s="41" t="s">
        <v>15</v>
      </c>
      <c r="C35" s="40">
        <v>5.74</v>
      </c>
      <c r="D35" s="113"/>
    </row>
    <row r="36" spans="1:4" ht="15.75" outlineLevel="1">
      <c r="A36" s="40" t="s">
        <v>983</v>
      </c>
      <c r="B36" s="41" t="s">
        <v>16</v>
      </c>
      <c r="C36" s="40">
        <v>5.62</v>
      </c>
      <c r="D36" s="113"/>
    </row>
    <row r="37" spans="1:4" ht="15.75" outlineLevel="1">
      <c r="A37" s="40" t="s">
        <v>983</v>
      </c>
      <c r="B37" s="41" t="s">
        <v>17</v>
      </c>
      <c r="C37" s="40">
        <v>5.58</v>
      </c>
      <c r="D37" s="113"/>
    </row>
    <row r="38" spans="1:4" ht="15.75" outlineLevel="1">
      <c r="A38" s="40" t="s">
        <v>983</v>
      </c>
      <c r="B38" s="41" t="s">
        <v>18</v>
      </c>
      <c r="C38" s="40">
        <v>5.54</v>
      </c>
      <c r="D38" s="113"/>
    </row>
    <row r="39" spans="1:4" ht="15.75" outlineLevel="1">
      <c r="A39" s="40" t="s">
        <v>983</v>
      </c>
      <c r="B39" s="41" t="s">
        <v>19</v>
      </c>
      <c r="C39" s="40">
        <v>5.55</v>
      </c>
      <c r="D39" s="113"/>
    </row>
    <row r="40" spans="1:4" ht="15.75" outlineLevel="1">
      <c r="A40" s="40" t="s">
        <v>983</v>
      </c>
      <c r="B40" s="41" t="s">
        <v>20</v>
      </c>
      <c r="C40" s="40">
        <v>5.63</v>
      </c>
      <c r="D40" s="113"/>
    </row>
    <row r="41" spans="1:4" ht="15.75" outlineLevel="1">
      <c r="A41" s="40" t="s">
        <v>983</v>
      </c>
      <c r="B41" s="41" t="s">
        <v>21</v>
      </c>
      <c r="C41" s="40">
        <v>5.65</v>
      </c>
      <c r="D41" s="113"/>
    </row>
    <row r="42" spans="1:4" ht="15.75" outlineLevel="1">
      <c r="A42" s="40" t="s">
        <v>983</v>
      </c>
      <c r="B42" s="41" t="s">
        <v>22</v>
      </c>
      <c r="C42" s="40">
        <v>5.68</v>
      </c>
      <c r="D42" s="113"/>
    </row>
    <row r="43" spans="1:4" ht="15.75" outlineLevel="1">
      <c r="A43" s="40" t="s">
        <v>983</v>
      </c>
      <c r="B43" s="41" t="s">
        <v>23</v>
      </c>
      <c r="C43" s="40">
        <v>5.45</v>
      </c>
      <c r="D43" s="113"/>
    </row>
    <row r="44" spans="1:4" ht="15.75" outlineLevel="1">
      <c r="A44" s="40" t="s">
        <v>983</v>
      </c>
      <c r="B44" s="41" t="s">
        <v>24</v>
      </c>
      <c r="C44" s="40">
        <v>5.47</v>
      </c>
      <c r="D44" s="113"/>
    </row>
    <row r="45" spans="1:4" ht="15.75" outlineLevel="1">
      <c r="A45" s="40" t="s">
        <v>983</v>
      </c>
      <c r="B45" s="41" t="s">
        <v>25</v>
      </c>
      <c r="C45" s="40">
        <v>5.48</v>
      </c>
      <c r="D45" s="113"/>
    </row>
    <row r="46" spans="1:4" ht="15.75">
      <c r="A46" s="46" t="s">
        <v>983</v>
      </c>
      <c r="B46" s="41"/>
      <c r="C46" s="40"/>
      <c r="D46" s="113"/>
    </row>
    <row r="47" spans="1:4" ht="15.75" outlineLevel="1">
      <c r="A47" s="40" t="s">
        <v>988</v>
      </c>
      <c r="B47" s="41" t="s">
        <v>0</v>
      </c>
      <c r="C47" s="40">
        <v>5.0999999999999996</v>
      </c>
      <c r="D47" s="113"/>
    </row>
    <row r="48" spans="1:4" ht="15.75" outlineLevel="1">
      <c r="A48" s="40" t="s">
        <v>988</v>
      </c>
      <c r="B48" s="41" t="s">
        <v>1</v>
      </c>
      <c r="C48" s="40">
        <v>5.2</v>
      </c>
      <c r="D48" s="113"/>
    </row>
    <row r="49" spans="1:4" ht="15.75" outlineLevel="1">
      <c r="A49" s="40" t="s">
        <v>988</v>
      </c>
      <c r="B49" s="41" t="s">
        <v>2</v>
      </c>
      <c r="C49" s="40">
        <v>5.3</v>
      </c>
      <c r="D49" s="113"/>
    </row>
    <row r="50" spans="1:4" ht="15.75" outlineLevel="1">
      <c r="A50" s="40" t="s">
        <v>988</v>
      </c>
      <c r="B50" s="41" t="s">
        <v>169</v>
      </c>
      <c r="C50" s="40">
        <v>5.6</v>
      </c>
      <c r="D50" s="113"/>
    </row>
    <row r="51" spans="1:4" ht="15.75" outlineLevel="1">
      <c r="A51" s="40" t="s">
        <v>988</v>
      </c>
      <c r="B51" s="41" t="s">
        <v>1137</v>
      </c>
      <c r="C51" s="42">
        <v>5.0999999999999996</v>
      </c>
      <c r="D51" s="113"/>
    </row>
    <row r="52" spans="1:4" ht="15.75" outlineLevel="1">
      <c r="A52" s="40" t="s">
        <v>988</v>
      </c>
      <c r="B52" s="41" t="s">
        <v>1136</v>
      </c>
      <c r="C52" s="40">
        <v>5.14</v>
      </c>
      <c r="D52" s="113"/>
    </row>
    <row r="53" spans="1:4" ht="15.75" outlineLevel="1">
      <c r="A53" s="40" t="s">
        <v>988</v>
      </c>
      <c r="B53" s="41" t="s">
        <v>4</v>
      </c>
      <c r="C53" s="40">
        <v>5.19</v>
      </c>
      <c r="D53" s="113"/>
    </row>
    <row r="54" spans="1:4" ht="15.75" outlineLevel="1">
      <c r="A54" s="40" t="s">
        <v>988</v>
      </c>
      <c r="B54" s="41" t="s">
        <v>171</v>
      </c>
      <c r="C54" s="40">
        <v>5.24</v>
      </c>
      <c r="D54" s="113"/>
    </row>
    <row r="55" spans="1:4" ht="15.75" outlineLevel="1">
      <c r="A55" s="40" t="s">
        <v>988</v>
      </c>
      <c r="B55" s="41" t="s">
        <v>5</v>
      </c>
      <c r="C55" s="40">
        <v>5.26</v>
      </c>
      <c r="D55" s="113"/>
    </row>
    <row r="56" spans="1:4" ht="15.75" outlineLevel="1">
      <c r="A56" s="40" t="s">
        <v>988</v>
      </c>
      <c r="B56" s="41" t="s">
        <v>6</v>
      </c>
      <c r="C56" s="40">
        <v>5.27</v>
      </c>
      <c r="D56" s="113"/>
    </row>
    <row r="57" spans="1:4" ht="15.75" outlineLevel="1">
      <c r="A57" s="40" t="s">
        <v>988</v>
      </c>
      <c r="B57" s="41" t="s">
        <v>7</v>
      </c>
      <c r="C57" s="40">
        <v>5.28</v>
      </c>
      <c r="D57" s="113"/>
    </row>
    <row r="58" spans="1:4" ht="15.75" outlineLevel="1">
      <c r="A58" s="40" t="s">
        <v>988</v>
      </c>
      <c r="B58" s="41" t="s">
        <v>8</v>
      </c>
      <c r="C58" s="42">
        <v>5.3</v>
      </c>
      <c r="D58" s="113"/>
    </row>
    <row r="59" spans="1:4" ht="15.75" outlineLevel="1">
      <c r="A59" s="40" t="s">
        <v>988</v>
      </c>
      <c r="B59" s="41" t="s">
        <v>172</v>
      </c>
      <c r="C59" s="40">
        <v>5.31</v>
      </c>
      <c r="D59" s="113"/>
    </row>
    <row r="60" spans="1:4" ht="15.75" outlineLevel="1">
      <c r="A60" s="40" t="s">
        <v>988</v>
      </c>
      <c r="B60" s="41" t="s">
        <v>149</v>
      </c>
      <c r="C60" s="40">
        <v>5.36</v>
      </c>
      <c r="D60" s="113"/>
    </row>
    <row r="61" spans="1:4" ht="15.75" outlineLevel="1">
      <c r="A61" s="40" t="s">
        <v>988</v>
      </c>
      <c r="B61" s="41" t="s">
        <v>9</v>
      </c>
      <c r="C61" s="40">
        <v>5.49</v>
      </c>
      <c r="D61" s="113"/>
    </row>
    <row r="62" spans="1:4" ht="15.75" outlineLevel="1">
      <c r="A62" s="40" t="s">
        <v>988</v>
      </c>
      <c r="B62" s="41" t="s">
        <v>10</v>
      </c>
      <c r="C62" s="40">
        <v>5.51</v>
      </c>
      <c r="D62" s="113"/>
    </row>
    <row r="63" spans="1:4" ht="15.75" outlineLevel="1">
      <c r="A63" s="40" t="s">
        <v>988</v>
      </c>
      <c r="B63" s="41" t="s">
        <v>1138</v>
      </c>
      <c r="C63" s="40">
        <v>5.52</v>
      </c>
      <c r="D63" s="113"/>
    </row>
    <row r="64" spans="1:4" ht="15.75" outlineLevel="1">
      <c r="A64" s="40" t="s">
        <v>988</v>
      </c>
      <c r="B64" s="41" t="s">
        <v>11</v>
      </c>
      <c r="C64" s="40">
        <v>5.53</v>
      </c>
      <c r="D64" s="113"/>
    </row>
    <row r="65" spans="1:4" ht="15.75" outlineLevel="1">
      <c r="A65" s="40" t="s">
        <v>988</v>
      </c>
      <c r="B65" s="41" t="s">
        <v>12</v>
      </c>
      <c r="C65" s="40">
        <v>5.69</v>
      </c>
      <c r="D65" s="113"/>
    </row>
    <row r="66" spans="1:4" ht="15.75" outlineLevel="1">
      <c r="A66" s="40" t="s">
        <v>988</v>
      </c>
      <c r="B66" s="41" t="s">
        <v>932</v>
      </c>
      <c r="C66" s="42">
        <v>5.72</v>
      </c>
      <c r="D66" s="113"/>
    </row>
    <row r="67" spans="1:4" ht="15.75" outlineLevel="1">
      <c r="A67" s="40" t="s">
        <v>988</v>
      </c>
      <c r="B67" s="41" t="s">
        <v>13</v>
      </c>
      <c r="C67" s="40">
        <v>5.75</v>
      </c>
      <c r="D67" s="113"/>
    </row>
    <row r="68" spans="1:4" ht="15.75" outlineLevel="1">
      <c r="A68" s="40" t="s">
        <v>988</v>
      </c>
      <c r="B68" s="41" t="s">
        <v>14</v>
      </c>
      <c r="C68" s="42">
        <v>5.7</v>
      </c>
      <c r="D68" s="113"/>
    </row>
    <row r="69" spans="1:4" ht="15.75" outlineLevel="1">
      <c r="A69" s="40" t="s">
        <v>988</v>
      </c>
      <c r="B69" s="41" t="s">
        <v>15</v>
      </c>
      <c r="C69" s="40">
        <v>5.74</v>
      </c>
      <c r="D69" s="113"/>
    </row>
    <row r="70" spans="1:4" ht="15.75" outlineLevel="1">
      <c r="A70" s="40" t="s">
        <v>988</v>
      </c>
      <c r="B70" s="41" t="s">
        <v>432</v>
      </c>
      <c r="C70" s="40">
        <v>5.76</v>
      </c>
      <c r="D70" s="113"/>
    </row>
    <row r="71" spans="1:4" ht="15.75" outlineLevel="1">
      <c r="A71" s="40" t="s">
        <v>988</v>
      </c>
      <c r="B71" s="41" t="s">
        <v>853</v>
      </c>
      <c r="C71" s="40">
        <v>5.89</v>
      </c>
      <c r="D71" s="112" t="s">
        <v>1135</v>
      </c>
    </row>
    <row r="72" spans="1:4" ht="15.75" outlineLevel="1">
      <c r="A72" s="40" t="s">
        <v>988</v>
      </c>
      <c r="B72" s="41" t="s">
        <v>17</v>
      </c>
      <c r="C72" s="40">
        <v>5.58</v>
      </c>
      <c r="D72" s="113"/>
    </row>
    <row r="73" spans="1:4" ht="15.75" outlineLevel="1">
      <c r="A73" s="40" t="s">
        <v>988</v>
      </c>
      <c r="B73" s="41" t="s">
        <v>16</v>
      </c>
      <c r="C73" s="40">
        <v>5.62</v>
      </c>
      <c r="D73" s="113"/>
    </row>
    <row r="74" spans="1:4" ht="15.75" outlineLevel="1">
      <c r="A74" s="40" t="s">
        <v>988</v>
      </c>
      <c r="B74" s="41" t="s">
        <v>18</v>
      </c>
      <c r="C74" s="40">
        <v>5.54</v>
      </c>
      <c r="D74" s="113"/>
    </row>
    <row r="75" spans="1:4" ht="15.75" outlineLevel="1">
      <c r="A75" s="40" t="s">
        <v>988</v>
      </c>
      <c r="B75" s="41" t="s">
        <v>19</v>
      </c>
      <c r="C75" s="40">
        <v>5.55</v>
      </c>
      <c r="D75" s="113"/>
    </row>
    <row r="76" spans="1:4" ht="15.75" outlineLevel="1">
      <c r="A76" s="40" t="s">
        <v>988</v>
      </c>
      <c r="B76" s="41" t="s">
        <v>20</v>
      </c>
      <c r="C76" s="40">
        <v>5.63</v>
      </c>
      <c r="D76" s="113"/>
    </row>
    <row r="77" spans="1:4" ht="15.75" outlineLevel="1">
      <c r="A77" s="40" t="s">
        <v>988</v>
      </c>
      <c r="B77" s="41" t="s">
        <v>21</v>
      </c>
      <c r="C77" s="40">
        <v>5.65</v>
      </c>
      <c r="D77" s="113"/>
    </row>
    <row r="78" spans="1:4" ht="15.75" outlineLevel="1">
      <c r="A78" s="40" t="s">
        <v>988</v>
      </c>
      <c r="B78" s="41" t="s">
        <v>188</v>
      </c>
      <c r="C78" s="40">
        <v>5.66</v>
      </c>
      <c r="D78" s="113"/>
    </row>
    <row r="79" spans="1:4" ht="15.75" outlineLevel="1">
      <c r="A79" s="40" t="s">
        <v>988</v>
      </c>
      <c r="B79" s="41" t="s">
        <v>22</v>
      </c>
      <c r="C79" s="40">
        <v>5.68</v>
      </c>
      <c r="D79" s="113"/>
    </row>
    <row r="80" spans="1:4" ht="15.75" outlineLevel="1">
      <c r="A80" s="40" t="s">
        <v>988</v>
      </c>
      <c r="B80" s="41" t="s">
        <v>23</v>
      </c>
      <c r="C80" s="40">
        <v>5.45</v>
      </c>
      <c r="D80" s="113"/>
    </row>
    <row r="81" spans="1:4" ht="15.75" outlineLevel="1">
      <c r="A81" s="40" t="s">
        <v>988</v>
      </c>
      <c r="B81" s="41" t="s">
        <v>24</v>
      </c>
      <c r="C81" s="40">
        <v>5.47</v>
      </c>
      <c r="D81" s="113"/>
    </row>
    <row r="82" spans="1:4" ht="15.75" outlineLevel="1">
      <c r="A82" s="40" t="s">
        <v>988</v>
      </c>
      <c r="B82" s="41" t="s">
        <v>25</v>
      </c>
      <c r="C82" s="40">
        <v>5.48</v>
      </c>
      <c r="D82" s="113"/>
    </row>
    <row r="83" spans="1:4" ht="15.75">
      <c r="A83" s="46" t="s">
        <v>988</v>
      </c>
      <c r="B83" s="41"/>
      <c r="C83" s="40"/>
      <c r="D83" s="113"/>
    </row>
    <row r="84" spans="1:4" ht="15.75" outlineLevel="1">
      <c r="A84" s="40" t="s">
        <v>989</v>
      </c>
      <c r="B84" s="41" t="s">
        <v>0</v>
      </c>
      <c r="C84" s="40">
        <v>5.0999999999999996</v>
      </c>
      <c r="D84" s="113"/>
    </row>
    <row r="85" spans="1:4" ht="15.75" outlineLevel="1">
      <c r="A85" s="40" t="s">
        <v>989</v>
      </c>
      <c r="B85" s="41" t="s">
        <v>1</v>
      </c>
      <c r="C85" s="40">
        <v>5.2</v>
      </c>
      <c r="D85" s="113"/>
    </row>
    <row r="86" spans="1:4" ht="15.75" outlineLevel="1">
      <c r="A86" s="40" t="s">
        <v>989</v>
      </c>
      <c r="B86" s="41" t="s">
        <v>2</v>
      </c>
      <c r="C86" s="40">
        <v>5.3</v>
      </c>
      <c r="D86" s="113"/>
    </row>
    <row r="87" spans="1:4" ht="15.75" outlineLevel="1">
      <c r="A87" s="40" t="s">
        <v>989</v>
      </c>
      <c r="B87" s="41" t="s">
        <v>169</v>
      </c>
      <c r="C87" s="40">
        <v>5.6</v>
      </c>
      <c r="D87" s="113"/>
    </row>
    <row r="88" spans="1:4" ht="15.75" outlineLevel="1">
      <c r="A88" s="40" t="s">
        <v>989</v>
      </c>
      <c r="B88" s="41" t="s">
        <v>1137</v>
      </c>
      <c r="C88" s="42">
        <v>5.0999999999999996</v>
      </c>
      <c r="D88" s="113"/>
    </row>
    <row r="89" spans="1:4" ht="15.75" outlineLevel="1">
      <c r="A89" s="40" t="s">
        <v>989</v>
      </c>
      <c r="B89" s="41" t="s">
        <v>1136</v>
      </c>
      <c r="C89" s="40">
        <v>5.14</v>
      </c>
      <c r="D89" s="113"/>
    </row>
    <row r="90" spans="1:4" ht="15.75" outlineLevel="1">
      <c r="A90" s="40" t="s">
        <v>989</v>
      </c>
      <c r="B90" s="41" t="s">
        <v>4</v>
      </c>
      <c r="C90" s="40">
        <v>5.19</v>
      </c>
      <c r="D90" s="113"/>
    </row>
    <row r="91" spans="1:4" ht="15.75" outlineLevel="1">
      <c r="A91" s="40" t="s">
        <v>989</v>
      </c>
      <c r="B91" s="41" t="s">
        <v>171</v>
      </c>
      <c r="C91" s="40">
        <v>5.24</v>
      </c>
      <c r="D91" s="113"/>
    </row>
    <row r="92" spans="1:4" ht="15.75" outlineLevel="1">
      <c r="A92" s="40" t="s">
        <v>989</v>
      </c>
      <c r="B92" s="41" t="s">
        <v>5</v>
      </c>
      <c r="C92" s="40">
        <v>5.26</v>
      </c>
      <c r="D92" s="113"/>
    </row>
    <row r="93" spans="1:4" ht="15.75" outlineLevel="1">
      <c r="A93" s="40" t="s">
        <v>989</v>
      </c>
      <c r="B93" s="41" t="s">
        <v>6</v>
      </c>
      <c r="C93" s="40">
        <v>5.27</v>
      </c>
      <c r="D93" s="113"/>
    </row>
    <row r="94" spans="1:4" ht="15.75" outlineLevel="1">
      <c r="A94" s="40" t="s">
        <v>989</v>
      </c>
      <c r="B94" s="41" t="s">
        <v>7</v>
      </c>
      <c r="C94" s="40">
        <v>5.28</v>
      </c>
      <c r="D94" s="113"/>
    </row>
    <row r="95" spans="1:4" ht="15.75" outlineLevel="1">
      <c r="A95" s="40" t="s">
        <v>989</v>
      </c>
      <c r="B95" s="41" t="s">
        <v>347</v>
      </c>
      <c r="C95" s="40">
        <v>5.29</v>
      </c>
      <c r="D95" s="113"/>
    </row>
    <row r="96" spans="1:4" ht="15.75" outlineLevel="1">
      <c r="A96" s="40" t="s">
        <v>989</v>
      </c>
      <c r="B96" s="41" t="s">
        <v>8</v>
      </c>
      <c r="C96" s="42">
        <v>5.3</v>
      </c>
      <c r="D96" s="113"/>
    </row>
    <row r="97" spans="1:4" ht="15.75" outlineLevel="1">
      <c r="A97" s="40" t="s">
        <v>989</v>
      </c>
      <c r="B97" s="41" t="s">
        <v>172</v>
      </c>
      <c r="C97" s="40">
        <v>5.31</v>
      </c>
      <c r="D97" s="113"/>
    </row>
    <row r="98" spans="1:4" ht="15.75" outlineLevel="1">
      <c r="A98" s="40" t="s">
        <v>989</v>
      </c>
      <c r="B98" s="41" t="s">
        <v>149</v>
      </c>
      <c r="C98" s="40">
        <v>5.36</v>
      </c>
      <c r="D98" s="113"/>
    </row>
    <row r="99" spans="1:4" ht="15.75" outlineLevel="1">
      <c r="A99" s="40" t="s">
        <v>989</v>
      </c>
      <c r="B99" s="41" t="s">
        <v>9</v>
      </c>
      <c r="C99" s="40">
        <v>5.49</v>
      </c>
      <c r="D99" s="113"/>
    </row>
    <row r="100" spans="1:4" ht="15.75" outlineLevel="1">
      <c r="A100" s="40" t="s">
        <v>989</v>
      </c>
      <c r="B100" s="41" t="s">
        <v>10</v>
      </c>
      <c r="C100" s="40">
        <v>5.51</v>
      </c>
      <c r="D100" s="113"/>
    </row>
    <row r="101" spans="1:4" ht="15.75" outlineLevel="1">
      <c r="A101" s="40" t="s">
        <v>989</v>
      </c>
      <c r="B101" s="41" t="s">
        <v>1138</v>
      </c>
      <c r="C101" s="40">
        <v>5.52</v>
      </c>
      <c r="D101" s="113"/>
    </row>
    <row r="102" spans="1:4" ht="15.75" outlineLevel="1">
      <c r="A102" s="40" t="s">
        <v>989</v>
      </c>
      <c r="B102" s="41" t="s">
        <v>11</v>
      </c>
      <c r="C102" s="40">
        <v>5.53</v>
      </c>
      <c r="D102" s="113"/>
    </row>
    <row r="103" spans="1:4" ht="15.75" outlineLevel="1">
      <c r="A103" s="40" t="s">
        <v>989</v>
      </c>
      <c r="B103" s="41" t="s">
        <v>12</v>
      </c>
      <c r="C103" s="40">
        <v>5.69</v>
      </c>
      <c r="D103" s="113"/>
    </row>
    <row r="104" spans="1:4" ht="15.75" outlineLevel="1">
      <c r="A104" s="40" t="s">
        <v>989</v>
      </c>
      <c r="B104" s="41" t="s">
        <v>13</v>
      </c>
      <c r="C104" s="40">
        <v>5.75</v>
      </c>
      <c r="D104" s="113"/>
    </row>
    <row r="105" spans="1:4" ht="15.75" outlineLevel="1">
      <c r="A105" s="40" t="s">
        <v>989</v>
      </c>
      <c r="B105" s="41" t="s">
        <v>14</v>
      </c>
      <c r="C105" s="42">
        <v>5.7</v>
      </c>
      <c r="D105" s="113"/>
    </row>
    <row r="106" spans="1:4" ht="15.75" outlineLevel="1">
      <c r="A106" s="40" t="s">
        <v>989</v>
      </c>
      <c r="B106" s="41" t="s">
        <v>15</v>
      </c>
      <c r="C106" s="40">
        <v>5.74</v>
      </c>
      <c r="D106" s="113"/>
    </row>
    <row r="107" spans="1:4" ht="15.75" outlineLevel="1">
      <c r="A107" s="40" t="s">
        <v>989</v>
      </c>
      <c r="B107" s="41" t="s">
        <v>432</v>
      </c>
      <c r="C107" s="40">
        <v>5.76</v>
      </c>
      <c r="D107" s="113"/>
    </row>
    <row r="108" spans="1:4" ht="15.75" outlineLevel="1">
      <c r="A108" s="40" t="s">
        <v>989</v>
      </c>
      <c r="B108" s="41" t="s">
        <v>853</v>
      </c>
      <c r="C108" s="40">
        <v>5.89</v>
      </c>
      <c r="D108" s="112" t="s">
        <v>1135</v>
      </c>
    </row>
    <row r="109" spans="1:4" ht="15.75" outlineLevel="1">
      <c r="A109" s="40" t="s">
        <v>989</v>
      </c>
      <c r="B109" s="41" t="s">
        <v>17</v>
      </c>
      <c r="C109" s="40">
        <v>5.58</v>
      </c>
      <c r="D109" s="113"/>
    </row>
    <row r="110" spans="1:4" ht="15.75" outlineLevel="1">
      <c r="A110" s="40" t="s">
        <v>989</v>
      </c>
      <c r="B110" s="41" t="s">
        <v>16</v>
      </c>
      <c r="C110" s="40">
        <v>5.62</v>
      </c>
      <c r="D110" s="113"/>
    </row>
    <row r="111" spans="1:4" ht="15.75" outlineLevel="1">
      <c r="A111" s="40" t="s">
        <v>989</v>
      </c>
      <c r="B111" s="41" t="s">
        <v>18</v>
      </c>
      <c r="C111" s="40">
        <v>5.54</v>
      </c>
      <c r="D111" s="113"/>
    </row>
    <row r="112" spans="1:4" ht="15.75" outlineLevel="1">
      <c r="A112" s="40" t="s">
        <v>989</v>
      </c>
      <c r="B112" s="41" t="s">
        <v>19</v>
      </c>
      <c r="C112" s="40">
        <v>5.55</v>
      </c>
      <c r="D112" s="113"/>
    </row>
    <row r="113" spans="1:4" ht="15.75" outlineLevel="1">
      <c r="A113" s="40" t="s">
        <v>989</v>
      </c>
      <c r="B113" s="41" t="s">
        <v>21</v>
      </c>
      <c r="C113" s="40">
        <v>5.65</v>
      </c>
      <c r="D113" s="113"/>
    </row>
    <row r="114" spans="1:4" ht="15.75" outlineLevel="1">
      <c r="A114" s="40" t="s">
        <v>989</v>
      </c>
      <c r="B114" s="41" t="s">
        <v>188</v>
      </c>
      <c r="C114" s="40">
        <v>5.66</v>
      </c>
      <c r="D114" s="113"/>
    </row>
    <row r="115" spans="1:4" ht="15.75" outlineLevel="1">
      <c r="A115" s="40" t="s">
        <v>989</v>
      </c>
      <c r="B115" s="41" t="s">
        <v>22</v>
      </c>
      <c r="C115" s="40">
        <v>5.68</v>
      </c>
      <c r="D115" s="113"/>
    </row>
    <row r="116" spans="1:4" ht="15.75" outlineLevel="1">
      <c r="A116" s="40" t="s">
        <v>989</v>
      </c>
      <c r="B116" s="41" t="s">
        <v>23</v>
      </c>
      <c r="C116" s="40">
        <v>5.45</v>
      </c>
      <c r="D116" s="113"/>
    </row>
    <row r="117" spans="1:4" ht="15.75" outlineLevel="1">
      <c r="A117" s="40" t="s">
        <v>989</v>
      </c>
      <c r="B117" s="41" t="s">
        <v>24</v>
      </c>
      <c r="C117" s="40">
        <v>5.47</v>
      </c>
      <c r="D117" s="113"/>
    </row>
    <row r="118" spans="1:4" ht="15.75" outlineLevel="1">
      <c r="A118" s="40" t="s">
        <v>989</v>
      </c>
      <c r="B118" s="41" t="s">
        <v>25</v>
      </c>
      <c r="C118" s="40">
        <v>5.48</v>
      </c>
      <c r="D118" s="113"/>
    </row>
    <row r="119" spans="1:4" ht="15.75">
      <c r="A119" s="46" t="s">
        <v>989</v>
      </c>
      <c r="B119" s="41"/>
      <c r="C119" s="40"/>
      <c r="D119" s="113"/>
    </row>
    <row r="120" spans="1:4" ht="15.75" outlineLevel="1">
      <c r="A120" s="40" t="s">
        <v>1139</v>
      </c>
      <c r="B120" s="41" t="s">
        <v>0</v>
      </c>
      <c r="C120" s="40">
        <v>5.0999999999999996</v>
      </c>
      <c r="D120" s="113"/>
    </row>
    <row r="121" spans="1:4" ht="15.75" outlineLevel="1">
      <c r="A121" s="40" t="s">
        <v>1139</v>
      </c>
      <c r="B121" s="41" t="s">
        <v>1</v>
      </c>
      <c r="C121" s="40">
        <v>5.2</v>
      </c>
      <c r="D121" s="113"/>
    </row>
    <row r="122" spans="1:4" ht="15.75" outlineLevel="1">
      <c r="A122" s="40" t="s">
        <v>1139</v>
      </c>
      <c r="B122" s="41" t="s">
        <v>2</v>
      </c>
      <c r="C122" s="40">
        <v>5.3</v>
      </c>
      <c r="D122" s="113"/>
    </row>
    <row r="123" spans="1:4" ht="15.75" outlineLevel="1">
      <c r="A123" s="40" t="s">
        <v>1139</v>
      </c>
      <c r="B123" s="41" t="s">
        <v>169</v>
      </c>
      <c r="C123" s="40">
        <v>5.6</v>
      </c>
      <c r="D123" s="113"/>
    </row>
    <row r="124" spans="1:4" ht="15.75" outlineLevel="1">
      <c r="A124" s="40" t="s">
        <v>1139</v>
      </c>
      <c r="B124" s="41" t="s">
        <v>1137</v>
      </c>
      <c r="C124" s="42">
        <v>5.0999999999999996</v>
      </c>
      <c r="D124" s="113"/>
    </row>
    <row r="125" spans="1:4" ht="15.75" outlineLevel="1">
      <c r="A125" s="40" t="s">
        <v>1139</v>
      </c>
      <c r="B125" s="41" t="s">
        <v>1136</v>
      </c>
      <c r="C125" s="40">
        <v>5.14</v>
      </c>
      <c r="D125" s="113"/>
    </row>
    <row r="126" spans="1:4" ht="15.75" outlineLevel="1">
      <c r="A126" s="40" t="s">
        <v>1139</v>
      </c>
      <c r="B126" s="41" t="s">
        <v>4</v>
      </c>
      <c r="C126" s="40">
        <v>5.19</v>
      </c>
      <c r="D126" s="113"/>
    </row>
    <row r="127" spans="1:4" ht="15.75" outlineLevel="1">
      <c r="A127" s="40" t="s">
        <v>1139</v>
      </c>
      <c r="B127" s="41" t="s">
        <v>171</v>
      </c>
      <c r="C127" s="40">
        <v>5.24</v>
      </c>
      <c r="D127" s="113"/>
    </row>
    <row r="128" spans="1:4" ht="15.75" outlineLevel="1">
      <c r="A128" s="40" t="s">
        <v>1139</v>
      </c>
      <c r="B128" s="41" t="s">
        <v>5</v>
      </c>
      <c r="C128" s="40">
        <v>5.26</v>
      </c>
      <c r="D128" s="113"/>
    </row>
    <row r="129" spans="1:4" ht="15.75" outlineLevel="1">
      <c r="A129" s="40" t="s">
        <v>1139</v>
      </c>
      <c r="B129" s="41" t="s">
        <v>6</v>
      </c>
      <c r="C129" s="40">
        <v>5.27</v>
      </c>
      <c r="D129" s="113"/>
    </row>
    <row r="130" spans="1:4" ht="15.75" outlineLevel="1">
      <c r="A130" s="40" t="s">
        <v>1139</v>
      </c>
      <c r="B130" s="41" t="s">
        <v>7</v>
      </c>
      <c r="C130" s="40">
        <v>5.28</v>
      </c>
      <c r="D130" s="113"/>
    </row>
    <row r="131" spans="1:4" ht="15.75" outlineLevel="1">
      <c r="A131" s="40" t="s">
        <v>1139</v>
      </c>
      <c r="B131" s="41" t="s">
        <v>347</v>
      </c>
      <c r="C131" s="40">
        <v>5.29</v>
      </c>
      <c r="D131" s="113"/>
    </row>
    <row r="132" spans="1:4" ht="15.75" outlineLevel="1">
      <c r="A132" s="40" t="s">
        <v>1139</v>
      </c>
      <c r="B132" s="41" t="s">
        <v>8</v>
      </c>
      <c r="C132" s="42">
        <v>5.3</v>
      </c>
      <c r="D132" s="113"/>
    </row>
    <row r="133" spans="1:4" ht="15.75" outlineLevel="1">
      <c r="A133" s="40" t="s">
        <v>1139</v>
      </c>
      <c r="B133" s="41" t="s">
        <v>172</v>
      </c>
      <c r="C133" s="40">
        <v>5.31</v>
      </c>
      <c r="D133" s="113"/>
    </row>
    <row r="134" spans="1:4" ht="15.75" outlineLevel="1">
      <c r="A134" s="40" t="s">
        <v>1139</v>
      </c>
      <c r="B134" s="41" t="s">
        <v>149</v>
      </c>
      <c r="C134" s="40">
        <v>5.36</v>
      </c>
      <c r="D134" s="113"/>
    </row>
    <row r="135" spans="1:4" ht="15.75" outlineLevel="1">
      <c r="A135" s="40" t="s">
        <v>1139</v>
      </c>
      <c r="B135" s="41" t="s">
        <v>11</v>
      </c>
      <c r="C135" s="40">
        <v>5.53</v>
      </c>
      <c r="D135" s="113"/>
    </row>
    <row r="136" spans="1:4" ht="15.75" outlineLevel="1">
      <c r="A136" s="40" t="s">
        <v>1139</v>
      </c>
      <c r="B136" s="41" t="s">
        <v>17</v>
      </c>
      <c r="C136" s="40">
        <v>5.58</v>
      </c>
      <c r="D136" s="113"/>
    </row>
    <row r="137" spans="1:4" ht="15.75" outlineLevel="1">
      <c r="A137" s="40" t="s">
        <v>1139</v>
      </c>
      <c r="B137" s="41" t="s">
        <v>16</v>
      </c>
      <c r="C137" s="40">
        <v>5.62</v>
      </c>
      <c r="D137" s="113"/>
    </row>
    <row r="138" spans="1:4" ht="15.75" outlineLevel="1">
      <c r="A138" s="40" t="s">
        <v>1139</v>
      </c>
      <c r="B138" s="41" t="s">
        <v>18</v>
      </c>
      <c r="C138" s="40">
        <v>5.54</v>
      </c>
      <c r="D138" s="113"/>
    </row>
    <row r="139" spans="1:4" ht="15.75" outlineLevel="1">
      <c r="A139" s="40" t="s">
        <v>1139</v>
      </c>
      <c r="B139" s="41" t="s">
        <v>19</v>
      </c>
      <c r="C139" s="40">
        <v>5.55</v>
      </c>
      <c r="D139" s="113"/>
    </row>
    <row r="140" spans="1:4" ht="15.75" outlineLevel="1">
      <c r="A140" s="40" t="s">
        <v>1139</v>
      </c>
      <c r="B140" s="41" t="s">
        <v>20</v>
      </c>
      <c r="C140" s="40">
        <v>5.63</v>
      </c>
      <c r="D140" s="113"/>
    </row>
    <row r="141" spans="1:4" ht="15.75" outlineLevel="1">
      <c r="A141" s="40" t="s">
        <v>1139</v>
      </c>
      <c r="B141" s="41" t="s">
        <v>23</v>
      </c>
      <c r="C141" s="40">
        <v>5.45</v>
      </c>
      <c r="D141" s="113"/>
    </row>
    <row r="142" spans="1:4" ht="15.75" outlineLevel="1">
      <c r="A142" s="40" t="s">
        <v>1139</v>
      </c>
      <c r="B142" s="41" t="s">
        <v>24</v>
      </c>
      <c r="C142" s="40">
        <v>5.47</v>
      </c>
      <c r="D142" s="113"/>
    </row>
    <row r="143" spans="1:4" ht="15.75" outlineLevel="1">
      <c r="A143" s="40" t="s">
        <v>1139</v>
      </c>
      <c r="B143" s="41" t="s">
        <v>25</v>
      </c>
      <c r="C143" s="40">
        <v>5.48</v>
      </c>
      <c r="D143" s="113"/>
    </row>
    <row r="144" spans="1:4" ht="15.75">
      <c r="A144" s="46" t="s">
        <v>1139</v>
      </c>
      <c r="B144" s="41"/>
      <c r="C144" s="40"/>
      <c r="D144" s="113"/>
    </row>
    <row r="145" spans="1:4" ht="15.75" outlineLevel="1">
      <c r="A145" s="40" t="s">
        <v>493</v>
      </c>
      <c r="B145" s="41" t="s">
        <v>0</v>
      </c>
      <c r="C145" s="40">
        <v>5.0999999999999996</v>
      </c>
      <c r="D145" s="113"/>
    </row>
    <row r="146" spans="1:4" ht="15.75" outlineLevel="1">
      <c r="A146" s="40" t="s">
        <v>493</v>
      </c>
      <c r="B146" s="41" t="s">
        <v>1</v>
      </c>
      <c r="C146" s="40">
        <v>5.2</v>
      </c>
      <c r="D146" s="113"/>
    </row>
    <row r="147" spans="1:4" ht="15.75" outlineLevel="1">
      <c r="A147" s="40" t="s">
        <v>493</v>
      </c>
      <c r="B147" s="41" t="s">
        <v>2</v>
      </c>
      <c r="C147" s="40">
        <v>5.3</v>
      </c>
      <c r="D147" s="113"/>
    </row>
    <row r="148" spans="1:4" ht="15.75" outlineLevel="1">
      <c r="A148" s="40" t="s">
        <v>493</v>
      </c>
      <c r="B148" s="41" t="s">
        <v>169</v>
      </c>
      <c r="C148" s="40">
        <v>5.6</v>
      </c>
      <c r="D148" s="113"/>
    </row>
    <row r="149" spans="1:4" ht="15.75" outlineLevel="1">
      <c r="A149" s="40" t="s">
        <v>493</v>
      </c>
      <c r="B149" s="41" t="s">
        <v>1137</v>
      </c>
      <c r="C149" s="42">
        <v>5.0999999999999996</v>
      </c>
      <c r="D149" s="113"/>
    </row>
    <row r="150" spans="1:4" ht="15.75" outlineLevel="1">
      <c r="A150" s="40" t="s">
        <v>493</v>
      </c>
      <c r="B150" s="41" t="s">
        <v>1136</v>
      </c>
      <c r="C150" s="40">
        <v>5.14</v>
      </c>
      <c r="D150" s="113"/>
    </row>
    <row r="151" spans="1:4" ht="15.75" outlineLevel="1">
      <c r="A151" s="40" t="s">
        <v>493</v>
      </c>
      <c r="B151" s="41" t="s">
        <v>4</v>
      </c>
      <c r="C151" s="40">
        <v>5.19</v>
      </c>
      <c r="D151" s="113"/>
    </row>
    <row r="152" spans="1:4" ht="15.75" outlineLevel="1">
      <c r="A152" s="40" t="s">
        <v>493</v>
      </c>
      <c r="B152" s="41" t="s">
        <v>171</v>
      </c>
      <c r="C152" s="40">
        <v>5.24</v>
      </c>
      <c r="D152" s="113"/>
    </row>
    <row r="153" spans="1:4" ht="15.75" outlineLevel="1">
      <c r="A153" s="40" t="s">
        <v>493</v>
      </c>
      <c r="B153" s="41" t="s">
        <v>5</v>
      </c>
      <c r="C153" s="40">
        <v>5.26</v>
      </c>
      <c r="D153" s="113"/>
    </row>
    <row r="154" spans="1:4" ht="15.75" outlineLevel="1">
      <c r="A154" s="40" t="s">
        <v>493</v>
      </c>
      <c r="B154" s="41" t="s">
        <v>6</v>
      </c>
      <c r="C154" s="40">
        <v>5.27</v>
      </c>
      <c r="D154" s="113"/>
    </row>
    <row r="155" spans="1:4" ht="15.75" outlineLevel="1">
      <c r="A155" s="40" t="s">
        <v>493</v>
      </c>
      <c r="B155" s="41" t="s">
        <v>7</v>
      </c>
      <c r="C155" s="40">
        <v>5.28</v>
      </c>
      <c r="D155" s="113"/>
    </row>
    <row r="156" spans="1:4" ht="15.75" outlineLevel="1">
      <c r="A156" s="40" t="s">
        <v>493</v>
      </c>
      <c r="B156" s="41" t="s">
        <v>8</v>
      </c>
      <c r="C156" s="42">
        <v>5.3</v>
      </c>
      <c r="D156" s="113"/>
    </row>
    <row r="157" spans="1:4" ht="15.75" outlineLevel="1">
      <c r="A157" s="40" t="s">
        <v>493</v>
      </c>
      <c r="B157" s="41" t="s">
        <v>591</v>
      </c>
      <c r="C157" s="40">
        <v>5.32</v>
      </c>
      <c r="D157" s="113"/>
    </row>
    <row r="158" spans="1:4" ht="15.75" outlineLevel="1">
      <c r="A158" s="40" t="s">
        <v>493</v>
      </c>
      <c r="B158" s="41" t="s">
        <v>149</v>
      </c>
      <c r="C158" s="40">
        <v>5.36</v>
      </c>
      <c r="D158" s="113"/>
    </row>
    <row r="159" spans="1:4" ht="15.75" outlineLevel="1">
      <c r="A159" s="40" t="s">
        <v>493</v>
      </c>
      <c r="B159" s="41" t="s">
        <v>11</v>
      </c>
      <c r="C159" s="40">
        <v>5.53</v>
      </c>
      <c r="D159" s="113"/>
    </row>
    <row r="160" spans="1:4" ht="15.75" outlineLevel="1">
      <c r="A160" s="40" t="s">
        <v>493</v>
      </c>
      <c r="B160" s="41" t="s">
        <v>17</v>
      </c>
      <c r="C160" s="40">
        <v>5.58</v>
      </c>
      <c r="D160" s="113"/>
    </row>
    <row r="161" spans="1:5" ht="15.75" outlineLevel="1">
      <c r="A161" s="40" t="s">
        <v>493</v>
      </c>
      <c r="B161" s="41" t="s">
        <v>18</v>
      </c>
      <c r="C161" s="40">
        <v>5.54</v>
      </c>
      <c r="D161" s="113"/>
    </row>
    <row r="162" spans="1:5" ht="15.75" outlineLevel="1">
      <c r="A162" s="40" t="s">
        <v>493</v>
      </c>
      <c r="B162" s="41" t="s">
        <v>19</v>
      </c>
      <c r="C162" s="40">
        <v>5.55</v>
      </c>
      <c r="D162" s="113"/>
    </row>
    <row r="163" spans="1:5" ht="15.75" outlineLevel="1">
      <c r="A163" s="40" t="s">
        <v>493</v>
      </c>
      <c r="B163" s="41" t="s">
        <v>16</v>
      </c>
      <c r="C163" s="40">
        <v>5.62</v>
      </c>
      <c r="D163" s="113"/>
      <c r="E163" t="s">
        <v>1140</v>
      </c>
    </row>
    <row r="164" spans="1:5" ht="15.75" outlineLevel="1">
      <c r="A164" s="40" t="s">
        <v>493</v>
      </c>
      <c r="B164" s="41" t="s">
        <v>20</v>
      </c>
      <c r="C164" s="40">
        <v>5.63</v>
      </c>
      <c r="D164" s="113"/>
    </row>
    <row r="165" spans="1:5" ht="15.75" outlineLevel="1">
      <c r="A165" s="40" t="s">
        <v>493</v>
      </c>
      <c r="B165" s="41" t="s">
        <v>23</v>
      </c>
      <c r="C165" s="40">
        <v>5.45</v>
      </c>
      <c r="D165" s="113"/>
    </row>
    <row r="166" spans="1:5" ht="15.75" outlineLevel="1">
      <c r="A166" s="40" t="s">
        <v>493</v>
      </c>
      <c r="B166" s="41" t="s">
        <v>24</v>
      </c>
      <c r="C166" s="40">
        <v>5.47</v>
      </c>
      <c r="D166" s="113"/>
    </row>
    <row r="167" spans="1:5" ht="15.75" outlineLevel="1">
      <c r="A167" s="40" t="s">
        <v>493</v>
      </c>
      <c r="B167" s="41" t="s">
        <v>25</v>
      </c>
      <c r="C167" s="40">
        <v>5.48</v>
      </c>
      <c r="D167" s="113"/>
    </row>
    <row r="168" spans="1:5" ht="15.75">
      <c r="A168" s="46" t="s">
        <v>493</v>
      </c>
      <c r="B168" s="41"/>
      <c r="C168" s="40"/>
      <c r="D168" s="113"/>
    </row>
    <row r="169" spans="1:5" ht="15.75" outlineLevel="1">
      <c r="A169" s="40" t="s">
        <v>1009</v>
      </c>
      <c r="B169" s="41" t="s">
        <v>0</v>
      </c>
      <c r="C169" s="40">
        <v>5.0999999999999996</v>
      </c>
      <c r="D169" s="113"/>
    </row>
    <row r="170" spans="1:5" ht="15.75" outlineLevel="1">
      <c r="A170" s="40" t="s">
        <v>1009</v>
      </c>
      <c r="B170" s="41" t="s">
        <v>1</v>
      </c>
      <c r="C170" s="40">
        <v>5.2</v>
      </c>
      <c r="D170" s="113"/>
    </row>
    <row r="171" spans="1:5" ht="15.75" outlineLevel="1">
      <c r="A171" s="40" t="s">
        <v>1009</v>
      </c>
      <c r="B171" s="41" t="s">
        <v>2</v>
      </c>
      <c r="C171" s="40">
        <v>5.3</v>
      </c>
      <c r="D171" s="113"/>
    </row>
    <row r="172" spans="1:5" ht="15.75" outlineLevel="1">
      <c r="A172" s="40" t="s">
        <v>1009</v>
      </c>
      <c r="B172" s="41" t="s">
        <v>169</v>
      </c>
      <c r="C172" s="40">
        <v>5.6</v>
      </c>
      <c r="D172" s="113"/>
    </row>
    <row r="173" spans="1:5" ht="15.75" outlineLevel="1">
      <c r="A173" s="40" t="s">
        <v>1009</v>
      </c>
      <c r="B173" s="41" t="s">
        <v>1137</v>
      </c>
      <c r="C173" s="42">
        <v>5.0999999999999996</v>
      </c>
      <c r="D173" s="113"/>
    </row>
    <row r="174" spans="1:5" ht="15.75" outlineLevel="1">
      <c r="A174" s="40" t="s">
        <v>1009</v>
      </c>
      <c r="B174" s="41" t="s">
        <v>1136</v>
      </c>
      <c r="C174" s="40">
        <v>5.14</v>
      </c>
      <c r="D174" s="113"/>
    </row>
    <row r="175" spans="1:5" ht="15.75" outlineLevel="1">
      <c r="A175" s="40" t="s">
        <v>1009</v>
      </c>
      <c r="B175" s="41" t="s">
        <v>4</v>
      </c>
      <c r="C175" s="40">
        <v>5.19</v>
      </c>
      <c r="D175" s="113"/>
    </row>
    <row r="176" spans="1:5" ht="15.75" outlineLevel="1">
      <c r="A176" s="40" t="s">
        <v>1009</v>
      </c>
      <c r="B176" s="41" t="s">
        <v>171</v>
      </c>
      <c r="C176" s="40">
        <v>5.24</v>
      </c>
      <c r="D176" s="113"/>
    </row>
    <row r="177" spans="1:4" ht="15.75" outlineLevel="1">
      <c r="A177" s="40" t="s">
        <v>1009</v>
      </c>
      <c r="B177" s="41" t="s">
        <v>5</v>
      </c>
      <c r="C177" s="40">
        <v>5.26</v>
      </c>
      <c r="D177" s="113"/>
    </row>
    <row r="178" spans="1:4" ht="15.75" outlineLevel="1">
      <c r="A178" s="40" t="s">
        <v>1009</v>
      </c>
      <c r="B178" s="41" t="s">
        <v>6</v>
      </c>
      <c r="C178" s="40">
        <v>5.27</v>
      </c>
      <c r="D178" s="113"/>
    </row>
    <row r="179" spans="1:4" ht="15.75" outlineLevel="1">
      <c r="A179" s="40" t="s">
        <v>1009</v>
      </c>
      <c r="B179" s="41" t="s">
        <v>7</v>
      </c>
      <c r="C179" s="40">
        <v>5.28</v>
      </c>
      <c r="D179" s="113"/>
    </row>
    <row r="180" spans="1:4" ht="15.75" outlineLevel="1">
      <c r="A180" s="40" t="s">
        <v>1009</v>
      </c>
      <c r="B180" s="41" t="s">
        <v>347</v>
      </c>
      <c r="C180" s="40">
        <v>5.29</v>
      </c>
      <c r="D180" s="113"/>
    </row>
    <row r="181" spans="1:4" ht="15.75" outlineLevel="1">
      <c r="A181" s="40" t="s">
        <v>1009</v>
      </c>
      <c r="B181" s="41" t="s">
        <v>8</v>
      </c>
      <c r="C181" s="42">
        <v>5.3</v>
      </c>
      <c r="D181" s="113"/>
    </row>
    <row r="182" spans="1:4" ht="15.75" outlineLevel="1">
      <c r="A182" s="40" t="s">
        <v>1009</v>
      </c>
      <c r="B182" s="41" t="s">
        <v>591</v>
      </c>
      <c r="C182" s="40">
        <v>5.32</v>
      </c>
      <c r="D182" s="113"/>
    </row>
    <row r="183" spans="1:4" ht="15.75" outlineLevel="1">
      <c r="A183" s="40" t="s">
        <v>1009</v>
      </c>
      <c r="B183" s="41" t="s">
        <v>149</v>
      </c>
      <c r="C183" s="40">
        <v>5.36</v>
      </c>
      <c r="D183" s="113"/>
    </row>
    <row r="184" spans="1:4" ht="15.75" outlineLevel="1">
      <c r="A184" s="40" t="s">
        <v>1009</v>
      </c>
      <c r="B184" s="41" t="s">
        <v>11</v>
      </c>
      <c r="C184" s="40">
        <v>5.53</v>
      </c>
      <c r="D184" s="113"/>
    </row>
    <row r="185" spans="1:4" ht="15.75" outlineLevel="1">
      <c r="A185" s="40" t="s">
        <v>1009</v>
      </c>
      <c r="B185" s="41" t="s">
        <v>17</v>
      </c>
      <c r="C185" s="40">
        <v>5.58</v>
      </c>
      <c r="D185" s="113"/>
    </row>
    <row r="186" spans="1:4" ht="15.75" outlineLevel="1">
      <c r="A186" s="40" t="s">
        <v>1009</v>
      </c>
      <c r="B186" s="41" t="s">
        <v>18</v>
      </c>
      <c r="C186" s="40">
        <v>5.54</v>
      </c>
      <c r="D186" s="113"/>
    </row>
    <row r="187" spans="1:4" ht="15.75" outlineLevel="1">
      <c r="A187" s="40" t="s">
        <v>1009</v>
      </c>
      <c r="B187" s="41" t="s">
        <v>19</v>
      </c>
      <c r="C187" s="40">
        <v>5.55</v>
      </c>
      <c r="D187" s="113"/>
    </row>
    <row r="188" spans="1:4" ht="15.75" outlineLevel="1">
      <c r="A188" s="40" t="s">
        <v>1009</v>
      </c>
      <c r="B188" s="41" t="s">
        <v>20</v>
      </c>
      <c r="C188" s="40">
        <v>5.63</v>
      </c>
      <c r="D188" s="113"/>
    </row>
    <row r="189" spans="1:4" ht="15.75" outlineLevel="1">
      <c r="A189" s="40" t="s">
        <v>1009</v>
      </c>
      <c r="B189" s="41" t="s">
        <v>23</v>
      </c>
      <c r="C189" s="40">
        <v>5.45</v>
      </c>
      <c r="D189" s="113"/>
    </row>
    <row r="190" spans="1:4" ht="15.75" outlineLevel="1">
      <c r="A190" s="40" t="s">
        <v>1009</v>
      </c>
      <c r="B190" s="41" t="s">
        <v>24</v>
      </c>
      <c r="C190" s="40">
        <v>5.47</v>
      </c>
      <c r="D190" s="113"/>
    </row>
    <row r="191" spans="1:4" ht="15.75" outlineLevel="1">
      <c r="A191" s="40" t="s">
        <v>1009</v>
      </c>
      <c r="B191" s="41" t="s">
        <v>25</v>
      </c>
      <c r="C191" s="40">
        <v>5.48</v>
      </c>
      <c r="D191" s="113"/>
    </row>
    <row r="192" spans="1:4" ht="15.75">
      <c r="A192" s="46" t="s">
        <v>1009</v>
      </c>
      <c r="B192" s="41"/>
      <c r="C192" s="40"/>
      <c r="D192" s="113"/>
    </row>
    <row r="193" spans="1:4" ht="15.75" outlineLevel="1">
      <c r="A193" s="40" t="s">
        <v>1141</v>
      </c>
      <c r="B193" s="41" t="s">
        <v>0</v>
      </c>
      <c r="C193" s="40">
        <v>5.0999999999999996</v>
      </c>
      <c r="D193" s="113"/>
    </row>
    <row r="194" spans="1:4" ht="15.75" outlineLevel="1">
      <c r="A194" s="40" t="s">
        <v>1141</v>
      </c>
      <c r="B194" s="41" t="s">
        <v>1</v>
      </c>
      <c r="C194" s="40">
        <v>5.2</v>
      </c>
      <c r="D194" s="113"/>
    </row>
    <row r="195" spans="1:4" ht="15.75" outlineLevel="1">
      <c r="A195" s="40" t="s">
        <v>1141</v>
      </c>
      <c r="B195" s="41" t="s">
        <v>2</v>
      </c>
      <c r="C195" s="40">
        <v>5.3</v>
      </c>
      <c r="D195" s="113"/>
    </row>
    <row r="196" spans="1:4" ht="15.75" outlineLevel="1">
      <c r="A196" s="40" t="s">
        <v>1141</v>
      </c>
      <c r="B196" s="41" t="s">
        <v>169</v>
      </c>
      <c r="C196" s="40">
        <v>5.6</v>
      </c>
      <c r="D196" s="113"/>
    </row>
    <row r="197" spans="1:4" ht="15.75" outlineLevel="1">
      <c r="A197" s="40" t="s">
        <v>1141</v>
      </c>
      <c r="B197" s="41" t="s">
        <v>1137</v>
      </c>
      <c r="C197" s="42">
        <v>5.0999999999999996</v>
      </c>
      <c r="D197" s="113"/>
    </row>
    <row r="198" spans="1:4" ht="15.75" outlineLevel="1">
      <c r="A198" s="40" t="s">
        <v>1141</v>
      </c>
      <c r="B198" s="41" t="s">
        <v>1136</v>
      </c>
      <c r="C198" s="40">
        <v>5.14</v>
      </c>
      <c r="D198" s="113"/>
    </row>
    <row r="199" spans="1:4" ht="15.75" outlineLevel="1">
      <c r="A199" s="40" t="s">
        <v>1141</v>
      </c>
      <c r="B199" s="41" t="s">
        <v>4</v>
      </c>
      <c r="C199" s="40">
        <v>5.19</v>
      </c>
      <c r="D199" s="113"/>
    </row>
    <row r="200" spans="1:4" ht="15.75" outlineLevel="1">
      <c r="A200" s="40" t="s">
        <v>1141</v>
      </c>
      <c r="B200" s="41" t="s">
        <v>171</v>
      </c>
      <c r="C200" s="40">
        <v>5.24</v>
      </c>
      <c r="D200" s="113"/>
    </row>
    <row r="201" spans="1:4" ht="15.75" outlineLevel="1">
      <c r="A201" s="40" t="s">
        <v>1141</v>
      </c>
      <c r="B201" s="41" t="s">
        <v>6</v>
      </c>
      <c r="C201" s="40">
        <v>5.27</v>
      </c>
      <c r="D201" s="113"/>
    </row>
    <row r="202" spans="1:4" ht="15.75" outlineLevel="1">
      <c r="A202" s="40" t="s">
        <v>1141</v>
      </c>
      <c r="B202" s="41" t="s">
        <v>7</v>
      </c>
      <c r="C202" s="40">
        <v>5.28</v>
      </c>
      <c r="D202" s="113"/>
    </row>
    <row r="203" spans="1:4" ht="15.75" outlineLevel="1">
      <c r="A203" s="40" t="s">
        <v>1141</v>
      </c>
      <c r="B203" s="41" t="s">
        <v>347</v>
      </c>
      <c r="C203" s="40">
        <v>5.29</v>
      </c>
      <c r="D203" s="113"/>
    </row>
    <row r="204" spans="1:4" ht="15.75" outlineLevel="1">
      <c r="A204" s="40" t="s">
        <v>1141</v>
      </c>
      <c r="B204" s="41" t="s">
        <v>8</v>
      </c>
      <c r="C204" s="42">
        <v>5.3</v>
      </c>
      <c r="D204" s="113"/>
    </row>
    <row r="205" spans="1:4" ht="15.75" outlineLevel="1">
      <c r="A205" s="40" t="s">
        <v>1141</v>
      </c>
      <c r="B205" s="41" t="s">
        <v>1142</v>
      </c>
      <c r="C205" s="40">
        <v>5.34</v>
      </c>
      <c r="D205" s="113"/>
    </row>
    <row r="206" spans="1:4" ht="15.75" outlineLevel="1">
      <c r="A206" s="40" t="s">
        <v>1141</v>
      </c>
      <c r="B206" s="41" t="s">
        <v>172</v>
      </c>
      <c r="C206" s="40">
        <v>5.31</v>
      </c>
      <c r="D206" s="113"/>
    </row>
    <row r="207" spans="1:4" ht="15.75" outlineLevel="1">
      <c r="A207" s="40" t="s">
        <v>1141</v>
      </c>
      <c r="B207" s="41" t="s">
        <v>1143</v>
      </c>
      <c r="C207" s="40">
        <v>5.101</v>
      </c>
      <c r="D207" s="113"/>
    </row>
    <row r="208" spans="1:4" ht="15.75" outlineLevel="1">
      <c r="A208" s="40" t="s">
        <v>1141</v>
      </c>
      <c r="B208" s="41" t="s">
        <v>149</v>
      </c>
      <c r="C208" s="40">
        <v>5.36</v>
      </c>
      <c r="D208" s="113"/>
    </row>
    <row r="209" spans="1:4" ht="15.75" outlineLevel="1">
      <c r="A209" s="40" t="s">
        <v>1141</v>
      </c>
      <c r="B209" s="41" t="s">
        <v>11</v>
      </c>
      <c r="C209" s="40">
        <v>5.53</v>
      </c>
      <c r="D209" s="113"/>
    </row>
    <row r="210" spans="1:4" ht="15.75" outlineLevel="1">
      <c r="A210" s="40" t="s">
        <v>1141</v>
      </c>
      <c r="B210" s="41" t="s">
        <v>1144</v>
      </c>
      <c r="C210" s="40">
        <v>5.1020000000000003</v>
      </c>
      <c r="D210" s="113"/>
    </row>
    <row r="211" spans="1:4" ht="15.75" outlineLevel="1">
      <c r="A211" s="40" t="s">
        <v>1141</v>
      </c>
      <c r="B211" s="41" t="s">
        <v>1145</v>
      </c>
      <c r="C211" s="43">
        <v>5.0999999999999996</v>
      </c>
      <c r="D211" s="113"/>
    </row>
    <row r="212" spans="1:4" ht="15.75" outlineLevel="1">
      <c r="A212" s="40" t="s">
        <v>1141</v>
      </c>
      <c r="B212" s="41" t="s">
        <v>17</v>
      </c>
      <c r="C212" s="40">
        <v>5.58</v>
      </c>
      <c r="D212" s="113"/>
    </row>
    <row r="213" spans="1:4" ht="15.75" outlineLevel="1">
      <c r="A213" s="40" t="s">
        <v>1141</v>
      </c>
      <c r="B213" s="41" t="s">
        <v>18</v>
      </c>
      <c r="C213" s="40">
        <v>5.54</v>
      </c>
      <c r="D213" s="113"/>
    </row>
    <row r="214" spans="1:4" ht="15.75" outlineLevel="1">
      <c r="A214" s="40" t="s">
        <v>1141</v>
      </c>
      <c r="B214" s="41" t="s">
        <v>19</v>
      </c>
      <c r="C214" s="40">
        <v>5.55</v>
      </c>
      <c r="D214" s="113"/>
    </row>
    <row r="215" spans="1:4" ht="15.75" outlineLevel="1">
      <c r="A215" s="40" t="s">
        <v>1141</v>
      </c>
      <c r="B215" s="41" t="s">
        <v>20</v>
      </c>
      <c r="C215" s="40">
        <v>5.63</v>
      </c>
      <c r="D215" s="113"/>
    </row>
    <row r="216" spans="1:4" ht="15.75" outlineLevel="1">
      <c r="A216" s="40" t="s">
        <v>1141</v>
      </c>
      <c r="B216" s="41" t="s">
        <v>24</v>
      </c>
      <c r="C216" s="40">
        <v>5.47</v>
      </c>
      <c r="D216" s="113"/>
    </row>
    <row r="217" spans="1:4" ht="15.75" outlineLevel="1">
      <c r="A217" s="40" t="s">
        <v>1141</v>
      </c>
      <c r="B217" s="41" t="s">
        <v>25</v>
      </c>
      <c r="C217" s="40">
        <v>5.48</v>
      </c>
      <c r="D217" s="113"/>
    </row>
    <row r="218" spans="1:4" ht="15.75">
      <c r="A218" s="46" t="s">
        <v>1141</v>
      </c>
      <c r="B218" s="41"/>
      <c r="C218" s="40"/>
      <c r="D218" s="113"/>
    </row>
    <row r="219" spans="1:4" ht="15.75" outlineLevel="1">
      <c r="A219" s="40" t="s">
        <v>1012</v>
      </c>
      <c r="B219" s="41" t="s">
        <v>0</v>
      </c>
      <c r="C219" s="40">
        <v>5.0999999999999996</v>
      </c>
      <c r="D219" s="113"/>
    </row>
    <row r="220" spans="1:4" ht="15.75" outlineLevel="1">
      <c r="A220" s="40" t="s">
        <v>1012</v>
      </c>
      <c r="B220" s="41" t="s">
        <v>1</v>
      </c>
      <c r="C220" s="40">
        <v>5.2</v>
      </c>
      <c r="D220" s="113"/>
    </row>
    <row r="221" spans="1:4" ht="15.75" outlineLevel="1">
      <c r="A221" s="40" t="s">
        <v>1012</v>
      </c>
      <c r="B221" s="41" t="s">
        <v>2</v>
      </c>
      <c r="C221" s="40">
        <v>5.3</v>
      </c>
      <c r="D221" s="113"/>
    </row>
    <row r="222" spans="1:4" ht="15.75" outlineLevel="1">
      <c r="A222" s="40" t="s">
        <v>1012</v>
      </c>
      <c r="B222" s="41" t="s">
        <v>169</v>
      </c>
      <c r="C222" s="40">
        <v>5.6</v>
      </c>
      <c r="D222" s="113"/>
    </row>
    <row r="223" spans="1:4" ht="15.75" outlineLevel="1">
      <c r="A223" s="40" t="s">
        <v>1012</v>
      </c>
      <c r="B223" s="41" t="s">
        <v>1137</v>
      </c>
      <c r="C223" s="42">
        <v>5.0999999999999996</v>
      </c>
      <c r="D223" s="113"/>
    </row>
    <row r="224" spans="1:4" ht="15.75" outlineLevel="1">
      <c r="A224" s="40" t="s">
        <v>1012</v>
      </c>
      <c r="B224" s="41" t="s">
        <v>1136</v>
      </c>
      <c r="C224" s="40">
        <v>5.14</v>
      </c>
      <c r="D224" s="113"/>
    </row>
    <row r="225" spans="1:4" ht="15.75" outlineLevel="1">
      <c r="A225" s="40" t="s">
        <v>1012</v>
      </c>
      <c r="B225" s="41" t="s">
        <v>4</v>
      </c>
      <c r="C225" s="40">
        <v>5.19</v>
      </c>
      <c r="D225" s="113"/>
    </row>
    <row r="226" spans="1:4" ht="15.75" outlineLevel="1">
      <c r="A226" s="40" t="s">
        <v>1012</v>
      </c>
      <c r="B226" s="41" t="s">
        <v>171</v>
      </c>
      <c r="C226" s="40">
        <v>5.24</v>
      </c>
      <c r="D226" s="113"/>
    </row>
    <row r="227" spans="1:4" ht="15.75" outlineLevel="1">
      <c r="A227" s="40" t="s">
        <v>1012</v>
      </c>
      <c r="B227" s="41" t="s">
        <v>5</v>
      </c>
      <c r="C227" s="40">
        <v>5.26</v>
      </c>
      <c r="D227" s="113"/>
    </row>
    <row r="228" spans="1:4" ht="15.75" outlineLevel="1">
      <c r="A228" s="40" t="s">
        <v>1012</v>
      </c>
      <c r="B228" s="41" t="s">
        <v>6</v>
      </c>
      <c r="C228" s="40">
        <v>5.27</v>
      </c>
      <c r="D228" s="113"/>
    </row>
    <row r="229" spans="1:4" ht="15.75" outlineLevel="1">
      <c r="A229" s="40" t="s">
        <v>1012</v>
      </c>
      <c r="B229" s="41" t="s">
        <v>7</v>
      </c>
      <c r="C229" s="40">
        <v>5.28</v>
      </c>
      <c r="D229" s="113"/>
    </row>
    <row r="230" spans="1:4" ht="15.75" outlineLevel="1">
      <c r="A230" s="40" t="s">
        <v>1012</v>
      </c>
      <c r="B230" s="41" t="s">
        <v>347</v>
      </c>
      <c r="C230" s="40">
        <v>5.29</v>
      </c>
      <c r="D230" s="113"/>
    </row>
    <row r="231" spans="1:4" ht="15.75" outlineLevel="1">
      <c r="A231" s="40" t="s">
        <v>1012</v>
      </c>
      <c r="B231" s="41" t="s">
        <v>8</v>
      </c>
      <c r="C231" s="42">
        <v>5.3</v>
      </c>
      <c r="D231" s="113"/>
    </row>
    <row r="232" spans="1:4" ht="15.75" outlineLevel="1">
      <c r="A232" s="40" t="s">
        <v>1012</v>
      </c>
      <c r="B232" s="41" t="s">
        <v>172</v>
      </c>
      <c r="C232" s="40">
        <v>5.31</v>
      </c>
      <c r="D232" s="113"/>
    </row>
    <row r="233" spans="1:4" ht="15.75" outlineLevel="1">
      <c r="A233" s="40" t="s">
        <v>1012</v>
      </c>
      <c r="B233" s="41" t="s">
        <v>195</v>
      </c>
      <c r="C233" s="40">
        <v>5.33</v>
      </c>
      <c r="D233" s="113"/>
    </row>
    <row r="234" spans="1:4" ht="15.75" outlineLevel="1">
      <c r="A234" s="40" t="s">
        <v>1012</v>
      </c>
      <c r="B234" s="41" t="s">
        <v>1143</v>
      </c>
      <c r="C234" s="40">
        <v>5.101</v>
      </c>
      <c r="D234" s="113"/>
    </row>
    <row r="235" spans="1:4" ht="15.75" outlineLevel="1">
      <c r="A235" s="40" t="s">
        <v>1012</v>
      </c>
      <c r="B235" s="41" t="s">
        <v>149</v>
      </c>
      <c r="C235" s="40">
        <v>5.36</v>
      </c>
      <c r="D235" s="113"/>
    </row>
    <row r="236" spans="1:4" ht="15.75" outlineLevel="1">
      <c r="A236" s="40" t="s">
        <v>1012</v>
      </c>
      <c r="B236" s="41" t="s">
        <v>11</v>
      </c>
      <c r="C236" s="40">
        <v>5.53</v>
      </c>
      <c r="D236" s="113"/>
    </row>
    <row r="237" spans="1:4" ht="15.75" outlineLevel="1">
      <c r="A237" s="40" t="s">
        <v>1012</v>
      </c>
      <c r="B237" s="41" t="s">
        <v>1144</v>
      </c>
      <c r="C237" s="40">
        <v>5.1020000000000003</v>
      </c>
      <c r="D237" s="113"/>
    </row>
    <row r="238" spans="1:4" ht="15.75" outlineLevel="1">
      <c r="A238" s="40" t="s">
        <v>1012</v>
      </c>
      <c r="B238" s="41" t="s">
        <v>17</v>
      </c>
      <c r="C238" s="40">
        <v>5.58</v>
      </c>
      <c r="D238" s="113"/>
    </row>
    <row r="239" spans="1:4" ht="15.75" outlineLevel="1">
      <c r="A239" s="40" t="s">
        <v>1012</v>
      </c>
      <c r="B239" s="41" t="s">
        <v>18</v>
      </c>
      <c r="C239" s="40">
        <v>5.54</v>
      </c>
      <c r="D239" s="113"/>
    </row>
    <row r="240" spans="1:4" ht="15.75" outlineLevel="1">
      <c r="A240" s="40" t="s">
        <v>1012</v>
      </c>
      <c r="B240" s="41" t="s">
        <v>19</v>
      </c>
      <c r="C240" s="40">
        <v>5.55</v>
      </c>
      <c r="D240" s="113"/>
    </row>
    <row r="241" spans="1:4" ht="15.75" outlineLevel="1">
      <c r="A241" s="40" t="s">
        <v>1012</v>
      </c>
      <c r="B241" s="41" t="s">
        <v>20</v>
      </c>
      <c r="C241" s="40">
        <v>5.63</v>
      </c>
      <c r="D241" s="113"/>
    </row>
    <row r="242" spans="1:4" ht="15.75" outlineLevel="1">
      <c r="A242" s="40" t="s">
        <v>1012</v>
      </c>
      <c r="B242" s="41" t="s">
        <v>24</v>
      </c>
      <c r="C242" s="40">
        <v>5.47</v>
      </c>
      <c r="D242" s="113"/>
    </row>
    <row r="243" spans="1:4" ht="15.75" outlineLevel="1">
      <c r="A243" s="40" t="s">
        <v>1012</v>
      </c>
      <c r="B243" s="41" t="s">
        <v>25</v>
      </c>
      <c r="C243" s="40">
        <v>5.48</v>
      </c>
      <c r="D243" s="113"/>
    </row>
    <row r="244" spans="1:4" ht="15.75">
      <c r="A244" s="46" t="s">
        <v>1012</v>
      </c>
      <c r="B244" s="41"/>
      <c r="C244" s="40"/>
      <c r="D244" s="113"/>
    </row>
    <row r="245" spans="1:4" ht="15.75" outlineLevel="1">
      <c r="A245" s="40" t="s">
        <v>1146</v>
      </c>
      <c r="B245" s="41" t="s">
        <v>0</v>
      </c>
      <c r="C245" s="40">
        <v>5.0999999999999996</v>
      </c>
      <c r="D245" s="113"/>
    </row>
    <row r="246" spans="1:4" ht="15.75" outlineLevel="1">
      <c r="A246" s="40" t="s">
        <v>1146</v>
      </c>
      <c r="B246" s="41" t="s">
        <v>1</v>
      </c>
      <c r="C246" s="40">
        <v>5.2</v>
      </c>
      <c r="D246" s="113"/>
    </row>
    <row r="247" spans="1:4" ht="15.75" outlineLevel="1">
      <c r="A247" s="40" t="s">
        <v>1146</v>
      </c>
      <c r="B247" s="41" t="s">
        <v>2</v>
      </c>
      <c r="C247" s="40">
        <v>5.3</v>
      </c>
      <c r="D247" s="113"/>
    </row>
    <row r="248" spans="1:4" ht="15.75" outlineLevel="1">
      <c r="A248" s="40" t="s">
        <v>1146</v>
      </c>
      <c r="B248" s="41" t="s">
        <v>169</v>
      </c>
      <c r="C248" s="40">
        <v>5.6</v>
      </c>
      <c r="D248" s="113"/>
    </row>
    <row r="249" spans="1:4" ht="15.75" outlineLevel="1">
      <c r="A249" s="40" t="s">
        <v>1146</v>
      </c>
      <c r="B249" s="41" t="s">
        <v>1137</v>
      </c>
      <c r="C249" s="42">
        <v>5.0999999999999996</v>
      </c>
      <c r="D249" s="113"/>
    </row>
    <row r="250" spans="1:4" ht="15.75" outlineLevel="1">
      <c r="A250" s="40" t="s">
        <v>1146</v>
      </c>
      <c r="B250" s="41" t="s">
        <v>1136</v>
      </c>
      <c r="C250" s="40">
        <v>5.14</v>
      </c>
      <c r="D250" s="113"/>
    </row>
    <row r="251" spans="1:4" ht="15.75" outlineLevel="1">
      <c r="A251" s="40" t="s">
        <v>1146</v>
      </c>
      <c r="B251" s="41" t="s">
        <v>4</v>
      </c>
      <c r="C251" s="40">
        <v>5.19</v>
      </c>
      <c r="D251" s="113"/>
    </row>
    <row r="252" spans="1:4" ht="15.75" outlineLevel="1">
      <c r="A252" s="40" t="s">
        <v>1146</v>
      </c>
      <c r="B252" s="41" t="s">
        <v>171</v>
      </c>
      <c r="C252" s="40">
        <v>5.24</v>
      </c>
      <c r="D252" s="113"/>
    </row>
    <row r="253" spans="1:4" ht="15.75" outlineLevel="1">
      <c r="A253" s="40" t="s">
        <v>1146</v>
      </c>
      <c r="B253" s="41" t="s">
        <v>6</v>
      </c>
      <c r="C253" s="40">
        <v>5.27</v>
      </c>
      <c r="D253" s="113"/>
    </row>
    <row r="254" spans="1:4" ht="15.75" outlineLevel="1">
      <c r="A254" s="40" t="s">
        <v>1146</v>
      </c>
      <c r="B254" s="41" t="s">
        <v>7</v>
      </c>
      <c r="C254" s="40">
        <v>5.28</v>
      </c>
      <c r="D254" s="113"/>
    </row>
    <row r="255" spans="1:4" ht="15.75" outlineLevel="1">
      <c r="A255" s="40" t="s">
        <v>1146</v>
      </c>
      <c r="B255" s="41" t="s">
        <v>8</v>
      </c>
      <c r="C255" s="42">
        <v>5.3</v>
      </c>
      <c r="D255" s="113"/>
    </row>
    <row r="256" spans="1:4" ht="15.75" outlineLevel="1">
      <c r="A256" s="40" t="s">
        <v>1146</v>
      </c>
      <c r="B256" s="41" t="s">
        <v>195</v>
      </c>
      <c r="C256" s="40">
        <v>5.33</v>
      </c>
      <c r="D256" s="113"/>
    </row>
    <row r="257" spans="1:4" ht="15.75" outlineLevel="1">
      <c r="A257" s="40" t="s">
        <v>1146</v>
      </c>
      <c r="B257" s="41" t="s">
        <v>149</v>
      </c>
      <c r="C257" s="40">
        <v>5.36</v>
      </c>
      <c r="D257" s="113"/>
    </row>
    <row r="258" spans="1:4" ht="15.75" outlineLevel="1">
      <c r="A258" s="40" t="s">
        <v>1146</v>
      </c>
      <c r="B258" s="41" t="s">
        <v>11</v>
      </c>
      <c r="C258" s="40">
        <v>5.53</v>
      </c>
      <c r="D258" s="113"/>
    </row>
    <row r="259" spans="1:4" ht="15.75" outlineLevel="1">
      <c r="A259" s="40" t="s">
        <v>1146</v>
      </c>
      <c r="B259" s="41" t="s">
        <v>17</v>
      </c>
      <c r="C259" s="40">
        <v>5.58</v>
      </c>
      <c r="D259" s="113"/>
    </row>
    <row r="260" spans="1:4" ht="15.75" outlineLevel="1">
      <c r="A260" s="40" t="s">
        <v>1146</v>
      </c>
      <c r="B260" s="41" t="s">
        <v>18</v>
      </c>
      <c r="C260" s="40">
        <v>5.54</v>
      </c>
      <c r="D260" s="113"/>
    </row>
    <row r="261" spans="1:4" ht="15.75" outlineLevel="1">
      <c r="A261" s="40" t="s">
        <v>1146</v>
      </c>
      <c r="B261" s="41" t="s">
        <v>19</v>
      </c>
      <c r="C261" s="40">
        <v>5.55</v>
      </c>
      <c r="D261" s="113"/>
    </row>
    <row r="262" spans="1:4" ht="15.75" outlineLevel="1">
      <c r="A262" s="40" t="s">
        <v>1146</v>
      </c>
      <c r="B262" s="41" t="s">
        <v>20</v>
      </c>
      <c r="C262" s="40">
        <v>5.63</v>
      </c>
      <c r="D262" s="113"/>
    </row>
    <row r="263" spans="1:4" ht="15.75" outlineLevel="1">
      <c r="A263" s="40" t="s">
        <v>1146</v>
      </c>
      <c r="B263" s="41" t="s">
        <v>24</v>
      </c>
      <c r="C263" s="40">
        <v>5.47</v>
      </c>
      <c r="D263" s="113"/>
    </row>
    <row r="264" spans="1:4" ht="15.75" outlineLevel="1">
      <c r="A264" s="40" t="s">
        <v>1146</v>
      </c>
      <c r="B264" s="41" t="s">
        <v>25</v>
      </c>
      <c r="C264" s="40">
        <v>5.48</v>
      </c>
      <c r="D264" s="113"/>
    </row>
    <row r="265" spans="1:4" ht="15.75">
      <c r="A265" s="46" t="s">
        <v>1146</v>
      </c>
      <c r="B265" s="41"/>
      <c r="C265" s="40"/>
      <c r="D265" s="113"/>
    </row>
    <row r="266" spans="1:4" ht="15.75" outlineLevel="1">
      <c r="A266" s="40" t="s">
        <v>1017</v>
      </c>
      <c r="B266" s="41" t="s">
        <v>0</v>
      </c>
      <c r="C266" s="40">
        <v>5.0999999999999996</v>
      </c>
      <c r="D266" s="113"/>
    </row>
    <row r="267" spans="1:4" ht="15.75" outlineLevel="1">
      <c r="A267" s="40" t="s">
        <v>1017</v>
      </c>
      <c r="B267" s="41" t="s">
        <v>1</v>
      </c>
      <c r="C267" s="40">
        <v>5.2</v>
      </c>
      <c r="D267" s="113"/>
    </row>
    <row r="268" spans="1:4" ht="15.75" outlineLevel="1">
      <c r="A268" s="40" t="s">
        <v>1017</v>
      </c>
      <c r="B268" s="41" t="s">
        <v>2</v>
      </c>
      <c r="C268" s="40">
        <v>5.3</v>
      </c>
      <c r="D268" s="113"/>
    </row>
    <row r="269" spans="1:4" ht="15.75" outlineLevel="1">
      <c r="A269" s="40" t="s">
        <v>1017</v>
      </c>
      <c r="B269" s="41" t="s">
        <v>169</v>
      </c>
      <c r="C269" s="40">
        <v>5.6</v>
      </c>
      <c r="D269" s="113"/>
    </row>
    <row r="270" spans="1:4" ht="15.75" outlineLevel="1">
      <c r="A270" s="40" t="s">
        <v>1017</v>
      </c>
      <c r="B270" s="41" t="s">
        <v>1137</v>
      </c>
      <c r="C270" s="42">
        <v>5.0999999999999996</v>
      </c>
      <c r="D270" s="113"/>
    </row>
    <row r="271" spans="1:4" ht="15.75" outlineLevel="1">
      <c r="A271" s="40" t="s">
        <v>1017</v>
      </c>
      <c r="B271" s="41" t="s">
        <v>1136</v>
      </c>
      <c r="C271" s="40">
        <v>5.14</v>
      </c>
      <c r="D271" s="113"/>
    </row>
    <row r="272" spans="1:4" ht="15.75" outlineLevel="1">
      <c r="A272" s="40" t="s">
        <v>1017</v>
      </c>
      <c r="B272" s="41" t="s">
        <v>4</v>
      </c>
      <c r="C272" s="40">
        <v>5.19</v>
      </c>
      <c r="D272" s="113"/>
    </row>
    <row r="273" spans="1:4" ht="15.75" outlineLevel="1">
      <c r="A273" s="40" t="s">
        <v>1017</v>
      </c>
      <c r="B273" s="41" t="s">
        <v>171</v>
      </c>
      <c r="C273" s="40">
        <v>5.24</v>
      </c>
      <c r="D273" s="113"/>
    </row>
    <row r="274" spans="1:4" ht="15.75" outlineLevel="1">
      <c r="A274" s="40" t="s">
        <v>1017</v>
      </c>
      <c r="B274" s="41" t="s">
        <v>5</v>
      </c>
      <c r="C274" s="40">
        <v>5.26</v>
      </c>
      <c r="D274" s="113"/>
    </row>
    <row r="275" spans="1:4" ht="15.75" outlineLevel="1">
      <c r="A275" s="40" t="s">
        <v>1017</v>
      </c>
      <c r="B275" s="41" t="s">
        <v>6</v>
      </c>
      <c r="C275" s="40">
        <v>5.27</v>
      </c>
      <c r="D275" s="113"/>
    </row>
    <row r="276" spans="1:4" ht="15.75" outlineLevel="1">
      <c r="A276" s="40" t="s">
        <v>1017</v>
      </c>
      <c r="B276" s="41" t="s">
        <v>7</v>
      </c>
      <c r="C276" s="40">
        <v>5.28</v>
      </c>
      <c r="D276" s="113"/>
    </row>
    <row r="277" spans="1:4" ht="15.75" outlineLevel="1">
      <c r="A277" s="40" t="s">
        <v>1017</v>
      </c>
      <c r="B277" s="41" t="s">
        <v>347</v>
      </c>
      <c r="C277" s="40">
        <v>5.29</v>
      </c>
      <c r="D277" s="113"/>
    </row>
    <row r="278" spans="1:4" ht="15.75" outlineLevel="1">
      <c r="A278" s="40" t="s">
        <v>1017</v>
      </c>
      <c r="B278" s="41" t="s">
        <v>8</v>
      </c>
      <c r="C278" s="42">
        <v>5.3</v>
      </c>
      <c r="D278" s="113"/>
    </row>
    <row r="279" spans="1:4" ht="15.75" outlineLevel="1">
      <c r="A279" s="40" t="s">
        <v>1017</v>
      </c>
      <c r="B279" s="41" t="s">
        <v>195</v>
      </c>
      <c r="C279" s="40">
        <v>5.33</v>
      </c>
      <c r="D279" s="113"/>
    </row>
    <row r="280" spans="1:4" ht="15.75" outlineLevel="1">
      <c r="A280" s="40" t="s">
        <v>1017</v>
      </c>
      <c r="B280" s="41" t="s">
        <v>149</v>
      </c>
      <c r="C280" s="40">
        <v>5.36</v>
      </c>
      <c r="D280" s="113"/>
    </row>
    <row r="281" spans="1:4" ht="15.75" outlineLevel="1">
      <c r="A281" s="40" t="s">
        <v>1017</v>
      </c>
      <c r="B281" s="41" t="s">
        <v>12</v>
      </c>
      <c r="C281" s="40">
        <v>5.69</v>
      </c>
      <c r="D281" s="113"/>
    </row>
    <row r="282" spans="1:4" ht="15.75" outlineLevel="1">
      <c r="A282" s="40" t="s">
        <v>1017</v>
      </c>
      <c r="B282" s="41" t="s">
        <v>14</v>
      </c>
      <c r="C282" s="42">
        <v>5.7</v>
      </c>
      <c r="D282" s="113"/>
    </row>
    <row r="283" spans="1:4" ht="15.75" outlineLevel="1">
      <c r="A283" s="40" t="s">
        <v>1017</v>
      </c>
      <c r="B283" s="41" t="s">
        <v>15</v>
      </c>
      <c r="C283" s="40">
        <v>5.74</v>
      </c>
      <c r="D283" s="113"/>
    </row>
    <row r="284" spans="1:4" ht="15.75" outlineLevel="1">
      <c r="A284" s="40" t="s">
        <v>1017</v>
      </c>
      <c r="B284" s="41" t="s">
        <v>9</v>
      </c>
      <c r="C284" s="40">
        <v>5.49</v>
      </c>
      <c r="D284" s="113"/>
    </row>
    <row r="285" spans="1:4" ht="15.75" outlineLevel="1">
      <c r="A285" s="40" t="s">
        <v>1017</v>
      </c>
      <c r="B285" s="41" t="s">
        <v>10</v>
      </c>
      <c r="C285" s="40">
        <v>5.51</v>
      </c>
      <c r="D285" s="113"/>
    </row>
    <row r="286" spans="1:4" ht="15.75" outlineLevel="1">
      <c r="A286" s="40" t="s">
        <v>1017</v>
      </c>
      <c r="B286" s="41" t="s">
        <v>1138</v>
      </c>
      <c r="C286" s="40">
        <v>5.52</v>
      </c>
      <c r="D286" s="113"/>
    </row>
    <row r="287" spans="1:4" ht="15.75" outlineLevel="1">
      <c r="A287" s="40" t="s">
        <v>1017</v>
      </c>
      <c r="B287" s="41" t="s">
        <v>11</v>
      </c>
      <c r="C287" s="40">
        <v>5.53</v>
      </c>
      <c r="D287" s="113"/>
    </row>
    <row r="288" spans="1:4" ht="15.75" outlineLevel="1">
      <c r="A288" s="40" t="s">
        <v>1017</v>
      </c>
      <c r="B288" s="41" t="s">
        <v>17</v>
      </c>
      <c r="C288" s="40">
        <v>5.58</v>
      </c>
      <c r="D288" s="113"/>
    </row>
    <row r="289" spans="1:4" ht="15.75" outlineLevel="1">
      <c r="A289" s="40" t="s">
        <v>1017</v>
      </c>
      <c r="B289" s="41" t="s">
        <v>18</v>
      </c>
      <c r="C289" s="40">
        <v>5.54</v>
      </c>
      <c r="D289" s="113"/>
    </row>
    <row r="290" spans="1:4" ht="15.75" outlineLevel="1">
      <c r="A290" s="40" t="s">
        <v>1017</v>
      </c>
      <c r="B290" s="41" t="s">
        <v>19</v>
      </c>
      <c r="C290" s="40">
        <v>5.55</v>
      </c>
      <c r="D290" s="113"/>
    </row>
    <row r="291" spans="1:4" ht="15.75" outlineLevel="1">
      <c r="A291" s="40" t="s">
        <v>1017</v>
      </c>
      <c r="B291" s="41" t="s">
        <v>20</v>
      </c>
      <c r="C291" s="40">
        <v>5.63</v>
      </c>
      <c r="D291" s="113"/>
    </row>
    <row r="292" spans="1:4" ht="15.75" outlineLevel="1">
      <c r="A292" s="40" t="s">
        <v>1017</v>
      </c>
      <c r="B292" s="41" t="s">
        <v>24</v>
      </c>
      <c r="C292" s="40">
        <v>5.47</v>
      </c>
      <c r="D292" s="113"/>
    </row>
    <row r="293" spans="1:4" ht="15.75" outlineLevel="1">
      <c r="A293" s="40" t="s">
        <v>1017</v>
      </c>
      <c r="B293" s="41" t="s">
        <v>25</v>
      </c>
      <c r="C293" s="40">
        <v>5.48</v>
      </c>
      <c r="D293" s="113"/>
    </row>
    <row r="294" spans="1:4" ht="15.75">
      <c r="A294" s="46" t="s">
        <v>1017</v>
      </c>
      <c r="B294" s="41"/>
      <c r="C294" s="40"/>
      <c r="D294" s="113"/>
    </row>
    <row r="295" spans="1:4" ht="31.5" outlineLevel="1">
      <c r="A295" s="40" t="s">
        <v>1024</v>
      </c>
      <c r="B295" s="41" t="s">
        <v>0</v>
      </c>
      <c r="C295" s="40">
        <v>5.0999999999999996</v>
      </c>
      <c r="D295" s="113"/>
    </row>
    <row r="296" spans="1:4" ht="31.5" outlineLevel="1">
      <c r="A296" s="40" t="s">
        <v>1024</v>
      </c>
      <c r="B296" s="41" t="s">
        <v>1</v>
      </c>
      <c r="C296" s="40">
        <v>5.2</v>
      </c>
      <c r="D296" s="113"/>
    </row>
    <row r="297" spans="1:4" ht="31.5" outlineLevel="1">
      <c r="A297" s="40" t="s">
        <v>1024</v>
      </c>
      <c r="B297" s="41" t="s">
        <v>2</v>
      </c>
      <c r="C297" s="40">
        <v>5.3</v>
      </c>
      <c r="D297" s="113"/>
    </row>
    <row r="298" spans="1:4" ht="31.5" outlineLevel="1">
      <c r="A298" s="40" t="s">
        <v>1024</v>
      </c>
      <c r="B298" s="41" t="s">
        <v>1136</v>
      </c>
      <c r="C298" s="40">
        <v>5.14</v>
      </c>
      <c r="D298" s="113"/>
    </row>
    <row r="299" spans="1:4" ht="31.5" outlineLevel="1">
      <c r="A299" s="40" t="s">
        <v>1024</v>
      </c>
      <c r="B299" s="41" t="s">
        <v>4</v>
      </c>
      <c r="C299" s="40">
        <v>5.19</v>
      </c>
      <c r="D299" s="113"/>
    </row>
    <row r="300" spans="1:4" ht="31.5" outlineLevel="1">
      <c r="A300" s="40" t="s">
        <v>1024</v>
      </c>
      <c r="B300" s="41" t="s">
        <v>171</v>
      </c>
      <c r="C300" s="40">
        <v>5.24</v>
      </c>
      <c r="D300" s="113"/>
    </row>
    <row r="301" spans="1:4" ht="31.5" outlineLevel="1">
      <c r="A301" s="40" t="s">
        <v>1024</v>
      </c>
      <c r="B301" s="41" t="s">
        <v>5</v>
      </c>
      <c r="C301" s="40">
        <v>5.26</v>
      </c>
      <c r="D301" s="113"/>
    </row>
    <row r="302" spans="1:4" ht="31.5" outlineLevel="1">
      <c r="A302" s="40" t="s">
        <v>1024</v>
      </c>
      <c r="B302" s="41" t="s">
        <v>6</v>
      </c>
      <c r="C302" s="40">
        <v>5.27</v>
      </c>
      <c r="D302" s="113"/>
    </row>
    <row r="303" spans="1:4" ht="31.5" outlineLevel="1">
      <c r="A303" s="40" t="s">
        <v>1024</v>
      </c>
      <c r="B303" s="41" t="s">
        <v>7</v>
      </c>
      <c r="C303" s="40">
        <v>5.28</v>
      </c>
      <c r="D303" s="113"/>
    </row>
    <row r="304" spans="1:4" ht="31.5" outlineLevel="1">
      <c r="A304" s="40" t="s">
        <v>1024</v>
      </c>
      <c r="B304" s="41" t="s">
        <v>180</v>
      </c>
      <c r="C304" s="40">
        <v>5.37</v>
      </c>
      <c r="D304" s="113"/>
    </row>
    <row r="305" spans="1:4" ht="31.5" outlineLevel="1">
      <c r="A305" s="40" t="s">
        <v>1024</v>
      </c>
      <c r="B305" s="41" t="s">
        <v>9</v>
      </c>
      <c r="C305" s="40">
        <v>5.49</v>
      </c>
      <c r="D305" s="113"/>
    </row>
    <row r="306" spans="1:4" ht="31.5" outlineLevel="1">
      <c r="A306" s="40" t="s">
        <v>1024</v>
      </c>
      <c r="B306" s="41" t="s">
        <v>10</v>
      </c>
      <c r="C306" s="40">
        <v>5.51</v>
      </c>
      <c r="D306" s="113"/>
    </row>
    <row r="307" spans="1:4" ht="31.5" outlineLevel="1">
      <c r="A307" s="40" t="s">
        <v>1024</v>
      </c>
      <c r="B307" s="41" t="s">
        <v>11</v>
      </c>
      <c r="C307" s="40">
        <v>5.53</v>
      </c>
      <c r="D307" s="113"/>
    </row>
    <row r="308" spans="1:4" ht="31.5" outlineLevel="1">
      <c r="A308" s="40" t="s">
        <v>1024</v>
      </c>
      <c r="B308" s="41" t="s">
        <v>12</v>
      </c>
      <c r="C308" s="40">
        <v>5.69</v>
      </c>
      <c r="D308" s="113"/>
    </row>
    <row r="309" spans="1:4" ht="31.5" outlineLevel="1">
      <c r="A309" s="40" t="s">
        <v>1024</v>
      </c>
      <c r="B309" s="41" t="s">
        <v>13</v>
      </c>
      <c r="C309" s="40">
        <v>5.75</v>
      </c>
      <c r="D309" s="113"/>
    </row>
    <row r="310" spans="1:4" ht="31.5" outlineLevel="1">
      <c r="A310" s="40" t="s">
        <v>1024</v>
      </c>
      <c r="B310" s="41" t="s">
        <v>14</v>
      </c>
      <c r="C310" s="42">
        <v>5.7</v>
      </c>
      <c r="D310" s="113"/>
    </row>
    <row r="311" spans="1:4" ht="31.5" outlineLevel="1">
      <c r="A311" s="40" t="s">
        <v>1024</v>
      </c>
      <c r="B311" s="41" t="s">
        <v>15</v>
      </c>
      <c r="C311" s="40">
        <v>5.74</v>
      </c>
      <c r="D311" s="113"/>
    </row>
    <row r="312" spans="1:4" ht="31.5" outlineLevel="1">
      <c r="A312" s="40" t="s">
        <v>1024</v>
      </c>
      <c r="B312" s="41" t="s">
        <v>17</v>
      </c>
      <c r="C312" s="40">
        <v>5.58</v>
      </c>
      <c r="D312" s="113"/>
    </row>
    <row r="313" spans="1:4" ht="31.5" outlineLevel="1">
      <c r="A313" s="40" t="s">
        <v>1024</v>
      </c>
      <c r="B313" s="41" t="s">
        <v>18</v>
      </c>
      <c r="C313" s="40">
        <v>5.54</v>
      </c>
      <c r="D313" s="113"/>
    </row>
    <row r="314" spans="1:4" ht="31.5" outlineLevel="1">
      <c r="A314" s="40" t="s">
        <v>1024</v>
      </c>
      <c r="B314" s="41" t="s">
        <v>19</v>
      </c>
      <c r="C314" s="40">
        <v>5.55</v>
      </c>
      <c r="D314" s="113"/>
    </row>
    <row r="315" spans="1:4" ht="31.5" outlineLevel="1">
      <c r="A315" s="40" t="s">
        <v>1024</v>
      </c>
      <c r="B315" s="41" t="s">
        <v>20</v>
      </c>
      <c r="C315" s="40">
        <v>5.63</v>
      </c>
      <c r="D315" s="113"/>
    </row>
    <row r="316" spans="1:4" ht="31.5" outlineLevel="1">
      <c r="A316" s="40" t="s">
        <v>1024</v>
      </c>
      <c r="B316" s="41" t="s">
        <v>21</v>
      </c>
      <c r="C316" s="40">
        <v>5.65</v>
      </c>
      <c r="D316" s="113"/>
    </row>
    <row r="317" spans="1:4" ht="31.5" outlineLevel="1">
      <c r="A317" s="40" t="s">
        <v>1024</v>
      </c>
      <c r="B317" s="41" t="s">
        <v>22</v>
      </c>
      <c r="C317" s="40">
        <v>5.68</v>
      </c>
      <c r="D317" s="113"/>
    </row>
    <row r="318" spans="1:4" ht="31.5" outlineLevel="1">
      <c r="A318" s="40" t="s">
        <v>1024</v>
      </c>
      <c r="B318" s="41" t="s">
        <v>24</v>
      </c>
      <c r="C318" s="40">
        <v>5.47</v>
      </c>
      <c r="D318" s="113"/>
    </row>
    <row r="319" spans="1:4" ht="31.5" outlineLevel="1">
      <c r="A319" s="40" t="s">
        <v>1024</v>
      </c>
      <c r="B319" s="41" t="s">
        <v>25</v>
      </c>
      <c r="C319" s="40">
        <v>5.48</v>
      </c>
      <c r="D319" s="113"/>
    </row>
    <row r="320" spans="1:4" ht="31.5">
      <c r="A320" s="46" t="s">
        <v>1024</v>
      </c>
      <c r="B320" s="41"/>
      <c r="C320" s="40"/>
      <c r="D320" s="113"/>
    </row>
    <row r="321" spans="1:4" ht="31.5" outlineLevel="1">
      <c r="A321" s="40" t="s">
        <v>1025</v>
      </c>
      <c r="B321" s="41" t="s">
        <v>0</v>
      </c>
      <c r="C321" s="40">
        <v>5.0999999999999996</v>
      </c>
      <c r="D321" s="113"/>
    </row>
    <row r="322" spans="1:4" ht="31.5" outlineLevel="1">
      <c r="A322" s="40" t="s">
        <v>1025</v>
      </c>
      <c r="B322" s="41" t="s">
        <v>1</v>
      </c>
      <c r="C322" s="40">
        <v>5.2</v>
      </c>
      <c r="D322" s="113"/>
    </row>
    <row r="323" spans="1:4" ht="31.5" outlineLevel="1">
      <c r="A323" s="40" t="s">
        <v>1025</v>
      </c>
      <c r="B323" s="41" t="s">
        <v>5</v>
      </c>
      <c r="C323" s="40">
        <v>5.26</v>
      </c>
      <c r="D323" s="113"/>
    </row>
    <row r="324" spans="1:4" ht="31.5" outlineLevel="1">
      <c r="A324" s="40" t="s">
        <v>1025</v>
      </c>
      <c r="B324" s="41" t="s">
        <v>1136</v>
      </c>
      <c r="C324" s="40">
        <v>5.14</v>
      </c>
      <c r="D324" s="113"/>
    </row>
    <row r="325" spans="1:4" ht="31.5" outlineLevel="1">
      <c r="A325" s="40" t="s">
        <v>1025</v>
      </c>
      <c r="B325" s="41" t="s">
        <v>4</v>
      </c>
      <c r="C325" s="40">
        <v>5.19</v>
      </c>
      <c r="D325" s="113"/>
    </row>
    <row r="326" spans="1:4" ht="31.5" outlineLevel="1">
      <c r="A326" s="40" t="s">
        <v>1025</v>
      </c>
      <c r="B326" s="41" t="s">
        <v>180</v>
      </c>
      <c r="C326" s="40">
        <v>5.37</v>
      </c>
      <c r="D326" s="113"/>
    </row>
    <row r="327" spans="1:4" ht="31.5" outlineLevel="1">
      <c r="A327" s="40" t="s">
        <v>1025</v>
      </c>
      <c r="B327" s="41" t="s">
        <v>12</v>
      </c>
      <c r="C327" s="40">
        <v>5.69</v>
      </c>
      <c r="D327" s="113"/>
    </row>
    <row r="328" spans="1:4" ht="31.5" outlineLevel="1">
      <c r="A328" s="40" t="s">
        <v>1025</v>
      </c>
      <c r="B328" s="41" t="s">
        <v>775</v>
      </c>
      <c r="C328" s="42">
        <v>5.8</v>
      </c>
      <c r="D328" s="113"/>
    </row>
    <row r="329" spans="1:4" ht="31.5" outlineLevel="1">
      <c r="A329" s="40" t="s">
        <v>1025</v>
      </c>
      <c r="B329" s="41" t="s">
        <v>13</v>
      </c>
      <c r="C329" s="40">
        <v>5.75</v>
      </c>
      <c r="D329" s="113"/>
    </row>
    <row r="330" spans="1:4" ht="31.5" outlineLevel="1">
      <c r="A330" s="40" t="s">
        <v>1025</v>
      </c>
      <c r="B330" s="41" t="s">
        <v>14</v>
      </c>
      <c r="C330" s="42">
        <v>5.7</v>
      </c>
      <c r="D330" s="113"/>
    </row>
    <row r="331" spans="1:4" ht="31.5" outlineLevel="1">
      <c r="A331" s="40" t="s">
        <v>1025</v>
      </c>
      <c r="B331" s="41" t="s">
        <v>15</v>
      </c>
      <c r="C331" s="40">
        <v>5.74</v>
      </c>
      <c r="D331" s="113"/>
    </row>
    <row r="332" spans="1:4" ht="31.5" outlineLevel="1">
      <c r="A332" s="40" t="s">
        <v>1025</v>
      </c>
      <c r="B332" s="41" t="s">
        <v>17</v>
      </c>
      <c r="C332" s="40">
        <v>5.58</v>
      </c>
      <c r="D332" s="113"/>
    </row>
    <row r="333" spans="1:4" ht="31.5" outlineLevel="1">
      <c r="A333" s="40" t="s">
        <v>1025</v>
      </c>
      <c r="B333" s="41" t="s">
        <v>19</v>
      </c>
      <c r="C333" s="40">
        <v>5.55</v>
      </c>
      <c r="D333" s="113"/>
    </row>
    <row r="334" spans="1:4" ht="31.5" outlineLevel="1">
      <c r="A334" s="40" t="s">
        <v>1025</v>
      </c>
      <c r="B334" s="41" t="s">
        <v>20</v>
      </c>
      <c r="C334" s="40">
        <v>5.63</v>
      </c>
      <c r="D334" s="113"/>
    </row>
    <row r="335" spans="1:4" ht="31.5" outlineLevel="1">
      <c r="A335" s="40" t="s">
        <v>1025</v>
      </c>
      <c r="B335" s="41" t="s">
        <v>21</v>
      </c>
      <c r="C335" s="40">
        <v>5.65</v>
      </c>
      <c r="D335" s="113"/>
    </row>
    <row r="336" spans="1:4" ht="31.5" outlineLevel="1">
      <c r="A336" s="40" t="s">
        <v>1025</v>
      </c>
      <c r="B336" s="41" t="s">
        <v>22</v>
      </c>
      <c r="C336" s="40">
        <v>5.68</v>
      </c>
      <c r="D336" s="113"/>
    </row>
    <row r="337" spans="1:4" ht="31.5" outlineLevel="1">
      <c r="A337" s="40" t="s">
        <v>1025</v>
      </c>
      <c r="B337" s="41" t="s">
        <v>24</v>
      </c>
      <c r="C337" s="40">
        <v>5.47</v>
      </c>
      <c r="D337" s="113"/>
    </row>
    <row r="338" spans="1:4" ht="31.5" outlineLevel="1">
      <c r="A338" s="40" t="s">
        <v>1025</v>
      </c>
      <c r="B338" s="41" t="s">
        <v>25</v>
      </c>
      <c r="C338" s="40">
        <v>5.48</v>
      </c>
      <c r="D338" s="113"/>
    </row>
    <row r="339" spans="1:4" ht="31.5">
      <c r="A339" s="46" t="s">
        <v>1025</v>
      </c>
      <c r="B339" s="41"/>
      <c r="C339" s="40"/>
      <c r="D339" s="113"/>
    </row>
    <row r="340" spans="1:4" ht="31.5" outlineLevel="1">
      <c r="A340" s="40" t="s">
        <v>1031</v>
      </c>
      <c r="B340" s="41" t="s">
        <v>1147</v>
      </c>
      <c r="C340" s="40">
        <v>5.0999999999999996</v>
      </c>
      <c r="D340" s="113"/>
    </row>
    <row r="341" spans="1:4" ht="31.5" outlineLevel="1">
      <c r="A341" s="40" t="s">
        <v>1031</v>
      </c>
      <c r="B341" s="41" t="s">
        <v>1</v>
      </c>
      <c r="C341" s="40">
        <v>5.2</v>
      </c>
      <c r="D341" s="113"/>
    </row>
    <row r="342" spans="1:4" ht="31.5" outlineLevel="1">
      <c r="A342" s="40" t="s">
        <v>1031</v>
      </c>
      <c r="B342" s="41" t="s">
        <v>5</v>
      </c>
      <c r="C342" s="40">
        <v>5.26</v>
      </c>
      <c r="D342" s="113"/>
    </row>
    <row r="343" spans="1:4" ht="31.5" outlineLevel="1">
      <c r="A343" s="40" t="s">
        <v>1031</v>
      </c>
      <c r="B343" s="41" t="s">
        <v>1148</v>
      </c>
      <c r="C343" s="40">
        <v>5.38</v>
      </c>
      <c r="D343" s="113"/>
    </row>
    <row r="344" spans="1:4" ht="31.5" outlineLevel="1">
      <c r="A344" s="40" t="s">
        <v>1031</v>
      </c>
      <c r="B344" s="41" t="s">
        <v>1149</v>
      </c>
      <c r="C344" s="40">
        <v>5.39</v>
      </c>
      <c r="D344" s="113"/>
    </row>
    <row r="345" spans="1:4" ht="31.5" outlineLevel="1">
      <c r="A345" s="40" t="s">
        <v>1031</v>
      </c>
      <c r="B345" s="41" t="s">
        <v>1150</v>
      </c>
      <c r="C345" s="42">
        <v>5.6</v>
      </c>
      <c r="D345" s="113"/>
    </row>
    <row r="346" spans="1:4" ht="31.5" outlineLevel="1">
      <c r="A346" s="40" t="s">
        <v>1031</v>
      </c>
      <c r="B346" s="41" t="s">
        <v>25</v>
      </c>
      <c r="C346" s="40">
        <v>5.48</v>
      </c>
      <c r="D346" s="113"/>
    </row>
    <row r="347" spans="1:4" ht="31.5">
      <c r="A347" s="46" t="s">
        <v>1031</v>
      </c>
      <c r="B347" s="41"/>
      <c r="C347" s="40"/>
      <c r="D347" s="113"/>
    </row>
    <row r="348" spans="1:4" ht="31.5" outlineLevel="1">
      <c r="A348" s="40" t="s">
        <v>1035</v>
      </c>
      <c r="B348" s="41" t="s">
        <v>0</v>
      </c>
      <c r="C348" s="40">
        <v>5.0999999999999996</v>
      </c>
      <c r="D348" s="113"/>
    </row>
    <row r="349" spans="1:4" ht="31.5" outlineLevel="1">
      <c r="A349" s="40" t="s">
        <v>1035</v>
      </c>
      <c r="B349" s="41" t="s">
        <v>1</v>
      </c>
      <c r="C349" s="40">
        <v>5.2</v>
      </c>
      <c r="D349" s="113"/>
    </row>
    <row r="350" spans="1:4" ht="31.5" outlineLevel="1">
      <c r="A350" s="40" t="s">
        <v>1035</v>
      </c>
      <c r="B350" s="41" t="s">
        <v>2</v>
      </c>
      <c r="C350" s="40">
        <v>5.3</v>
      </c>
      <c r="D350" s="113"/>
    </row>
    <row r="351" spans="1:4" ht="31.5" outlineLevel="1">
      <c r="A351" s="40" t="s">
        <v>1035</v>
      </c>
      <c r="B351" s="41" t="s">
        <v>169</v>
      </c>
      <c r="C351" s="40">
        <v>5.6</v>
      </c>
      <c r="D351" s="113"/>
    </row>
    <row r="352" spans="1:4" ht="31.5" outlineLevel="1">
      <c r="A352" s="40" t="s">
        <v>1035</v>
      </c>
      <c r="B352" s="41" t="s">
        <v>1137</v>
      </c>
      <c r="C352" s="42">
        <v>5.0999999999999996</v>
      </c>
      <c r="D352" s="113"/>
    </row>
    <row r="353" spans="1:4" ht="31.5" outlineLevel="1">
      <c r="A353" s="40" t="s">
        <v>1035</v>
      </c>
      <c r="B353" s="41" t="s">
        <v>1136</v>
      </c>
      <c r="C353" s="40">
        <v>5.14</v>
      </c>
      <c r="D353" s="113"/>
    </row>
    <row r="354" spans="1:4" ht="31.5" outlineLevel="1">
      <c r="A354" s="40" t="s">
        <v>1035</v>
      </c>
      <c r="B354" s="41" t="s">
        <v>4</v>
      </c>
      <c r="C354" s="40">
        <v>5.19</v>
      </c>
      <c r="D354" s="113"/>
    </row>
    <row r="355" spans="1:4" ht="31.5" outlineLevel="1">
      <c r="A355" s="40" t="s">
        <v>1035</v>
      </c>
      <c r="B355" s="41" t="s">
        <v>171</v>
      </c>
      <c r="C355" s="40">
        <v>5.24</v>
      </c>
      <c r="D355" s="113"/>
    </row>
    <row r="356" spans="1:4" ht="31.5" outlineLevel="1">
      <c r="A356" s="40" t="s">
        <v>1035</v>
      </c>
      <c r="B356" s="41" t="s">
        <v>5</v>
      </c>
      <c r="C356" s="40">
        <v>5.26</v>
      </c>
      <c r="D356" s="113"/>
    </row>
    <row r="357" spans="1:4" ht="31.5" outlineLevel="1">
      <c r="A357" s="40" t="s">
        <v>1035</v>
      </c>
      <c r="B357" s="41" t="s">
        <v>6</v>
      </c>
      <c r="C357" s="40">
        <v>5.27</v>
      </c>
      <c r="D357" s="113"/>
    </row>
    <row r="358" spans="1:4" ht="31.5" outlineLevel="1">
      <c r="A358" s="40" t="s">
        <v>1035</v>
      </c>
      <c r="B358" s="41" t="s">
        <v>7</v>
      </c>
      <c r="C358" s="40">
        <v>5.28</v>
      </c>
      <c r="D358" s="113"/>
    </row>
    <row r="359" spans="1:4" ht="31.5" outlineLevel="1">
      <c r="A359" s="40" t="s">
        <v>1035</v>
      </c>
      <c r="B359" s="41" t="s">
        <v>172</v>
      </c>
      <c r="C359" s="40">
        <v>5.31</v>
      </c>
      <c r="D359" s="113"/>
    </row>
    <row r="360" spans="1:4" ht="31.5" outlineLevel="1">
      <c r="A360" s="40" t="s">
        <v>1035</v>
      </c>
      <c r="B360" s="41" t="s">
        <v>149</v>
      </c>
      <c r="C360" s="40">
        <v>5.36</v>
      </c>
      <c r="D360" s="113"/>
    </row>
    <row r="361" spans="1:4" ht="31.5" outlineLevel="1">
      <c r="A361" s="40" t="s">
        <v>1035</v>
      </c>
      <c r="B361" s="41" t="s">
        <v>180</v>
      </c>
      <c r="C361" s="40">
        <v>5.37</v>
      </c>
      <c r="D361" s="113"/>
    </row>
    <row r="362" spans="1:4" ht="31.5" outlineLevel="1">
      <c r="A362" s="40" t="s">
        <v>1035</v>
      </c>
      <c r="B362" s="41" t="s">
        <v>9</v>
      </c>
      <c r="C362" s="40">
        <v>5.49</v>
      </c>
      <c r="D362" s="113"/>
    </row>
    <row r="363" spans="1:4" ht="31.5" outlineLevel="1">
      <c r="A363" s="40" t="s">
        <v>1035</v>
      </c>
      <c r="B363" s="41" t="s">
        <v>10</v>
      </c>
      <c r="C363" s="40">
        <v>5.51</v>
      </c>
      <c r="D363" s="113"/>
    </row>
    <row r="364" spans="1:4" ht="31.5" outlineLevel="1">
      <c r="A364" s="40" t="s">
        <v>1035</v>
      </c>
      <c r="B364" s="41" t="s">
        <v>1138</v>
      </c>
      <c r="C364" s="40">
        <v>5.52</v>
      </c>
      <c r="D364" s="113"/>
    </row>
    <row r="365" spans="1:4" ht="31.5" outlineLevel="1">
      <c r="A365" s="40" t="s">
        <v>1035</v>
      </c>
      <c r="B365" s="41" t="s">
        <v>11</v>
      </c>
      <c r="C365" s="40">
        <v>5.53</v>
      </c>
      <c r="D365" s="113"/>
    </row>
    <row r="366" spans="1:4" ht="31.5" outlineLevel="1">
      <c r="A366" s="40" t="s">
        <v>1035</v>
      </c>
      <c r="B366" s="41" t="s">
        <v>12</v>
      </c>
      <c r="C366" s="40">
        <v>5.69</v>
      </c>
      <c r="D366" s="113"/>
    </row>
    <row r="367" spans="1:4" ht="31.5" outlineLevel="1">
      <c r="A367" s="40" t="s">
        <v>1035</v>
      </c>
      <c r="B367" s="41" t="s">
        <v>775</v>
      </c>
      <c r="C367" s="42">
        <v>5.8</v>
      </c>
      <c r="D367" s="113"/>
    </row>
    <row r="368" spans="1:4" ht="31.5" outlineLevel="1">
      <c r="A368" s="40" t="s">
        <v>1035</v>
      </c>
      <c r="B368" s="41" t="s">
        <v>932</v>
      </c>
      <c r="C368" s="42">
        <v>5.72</v>
      </c>
      <c r="D368" s="113"/>
    </row>
    <row r="369" spans="1:4" ht="31.5" outlineLevel="1">
      <c r="A369" s="40" t="s">
        <v>1035</v>
      </c>
      <c r="B369" s="41" t="s">
        <v>13</v>
      </c>
      <c r="C369" s="40">
        <v>5.75</v>
      </c>
      <c r="D369" s="113"/>
    </row>
    <row r="370" spans="1:4" ht="31.5" outlineLevel="1">
      <c r="A370" s="40" t="s">
        <v>1035</v>
      </c>
      <c r="B370" s="41" t="s">
        <v>14</v>
      </c>
      <c r="C370" s="42">
        <v>5.7</v>
      </c>
      <c r="D370" s="113"/>
    </row>
    <row r="371" spans="1:4" ht="31.5" outlineLevel="1">
      <c r="A371" s="40" t="s">
        <v>1035</v>
      </c>
      <c r="B371" s="41" t="s">
        <v>15</v>
      </c>
      <c r="C371" s="40">
        <v>5.74</v>
      </c>
      <c r="D371" s="113"/>
    </row>
    <row r="372" spans="1:4" ht="31.5" outlineLevel="1">
      <c r="A372" s="40" t="s">
        <v>1035</v>
      </c>
      <c r="B372" s="41" t="s">
        <v>432</v>
      </c>
      <c r="C372" s="40">
        <v>5.76</v>
      </c>
      <c r="D372" s="113"/>
    </row>
    <row r="373" spans="1:4" ht="31.5" outlineLevel="1">
      <c r="A373" s="40" t="s">
        <v>1035</v>
      </c>
      <c r="B373" s="41" t="s">
        <v>853</v>
      </c>
      <c r="C373" s="40">
        <v>5.89</v>
      </c>
      <c r="D373" s="112" t="s">
        <v>1135</v>
      </c>
    </row>
    <row r="374" spans="1:4" ht="31.5" outlineLevel="1">
      <c r="A374" s="40" t="s">
        <v>1035</v>
      </c>
      <c r="B374" s="41" t="s">
        <v>173</v>
      </c>
      <c r="C374" s="40">
        <v>5.109</v>
      </c>
      <c r="D374" s="112"/>
    </row>
    <row r="375" spans="1:4" ht="31.5" outlineLevel="1">
      <c r="A375" s="40" t="s">
        <v>1035</v>
      </c>
      <c r="B375" s="41" t="s">
        <v>174</v>
      </c>
      <c r="C375" s="40">
        <v>5.1109999999999998</v>
      </c>
      <c r="D375" s="113"/>
    </row>
    <row r="376" spans="1:4" ht="31.5" outlineLevel="1">
      <c r="A376" s="40" t="s">
        <v>1035</v>
      </c>
      <c r="B376" s="41" t="s">
        <v>158</v>
      </c>
      <c r="C376" s="40">
        <v>5.1120000000000001</v>
      </c>
      <c r="D376" s="113"/>
    </row>
    <row r="377" spans="1:4" ht="31.5" outlineLevel="1">
      <c r="A377" s="40" t="s">
        <v>1035</v>
      </c>
      <c r="B377" s="41" t="s">
        <v>1151</v>
      </c>
      <c r="C377" s="40">
        <v>5.1130000000000004</v>
      </c>
      <c r="D377" s="113"/>
    </row>
    <row r="378" spans="1:4" ht="31.5" outlineLevel="1">
      <c r="A378" s="40" t="s">
        <v>1035</v>
      </c>
      <c r="B378" s="41" t="s">
        <v>17</v>
      </c>
      <c r="C378" s="40">
        <v>5.58</v>
      </c>
      <c r="D378" s="113"/>
    </row>
    <row r="379" spans="1:4" ht="31.5" outlineLevel="1">
      <c r="A379" s="40" t="s">
        <v>1035</v>
      </c>
      <c r="B379" s="41" t="s">
        <v>18</v>
      </c>
      <c r="C379" s="40">
        <v>5.54</v>
      </c>
      <c r="D379" s="113"/>
    </row>
    <row r="380" spans="1:4" ht="31.5" outlineLevel="1">
      <c r="A380" s="40" t="s">
        <v>1035</v>
      </c>
      <c r="B380" s="41" t="s">
        <v>19</v>
      </c>
      <c r="C380" s="40">
        <v>5.55</v>
      </c>
      <c r="D380" s="113"/>
    </row>
    <row r="381" spans="1:4" ht="31.5" outlineLevel="1">
      <c r="A381" s="40" t="s">
        <v>1035</v>
      </c>
      <c r="B381" s="41" t="s">
        <v>20</v>
      </c>
      <c r="C381" s="40">
        <v>5.63</v>
      </c>
      <c r="D381" s="113"/>
    </row>
    <row r="382" spans="1:4" ht="31.5" outlineLevel="1">
      <c r="A382" s="40" t="s">
        <v>1035</v>
      </c>
      <c r="B382" s="41" t="s">
        <v>21</v>
      </c>
      <c r="C382" s="40">
        <v>5.65</v>
      </c>
      <c r="D382" s="113"/>
    </row>
    <row r="383" spans="1:4" ht="31.5" outlineLevel="1">
      <c r="A383" s="40" t="s">
        <v>1035</v>
      </c>
      <c r="B383" s="41" t="s">
        <v>188</v>
      </c>
      <c r="C383" s="40">
        <v>5.66</v>
      </c>
      <c r="D383" s="113"/>
    </row>
    <row r="384" spans="1:4" ht="31.5" outlineLevel="1">
      <c r="A384" s="40" t="s">
        <v>1035</v>
      </c>
      <c r="B384" s="41" t="s">
        <v>22</v>
      </c>
      <c r="C384" s="40">
        <v>5.68</v>
      </c>
      <c r="D384" s="113"/>
    </row>
    <row r="385" spans="1:4" ht="31.5" outlineLevel="1">
      <c r="A385" s="40" t="s">
        <v>1035</v>
      </c>
      <c r="B385" s="41" t="s">
        <v>24</v>
      </c>
      <c r="C385" s="40">
        <v>5.47</v>
      </c>
      <c r="D385" s="113"/>
    </row>
    <row r="386" spans="1:4" ht="31.5" outlineLevel="1">
      <c r="A386" s="40" t="s">
        <v>1035</v>
      </c>
      <c r="B386" s="41" t="s">
        <v>25</v>
      </c>
      <c r="C386" s="40">
        <v>5.48</v>
      </c>
      <c r="D386" s="113"/>
    </row>
    <row r="387" spans="1:4" ht="31.5">
      <c r="A387" s="46" t="s">
        <v>1035</v>
      </c>
      <c r="B387" s="41"/>
      <c r="C387" s="40"/>
      <c r="D387" s="113"/>
    </row>
    <row r="388" spans="1:4" ht="15.75" outlineLevel="1">
      <c r="A388" s="40" t="s">
        <v>1037</v>
      </c>
      <c r="B388" s="41" t="s">
        <v>0</v>
      </c>
      <c r="C388" s="40">
        <v>5.0999999999999996</v>
      </c>
      <c r="D388" s="113"/>
    </row>
    <row r="389" spans="1:4" ht="15.75" outlineLevel="1">
      <c r="A389" s="40" t="s">
        <v>1037</v>
      </c>
      <c r="B389" s="41" t="s">
        <v>1</v>
      </c>
      <c r="C389" s="40">
        <v>5.2</v>
      </c>
      <c r="D389" s="113"/>
    </row>
    <row r="390" spans="1:4" ht="15.75" outlineLevel="1">
      <c r="A390" s="40" t="s">
        <v>1037</v>
      </c>
      <c r="B390" s="41" t="s">
        <v>2</v>
      </c>
      <c r="C390" s="40">
        <v>5.3</v>
      </c>
      <c r="D390" s="113"/>
    </row>
    <row r="391" spans="1:4" ht="15.75" outlineLevel="1">
      <c r="A391" s="40" t="s">
        <v>1037</v>
      </c>
      <c r="B391" s="41" t="s">
        <v>169</v>
      </c>
      <c r="C391" s="40">
        <v>5.6</v>
      </c>
      <c r="D391" s="113"/>
    </row>
    <row r="392" spans="1:4" ht="15.75" outlineLevel="1">
      <c r="A392" s="40" t="s">
        <v>1037</v>
      </c>
      <c r="B392" s="41" t="s">
        <v>1137</v>
      </c>
      <c r="C392" s="42">
        <v>5.0999999999999996</v>
      </c>
      <c r="D392" s="113"/>
    </row>
    <row r="393" spans="1:4" ht="15.75" outlineLevel="1">
      <c r="A393" s="40" t="s">
        <v>1037</v>
      </c>
      <c r="B393" s="41" t="s">
        <v>1136</v>
      </c>
      <c r="C393" s="40">
        <v>5.14</v>
      </c>
      <c r="D393" s="113"/>
    </row>
    <row r="394" spans="1:4" ht="15.75" outlineLevel="1">
      <c r="A394" s="40" t="s">
        <v>1037</v>
      </c>
      <c r="B394" s="41" t="s">
        <v>4</v>
      </c>
      <c r="C394" s="40">
        <v>5.19</v>
      </c>
      <c r="D394" s="113"/>
    </row>
    <row r="395" spans="1:4" ht="15.75" outlineLevel="1">
      <c r="A395" s="40" t="s">
        <v>1037</v>
      </c>
      <c r="B395" s="41" t="s">
        <v>171</v>
      </c>
      <c r="C395" s="40">
        <v>5.24</v>
      </c>
      <c r="D395" s="113"/>
    </row>
    <row r="396" spans="1:4" ht="15.75" outlineLevel="1">
      <c r="A396" s="40" t="s">
        <v>1037</v>
      </c>
      <c r="B396" s="41" t="s">
        <v>5</v>
      </c>
      <c r="C396" s="40">
        <v>5.26</v>
      </c>
      <c r="D396" s="113"/>
    </row>
    <row r="397" spans="1:4" ht="15.75" outlineLevel="1">
      <c r="A397" s="40" t="s">
        <v>1037</v>
      </c>
      <c r="B397" s="41" t="s">
        <v>6</v>
      </c>
      <c r="C397" s="40">
        <v>5.27</v>
      </c>
      <c r="D397" s="113"/>
    </row>
    <row r="398" spans="1:4" ht="15.75" outlineLevel="1">
      <c r="A398" s="40" t="s">
        <v>1037</v>
      </c>
      <c r="B398" s="41" t="s">
        <v>7</v>
      </c>
      <c r="C398" s="40">
        <v>5.28</v>
      </c>
      <c r="D398" s="113"/>
    </row>
    <row r="399" spans="1:4" ht="15.75" outlineLevel="1">
      <c r="A399" s="40" t="s">
        <v>1037</v>
      </c>
      <c r="B399" s="41" t="s">
        <v>347</v>
      </c>
      <c r="C399" s="40">
        <v>5.29</v>
      </c>
      <c r="D399" s="113"/>
    </row>
    <row r="400" spans="1:4" ht="15.75" outlineLevel="1">
      <c r="A400" s="40" t="s">
        <v>1037</v>
      </c>
      <c r="B400" s="41" t="s">
        <v>172</v>
      </c>
      <c r="C400" s="40">
        <v>5.31</v>
      </c>
      <c r="D400" s="113"/>
    </row>
    <row r="401" spans="1:4" ht="15.75" outlineLevel="1">
      <c r="A401" s="40" t="s">
        <v>1037</v>
      </c>
      <c r="B401" s="41" t="s">
        <v>149</v>
      </c>
      <c r="C401" s="40">
        <v>5.36</v>
      </c>
      <c r="D401" s="113"/>
    </row>
    <row r="402" spans="1:4" ht="15.75" outlineLevel="1">
      <c r="A402" s="40" t="s">
        <v>1037</v>
      </c>
      <c r="B402" s="41" t="s">
        <v>180</v>
      </c>
      <c r="C402" s="40">
        <v>5.37</v>
      </c>
      <c r="D402" s="113"/>
    </row>
    <row r="403" spans="1:4" ht="15.75" outlineLevel="1">
      <c r="A403" s="40" t="s">
        <v>1037</v>
      </c>
      <c r="B403" s="41" t="s">
        <v>9</v>
      </c>
      <c r="C403" s="40">
        <v>5.49</v>
      </c>
      <c r="D403" s="113"/>
    </row>
    <row r="404" spans="1:4" ht="15.75" outlineLevel="1">
      <c r="A404" s="40" t="s">
        <v>1037</v>
      </c>
      <c r="B404" s="41" t="s">
        <v>10</v>
      </c>
      <c r="C404" s="40">
        <v>5.51</v>
      </c>
      <c r="D404" s="113"/>
    </row>
    <row r="405" spans="1:4" ht="15.75" outlineLevel="1">
      <c r="A405" s="40" t="s">
        <v>1037</v>
      </c>
      <c r="B405" s="41" t="s">
        <v>1138</v>
      </c>
      <c r="C405" s="40">
        <v>5.52</v>
      </c>
      <c r="D405" s="113"/>
    </row>
    <row r="406" spans="1:4" ht="15.75" outlineLevel="1">
      <c r="A406" s="40" t="s">
        <v>1037</v>
      </c>
      <c r="B406" s="41" t="s">
        <v>11</v>
      </c>
      <c r="C406" s="40">
        <v>5.53</v>
      </c>
      <c r="D406" s="113"/>
    </row>
    <row r="407" spans="1:4" ht="15.75" outlineLevel="1">
      <c r="A407" s="40" t="s">
        <v>1037</v>
      </c>
      <c r="B407" s="41" t="s">
        <v>12</v>
      </c>
      <c r="C407" s="40">
        <v>5.69</v>
      </c>
      <c r="D407" s="113"/>
    </row>
    <row r="408" spans="1:4" ht="15.75" outlineLevel="1">
      <c r="A408" s="40" t="s">
        <v>1037</v>
      </c>
      <c r="B408" s="41" t="s">
        <v>13</v>
      </c>
      <c r="C408" s="40">
        <v>5.75</v>
      </c>
      <c r="D408" s="113"/>
    </row>
    <row r="409" spans="1:4" ht="15.75" outlineLevel="1">
      <c r="A409" s="40" t="s">
        <v>1037</v>
      </c>
      <c r="B409" s="41" t="s">
        <v>15</v>
      </c>
      <c r="C409" s="40">
        <v>5.74</v>
      </c>
      <c r="D409" s="113"/>
    </row>
    <row r="410" spans="1:4" ht="15.75" outlineLevel="1">
      <c r="A410" s="40" t="s">
        <v>1037</v>
      </c>
      <c r="B410" s="41" t="s">
        <v>14</v>
      </c>
      <c r="C410" s="42">
        <v>5.7</v>
      </c>
      <c r="D410" s="113"/>
    </row>
    <row r="411" spans="1:4" ht="15.75" outlineLevel="1">
      <c r="A411" s="40" t="s">
        <v>1037</v>
      </c>
      <c r="B411" s="41" t="s">
        <v>432</v>
      </c>
      <c r="C411" s="40">
        <v>5.76</v>
      </c>
      <c r="D411" s="113"/>
    </row>
    <row r="412" spans="1:4" ht="15.75" outlineLevel="1">
      <c r="A412" s="40" t="s">
        <v>1037</v>
      </c>
      <c r="B412" s="41" t="s">
        <v>853</v>
      </c>
      <c r="C412" s="40">
        <v>5.89</v>
      </c>
      <c r="D412" s="112" t="s">
        <v>1135</v>
      </c>
    </row>
    <row r="413" spans="1:4" ht="15.75" outlineLevel="1">
      <c r="A413" s="40" t="s">
        <v>1037</v>
      </c>
      <c r="B413" s="41" t="s">
        <v>173</v>
      </c>
      <c r="C413" s="40">
        <v>5.109</v>
      </c>
      <c r="D413" s="113"/>
    </row>
    <row r="414" spans="1:4" ht="15.75" outlineLevel="1">
      <c r="A414" s="40" t="s">
        <v>1037</v>
      </c>
      <c r="B414" s="41" t="s">
        <v>174</v>
      </c>
      <c r="C414" s="40">
        <v>5.1109999999999998</v>
      </c>
      <c r="D414" s="113"/>
    </row>
    <row r="415" spans="1:4" ht="15.75" outlineLevel="1">
      <c r="A415" s="40" t="s">
        <v>1037</v>
      </c>
      <c r="B415" s="41" t="s">
        <v>158</v>
      </c>
      <c r="C415" s="40">
        <v>5.1120000000000001</v>
      </c>
      <c r="D415" s="113"/>
    </row>
    <row r="416" spans="1:4" ht="15.75" outlineLevel="1">
      <c r="A416" s="40" t="s">
        <v>1037</v>
      </c>
      <c r="B416" s="41" t="s">
        <v>1151</v>
      </c>
      <c r="C416" s="40">
        <v>5.1130000000000004</v>
      </c>
      <c r="D416" s="113"/>
    </row>
    <row r="417" spans="1:4" ht="15.75" outlineLevel="1">
      <c r="A417" s="40" t="s">
        <v>1037</v>
      </c>
      <c r="B417" s="41" t="s">
        <v>17</v>
      </c>
      <c r="C417" s="40">
        <v>5.58</v>
      </c>
      <c r="D417" s="113"/>
    </row>
    <row r="418" spans="1:4" ht="15.75" outlineLevel="1">
      <c r="A418" s="40" t="s">
        <v>1037</v>
      </c>
      <c r="B418" s="41" t="s">
        <v>18</v>
      </c>
      <c r="C418" s="40">
        <v>5.54</v>
      </c>
      <c r="D418" s="113"/>
    </row>
    <row r="419" spans="1:4" ht="15.75" outlineLevel="1">
      <c r="A419" s="40" t="s">
        <v>1037</v>
      </c>
      <c r="B419" s="41" t="s">
        <v>19</v>
      </c>
      <c r="C419" s="40">
        <v>5.55</v>
      </c>
      <c r="D419" s="113"/>
    </row>
    <row r="420" spans="1:4" ht="15.75" outlineLevel="1">
      <c r="A420" s="40" t="s">
        <v>1037</v>
      </c>
      <c r="B420" s="41" t="s">
        <v>20</v>
      </c>
      <c r="C420" s="40">
        <v>5.63</v>
      </c>
      <c r="D420" s="113"/>
    </row>
    <row r="421" spans="1:4" ht="15.75" outlineLevel="1">
      <c r="A421" s="40" t="s">
        <v>1037</v>
      </c>
      <c r="B421" s="41" t="s">
        <v>21</v>
      </c>
      <c r="C421" s="40">
        <v>5.65</v>
      </c>
      <c r="D421" s="113"/>
    </row>
    <row r="422" spans="1:4" ht="15.75" outlineLevel="1">
      <c r="A422" s="40" t="s">
        <v>1037</v>
      </c>
      <c r="B422" s="41" t="s">
        <v>188</v>
      </c>
      <c r="C422" s="40">
        <v>5.66</v>
      </c>
      <c r="D422" s="113"/>
    </row>
    <row r="423" spans="1:4" ht="15.75" outlineLevel="1">
      <c r="A423" s="40" t="s">
        <v>1037</v>
      </c>
      <c r="B423" s="41" t="s">
        <v>22</v>
      </c>
      <c r="C423" s="40">
        <v>5.68</v>
      </c>
      <c r="D423" s="113"/>
    </row>
    <row r="424" spans="1:4" ht="15.75" outlineLevel="1">
      <c r="A424" s="40" t="s">
        <v>1037</v>
      </c>
      <c r="B424" s="41" t="s">
        <v>24</v>
      </c>
      <c r="C424" s="40">
        <v>5.47</v>
      </c>
      <c r="D424" s="113"/>
    </row>
    <row r="425" spans="1:4" ht="15.75" outlineLevel="1">
      <c r="A425" s="40" t="s">
        <v>1037</v>
      </c>
      <c r="B425" s="41" t="s">
        <v>25</v>
      </c>
      <c r="C425" s="40">
        <v>5.48</v>
      </c>
      <c r="D425" s="113"/>
    </row>
    <row r="426" spans="1:4" ht="15.75">
      <c r="A426" s="46" t="s">
        <v>1037</v>
      </c>
      <c r="B426" s="41"/>
      <c r="C426" s="40"/>
      <c r="D426" s="113"/>
    </row>
    <row r="427" spans="1:4" ht="15.75" outlineLevel="1">
      <c r="A427" s="40" t="s">
        <v>1152</v>
      </c>
      <c r="B427" s="41" t="s">
        <v>0</v>
      </c>
      <c r="C427" s="40">
        <v>5.0999999999999996</v>
      </c>
      <c r="D427" s="113"/>
    </row>
    <row r="428" spans="1:4" ht="15.75" outlineLevel="1">
      <c r="A428" s="40" t="s">
        <v>1152</v>
      </c>
      <c r="B428" s="41" t="s">
        <v>1</v>
      </c>
      <c r="C428" s="40">
        <v>5.2</v>
      </c>
      <c r="D428" s="113"/>
    </row>
    <row r="429" spans="1:4" ht="15.75" outlineLevel="1">
      <c r="A429" s="40" t="s">
        <v>1152</v>
      </c>
      <c r="B429" s="41" t="s">
        <v>2</v>
      </c>
      <c r="C429" s="40">
        <v>5.3</v>
      </c>
      <c r="D429" s="113"/>
    </row>
    <row r="430" spans="1:4" ht="15.75" outlineLevel="1">
      <c r="A430" s="40" t="s">
        <v>1152</v>
      </c>
      <c r="B430" s="41" t="s">
        <v>169</v>
      </c>
      <c r="C430" s="40">
        <v>5.6</v>
      </c>
      <c r="D430" s="113"/>
    </row>
    <row r="431" spans="1:4" ht="15.75" outlineLevel="1">
      <c r="A431" s="40" t="s">
        <v>1152</v>
      </c>
      <c r="B431" s="41" t="s">
        <v>1137</v>
      </c>
      <c r="C431" s="42">
        <v>5.0999999999999996</v>
      </c>
      <c r="D431" s="113"/>
    </row>
    <row r="432" spans="1:4" ht="15.75" outlineLevel="1">
      <c r="A432" s="40" t="s">
        <v>1152</v>
      </c>
      <c r="B432" s="41" t="s">
        <v>1136</v>
      </c>
      <c r="C432" s="40">
        <v>5.14</v>
      </c>
      <c r="D432" s="113"/>
    </row>
    <row r="433" spans="1:4" ht="15.75" outlineLevel="1">
      <c r="A433" s="40" t="s">
        <v>1152</v>
      </c>
      <c r="B433" s="41" t="s">
        <v>4</v>
      </c>
      <c r="C433" s="40">
        <v>5.19</v>
      </c>
      <c r="D433" s="113"/>
    </row>
    <row r="434" spans="1:4" ht="15.75" outlineLevel="1">
      <c r="A434" s="40" t="s">
        <v>1152</v>
      </c>
      <c r="B434" s="41" t="s">
        <v>171</v>
      </c>
      <c r="C434" s="40">
        <v>5.24</v>
      </c>
      <c r="D434" s="113"/>
    </row>
    <row r="435" spans="1:4" ht="15.75" outlineLevel="1">
      <c r="A435" s="40" t="s">
        <v>1152</v>
      </c>
      <c r="B435" s="41" t="s">
        <v>5</v>
      </c>
      <c r="C435" s="40">
        <v>5.26</v>
      </c>
      <c r="D435" s="113"/>
    </row>
    <row r="436" spans="1:4" ht="15.75" outlineLevel="1">
      <c r="A436" s="40" t="s">
        <v>1152</v>
      </c>
      <c r="B436" s="41" t="s">
        <v>6</v>
      </c>
      <c r="C436" s="40">
        <v>5.27</v>
      </c>
      <c r="D436" s="113"/>
    </row>
    <row r="437" spans="1:4" ht="15.75" outlineLevel="1">
      <c r="A437" s="40" t="s">
        <v>1152</v>
      </c>
      <c r="B437" s="41" t="s">
        <v>7</v>
      </c>
      <c r="C437" s="40">
        <v>5.28</v>
      </c>
      <c r="D437" s="113"/>
    </row>
    <row r="438" spans="1:4" ht="15.75" outlineLevel="1">
      <c r="A438" s="40" t="s">
        <v>1152</v>
      </c>
      <c r="B438" s="41" t="s">
        <v>347</v>
      </c>
      <c r="C438" s="40">
        <v>5.29</v>
      </c>
      <c r="D438" s="113"/>
    </row>
    <row r="439" spans="1:4" ht="15.75" outlineLevel="1">
      <c r="A439" s="40" t="s">
        <v>1152</v>
      </c>
      <c r="B439" s="41" t="s">
        <v>172</v>
      </c>
      <c r="C439" s="40">
        <v>5.31</v>
      </c>
      <c r="D439" s="113"/>
    </row>
    <row r="440" spans="1:4" ht="15.75" outlineLevel="1">
      <c r="A440" s="40" t="s">
        <v>1152</v>
      </c>
      <c r="B440" s="41" t="s">
        <v>149</v>
      </c>
      <c r="C440" s="40">
        <v>5.36</v>
      </c>
      <c r="D440" s="113"/>
    </row>
    <row r="441" spans="1:4" ht="15.75" outlineLevel="1">
      <c r="A441" s="40" t="s">
        <v>1152</v>
      </c>
      <c r="B441" s="41" t="s">
        <v>180</v>
      </c>
      <c r="C441" s="40">
        <v>5.37</v>
      </c>
      <c r="D441" s="113"/>
    </row>
    <row r="442" spans="1:4" ht="15.75" outlineLevel="1">
      <c r="A442" s="40" t="s">
        <v>1152</v>
      </c>
      <c r="B442" s="41" t="s">
        <v>11</v>
      </c>
      <c r="C442" s="40">
        <v>5.53</v>
      </c>
      <c r="D442" s="113"/>
    </row>
    <row r="443" spans="1:4" ht="15.75" outlineLevel="1">
      <c r="A443" s="40" t="s">
        <v>1152</v>
      </c>
      <c r="B443" s="41" t="s">
        <v>173</v>
      </c>
      <c r="C443" s="40">
        <v>5.109</v>
      </c>
      <c r="D443" s="113"/>
    </row>
    <row r="444" spans="1:4" ht="15.75" outlineLevel="1">
      <c r="A444" s="40" t="s">
        <v>1152</v>
      </c>
      <c r="B444" s="41" t="s">
        <v>174</v>
      </c>
      <c r="C444" s="40">
        <v>5.1109999999999998</v>
      </c>
      <c r="D444" s="113"/>
    </row>
    <row r="445" spans="1:4" ht="15.75" outlineLevel="1">
      <c r="A445" s="40" t="s">
        <v>1152</v>
      </c>
      <c r="B445" s="41" t="s">
        <v>158</v>
      </c>
      <c r="C445" s="40">
        <v>5.1120000000000001</v>
      </c>
      <c r="D445" s="113"/>
    </row>
    <row r="446" spans="1:4" ht="15.75" outlineLevel="1">
      <c r="A446" s="40" t="s">
        <v>1152</v>
      </c>
      <c r="B446" s="41" t="s">
        <v>1151</v>
      </c>
      <c r="C446" s="40">
        <v>5.1130000000000004</v>
      </c>
      <c r="D446" s="113"/>
    </row>
    <row r="447" spans="1:4" ht="15.75" outlineLevel="1">
      <c r="A447" s="40" t="s">
        <v>1152</v>
      </c>
      <c r="B447" s="41" t="s">
        <v>17</v>
      </c>
      <c r="C447" s="40">
        <v>5.58</v>
      </c>
      <c r="D447" s="113"/>
    </row>
    <row r="448" spans="1:4" ht="15.75" outlineLevel="1">
      <c r="A448" s="40" t="s">
        <v>1152</v>
      </c>
      <c r="B448" s="41" t="s">
        <v>18</v>
      </c>
      <c r="C448" s="40">
        <v>5.54</v>
      </c>
      <c r="D448" s="113"/>
    </row>
    <row r="449" spans="1:4" ht="15.75" outlineLevel="1">
      <c r="A449" s="40" t="s">
        <v>1152</v>
      </c>
      <c r="B449" s="41" t="s">
        <v>19</v>
      </c>
      <c r="C449" s="40">
        <v>5.55</v>
      </c>
      <c r="D449" s="113"/>
    </row>
    <row r="450" spans="1:4" ht="15.75" outlineLevel="1">
      <c r="A450" s="40" t="s">
        <v>1152</v>
      </c>
      <c r="B450" s="41" t="s">
        <v>20</v>
      </c>
      <c r="C450" s="40">
        <v>5.63</v>
      </c>
      <c r="D450" s="113"/>
    </row>
    <row r="451" spans="1:4" ht="15.75" outlineLevel="1">
      <c r="A451" s="40" t="s">
        <v>1152</v>
      </c>
      <c r="B451" s="41" t="s">
        <v>24</v>
      </c>
      <c r="C451" s="40">
        <v>5.47</v>
      </c>
      <c r="D451" s="113"/>
    </row>
    <row r="452" spans="1:4" ht="15.75" outlineLevel="1">
      <c r="A452" s="40" t="s">
        <v>1152</v>
      </c>
      <c r="B452" s="41" t="s">
        <v>25</v>
      </c>
      <c r="C452" s="40">
        <v>5.48</v>
      </c>
      <c r="D452" s="113"/>
    </row>
    <row r="453" spans="1:4" ht="31.5">
      <c r="A453" s="46" t="s">
        <v>1152</v>
      </c>
      <c r="B453" s="41"/>
      <c r="C453" s="40"/>
      <c r="D453" s="113"/>
    </row>
    <row r="454" spans="1:4" ht="15.75" outlineLevel="1">
      <c r="A454" s="40" t="s">
        <v>797</v>
      </c>
      <c r="B454" s="41" t="s">
        <v>0</v>
      </c>
      <c r="C454" s="40">
        <v>5.0999999999999996</v>
      </c>
      <c r="D454" s="113"/>
    </row>
    <row r="455" spans="1:4" ht="15.75" outlineLevel="1">
      <c r="A455" s="40" t="s">
        <v>797</v>
      </c>
      <c r="B455" s="41" t="s">
        <v>1</v>
      </c>
      <c r="C455" s="40">
        <v>5.2</v>
      </c>
      <c r="D455" s="113"/>
    </row>
    <row r="456" spans="1:4" ht="15.75" outlineLevel="1">
      <c r="A456" s="40" t="s">
        <v>797</v>
      </c>
      <c r="B456" s="41" t="s">
        <v>212</v>
      </c>
      <c r="C456" s="40">
        <v>5.5</v>
      </c>
      <c r="D456" s="113"/>
    </row>
    <row r="457" spans="1:4" ht="15.75" outlineLevel="1">
      <c r="A457" s="40" t="s">
        <v>797</v>
      </c>
      <c r="B457" s="41" t="s">
        <v>213</v>
      </c>
      <c r="C457" s="40">
        <v>5.8</v>
      </c>
      <c r="D457" s="112" t="s">
        <v>1135</v>
      </c>
    </row>
    <row r="458" spans="1:4" ht="15.75" outlineLevel="1">
      <c r="A458" s="40" t="s">
        <v>797</v>
      </c>
      <c r="B458" s="41" t="s">
        <v>214</v>
      </c>
      <c r="C458" s="40">
        <v>5.12</v>
      </c>
      <c r="D458" s="112" t="s">
        <v>1135</v>
      </c>
    </row>
    <row r="459" spans="1:4" ht="15.75" outlineLevel="1">
      <c r="A459" s="40" t="s">
        <v>797</v>
      </c>
      <c r="B459" s="41" t="s">
        <v>215</v>
      </c>
      <c r="C459" s="40">
        <v>5.15</v>
      </c>
      <c r="D459" s="113"/>
    </row>
    <row r="460" spans="1:4" ht="15.75" outlineLevel="1">
      <c r="A460" s="40" t="s">
        <v>797</v>
      </c>
      <c r="B460" s="41" t="s">
        <v>216</v>
      </c>
      <c r="C460" s="42">
        <v>5.2</v>
      </c>
      <c r="D460" s="112"/>
    </row>
    <row r="461" spans="1:4" ht="15.75" outlineLevel="1">
      <c r="A461" s="40" t="s">
        <v>797</v>
      </c>
      <c r="B461" s="41" t="s">
        <v>217</v>
      </c>
      <c r="C461" s="40">
        <v>5.25</v>
      </c>
      <c r="D461" s="113"/>
    </row>
    <row r="462" spans="1:4" ht="15.75" outlineLevel="1">
      <c r="A462" s="40" t="s">
        <v>797</v>
      </c>
      <c r="B462" s="41" t="s">
        <v>5</v>
      </c>
      <c r="C462" s="40">
        <v>5.26</v>
      </c>
      <c r="D462" s="113"/>
    </row>
    <row r="463" spans="1:4" ht="15.75" outlineLevel="1">
      <c r="A463" s="40" t="s">
        <v>797</v>
      </c>
      <c r="B463" s="41" t="s">
        <v>854</v>
      </c>
      <c r="C463" s="40">
        <v>5.1139999999999999</v>
      </c>
      <c r="D463" s="112" t="s">
        <v>1135</v>
      </c>
    </row>
    <row r="464" spans="1:4" ht="15.75" outlineLevel="1">
      <c r="A464" s="40" t="s">
        <v>797</v>
      </c>
      <c r="B464" s="41" t="s">
        <v>6</v>
      </c>
      <c r="C464" s="40">
        <v>5.27</v>
      </c>
      <c r="D464" s="113"/>
    </row>
    <row r="465" spans="1:4" ht="15.75" outlineLevel="1">
      <c r="A465" s="40" t="s">
        <v>797</v>
      </c>
      <c r="B465" s="41" t="s">
        <v>1153</v>
      </c>
      <c r="C465" s="40">
        <v>5.1150000000000002</v>
      </c>
      <c r="D465" s="112" t="s">
        <v>1135</v>
      </c>
    </row>
    <row r="466" spans="1:4" ht="15.75" outlineLevel="1">
      <c r="A466" s="40" t="s">
        <v>797</v>
      </c>
      <c r="B466" s="41" t="s">
        <v>1154</v>
      </c>
      <c r="C466" s="40">
        <v>5.1159999999999997</v>
      </c>
      <c r="D466" s="112" t="s">
        <v>1135</v>
      </c>
    </row>
    <row r="467" spans="1:4" ht="15.75" outlineLevel="1">
      <c r="A467" s="40" t="s">
        <v>797</v>
      </c>
      <c r="B467" s="41" t="s">
        <v>7</v>
      </c>
      <c r="C467" s="40">
        <v>5.28</v>
      </c>
      <c r="D467" s="113"/>
    </row>
    <row r="468" spans="1:4" ht="15.75" outlineLevel="1">
      <c r="A468" s="40" t="s">
        <v>797</v>
      </c>
      <c r="B468" s="41" t="s">
        <v>149</v>
      </c>
      <c r="C468" s="40">
        <v>5.36</v>
      </c>
      <c r="D468" s="113"/>
    </row>
    <row r="469" spans="1:4" ht="15.75" outlineLevel="1">
      <c r="A469" s="40" t="s">
        <v>797</v>
      </c>
      <c r="B469" s="41" t="s">
        <v>180</v>
      </c>
      <c r="C469" s="40">
        <v>5.37</v>
      </c>
      <c r="D469" s="113"/>
    </row>
    <row r="470" spans="1:4" ht="15.75" outlineLevel="1">
      <c r="A470" s="40" t="s">
        <v>797</v>
      </c>
      <c r="B470" s="41" t="s">
        <v>11</v>
      </c>
      <c r="C470" s="40">
        <v>5.53</v>
      </c>
      <c r="D470" s="113"/>
    </row>
    <row r="471" spans="1:4" ht="15.75" outlineLevel="1">
      <c r="A471" s="40" t="s">
        <v>797</v>
      </c>
      <c r="B471" s="41" t="s">
        <v>173</v>
      </c>
      <c r="C471" s="40">
        <v>5.109</v>
      </c>
      <c r="D471" s="113"/>
    </row>
    <row r="472" spans="1:4" ht="15.75" outlineLevel="1">
      <c r="A472" s="40" t="s">
        <v>797</v>
      </c>
      <c r="B472" s="41" t="s">
        <v>174</v>
      </c>
      <c r="C472" s="40">
        <v>5.1109999999999998</v>
      </c>
      <c r="D472" s="113"/>
    </row>
    <row r="473" spans="1:4" ht="15.75" outlineLevel="1">
      <c r="A473" s="40" t="s">
        <v>797</v>
      </c>
      <c r="B473" s="41" t="s">
        <v>158</v>
      </c>
      <c r="C473" s="40">
        <v>5.1120000000000001</v>
      </c>
      <c r="D473" s="113"/>
    </row>
    <row r="474" spans="1:4" ht="15.75" outlineLevel="1">
      <c r="A474" s="40" t="s">
        <v>797</v>
      </c>
      <c r="B474" s="41" t="s">
        <v>18</v>
      </c>
      <c r="C474" s="40">
        <v>5.54</v>
      </c>
      <c r="D474" s="113"/>
    </row>
    <row r="475" spans="1:4" ht="15.75" outlineLevel="1">
      <c r="A475" s="40" t="s">
        <v>797</v>
      </c>
      <c r="B475" s="41" t="s">
        <v>1155</v>
      </c>
      <c r="C475" s="40">
        <v>5.61</v>
      </c>
      <c r="D475" s="113"/>
    </row>
    <row r="476" spans="1:4" ht="15.75" outlineLevel="1">
      <c r="A476" s="40" t="s">
        <v>797</v>
      </c>
      <c r="B476" s="41" t="s">
        <v>20</v>
      </c>
      <c r="C476" s="40">
        <v>5.63</v>
      </c>
      <c r="D476" s="113"/>
    </row>
    <row r="477" spans="1:4" ht="15.75" outlineLevel="1">
      <c r="A477" s="40" t="s">
        <v>797</v>
      </c>
      <c r="B477" s="41" t="s">
        <v>1156</v>
      </c>
      <c r="C477" s="40">
        <v>5.46</v>
      </c>
      <c r="D477" s="113"/>
    </row>
    <row r="478" spans="1:4" ht="15.75" outlineLevel="1">
      <c r="A478" s="40" t="s">
        <v>797</v>
      </c>
      <c r="B478" s="41" t="s">
        <v>24</v>
      </c>
      <c r="C478" s="40">
        <v>5.47</v>
      </c>
      <c r="D478" s="113"/>
    </row>
    <row r="479" spans="1:4" ht="15.75" outlineLevel="1">
      <c r="A479" s="40" t="s">
        <v>797</v>
      </c>
      <c r="B479" s="41" t="s">
        <v>25</v>
      </c>
      <c r="C479" s="40">
        <v>5.48</v>
      </c>
      <c r="D479" s="113"/>
    </row>
    <row r="480" spans="1:4" ht="15.75">
      <c r="A480" s="46" t="s">
        <v>797</v>
      </c>
      <c r="B480" s="41"/>
      <c r="C480" s="40"/>
      <c r="D480" s="113"/>
    </row>
    <row r="481" spans="1:4" ht="15.75" outlineLevel="1">
      <c r="A481" s="40" t="s">
        <v>1157</v>
      </c>
      <c r="B481" s="41" t="s">
        <v>0</v>
      </c>
      <c r="C481" s="40">
        <v>5.0999999999999996</v>
      </c>
      <c r="D481" s="113"/>
    </row>
    <row r="482" spans="1:4" ht="15.75" outlineLevel="1">
      <c r="A482" s="40" t="s">
        <v>1157</v>
      </c>
      <c r="B482" s="41" t="s">
        <v>1</v>
      </c>
      <c r="C482" s="40">
        <v>5.2</v>
      </c>
      <c r="D482" s="113"/>
    </row>
    <row r="483" spans="1:4" ht="15.75" outlineLevel="1">
      <c r="A483" s="40" t="s">
        <v>1157</v>
      </c>
      <c r="B483" s="41" t="s">
        <v>2</v>
      </c>
      <c r="C483" s="40">
        <v>5.3</v>
      </c>
      <c r="D483" s="113"/>
    </row>
    <row r="484" spans="1:4" ht="15.75" outlineLevel="1">
      <c r="A484" s="40" t="s">
        <v>1157</v>
      </c>
      <c r="B484" s="41" t="s">
        <v>169</v>
      </c>
      <c r="C484" s="40">
        <v>5.6</v>
      </c>
      <c r="D484" s="113"/>
    </row>
    <row r="485" spans="1:4" ht="15.75" outlineLevel="1">
      <c r="A485" s="40" t="s">
        <v>1157</v>
      </c>
      <c r="B485" s="41" t="s">
        <v>1137</v>
      </c>
      <c r="C485" s="42">
        <v>5.0999999999999996</v>
      </c>
      <c r="D485" s="113"/>
    </row>
    <row r="486" spans="1:4" ht="15.75" outlineLevel="1">
      <c r="A486" s="40" t="s">
        <v>1157</v>
      </c>
      <c r="B486" s="41" t="s">
        <v>1136</v>
      </c>
      <c r="C486" s="40">
        <v>5.14</v>
      </c>
      <c r="D486" s="113"/>
    </row>
    <row r="487" spans="1:4" ht="15.75" outlineLevel="1">
      <c r="A487" s="40" t="s">
        <v>1157</v>
      </c>
      <c r="B487" s="41" t="s">
        <v>4</v>
      </c>
      <c r="C487" s="40">
        <v>5.19</v>
      </c>
      <c r="D487" s="113"/>
    </row>
    <row r="488" spans="1:4" ht="15.75" outlineLevel="1">
      <c r="A488" s="40" t="s">
        <v>1157</v>
      </c>
      <c r="B488" s="41" t="s">
        <v>171</v>
      </c>
      <c r="C488" s="40">
        <v>5.24</v>
      </c>
      <c r="D488" s="113"/>
    </row>
    <row r="489" spans="1:4" ht="15.75" outlineLevel="1">
      <c r="A489" s="40" t="s">
        <v>1157</v>
      </c>
      <c r="B489" s="41" t="s">
        <v>6</v>
      </c>
      <c r="C489" s="40">
        <v>5.27</v>
      </c>
      <c r="D489" s="113"/>
    </row>
    <row r="490" spans="1:4" ht="15.75" outlineLevel="1">
      <c r="A490" s="40" t="s">
        <v>1157</v>
      </c>
      <c r="B490" s="41" t="s">
        <v>7</v>
      </c>
      <c r="C490" s="40">
        <v>5.28</v>
      </c>
      <c r="D490" s="113"/>
    </row>
    <row r="491" spans="1:4" ht="15.75" outlineLevel="1">
      <c r="A491" s="40" t="s">
        <v>1157</v>
      </c>
      <c r="B491" s="41" t="s">
        <v>347</v>
      </c>
      <c r="C491" s="40">
        <v>5.29</v>
      </c>
      <c r="D491" s="113"/>
    </row>
    <row r="492" spans="1:4" ht="15.75" outlineLevel="1">
      <c r="A492" s="40" t="s">
        <v>1157</v>
      </c>
      <c r="B492" s="41" t="s">
        <v>1142</v>
      </c>
      <c r="C492" s="40">
        <v>5.34</v>
      </c>
      <c r="D492" s="113"/>
    </row>
    <row r="493" spans="1:4" ht="15.75" outlineLevel="1">
      <c r="A493" s="40" t="s">
        <v>1157</v>
      </c>
      <c r="B493" s="41" t="s">
        <v>172</v>
      </c>
      <c r="C493" s="40">
        <v>5.31</v>
      </c>
      <c r="D493" s="113"/>
    </row>
    <row r="494" spans="1:4" ht="15.75" outlineLevel="1">
      <c r="A494" s="40" t="s">
        <v>1157</v>
      </c>
      <c r="B494" s="41" t="s">
        <v>1143</v>
      </c>
      <c r="C494" s="40">
        <v>5.101</v>
      </c>
      <c r="D494" s="113"/>
    </row>
    <row r="495" spans="1:4" ht="15.75" outlineLevel="1">
      <c r="A495" s="40" t="s">
        <v>1157</v>
      </c>
      <c r="B495" s="41" t="s">
        <v>149</v>
      </c>
      <c r="C495" s="40">
        <v>5.36</v>
      </c>
      <c r="D495" s="113"/>
    </row>
    <row r="496" spans="1:4" ht="15.75" outlineLevel="1">
      <c r="A496" s="40" t="s">
        <v>1157</v>
      </c>
      <c r="B496" s="41" t="s">
        <v>180</v>
      </c>
      <c r="C496" s="40">
        <v>5.37</v>
      </c>
      <c r="D496" s="113"/>
    </row>
    <row r="497" spans="1:4" ht="15.75" outlineLevel="1">
      <c r="A497" s="40" t="s">
        <v>1157</v>
      </c>
      <c r="B497" s="41" t="s">
        <v>11</v>
      </c>
      <c r="C497" s="40">
        <v>5.53</v>
      </c>
      <c r="D497" s="113"/>
    </row>
    <row r="498" spans="1:4" ht="15.75" outlineLevel="1">
      <c r="A498" s="40" t="s">
        <v>1157</v>
      </c>
      <c r="B498" s="41" t="s">
        <v>173</v>
      </c>
      <c r="C498" s="40">
        <v>5.109</v>
      </c>
      <c r="D498" s="113"/>
    </row>
    <row r="499" spans="1:4" ht="15.75" outlineLevel="1">
      <c r="A499" s="40" t="s">
        <v>1157</v>
      </c>
      <c r="B499" s="41" t="s">
        <v>174</v>
      </c>
      <c r="C499" s="40">
        <v>5.1109999999999998</v>
      </c>
      <c r="D499" s="113"/>
    </row>
    <row r="500" spans="1:4" ht="15.75" outlineLevel="1">
      <c r="A500" s="40" t="s">
        <v>1157</v>
      </c>
      <c r="B500" s="41" t="s">
        <v>158</v>
      </c>
      <c r="C500" s="40">
        <v>5.1120000000000001</v>
      </c>
      <c r="D500" s="113"/>
    </row>
    <row r="501" spans="1:4" ht="15.75" outlineLevel="1">
      <c r="A501" s="40" t="s">
        <v>1157</v>
      </c>
      <c r="B501" s="41" t="s">
        <v>1144</v>
      </c>
      <c r="C501" s="40">
        <v>5.1020000000000003</v>
      </c>
      <c r="D501" s="113"/>
    </row>
    <row r="502" spans="1:4" ht="15.75" outlineLevel="1">
      <c r="A502" s="40" t="s">
        <v>1157</v>
      </c>
      <c r="B502" s="41" t="s">
        <v>1145</v>
      </c>
      <c r="C502" s="43">
        <v>5.0999999999999996</v>
      </c>
      <c r="D502" s="113"/>
    </row>
    <row r="503" spans="1:4" ht="15.75" outlineLevel="1">
      <c r="A503" s="40" t="s">
        <v>1157</v>
      </c>
      <c r="B503" s="41" t="s">
        <v>17</v>
      </c>
      <c r="C503" s="40">
        <v>5.58</v>
      </c>
      <c r="D503" s="113"/>
    </row>
    <row r="504" spans="1:4" ht="15.75" outlineLevel="1">
      <c r="A504" s="40" t="s">
        <v>1157</v>
      </c>
      <c r="B504" s="41" t="s">
        <v>19</v>
      </c>
      <c r="C504" s="40">
        <v>5.55</v>
      </c>
      <c r="D504" s="113"/>
    </row>
    <row r="505" spans="1:4" ht="15.75" outlineLevel="1">
      <c r="A505" s="40" t="s">
        <v>1157</v>
      </c>
      <c r="B505" s="41" t="s">
        <v>18</v>
      </c>
      <c r="C505" s="40">
        <v>5.54</v>
      </c>
      <c r="D505" s="113"/>
    </row>
    <row r="506" spans="1:4" ht="15.75" outlineLevel="1">
      <c r="A506" s="40" t="s">
        <v>1157</v>
      </c>
      <c r="B506" s="41" t="s">
        <v>20</v>
      </c>
      <c r="C506" s="40">
        <v>5.63</v>
      </c>
      <c r="D506" s="113"/>
    </row>
    <row r="507" spans="1:4" ht="15.75" outlineLevel="1">
      <c r="A507" s="40" t="s">
        <v>1157</v>
      </c>
      <c r="B507" s="41" t="s">
        <v>24</v>
      </c>
      <c r="C507" s="40">
        <v>5.47</v>
      </c>
      <c r="D507" s="113"/>
    </row>
    <row r="508" spans="1:4" ht="15.75" outlineLevel="1">
      <c r="A508" s="40" t="s">
        <v>1157</v>
      </c>
      <c r="B508" s="41" t="s">
        <v>25</v>
      </c>
      <c r="C508" s="40">
        <v>5.48</v>
      </c>
      <c r="D508" s="113"/>
    </row>
    <row r="509" spans="1:4" ht="15.75">
      <c r="A509" s="46" t="s">
        <v>1157</v>
      </c>
      <c r="B509" s="41"/>
      <c r="C509" s="40"/>
      <c r="D509" s="113"/>
    </row>
    <row r="510" spans="1:4" ht="15.75" outlineLevel="1">
      <c r="A510" s="40" t="s">
        <v>1055</v>
      </c>
      <c r="B510" s="41" t="s">
        <v>0</v>
      </c>
      <c r="C510" s="40">
        <v>5.0999999999999996</v>
      </c>
      <c r="D510" s="113"/>
    </row>
    <row r="511" spans="1:4" ht="15.75" outlineLevel="1">
      <c r="A511" s="40" t="s">
        <v>1055</v>
      </c>
      <c r="B511" s="41" t="s">
        <v>1</v>
      </c>
      <c r="C511" s="40">
        <v>5.2</v>
      </c>
      <c r="D511" s="113"/>
    </row>
    <row r="512" spans="1:4" ht="15.75" outlineLevel="1">
      <c r="A512" s="40" t="s">
        <v>1055</v>
      </c>
      <c r="B512" s="41" t="s">
        <v>2</v>
      </c>
      <c r="C512" s="40">
        <v>5.3</v>
      </c>
      <c r="D512" s="113"/>
    </row>
    <row r="513" spans="1:4" ht="15.75" outlineLevel="1">
      <c r="A513" s="40" t="s">
        <v>1055</v>
      </c>
      <c r="B513" s="41" t="s">
        <v>169</v>
      </c>
      <c r="C513" s="40">
        <v>5.6</v>
      </c>
      <c r="D513" s="113"/>
    </row>
    <row r="514" spans="1:4" ht="15.75" outlineLevel="1">
      <c r="A514" s="40" t="s">
        <v>1055</v>
      </c>
      <c r="B514" s="41" t="s">
        <v>1137</v>
      </c>
      <c r="C514" s="42">
        <v>5.0999999999999996</v>
      </c>
      <c r="D514" s="113"/>
    </row>
    <row r="515" spans="1:4" ht="15.75" outlineLevel="1">
      <c r="A515" s="40" t="s">
        <v>1055</v>
      </c>
      <c r="B515" s="41" t="s">
        <v>1136</v>
      </c>
      <c r="C515" s="40">
        <v>5.14</v>
      </c>
      <c r="D515" s="113"/>
    </row>
    <row r="516" spans="1:4" ht="15.75" outlineLevel="1">
      <c r="A516" s="40" t="s">
        <v>1055</v>
      </c>
      <c r="B516" s="41" t="s">
        <v>4</v>
      </c>
      <c r="C516" s="40">
        <v>5.19</v>
      </c>
      <c r="D516" s="113"/>
    </row>
    <row r="517" spans="1:4" ht="15.75" outlineLevel="1">
      <c r="A517" s="40" t="s">
        <v>1055</v>
      </c>
      <c r="B517" s="41" t="s">
        <v>171</v>
      </c>
      <c r="C517" s="40">
        <v>5.24</v>
      </c>
      <c r="D517" s="113"/>
    </row>
    <row r="518" spans="1:4" ht="15.75" outlineLevel="1">
      <c r="A518" s="40" t="s">
        <v>1055</v>
      </c>
      <c r="B518" s="41" t="s">
        <v>5</v>
      </c>
      <c r="C518" s="40">
        <v>5.26</v>
      </c>
      <c r="D518" s="113"/>
    </row>
    <row r="519" spans="1:4" ht="15.75" outlineLevel="1">
      <c r="A519" s="40" t="s">
        <v>1055</v>
      </c>
      <c r="B519" s="41" t="s">
        <v>6</v>
      </c>
      <c r="C519" s="40">
        <v>5.27</v>
      </c>
      <c r="D519" s="113"/>
    </row>
    <row r="520" spans="1:4" ht="15.75" outlineLevel="1">
      <c r="A520" s="40" t="s">
        <v>1055</v>
      </c>
      <c r="B520" s="41" t="s">
        <v>7</v>
      </c>
      <c r="C520" s="40">
        <v>5.28</v>
      </c>
      <c r="D520" s="113"/>
    </row>
    <row r="521" spans="1:4" ht="15.75" outlineLevel="1">
      <c r="A521" s="40" t="s">
        <v>1055</v>
      </c>
      <c r="B521" s="41" t="s">
        <v>172</v>
      </c>
      <c r="C521" s="40">
        <v>5.31</v>
      </c>
      <c r="D521" s="113"/>
    </row>
    <row r="522" spans="1:4" ht="15.75" outlineLevel="1">
      <c r="A522" s="40" t="s">
        <v>1055</v>
      </c>
      <c r="B522" s="41" t="s">
        <v>195</v>
      </c>
      <c r="C522" s="40">
        <v>5.33</v>
      </c>
      <c r="D522" s="113"/>
    </row>
    <row r="523" spans="1:4" ht="15.75" outlineLevel="1">
      <c r="A523" s="40" t="s">
        <v>1055</v>
      </c>
      <c r="B523" s="41" t="s">
        <v>1143</v>
      </c>
      <c r="C523" s="40">
        <v>5.101</v>
      </c>
      <c r="D523" s="113"/>
    </row>
    <row r="524" spans="1:4" ht="15.75" outlineLevel="1">
      <c r="A524" s="40" t="s">
        <v>1055</v>
      </c>
      <c r="B524" s="41" t="s">
        <v>149</v>
      </c>
      <c r="C524" s="40">
        <v>5.36</v>
      </c>
      <c r="D524" s="113"/>
    </row>
    <row r="525" spans="1:4" ht="15.75" outlineLevel="1">
      <c r="A525" s="40" t="s">
        <v>1055</v>
      </c>
      <c r="B525" s="41" t="s">
        <v>180</v>
      </c>
      <c r="C525" s="40">
        <v>5.37</v>
      </c>
      <c r="D525" s="113"/>
    </row>
    <row r="526" spans="1:4" ht="15.75" outlineLevel="1">
      <c r="A526" s="40" t="s">
        <v>1055</v>
      </c>
      <c r="B526" s="41" t="s">
        <v>11</v>
      </c>
      <c r="C526" s="40">
        <v>5.53</v>
      </c>
      <c r="D526" s="113"/>
    </row>
    <row r="527" spans="1:4" ht="15.75" outlineLevel="1">
      <c r="A527" s="40" t="s">
        <v>1055</v>
      </c>
      <c r="B527" s="41" t="s">
        <v>173</v>
      </c>
      <c r="C527" s="40">
        <v>5.109</v>
      </c>
      <c r="D527" s="113"/>
    </row>
    <row r="528" spans="1:4" ht="15.75" outlineLevel="1">
      <c r="A528" s="40" t="s">
        <v>1055</v>
      </c>
      <c r="B528" s="41" t="s">
        <v>174</v>
      </c>
      <c r="C528" s="40">
        <v>5.1109999999999998</v>
      </c>
      <c r="D528" s="113"/>
    </row>
    <row r="529" spans="1:4" ht="15.75" outlineLevel="1">
      <c r="A529" s="40" t="s">
        <v>1055</v>
      </c>
      <c r="B529" s="41" t="s">
        <v>158</v>
      </c>
      <c r="C529" s="40">
        <v>5.1120000000000001</v>
      </c>
      <c r="D529" s="113"/>
    </row>
    <row r="530" spans="1:4" ht="15.75" outlineLevel="1">
      <c r="A530" s="40" t="s">
        <v>1055</v>
      </c>
      <c r="B530" s="41" t="s">
        <v>1144</v>
      </c>
      <c r="C530" s="40">
        <v>5.1020000000000003</v>
      </c>
      <c r="D530" s="113"/>
    </row>
    <row r="531" spans="1:4" ht="15.75" outlineLevel="1">
      <c r="A531" s="40" t="s">
        <v>1055</v>
      </c>
      <c r="B531" s="41" t="s">
        <v>1145</v>
      </c>
      <c r="C531" s="43">
        <v>5.0999999999999996</v>
      </c>
      <c r="D531" s="113"/>
    </row>
    <row r="532" spans="1:4" ht="15.75" outlineLevel="1">
      <c r="A532" s="40" t="s">
        <v>1055</v>
      </c>
      <c r="B532" s="41" t="s">
        <v>17</v>
      </c>
      <c r="C532" s="40">
        <v>5.58</v>
      </c>
      <c r="D532" s="113"/>
    </row>
    <row r="533" spans="1:4" ht="15.75" outlineLevel="1">
      <c r="A533" s="40" t="s">
        <v>1055</v>
      </c>
      <c r="B533" s="41" t="s">
        <v>19</v>
      </c>
      <c r="C533" s="40">
        <v>5.55</v>
      </c>
      <c r="D533" s="113"/>
    </row>
    <row r="534" spans="1:4" ht="15.75" outlineLevel="1">
      <c r="A534" s="40" t="s">
        <v>1055</v>
      </c>
      <c r="B534" s="41" t="s">
        <v>18</v>
      </c>
      <c r="C534" s="40">
        <v>5.54</v>
      </c>
      <c r="D534" s="113"/>
    </row>
    <row r="535" spans="1:4" ht="15.75" outlineLevel="1">
      <c r="A535" s="40" t="s">
        <v>1055</v>
      </c>
      <c r="B535" s="41" t="s">
        <v>20</v>
      </c>
      <c r="C535" s="40">
        <v>5.63</v>
      </c>
      <c r="D535" s="113"/>
    </row>
    <row r="536" spans="1:4" ht="15.75" outlineLevel="1">
      <c r="A536" s="40" t="s">
        <v>1055</v>
      </c>
      <c r="B536" s="41" t="s">
        <v>24</v>
      </c>
      <c r="C536" s="40">
        <v>5.47</v>
      </c>
      <c r="D536" s="113"/>
    </row>
    <row r="537" spans="1:4" ht="15.75" outlineLevel="1">
      <c r="A537" s="40" t="s">
        <v>1055</v>
      </c>
      <c r="B537" s="41" t="s">
        <v>25</v>
      </c>
      <c r="C537" s="40">
        <v>5.48</v>
      </c>
      <c r="D537" s="113"/>
    </row>
    <row r="538" spans="1:4" ht="15.75">
      <c r="A538" s="46" t="s">
        <v>1055</v>
      </c>
      <c r="B538" s="41"/>
      <c r="C538" s="40"/>
      <c r="D538" s="113"/>
    </row>
    <row r="539" spans="1:4" ht="15.75" outlineLevel="1">
      <c r="A539" s="40" t="s">
        <v>1064</v>
      </c>
      <c r="B539" s="41" t="s">
        <v>0</v>
      </c>
      <c r="C539" s="40">
        <v>5.0999999999999996</v>
      </c>
      <c r="D539" s="113"/>
    </row>
    <row r="540" spans="1:4" ht="15.75" outlineLevel="1">
      <c r="A540" s="40" t="s">
        <v>1064</v>
      </c>
      <c r="B540" s="41" t="s">
        <v>1</v>
      </c>
      <c r="C540" s="40">
        <v>5.2</v>
      </c>
      <c r="D540" s="113"/>
    </row>
    <row r="541" spans="1:4" ht="15.75" outlineLevel="1">
      <c r="A541" s="40" t="s">
        <v>1064</v>
      </c>
      <c r="B541" s="41" t="s">
        <v>5</v>
      </c>
      <c r="C541" s="40">
        <v>5.26</v>
      </c>
      <c r="D541" s="113"/>
    </row>
    <row r="542" spans="1:4" ht="15.75" outlineLevel="1">
      <c r="A542" s="40" t="s">
        <v>1064</v>
      </c>
      <c r="B542" s="41" t="s">
        <v>1158</v>
      </c>
      <c r="C542" s="40">
        <v>5.21</v>
      </c>
      <c r="D542" s="113"/>
    </row>
    <row r="543" spans="1:4" ht="15.75" outlineLevel="1">
      <c r="A543" s="40" t="s">
        <v>1064</v>
      </c>
      <c r="B543" s="41" t="s">
        <v>1159</v>
      </c>
      <c r="C543" s="40">
        <v>5.53</v>
      </c>
      <c r="D543" s="113"/>
    </row>
    <row r="544" spans="1:4" ht="15.75" outlineLevel="1">
      <c r="A544" s="40" t="s">
        <v>1064</v>
      </c>
      <c r="B544" s="41" t="s">
        <v>18</v>
      </c>
      <c r="C544" s="40">
        <v>5.54</v>
      </c>
      <c r="D544" s="113"/>
    </row>
    <row r="545" spans="1:4" ht="15.75" outlineLevel="1">
      <c r="A545" s="40" t="s">
        <v>1064</v>
      </c>
      <c r="B545" s="41" t="s">
        <v>1160</v>
      </c>
      <c r="C545" s="40">
        <v>5.58</v>
      </c>
      <c r="D545" s="113"/>
    </row>
    <row r="546" spans="1:4" ht="15.75" outlineLevel="1">
      <c r="A546" s="40" t="s">
        <v>1064</v>
      </c>
      <c r="B546" s="41" t="s">
        <v>1161</v>
      </c>
      <c r="C546" s="40">
        <v>5.1180000000000003</v>
      </c>
      <c r="D546" s="113"/>
    </row>
    <row r="547" spans="1:4" ht="15.75" outlineLevel="1">
      <c r="A547" s="40" t="s">
        <v>1064</v>
      </c>
      <c r="B547" s="41" t="s">
        <v>1162</v>
      </c>
      <c r="C547" s="40">
        <v>5.47</v>
      </c>
      <c r="D547" s="113"/>
    </row>
    <row r="548" spans="1:4" ht="15.75" outlineLevel="1">
      <c r="A548" s="40" t="s">
        <v>1064</v>
      </c>
      <c r="B548" s="41" t="s">
        <v>1163</v>
      </c>
      <c r="C548" s="40">
        <v>5.48</v>
      </c>
      <c r="D548" s="113"/>
    </row>
    <row r="549" spans="1:4" ht="15.75" outlineLevel="1">
      <c r="A549" s="40" t="s">
        <v>1064</v>
      </c>
      <c r="B549" s="41" t="s">
        <v>1164</v>
      </c>
      <c r="C549" s="40">
        <v>5.21</v>
      </c>
      <c r="D549" s="113"/>
    </row>
    <row r="550" spans="1:4" ht="15.75" outlineLevel="1">
      <c r="A550" s="40" t="s">
        <v>1064</v>
      </c>
      <c r="B550" s="41" t="s">
        <v>1165</v>
      </c>
      <c r="C550" s="40">
        <v>5.53</v>
      </c>
      <c r="D550" s="113"/>
    </row>
    <row r="551" spans="1:4" ht="15.75" outlineLevel="1">
      <c r="A551" s="40" t="s">
        <v>1064</v>
      </c>
      <c r="B551" s="41" t="s">
        <v>18</v>
      </c>
      <c r="C551" s="40">
        <v>5.54</v>
      </c>
      <c r="D551" s="113"/>
    </row>
    <row r="552" spans="1:4" ht="15.75" outlineLevel="1">
      <c r="A552" s="40" t="s">
        <v>1064</v>
      </c>
      <c r="B552" s="41" t="s">
        <v>1166</v>
      </c>
      <c r="C552" s="40">
        <v>5.58</v>
      </c>
      <c r="D552" s="113"/>
    </row>
    <row r="553" spans="1:4" ht="15.75" outlineLevel="1">
      <c r="A553" s="40" t="s">
        <v>1064</v>
      </c>
      <c r="B553" s="41" t="s">
        <v>1167</v>
      </c>
      <c r="C553" s="40">
        <v>5.1180000000000003</v>
      </c>
      <c r="D553" s="113"/>
    </row>
    <row r="554" spans="1:4" ht="15.75" outlineLevel="1">
      <c r="A554" s="40" t="s">
        <v>1064</v>
      </c>
      <c r="B554" s="41" t="s">
        <v>1168</v>
      </c>
      <c r="C554" s="40">
        <v>5.47</v>
      </c>
      <c r="D554" s="113"/>
    </row>
    <row r="555" spans="1:4" ht="15.75" outlineLevel="1">
      <c r="A555" s="40" t="s">
        <v>1064</v>
      </c>
      <c r="B555" s="41" t="s">
        <v>1169</v>
      </c>
      <c r="C555" s="40">
        <v>5.48</v>
      </c>
      <c r="D555" s="113"/>
    </row>
    <row r="556" spans="1:4" ht="15.75" outlineLevel="1">
      <c r="A556" s="40" t="s">
        <v>1064</v>
      </c>
      <c r="B556" s="41" t="s">
        <v>1170</v>
      </c>
      <c r="C556" s="40">
        <v>5.63</v>
      </c>
      <c r="D556" s="113"/>
    </row>
    <row r="557" spans="1:4" ht="15.75" outlineLevel="1">
      <c r="A557" s="40" t="s">
        <v>1064</v>
      </c>
      <c r="B557" s="41" t="s">
        <v>6</v>
      </c>
      <c r="C557" s="40">
        <v>5.27</v>
      </c>
      <c r="D557" s="113"/>
    </row>
    <row r="558" spans="1:4" ht="15.75" outlineLevel="1">
      <c r="A558" s="40" t="s">
        <v>1064</v>
      </c>
      <c r="B558" s="41" t="s">
        <v>7</v>
      </c>
      <c r="C558" s="40">
        <v>5.28</v>
      </c>
      <c r="D558" s="113"/>
    </row>
    <row r="559" spans="1:4" ht="15.75" outlineLevel="1">
      <c r="A559" s="40" t="s">
        <v>1064</v>
      </c>
      <c r="B559" s="41" t="s">
        <v>1171</v>
      </c>
      <c r="C559" s="40">
        <v>5.35</v>
      </c>
      <c r="D559" s="113"/>
    </row>
    <row r="560" spans="1:4" ht="15.75" outlineLevel="1">
      <c r="A560" s="40" t="s">
        <v>1064</v>
      </c>
      <c r="B560" s="41" t="s">
        <v>950</v>
      </c>
      <c r="C560" s="40">
        <v>5.1189999999999998</v>
      </c>
      <c r="D560" s="113"/>
    </row>
    <row r="561" spans="1:4" ht="15.75" outlineLevel="1">
      <c r="A561" s="40" t="s">
        <v>1064</v>
      </c>
      <c r="B561" s="41" t="s">
        <v>957</v>
      </c>
      <c r="C561" s="43">
        <v>5.12</v>
      </c>
      <c r="D561" s="113"/>
    </row>
    <row r="562" spans="1:4" ht="15.75" outlineLevel="1">
      <c r="A562" s="40" t="s">
        <v>1064</v>
      </c>
      <c r="B562" s="41" t="s">
        <v>345</v>
      </c>
      <c r="C562" s="40">
        <v>5.1210000000000004</v>
      </c>
      <c r="D562" s="113"/>
    </row>
    <row r="563" spans="1:4" ht="15.75" outlineLevel="1">
      <c r="A563" s="40" t="s">
        <v>1064</v>
      </c>
      <c r="B563" s="41" t="s">
        <v>149</v>
      </c>
      <c r="C563" s="40">
        <v>5.36</v>
      </c>
      <c r="D563" s="113"/>
    </row>
    <row r="564" spans="1:4" ht="15.75" outlineLevel="1">
      <c r="A564" s="40" t="s">
        <v>1064</v>
      </c>
      <c r="B564" s="41" t="s">
        <v>1172</v>
      </c>
      <c r="C564" s="40">
        <v>5.1219999999999999</v>
      </c>
      <c r="D564" s="113"/>
    </row>
    <row r="565" spans="1:4" ht="15.75" outlineLevel="1">
      <c r="A565" s="40" t="s">
        <v>1064</v>
      </c>
      <c r="B565" s="41" t="s">
        <v>1173</v>
      </c>
      <c r="C565" s="40">
        <v>5.1230000000000002</v>
      </c>
      <c r="D565" s="113"/>
    </row>
    <row r="566" spans="1:4" ht="15.75" outlineLevel="1">
      <c r="A566" s="40" t="s">
        <v>1064</v>
      </c>
      <c r="B566" s="41" t="s">
        <v>921</v>
      </c>
      <c r="C566" s="40">
        <v>5.1239999999999997</v>
      </c>
      <c r="D566" s="113"/>
    </row>
    <row r="567" spans="1:4" ht="15.75" outlineLevel="1">
      <c r="A567" s="40" t="s">
        <v>1064</v>
      </c>
      <c r="B567" s="41" t="s">
        <v>929</v>
      </c>
      <c r="C567" s="40">
        <v>5.125</v>
      </c>
      <c r="D567" s="113"/>
    </row>
    <row r="568" spans="1:4" ht="15.75" outlineLevel="1">
      <c r="A568" s="40" t="s">
        <v>1064</v>
      </c>
      <c r="B568" s="41" t="s">
        <v>1174</v>
      </c>
      <c r="C568" s="40">
        <v>5.1260000000000003</v>
      </c>
      <c r="D568" s="113"/>
    </row>
    <row r="569" spans="1:4" ht="15.75" outlineLevel="1">
      <c r="A569" s="40" t="s">
        <v>1064</v>
      </c>
      <c r="B569" s="41" t="s">
        <v>947</v>
      </c>
      <c r="C569" s="40">
        <v>5.1269999999999998</v>
      </c>
      <c r="D569" s="113"/>
    </row>
    <row r="570" spans="1:4" ht="15.75" outlineLevel="1">
      <c r="A570" s="40" t="s">
        <v>1064</v>
      </c>
      <c r="B570" s="41" t="s">
        <v>932</v>
      </c>
      <c r="C570" s="42">
        <v>5.72</v>
      </c>
      <c r="D570" s="113"/>
    </row>
    <row r="571" spans="1:4" ht="15.75" outlineLevel="1">
      <c r="A571" s="40" t="s">
        <v>1064</v>
      </c>
      <c r="B571" s="41" t="s">
        <v>943</v>
      </c>
      <c r="C571" s="40">
        <v>5.1280000000000001</v>
      </c>
      <c r="D571" s="113"/>
    </row>
    <row r="572" spans="1:4" ht="15.75" outlineLevel="1">
      <c r="A572" s="40" t="s">
        <v>1064</v>
      </c>
      <c r="B572" s="41" t="s">
        <v>1175</v>
      </c>
      <c r="C572" s="40">
        <v>5.1289999999999996</v>
      </c>
      <c r="D572" s="112" t="s">
        <v>1135</v>
      </c>
    </row>
    <row r="573" spans="1:4" ht="15.75" outlineLevel="1">
      <c r="A573" s="40" t="s">
        <v>1064</v>
      </c>
      <c r="B573" s="41" t="s">
        <v>1176</v>
      </c>
      <c r="C573" s="40">
        <v>5.1310000000000002</v>
      </c>
      <c r="D573" s="113"/>
    </row>
    <row r="574" spans="1:4" ht="15.75" outlineLevel="1">
      <c r="A574" s="40" t="s">
        <v>1064</v>
      </c>
      <c r="B574" s="41" t="s">
        <v>1177</v>
      </c>
      <c r="C574" s="40">
        <v>5.1319999999999997</v>
      </c>
      <c r="D574" s="112" t="s">
        <v>1135</v>
      </c>
    </row>
    <row r="575" spans="1:4" ht="15.75" outlineLevel="1">
      <c r="A575" s="40" t="s">
        <v>1064</v>
      </c>
      <c r="B575" s="41" t="s">
        <v>972</v>
      </c>
      <c r="C575" s="40">
        <v>5.133</v>
      </c>
      <c r="D575" s="112" t="s">
        <v>1135</v>
      </c>
    </row>
    <row r="576" spans="1:4" ht="15.75" outlineLevel="1">
      <c r="A576" s="40" t="s">
        <v>1064</v>
      </c>
      <c r="B576" s="41" t="s">
        <v>1178</v>
      </c>
      <c r="C576" s="40">
        <v>5.1340000000000003</v>
      </c>
      <c r="D576" s="112" t="s">
        <v>1135</v>
      </c>
    </row>
    <row r="577" spans="1:4" ht="15.75" outlineLevel="1">
      <c r="A577" s="40" t="s">
        <v>1064</v>
      </c>
      <c r="B577" s="41" t="s">
        <v>1179</v>
      </c>
      <c r="C577" s="43">
        <v>5.13</v>
      </c>
      <c r="D577" s="113"/>
    </row>
    <row r="578" spans="1:4" ht="15.75" outlineLevel="1">
      <c r="A578" s="40" t="s">
        <v>1064</v>
      </c>
      <c r="B578" s="41" t="s">
        <v>24</v>
      </c>
      <c r="C578" s="40">
        <v>5.47</v>
      </c>
      <c r="D578" s="113"/>
    </row>
    <row r="579" spans="1:4" ht="15.75" outlineLevel="1">
      <c r="A579" s="40" t="s">
        <v>1064</v>
      </c>
      <c r="B579" s="41" t="s">
        <v>25</v>
      </c>
      <c r="C579" s="40">
        <v>5.48</v>
      </c>
      <c r="D579" s="113"/>
    </row>
    <row r="580" spans="1:4" ht="15.75">
      <c r="A580" s="46" t="s">
        <v>1064</v>
      </c>
      <c r="B580" s="41"/>
      <c r="C580" s="40"/>
      <c r="D580" s="113"/>
    </row>
    <row r="581" spans="1:4" ht="15.75" outlineLevel="1">
      <c r="A581" s="40" t="s">
        <v>1057</v>
      </c>
      <c r="B581" s="41" t="s">
        <v>0</v>
      </c>
      <c r="C581" s="40">
        <v>5.0999999999999996</v>
      </c>
      <c r="D581" s="113"/>
    </row>
    <row r="582" spans="1:4" ht="15.75" outlineLevel="1">
      <c r="A582" s="40" t="s">
        <v>1057</v>
      </c>
      <c r="B582" s="41" t="s">
        <v>1</v>
      </c>
      <c r="C582" s="40">
        <v>5.2</v>
      </c>
      <c r="D582" s="113"/>
    </row>
    <row r="583" spans="1:4" ht="15.75" outlineLevel="1">
      <c r="A583" s="40" t="s">
        <v>1057</v>
      </c>
      <c r="B583" s="41" t="s">
        <v>144</v>
      </c>
      <c r="C583" s="40">
        <v>5.9</v>
      </c>
      <c r="D583" s="112" t="s">
        <v>1135</v>
      </c>
    </row>
    <row r="584" spans="1:4" ht="15.75" outlineLevel="1">
      <c r="A584" s="40" t="s">
        <v>1057</v>
      </c>
      <c r="B584" s="41" t="s">
        <v>145</v>
      </c>
      <c r="C584" s="40">
        <v>5.13</v>
      </c>
      <c r="D584" s="112" t="s">
        <v>1135</v>
      </c>
    </row>
    <row r="585" spans="1:4" ht="15.75" outlineLevel="1">
      <c r="A585" s="40" t="s">
        <v>1057</v>
      </c>
      <c r="B585" s="41" t="s">
        <v>146</v>
      </c>
      <c r="C585" s="40">
        <v>5.16</v>
      </c>
      <c r="D585" s="112" t="s">
        <v>1135</v>
      </c>
    </row>
    <row r="586" spans="1:4" ht="15.75" outlineLevel="1">
      <c r="A586" s="40" t="s">
        <v>1057</v>
      </c>
      <c r="B586" s="41" t="s">
        <v>147</v>
      </c>
      <c r="C586" s="40">
        <v>5.22</v>
      </c>
      <c r="D586" s="112"/>
    </row>
    <row r="587" spans="1:4" ht="15.75" outlineLevel="1">
      <c r="A587" s="40" t="s">
        <v>1057</v>
      </c>
      <c r="B587" s="41" t="s">
        <v>5</v>
      </c>
      <c r="C587" s="40">
        <v>5.26</v>
      </c>
      <c r="D587" s="113"/>
    </row>
    <row r="588" spans="1:4" ht="15.75" outlineLevel="1">
      <c r="A588" s="40" t="s">
        <v>1057</v>
      </c>
      <c r="B588" s="41" t="s">
        <v>1180</v>
      </c>
      <c r="C588" s="40">
        <v>5.77</v>
      </c>
      <c r="D588" s="113"/>
    </row>
    <row r="589" spans="1:4" ht="15.75" outlineLevel="1">
      <c r="A589" s="40" t="s">
        <v>1057</v>
      </c>
      <c r="B589" s="41" t="s">
        <v>6</v>
      </c>
      <c r="C589" s="40">
        <v>5.27</v>
      </c>
      <c r="D589" s="113"/>
    </row>
    <row r="590" spans="1:4" ht="15.75" outlineLevel="1">
      <c r="A590" s="40" t="s">
        <v>1057</v>
      </c>
      <c r="B590" s="41" t="s">
        <v>7</v>
      </c>
      <c r="C590" s="40">
        <v>5.28</v>
      </c>
      <c r="D590" s="112" t="s">
        <v>1135</v>
      </c>
    </row>
    <row r="591" spans="1:4" ht="15.75" outlineLevel="1">
      <c r="A591" s="40" t="s">
        <v>1057</v>
      </c>
      <c r="B591" s="41" t="s">
        <v>172</v>
      </c>
      <c r="C591" s="40">
        <v>5.31</v>
      </c>
      <c r="D591" s="113"/>
    </row>
    <row r="592" spans="1:4" ht="15.75" outlineLevel="1">
      <c r="A592" s="40" t="s">
        <v>1057</v>
      </c>
      <c r="B592" s="41" t="s">
        <v>149</v>
      </c>
      <c r="C592" s="40">
        <v>5.36</v>
      </c>
      <c r="D592" s="113"/>
    </row>
    <row r="593" spans="1:4" ht="15.75" outlineLevel="1">
      <c r="A593" s="40" t="s">
        <v>1057</v>
      </c>
      <c r="B593" s="41" t="s">
        <v>1181</v>
      </c>
      <c r="C593" s="40">
        <v>5.78</v>
      </c>
      <c r="D593" s="113"/>
    </row>
    <row r="594" spans="1:4" ht="15.75" outlineLevel="1">
      <c r="A594" s="40" t="s">
        <v>1057</v>
      </c>
      <c r="B594" s="41" t="s">
        <v>1182</v>
      </c>
      <c r="C594" s="40">
        <v>5.79</v>
      </c>
      <c r="D594" s="112" t="s">
        <v>1135</v>
      </c>
    </row>
    <row r="595" spans="1:4" ht="15.75" outlineLevel="1">
      <c r="A595" s="40" t="s">
        <v>1057</v>
      </c>
      <c r="B595" s="41" t="s">
        <v>1183</v>
      </c>
      <c r="C595" s="40">
        <v>5.41</v>
      </c>
      <c r="D595" s="113"/>
    </row>
    <row r="596" spans="1:4" ht="15.75" outlineLevel="1">
      <c r="A596" s="40" t="s">
        <v>1057</v>
      </c>
      <c r="B596" s="41" t="s">
        <v>9</v>
      </c>
      <c r="C596" s="40">
        <v>5.49</v>
      </c>
      <c r="D596" s="113"/>
    </row>
    <row r="597" spans="1:4" ht="15.75" outlineLevel="1">
      <c r="A597" s="40" t="s">
        <v>1057</v>
      </c>
      <c r="B597" s="41" t="s">
        <v>10</v>
      </c>
      <c r="C597" s="40">
        <v>5.51</v>
      </c>
      <c r="D597" s="113"/>
    </row>
    <row r="598" spans="1:4" ht="15.75" outlineLevel="1">
      <c r="A598" s="40" t="s">
        <v>1057</v>
      </c>
      <c r="B598" s="41" t="s">
        <v>1184</v>
      </c>
      <c r="C598" s="40">
        <v>5.52</v>
      </c>
      <c r="D598" s="113"/>
    </row>
    <row r="599" spans="1:4" ht="15.75" outlineLevel="1">
      <c r="A599" s="40" t="s">
        <v>1057</v>
      </c>
      <c r="B599" s="41" t="s">
        <v>11</v>
      </c>
      <c r="C599" s="40">
        <v>5.53</v>
      </c>
      <c r="D599" s="113"/>
    </row>
    <row r="600" spans="1:4" ht="15.75" outlineLevel="1">
      <c r="A600" s="40" t="s">
        <v>1057</v>
      </c>
      <c r="B600" s="41" t="s">
        <v>12</v>
      </c>
      <c r="C600" s="40">
        <v>5.69</v>
      </c>
      <c r="D600" s="113"/>
    </row>
    <row r="601" spans="1:4" ht="15.75" outlineLevel="1">
      <c r="A601" s="40" t="s">
        <v>1057</v>
      </c>
      <c r="B601" s="41" t="s">
        <v>151</v>
      </c>
      <c r="C601" s="40">
        <v>5.71</v>
      </c>
      <c r="D601" s="113"/>
    </row>
    <row r="602" spans="1:4" ht="15.75" outlineLevel="1">
      <c r="A602" s="40" t="s">
        <v>1057</v>
      </c>
      <c r="B602" s="41" t="s">
        <v>14</v>
      </c>
      <c r="C602" s="42">
        <v>5.7</v>
      </c>
      <c r="D602" s="113"/>
    </row>
    <row r="603" spans="1:4" ht="15.75" outlineLevel="1">
      <c r="A603" s="40" t="s">
        <v>1057</v>
      </c>
      <c r="B603" s="41" t="s">
        <v>775</v>
      </c>
      <c r="C603" s="42">
        <v>5.8</v>
      </c>
      <c r="D603" s="112" t="s">
        <v>1135</v>
      </c>
    </row>
    <row r="604" spans="1:4" ht="15.75" outlineLevel="1">
      <c r="A604" s="40" t="s">
        <v>1057</v>
      </c>
      <c r="B604" s="41" t="s">
        <v>932</v>
      </c>
      <c r="C604" s="42">
        <v>5.72</v>
      </c>
      <c r="D604" s="112" t="s">
        <v>1135</v>
      </c>
    </row>
    <row r="605" spans="1:4" ht="15.75" outlineLevel="1">
      <c r="A605" s="40" t="s">
        <v>1057</v>
      </c>
      <c r="B605" s="41" t="s">
        <v>1185</v>
      </c>
      <c r="C605" s="40">
        <v>5.73</v>
      </c>
      <c r="D605" s="112" t="s">
        <v>1135</v>
      </c>
    </row>
    <row r="606" spans="1:4" ht="15.75" outlineLevel="1">
      <c r="A606" s="40" t="s">
        <v>1057</v>
      </c>
      <c r="B606" s="41" t="s">
        <v>15</v>
      </c>
      <c r="C606" s="40">
        <v>5.74</v>
      </c>
      <c r="D606" s="113"/>
    </row>
    <row r="607" spans="1:4" ht="15.75" outlineLevel="1">
      <c r="A607" s="40" t="s">
        <v>1057</v>
      </c>
      <c r="B607" s="41" t="s">
        <v>13</v>
      </c>
      <c r="C607" s="40">
        <v>5.75</v>
      </c>
      <c r="D607" s="113"/>
    </row>
    <row r="608" spans="1:4" ht="15.75" outlineLevel="1">
      <c r="A608" s="40" t="s">
        <v>1057</v>
      </c>
      <c r="B608" s="41" t="s">
        <v>432</v>
      </c>
      <c r="C608" s="40">
        <v>5.76</v>
      </c>
      <c r="D608" s="113"/>
    </row>
    <row r="609" spans="1:4" ht="15.75" outlineLevel="1">
      <c r="A609" s="40" t="s">
        <v>1057</v>
      </c>
      <c r="B609" s="41" t="s">
        <v>780</v>
      </c>
      <c r="C609" s="40">
        <v>5.81</v>
      </c>
      <c r="D609" s="112" t="s">
        <v>1135</v>
      </c>
    </row>
    <row r="610" spans="1:4" ht="15.75" outlineLevel="1">
      <c r="A610" s="40" t="s">
        <v>1057</v>
      </c>
      <c r="B610" s="41" t="s">
        <v>1186</v>
      </c>
      <c r="C610" s="40">
        <v>5.82</v>
      </c>
      <c r="D610" s="112" t="s">
        <v>1135</v>
      </c>
    </row>
    <row r="611" spans="1:4" ht="15.75" outlineLevel="1">
      <c r="A611" s="40" t="s">
        <v>1057</v>
      </c>
      <c r="B611" s="41" t="s">
        <v>1187</v>
      </c>
      <c r="C611" s="40">
        <v>5.83</v>
      </c>
      <c r="D611" s="112" t="s">
        <v>1135</v>
      </c>
    </row>
    <row r="612" spans="1:4" ht="15.75" outlineLevel="1">
      <c r="A612" s="40" t="s">
        <v>1057</v>
      </c>
      <c r="B612" s="41" t="s">
        <v>1188</v>
      </c>
      <c r="C612" s="40">
        <v>5.84</v>
      </c>
      <c r="D612" s="113"/>
    </row>
    <row r="613" spans="1:4" ht="15.75" outlineLevel="1">
      <c r="A613" s="40" t="s">
        <v>1057</v>
      </c>
      <c r="B613" s="41" t="s">
        <v>803</v>
      </c>
      <c r="C613" s="40">
        <v>5.85</v>
      </c>
      <c r="D613" s="112" t="s">
        <v>1135</v>
      </c>
    </row>
    <row r="614" spans="1:4" ht="15.75" outlineLevel="1">
      <c r="A614" s="40" t="s">
        <v>1057</v>
      </c>
      <c r="B614" s="41" t="s">
        <v>804</v>
      </c>
      <c r="C614" s="40">
        <v>5.86</v>
      </c>
      <c r="D614" s="112" t="s">
        <v>1135</v>
      </c>
    </row>
    <row r="615" spans="1:4" ht="15.75" outlineLevel="1">
      <c r="A615" s="40" t="s">
        <v>1057</v>
      </c>
      <c r="B615" s="41" t="s">
        <v>1189</v>
      </c>
      <c r="C615" s="40">
        <v>5.88</v>
      </c>
      <c r="D615" s="112" t="s">
        <v>1135</v>
      </c>
    </row>
    <row r="616" spans="1:4" ht="15.75" outlineLevel="1">
      <c r="A616" s="40" t="s">
        <v>1057</v>
      </c>
      <c r="B616" s="41" t="s">
        <v>810</v>
      </c>
      <c r="C616" s="40">
        <v>5.87</v>
      </c>
      <c r="D616" s="113"/>
    </row>
    <row r="617" spans="1:4" ht="15.75" outlineLevel="1">
      <c r="A617" s="40" t="s">
        <v>1057</v>
      </c>
      <c r="B617" s="41" t="s">
        <v>173</v>
      </c>
      <c r="C617" s="40">
        <v>5.109</v>
      </c>
      <c r="D617" s="113"/>
    </row>
    <row r="618" spans="1:4" ht="15.75" outlineLevel="1">
      <c r="A618" s="40" t="s">
        <v>1057</v>
      </c>
      <c r="B618" s="41" t="s">
        <v>186</v>
      </c>
      <c r="C618" s="43">
        <v>5.1100000000000003</v>
      </c>
      <c r="D618" s="112" t="s">
        <v>1135</v>
      </c>
    </row>
    <row r="619" spans="1:4" ht="15.75" outlineLevel="1">
      <c r="A619" s="40" t="s">
        <v>1057</v>
      </c>
      <c r="B619" s="41" t="s">
        <v>174</v>
      </c>
      <c r="C619" s="40">
        <v>5.1109999999999998</v>
      </c>
      <c r="D619" s="113"/>
    </row>
    <row r="620" spans="1:4" ht="15.75" outlineLevel="1">
      <c r="A620" s="40" t="s">
        <v>1057</v>
      </c>
      <c r="B620" s="41" t="s">
        <v>158</v>
      </c>
      <c r="C620" s="40">
        <v>5.1120000000000001</v>
      </c>
      <c r="D620" s="113"/>
    </row>
    <row r="621" spans="1:4" ht="15.75" outlineLevel="1">
      <c r="A621" s="40" t="s">
        <v>1057</v>
      </c>
      <c r="B621" s="41" t="s">
        <v>1151</v>
      </c>
      <c r="C621" s="40">
        <v>5.1130000000000004</v>
      </c>
      <c r="D621" s="113"/>
    </row>
    <row r="622" spans="1:4" ht="15.75" outlineLevel="1">
      <c r="A622" s="40" t="s">
        <v>1057</v>
      </c>
      <c r="B622" s="41" t="s">
        <v>1190</v>
      </c>
      <c r="C622" s="40">
        <v>5.99</v>
      </c>
      <c r="D622" s="112" t="s">
        <v>1135</v>
      </c>
    </row>
    <row r="623" spans="1:4" ht="15.75" outlineLevel="1">
      <c r="A623" s="40" t="s">
        <v>1057</v>
      </c>
      <c r="B623" s="41" t="s">
        <v>1191</v>
      </c>
      <c r="C623" s="40">
        <v>5.58</v>
      </c>
      <c r="D623" s="112"/>
    </row>
    <row r="624" spans="1:4" ht="15.75" outlineLevel="1">
      <c r="A624" s="40" t="s">
        <v>1057</v>
      </c>
      <c r="B624" s="41" t="s">
        <v>18</v>
      </c>
      <c r="C624" s="40">
        <v>5.54</v>
      </c>
      <c r="D624" s="113"/>
    </row>
    <row r="625" spans="1:4" ht="15.75" outlineLevel="1">
      <c r="A625" s="40" t="s">
        <v>1057</v>
      </c>
      <c r="B625" s="41" t="s">
        <v>1192</v>
      </c>
      <c r="C625" s="40">
        <v>5.56</v>
      </c>
      <c r="D625" s="113"/>
    </row>
    <row r="626" spans="1:4" ht="15.75" outlineLevel="1">
      <c r="A626" s="40" t="s">
        <v>1057</v>
      </c>
      <c r="B626" s="41" t="s">
        <v>20</v>
      </c>
      <c r="C626" s="40">
        <v>5.63</v>
      </c>
      <c r="D626" s="113"/>
    </row>
    <row r="627" spans="1:4" ht="15.75" outlineLevel="1">
      <c r="A627" s="40" t="s">
        <v>1057</v>
      </c>
      <c r="B627" s="41" t="s">
        <v>187</v>
      </c>
      <c r="C627" s="40">
        <v>5.64</v>
      </c>
      <c r="D627" s="113"/>
    </row>
    <row r="628" spans="1:4" ht="15.75" outlineLevel="1">
      <c r="A628" s="40" t="s">
        <v>1057</v>
      </c>
      <c r="B628" s="41" t="s">
        <v>21</v>
      </c>
      <c r="C628" s="40">
        <v>5.65</v>
      </c>
      <c r="D628" s="113"/>
    </row>
    <row r="629" spans="1:4" ht="15.75" outlineLevel="1">
      <c r="A629" s="40" t="s">
        <v>1057</v>
      </c>
      <c r="B629" s="41" t="s">
        <v>188</v>
      </c>
      <c r="C629" s="40">
        <v>5.66</v>
      </c>
      <c r="D629" s="113"/>
    </row>
    <row r="630" spans="1:4" ht="15.75" outlineLevel="1">
      <c r="A630" s="40" t="s">
        <v>1057</v>
      </c>
      <c r="B630" s="41" t="s">
        <v>853</v>
      </c>
      <c r="C630" s="40">
        <v>5.89</v>
      </c>
      <c r="D630" s="112" t="s">
        <v>1135</v>
      </c>
    </row>
    <row r="631" spans="1:4" ht="15.75" outlineLevel="1">
      <c r="A631" s="40" t="s">
        <v>1057</v>
      </c>
      <c r="B631" s="41" t="s">
        <v>22</v>
      </c>
      <c r="C631" s="40">
        <v>5.68</v>
      </c>
      <c r="D631" s="113"/>
    </row>
    <row r="632" spans="1:4" ht="15.75" outlineLevel="1">
      <c r="A632" s="40" t="s">
        <v>1057</v>
      </c>
      <c r="B632" s="41" t="s">
        <v>24</v>
      </c>
      <c r="C632" s="40">
        <v>5.47</v>
      </c>
      <c r="D632" s="113"/>
    </row>
    <row r="633" spans="1:4" ht="15.75" outlineLevel="1">
      <c r="A633" s="40" t="s">
        <v>1057</v>
      </c>
      <c r="B633" s="41" t="s">
        <v>25</v>
      </c>
      <c r="C633" s="40">
        <v>5.48</v>
      </c>
      <c r="D633" s="113"/>
    </row>
    <row r="634" spans="1:4" ht="15.75">
      <c r="A634" s="46" t="s">
        <v>1057</v>
      </c>
      <c r="B634" s="41"/>
      <c r="C634" s="40"/>
      <c r="D634" s="113"/>
    </row>
    <row r="635" spans="1:4" ht="15.75" outlineLevel="1">
      <c r="A635" s="40" t="s">
        <v>1076</v>
      </c>
      <c r="B635" s="41" t="s">
        <v>0</v>
      </c>
      <c r="C635" s="40">
        <v>5.0999999999999996</v>
      </c>
      <c r="D635" s="113"/>
    </row>
    <row r="636" spans="1:4" ht="15.75" outlineLevel="1">
      <c r="A636" s="40" t="s">
        <v>1076</v>
      </c>
      <c r="B636" s="41" t="s">
        <v>1</v>
      </c>
      <c r="C636" s="40">
        <v>5.2</v>
      </c>
      <c r="D636" s="113"/>
    </row>
    <row r="637" spans="1:4" ht="15.75" outlineLevel="1">
      <c r="A637" s="40" t="s">
        <v>1076</v>
      </c>
      <c r="B637" s="41" t="s">
        <v>2</v>
      </c>
      <c r="C637" s="40">
        <v>5.3</v>
      </c>
      <c r="D637" s="113"/>
    </row>
    <row r="638" spans="1:4" ht="15.75" outlineLevel="1">
      <c r="A638" s="40" t="s">
        <v>1076</v>
      </c>
      <c r="B638" s="41" t="s">
        <v>169</v>
      </c>
      <c r="C638" s="40">
        <v>5.6</v>
      </c>
      <c r="D638" s="113"/>
    </row>
    <row r="639" spans="1:4" ht="15.75" outlineLevel="1">
      <c r="A639" s="40" t="s">
        <v>1076</v>
      </c>
      <c r="B639" s="41" t="s">
        <v>1137</v>
      </c>
      <c r="C639" s="42">
        <v>5.0999999999999996</v>
      </c>
      <c r="D639" s="113"/>
    </row>
    <row r="640" spans="1:4" ht="15.75" outlineLevel="1">
      <c r="A640" s="40" t="s">
        <v>1076</v>
      </c>
      <c r="B640" s="41" t="s">
        <v>1136</v>
      </c>
      <c r="C640" s="40">
        <v>5.14</v>
      </c>
      <c r="D640" s="113"/>
    </row>
    <row r="641" spans="1:4" ht="15.75" outlineLevel="1">
      <c r="A641" s="40" t="s">
        <v>1076</v>
      </c>
      <c r="B641" s="41" t="s">
        <v>4</v>
      </c>
      <c r="C641" s="40">
        <v>5.19</v>
      </c>
      <c r="D641" s="113"/>
    </row>
    <row r="642" spans="1:4" ht="15.75" outlineLevel="1">
      <c r="A642" s="40" t="s">
        <v>1076</v>
      </c>
      <c r="B642" s="41" t="s">
        <v>171</v>
      </c>
      <c r="C642" s="40">
        <v>5.24</v>
      </c>
      <c r="D642" s="113"/>
    </row>
    <row r="643" spans="1:4" ht="15.75" outlineLevel="1">
      <c r="A643" s="40" t="s">
        <v>1076</v>
      </c>
      <c r="B643" s="41" t="s">
        <v>5</v>
      </c>
      <c r="C643" s="40">
        <v>5.26</v>
      </c>
      <c r="D643" s="113"/>
    </row>
    <row r="644" spans="1:4" ht="15.75" outlineLevel="1">
      <c r="A644" s="40" t="s">
        <v>1076</v>
      </c>
      <c r="B644" s="41" t="s">
        <v>6</v>
      </c>
      <c r="C644" s="40">
        <v>5.27</v>
      </c>
      <c r="D644" s="113"/>
    </row>
    <row r="645" spans="1:4" ht="15.75" outlineLevel="1">
      <c r="A645" s="40" t="s">
        <v>1076</v>
      </c>
      <c r="B645" s="41" t="s">
        <v>7</v>
      </c>
      <c r="C645" s="40">
        <v>5.28</v>
      </c>
      <c r="D645" s="113"/>
    </row>
    <row r="646" spans="1:4" ht="15.75" outlineLevel="1">
      <c r="A646" s="40" t="s">
        <v>1076</v>
      </c>
      <c r="B646" s="41" t="s">
        <v>149</v>
      </c>
      <c r="C646" s="40">
        <v>5.36</v>
      </c>
      <c r="D646" s="113"/>
    </row>
    <row r="647" spans="1:4" ht="15.75" outlineLevel="1">
      <c r="A647" s="40" t="s">
        <v>1076</v>
      </c>
      <c r="B647" s="41" t="s">
        <v>195</v>
      </c>
      <c r="C647" s="40">
        <v>5.33</v>
      </c>
      <c r="D647" s="113"/>
    </row>
    <row r="648" spans="1:4" ht="15.75" outlineLevel="1">
      <c r="A648" s="40" t="s">
        <v>1076</v>
      </c>
      <c r="B648" s="41" t="s">
        <v>180</v>
      </c>
      <c r="C648" s="40">
        <v>5.37</v>
      </c>
      <c r="D648" s="113"/>
    </row>
    <row r="649" spans="1:4" ht="15.75" outlineLevel="1">
      <c r="A649" s="40" t="s">
        <v>1076</v>
      </c>
      <c r="B649" s="41" t="s">
        <v>9</v>
      </c>
      <c r="C649" s="40">
        <v>5.49</v>
      </c>
      <c r="D649" s="113"/>
    </row>
    <row r="650" spans="1:4" ht="15.75" outlineLevel="1">
      <c r="A650" s="40" t="s">
        <v>1076</v>
      </c>
      <c r="B650" s="41" t="s">
        <v>10</v>
      </c>
      <c r="C650" s="40">
        <v>5.51</v>
      </c>
      <c r="D650" s="113"/>
    </row>
    <row r="651" spans="1:4" ht="15.75" outlineLevel="1">
      <c r="A651" s="40" t="s">
        <v>1076</v>
      </c>
      <c r="B651" s="41" t="s">
        <v>1138</v>
      </c>
      <c r="C651" s="40">
        <v>5.52</v>
      </c>
      <c r="D651" s="113"/>
    </row>
    <row r="652" spans="1:4" ht="15.75" outlineLevel="1">
      <c r="A652" s="40" t="s">
        <v>1076</v>
      </c>
      <c r="B652" s="41" t="s">
        <v>11</v>
      </c>
      <c r="C652" s="40">
        <v>5.53</v>
      </c>
      <c r="D652" s="113"/>
    </row>
    <row r="653" spans="1:4" ht="15.75" outlineLevel="1">
      <c r="A653" s="40" t="s">
        <v>1076</v>
      </c>
      <c r="B653" s="41" t="s">
        <v>12</v>
      </c>
      <c r="C653" s="40">
        <v>5.69</v>
      </c>
      <c r="D653" s="113"/>
    </row>
    <row r="654" spans="1:4" ht="15.75" outlineLevel="1">
      <c r="A654" s="40" t="s">
        <v>1076</v>
      </c>
      <c r="B654" s="41" t="s">
        <v>14</v>
      </c>
      <c r="C654" s="42">
        <v>5.7</v>
      </c>
      <c r="D654" s="113"/>
    </row>
    <row r="655" spans="1:4" ht="15.75" outlineLevel="1">
      <c r="A655" s="40" t="s">
        <v>1076</v>
      </c>
      <c r="B655" s="41" t="s">
        <v>15</v>
      </c>
      <c r="C655" s="40">
        <v>5.74</v>
      </c>
      <c r="D655" s="113"/>
    </row>
    <row r="656" spans="1:4" ht="15.75" outlineLevel="1">
      <c r="A656" s="40" t="s">
        <v>1076</v>
      </c>
      <c r="B656" s="41" t="s">
        <v>173</v>
      </c>
      <c r="C656" s="40">
        <v>5.109</v>
      </c>
      <c r="D656" s="113"/>
    </row>
    <row r="657" spans="1:4" ht="15.75" outlineLevel="1">
      <c r="A657" s="40" t="s">
        <v>1076</v>
      </c>
      <c r="B657" s="41" t="s">
        <v>174</v>
      </c>
      <c r="C657" s="40">
        <v>5.1109999999999998</v>
      </c>
      <c r="D657" s="113"/>
    </row>
    <row r="658" spans="1:4" ht="15.75" outlineLevel="1">
      <c r="A658" s="40" t="s">
        <v>1076</v>
      </c>
      <c r="B658" s="41" t="s">
        <v>158</v>
      </c>
      <c r="C658" s="40">
        <v>5.1120000000000001</v>
      </c>
      <c r="D658" s="113"/>
    </row>
    <row r="659" spans="1:4" ht="15.75" outlineLevel="1">
      <c r="A659" s="40" t="s">
        <v>1076</v>
      </c>
      <c r="B659" s="41" t="s">
        <v>17</v>
      </c>
      <c r="C659" s="40">
        <v>5.58</v>
      </c>
      <c r="D659" s="113"/>
    </row>
    <row r="660" spans="1:4" ht="15.75" outlineLevel="1">
      <c r="A660" s="40" t="s">
        <v>1076</v>
      </c>
      <c r="B660" s="41" t="s">
        <v>18</v>
      </c>
      <c r="C660" s="40">
        <v>5.54</v>
      </c>
      <c r="D660" s="113"/>
    </row>
    <row r="661" spans="1:4" ht="15.75" outlineLevel="1">
      <c r="A661" s="40" t="s">
        <v>1076</v>
      </c>
      <c r="B661" s="41" t="s">
        <v>19</v>
      </c>
      <c r="C661" s="40">
        <v>5.55</v>
      </c>
      <c r="D661" s="113"/>
    </row>
    <row r="662" spans="1:4" ht="15.75" outlineLevel="1">
      <c r="A662" s="40" t="s">
        <v>1076</v>
      </c>
      <c r="B662" s="41" t="s">
        <v>20</v>
      </c>
      <c r="C662" s="40">
        <v>5.63</v>
      </c>
      <c r="D662" s="113"/>
    </row>
    <row r="663" spans="1:4" ht="15.75" outlineLevel="1">
      <c r="A663" s="40" t="s">
        <v>1076</v>
      </c>
      <c r="B663" s="41" t="s">
        <v>24</v>
      </c>
      <c r="C663" s="40">
        <v>5.47</v>
      </c>
      <c r="D663" s="113"/>
    </row>
    <row r="664" spans="1:4" ht="15.75" outlineLevel="1">
      <c r="A664" s="40" t="s">
        <v>1076</v>
      </c>
      <c r="B664" s="41" t="s">
        <v>25</v>
      </c>
      <c r="C664" s="40">
        <v>5.48</v>
      </c>
      <c r="D664" s="113"/>
    </row>
    <row r="665" spans="1:4" ht="15.75">
      <c r="A665" s="46" t="s">
        <v>1076</v>
      </c>
      <c r="B665" s="41"/>
      <c r="C665" s="40"/>
      <c r="D665" s="113"/>
    </row>
    <row r="666" spans="1:4" ht="15.75" outlineLevel="1">
      <c r="A666" s="40" t="s">
        <v>1081</v>
      </c>
      <c r="B666" s="41" t="s">
        <v>0</v>
      </c>
      <c r="C666" s="40">
        <v>5.0999999999999996</v>
      </c>
      <c r="D666" s="113"/>
    </row>
    <row r="667" spans="1:4" ht="15.75" outlineLevel="1">
      <c r="A667" s="40" t="s">
        <v>1081</v>
      </c>
      <c r="B667" s="41" t="s">
        <v>1</v>
      </c>
      <c r="C667" s="40">
        <v>5.2</v>
      </c>
      <c r="D667" s="113"/>
    </row>
    <row r="668" spans="1:4" ht="15.75" outlineLevel="1">
      <c r="A668" s="40" t="s">
        <v>1081</v>
      </c>
      <c r="B668" s="41" t="s">
        <v>189</v>
      </c>
      <c r="C668" s="40">
        <v>5.4</v>
      </c>
      <c r="D668" s="113"/>
    </row>
    <row r="669" spans="1:4" ht="15.75" outlineLevel="1">
      <c r="A669" s="40" t="s">
        <v>1081</v>
      </c>
      <c r="B669" s="41" t="s">
        <v>190</v>
      </c>
      <c r="C669" s="40">
        <v>5.7</v>
      </c>
      <c r="D669" s="113"/>
    </row>
    <row r="670" spans="1:4" ht="15.75" outlineLevel="1">
      <c r="A670" s="40" t="s">
        <v>1081</v>
      </c>
      <c r="B670" s="41" t="s">
        <v>191</v>
      </c>
      <c r="C670" s="40">
        <v>5.1100000000000003</v>
      </c>
      <c r="D670" s="113"/>
    </row>
    <row r="671" spans="1:4" ht="15.75" outlineLevel="1">
      <c r="A671" s="40" t="s">
        <v>1081</v>
      </c>
      <c r="B671" s="41" t="s">
        <v>5</v>
      </c>
      <c r="C671" s="40">
        <v>5.26</v>
      </c>
      <c r="D671" s="113"/>
    </row>
    <row r="672" spans="1:4" ht="15.75" outlineLevel="1">
      <c r="A672" s="40" t="s">
        <v>1081</v>
      </c>
      <c r="B672" s="41" t="s">
        <v>192</v>
      </c>
      <c r="C672" s="40">
        <v>5.43</v>
      </c>
      <c r="D672" s="113"/>
    </row>
    <row r="673" spans="1:4" ht="15.75" outlineLevel="1">
      <c r="A673" s="40" t="s">
        <v>1081</v>
      </c>
      <c r="B673" s="41" t="s">
        <v>6</v>
      </c>
      <c r="C673" s="40">
        <v>5.27</v>
      </c>
      <c r="D673" s="113"/>
    </row>
    <row r="674" spans="1:4" ht="15.75" outlineLevel="1">
      <c r="A674" s="40" t="s">
        <v>1081</v>
      </c>
      <c r="B674" s="41" t="s">
        <v>7</v>
      </c>
      <c r="C674" s="40">
        <v>5.28</v>
      </c>
      <c r="D674" s="113"/>
    </row>
    <row r="675" spans="1:4" ht="15.75" outlineLevel="1">
      <c r="A675" s="40" t="s">
        <v>1081</v>
      </c>
      <c r="B675" s="41" t="s">
        <v>149</v>
      </c>
      <c r="C675" s="40">
        <v>5.36</v>
      </c>
      <c r="D675" s="113"/>
    </row>
    <row r="676" spans="1:4" ht="15.75" outlineLevel="1">
      <c r="A676" s="40" t="s">
        <v>1081</v>
      </c>
      <c r="B676" s="41" t="s">
        <v>193</v>
      </c>
      <c r="C676" s="42">
        <v>5.5</v>
      </c>
      <c r="D676" s="113"/>
    </row>
    <row r="677" spans="1:4" ht="15.75" outlineLevel="1">
      <c r="A677" s="40" t="s">
        <v>1081</v>
      </c>
      <c r="B677" s="41" t="s">
        <v>10</v>
      </c>
      <c r="C677" s="40">
        <v>5.51</v>
      </c>
      <c r="D677" s="113"/>
    </row>
    <row r="678" spans="1:4" ht="15.75" outlineLevel="1">
      <c r="A678" s="40" t="s">
        <v>1081</v>
      </c>
      <c r="B678" s="41" t="s">
        <v>11</v>
      </c>
      <c r="C678" s="40">
        <v>5.53</v>
      </c>
      <c r="D678" s="113"/>
    </row>
    <row r="679" spans="1:4" ht="15.75" outlineLevel="1">
      <c r="A679" s="40" t="s">
        <v>1081</v>
      </c>
      <c r="B679" s="41" t="s">
        <v>12</v>
      </c>
      <c r="C679" s="40">
        <v>5.69</v>
      </c>
      <c r="D679" s="113"/>
    </row>
    <row r="680" spans="1:4" ht="15.75" outlineLevel="1">
      <c r="A680" s="40" t="s">
        <v>1081</v>
      </c>
      <c r="B680" s="41" t="s">
        <v>14</v>
      </c>
      <c r="C680" s="42">
        <v>5.7</v>
      </c>
      <c r="D680" s="112" t="s">
        <v>1135</v>
      </c>
    </row>
    <row r="681" spans="1:4" ht="15.75" outlineLevel="1">
      <c r="A681" s="40" t="s">
        <v>1081</v>
      </c>
      <c r="B681" s="41" t="s">
        <v>15</v>
      </c>
      <c r="C681" s="40">
        <v>5.74</v>
      </c>
      <c r="D681" s="113"/>
    </row>
    <row r="682" spans="1:4" ht="15.75" outlineLevel="1">
      <c r="A682" s="40" t="s">
        <v>1081</v>
      </c>
      <c r="B682" s="41" t="s">
        <v>159</v>
      </c>
      <c r="C682" s="40">
        <v>5.59</v>
      </c>
      <c r="D682" s="113"/>
    </row>
    <row r="683" spans="1:4" ht="15.75" outlineLevel="1">
      <c r="A683" s="40" t="s">
        <v>1081</v>
      </c>
      <c r="B683" s="41" t="s">
        <v>18</v>
      </c>
      <c r="C683" s="40">
        <v>5.54</v>
      </c>
      <c r="D683" s="113"/>
    </row>
    <row r="684" spans="1:4" ht="15.75" outlineLevel="1">
      <c r="A684" s="40" t="s">
        <v>1081</v>
      </c>
      <c r="B684" s="41" t="s">
        <v>194</v>
      </c>
      <c r="C684" s="40">
        <v>5.57</v>
      </c>
      <c r="D684" s="113"/>
    </row>
    <row r="685" spans="1:4" ht="15.75" outlineLevel="1">
      <c r="A685" s="40" t="s">
        <v>1081</v>
      </c>
      <c r="B685" s="41" t="s">
        <v>20</v>
      </c>
      <c r="C685" s="40">
        <v>5.63</v>
      </c>
      <c r="D685" s="113"/>
    </row>
    <row r="686" spans="1:4" ht="15.75" outlineLevel="1">
      <c r="A686" s="40" t="s">
        <v>1081</v>
      </c>
      <c r="B686" s="41" t="s">
        <v>24</v>
      </c>
      <c r="C686" s="40">
        <v>5.47</v>
      </c>
      <c r="D686" s="113"/>
    </row>
    <row r="687" spans="1:4" ht="15.75" outlineLevel="1">
      <c r="A687" s="40" t="s">
        <v>1081</v>
      </c>
      <c r="B687" s="41" t="s">
        <v>25</v>
      </c>
      <c r="C687" s="40">
        <v>5.48</v>
      </c>
      <c r="D687" s="113"/>
    </row>
    <row r="688" spans="1:4" ht="15.75">
      <c r="A688" s="46" t="s">
        <v>1081</v>
      </c>
      <c r="B688" s="41"/>
      <c r="C688" s="40"/>
      <c r="D688" s="113"/>
    </row>
    <row r="689" spans="1:4" ht="15.75" outlineLevel="1">
      <c r="A689" s="40" t="s">
        <v>1084</v>
      </c>
      <c r="B689" s="41" t="s">
        <v>0</v>
      </c>
      <c r="C689" s="40">
        <v>5.0999999999999996</v>
      </c>
      <c r="D689" s="113"/>
    </row>
    <row r="690" spans="1:4" ht="15.75" outlineLevel="1">
      <c r="A690" s="40" t="s">
        <v>1084</v>
      </c>
      <c r="B690" s="41" t="s">
        <v>1</v>
      </c>
      <c r="C690" s="40">
        <v>5.2</v>
      </c>
      <c r="D690" s="113"/>
    </row>
    <row r="691" spans="1:4" ht="15.75" outlineLevel="1">
      <c r="A691" s="40" t="s">
        <v>1084</v>
      </c>
      <c r="B691" s="41" t="s">
        <v>178</v>
      </c>
      <c r="C691" s="40">
        <v>5.17</v>
      </c>
      <c r="D691" s="113"/>
    </row>
    <row r="692" spans="1:4" ht="15.75" outlineLevel="1">
      <c r="A692" s="40" t="s">
        <v>1084</v>
      </c>
      <c r="B692" s="41" t="s">
        <v>5</v>
      </c>
      <c r="C692" s="40">
        <v>5.26</v>
      </c>
      <c r="D692" s="113"/>
    </row>
    <row r="693" spans="1:4" ht="15.75" outlineLevel="1">
      <c r="A693" s="40" t="s">
        <v>1084</v>
      </c>
      <c r="B693" s="41" t="s">
        <v>179</v>
      </c>
      <c r="C693" s="40">
        <v>5.1029999999999998</v>
      </c>
      <c r="D693" s="113"/>
    </row>
    <row r="694" spans="1:4" ht="15.75" outlineLevel="1">
      <c r="A694" s="40" t="s">
        <v>1084</v>
      </c>
      <c r="B694" s="41" t="s">
        <v>149</v>
      </c>
      <c r="C694" s="40">
        <v>5.36</v>
      </c>
      <c r="D694" s="113"/>
    </row>
    <row r="695" spans="1:4" ht="15.75" outlineLevel="1">
      <c r="A695" s="40" t="s">
        <v>1084</v>
      </c>
      <c r="B695" s="41" t="s">
        <v>180</v>
      </c>
      <c r="C695" s="40">
        <v>5.37</v>
      </c>
      <c r="D695" s="113"/>
    </row>
    <row r="696" spans="1:4" ht="15.75" outlineLevel="1">
      <c r="A696" s="40" t="s">
        <v>1084</v>
      </c>
      <c r="B696" s="41" t="s">
        <v>181</v>
      </c>
      <c r="C696" s="40">
        <v>5.1040000000000001</v>
      </c>
      <c r="D696" s="113"/>
    </row>
    <row r="697" spans="1:4" ht="15.75" outlineLevel="1">
      <c r="A697" s="40" t="s">
        <v>1084</v>
      </c>
      <c r="B697" s="41" t="s">
        <v>182</v>
      </c>
      <c r="C697" s="40">
        <v>5.1050000000000004</v>
      </c>
      <c r="D697" s="113"/>
    </row>
    <row r="698" spans="1:4" ht="15.75" outlineLevel="1">
      <c r="A698" s="40" t="s">
        <v>1084</v>
      </c>
      <c r="B698" s="41" t="s">
        <v>183</v>
      </c>
      <c r="C698" s="40">
        <v>5.1059999999999999</v>
      </c>
      <c r="D698" s="113"/>
    </row>
    <row r="699" spans="1:4" ht="15.75" outlineLevel="1">
      <c r="A699" s="40" t="s">
        <v>1084</v>
      </c>
      <c r="B699" s="41" t="s">
        <v>184</v>
      </c>
      <c r="C699" s="40">
        <v>5.1070000000000002</v>
      </c>
      <c r="D699" s="113"/>
    </row>
    <row r="700" spans="1:4" ht="15.75" outlineLevel="1">
      <c r="A700" s="40" t="s">
        <v>1084</v>
      </c>
      <c r="B700" s="41" t="s">
        <v>904</v>
      </c>
      <c r="C700" s="40">
        <v>5.1079999999999997</v>
      </c>
      <c r="D700" s="112" t="s">
        <v>1135</v>
      </c>
    </row>
    <row r="701" spans="1:4" ht="15.75" outlineLevel="1">
      <c r="A701" s="40" t="s">
        <v>1084</v>
      </c>
      <c r="B701" s="41" t="s">
        <v>173</v>
      </c>
      <c r="C701" s="40">
        <v>5.109</v>
      </c>
      <c r="D701" s="113"/>
    </row>
    <row r="702" spans="1:4" ht="15.75" outlineLevel="1">
      <c r="A702" s="40" t="s">
        <v>1084</v>
      </c>
      <c r="B702" s="41" t="s">
        <v>186</v>
      </c>
      <c r="C702" s="43">
        <v>5.1100000000000003</v>
      </c>
      <c r="D702" s="112" t="s">
        <v>1135</v>
      </c>
    </row>
    <row r="703" spans="1:4" ht="15.75" outlineLevel="1">
      <c r="A703" s="40" t="s">
        <v>1084</v>
      </c>
      <c r="B703" s="41" t="s">
        <v>174</v>
      </c>
      <c r="C703" s="40">
        <v>5.1109999999999998</v>
      </c>
      <c r="D703" s="113"/>
    </row>
    <row r="704" spans="1:4" ht="15.75" outlineLevel="1">
      <c r="A704" s="40" t="s">
        <v>1084</v>
      </c>
      <c r="B704" s="41" t="s">
        <v>158</v>
      </c>
      <c r="C704" s="40">
        <v>5.1120000000000001</v>
      </c>
      <c r="D704" s="113"/>
    </row>
    <row r="705" spans="1:4" ht="15.75" outlineLevel="1">
      <c r="A705" s="40" t="s">
        <v>1084</v>
      </c>
      <c r="B705" s="41" t="s">
        <v>11</v>
      </c>
      <c r="C705" s="40">
        <v>5.53</v>
      </c>
      <c r="D705" s="113"/>
    </row>
    <row r="706" spans="1:4" ht="15.75" outlineLevel="1">
      <c r="A706" s="40" t="s">
        <v>1084</v>
      </c>
      <c r="B706" s="41" t="s">
        <v>187</v>
      </c>
      <c r="C706" s="40">
        <v>5.64</v>
      </c>
      <c r="D706" s="113"/>
    </row>
    <row r="707" spans="1:4" ht="15.75" outlineLevel="1">
      <c r="A707" s="40" t="s">
        <v>1084</v>
      </c>
      <c r="B707" s="41" t="s">
        <v>20</v>
      </c>
      <c r="C707" s="40">
        <v>5.63</v>
      </c>
      <c r="D707" s="113"/>
    </row>
    <row r="708" spans="1:4" ht="15.75" outlineLevel="1">
      <c r="A708" s="40" t="s">
        <v>1084</v>
      </c>
      <c r="B708" s="41" t="s">
        <v>21</v>
      </c>
      <c r="C708" s="40">
        <v>5.65</v>
      </c>
      <c r="D708" s="113"/>
    </row>
    <row r="709" spans="1:4" ht="15.75" outlineLevel="1">
      <c r="A709" s="40" t="s">
        <v>1084</v>
      </c>
      <c r="B709" s="41" t="s">
        <v>188</v>
      </c>
      <c r="C709" s="40">
        <v>5.66</v>
      </c>
      <c r="D709" s="113"/>
    </row>
    <row r="710" spans="1:4" ht="15.75" outlineLevel="1">
      <c r="A710" s="40" t="s">
        <v>1084</v>
      </c>
      <c r="B710" s="41" t="s">
        <v>22</v>
      </c>
      <c r="C710" s="40">
        <v>5.68</v>
      </c>
      <c r="D710" s="113"/>
    </row>
    <row r="711" spans="1:4" ht="15.75" outlineLevel="1">
      <c r="A711" s="40" t="s">
        <v>1084</v>
      </c>
      <c r="B711" s="41" t="s">
        <v>24</v>
      </c>
      <c r="C711" s="40">
        <v>5.47</v>
      </c>
      <c r="D711" s="113"/>
    </row>
    <row r="712" spans="1:4" ht="15.75" outlineLevel="1">
      <c r="A712" s="40" t="s">
        <v>1084</v>
      </c>
      <c r="B712" s="41" t="s">
        <v>25</v>
      </c>
      <c r="C712" s="40">
        <v>5.48</v>
      </c>
      <c r="D712" s="113"/>
    </row>
    <row r="713" spans="1:4" ht="15.75">
      <c r="A713" s="46" t="s">
        <v>1084</v>
      </c>
      <c r="B713" s="41"/>
      <c r="C713" s="40"/>
      <c r="D713" s="113"/>
    </row>
    <row r="714" spans="1:4" ht="15.75" outlineLevel="1">
      <c r="A714" s="40" t="s">
        <v>1193</v>
      </c>
      <c r="B714" s="41" t="s">
        <v>0</v>
      </c>
      <c r="C714" s="40">
        <v>5.0999999999999996</v>
      </c>
      <c r="D714" s="113"/>
    </row>
    <row r="715" spans="1:4" ht="15.75" outlineLevel="1">
      <c r="A715" s="40" t="s">
        <v>1193</v>
      </c>
      <c r="B715" s="41" t="s">
        <v>1</v>
      </c>
      <c r="C715" s="40">
        <v>5.2</v>
      </c>
      <c r="D715" s="113"/>
    </row>
    <row r="716" spans="1:4" ht="15.75" outlineLevel="1">
      <c r="A716" s="40" t="s">
        <v>1193</v>
      </c>
      <c r="B716" s="41" t="s">
        <v>2</v>
      </c>
      <c r="C716" s="40">
        <v>5.3</v>
      </c>
      <c r="D716" s="113"/>
    </row>
    <row r="717" spans="1:4" ht="15.75" outlineLevel="1">
      <c r="A717" s="40" t="s">
        <v>1193</v>
      </c>
      <c r="B717" s="41" t="s">
        <v>169</v>
      </c>
      <c r="C717" s="40">
        <v>5.6</v>
      </c>
      <c r="D717" s="113"/>
    </row>
    <row r="718" spans="1:4" ht="15.75" outlineLevel="1">
      <c r="A718" s="40" t="s">
        <v>1193</v>
      </c>
      <c r="B718" s="41" t="s">
        <v>1137</v>
      </c>
      <c r="C718" s="42">
        <v>5.0999999999999996</v>
      </c>
      <c r="D718" s="113"/>
    </row>
    <row r="719" spans="1:4" ht="15.75" outlineLevel="1">
      <c r="A719" s="40" t="s">
        <v>1193</v>
      </c>
      <c r="B719" s="41" t="s">
        <v>1136</v>
      </c>
      <c r="C719" s="40">
        <v>5.14</v>
      </c>
      <c r="D719" s="113"/>
    </row>
    <row r="720" spans="1:4" ht="15.75" outlineLevel="1">
      <c r="A720" s="40" t="s">
        <v>1193</v>
      </c>
      <c r="B720" s="41" t="s">
        <v>4</v>
      </c>
      <c r="C720" s="40">
        <v>5.19</v>
      </c>
      <c r="D720" s="113"/>
    </row>
    <row r="721" spans="1:4" ht="15.75" outlineLevel="1">
      <c r="A721" s="40" t="s">
        <v>1193</v>
      </c>
      <c r="B721" s="41" t="s">
        <v>171</v>
      </c>
      <c r="C721" s="40">
        <v>5.24</v>
      </c>
      <c r="D721" s="113"/>
    </row>
    <row r="722" spans="1:4" ht="15.75" outlineLevel="1">
      <c r="A722" s="40" t="s">
        <v>1193</v>
      </c>
      <c r="B722" s="41" t="s">
        <v>5</v>
      </c>
      <c r="C722" s="40">
        <v>5.26</v>
      </c>
      <c r="D722" s="113"/>
    </row>
    <row r="723" spans="1:4" ht="15.75" outlineLevel="1">
      <c r="A723" s="40" t="s">
        <v>1193</v>
      </c>
      <c r="B723" s="41" t="s">
        <v>6</v>
      </c>
      <c r="C723" s="40">
        <v>5.27</v>
      </c>
      <c r="D723" s="113"/>
    </row>
    <row r="724" spans="1:4" ht="15.75" outlineLevel="1">
      <c r="A724" s="40" t="s">
        <v>1193</v>
      </c>
      <c r="B724" s="41" t="s">
        <v>7</v>
      </c>
      <c r="C724" s="40">
        <v>5.28</v>
      </c>
      <c r="D724" s="113"/>
    </row>
    <row r="725" spans="1:4" ht="15.75" outlineLevel="1">
      <c r="A725" s="40" t="s">
        <v>1193</v>
      </c>
      <c r="B725" s="41" t="s">
        <v>172</v>
      </c>
      <c r="C725" s="40">
        <v>5.31</v>
      </c>
      <c r="D725" s="113"/>
    </row>
    <row r="726" spans="1:4" ht="15.75" outlineLevel="1">
      <c r="A726" s="40" t="s">
        <v>1193</v>
      </c>
      <c r="B726" s="41" t="s">
        <v>149</v>
      </c>
      <c r="C726" s="40">
        <v>5.36</v>
      </c>
      <c r="D726" s="113"/>
    </row>
    <row r="727" spans="1:4" ht="15.75" outlineLevel="1">
      <c r="A727" s="40" t="s">
        <v>1193</v>
      </c>
      <c r="B727" s="41" t="s">
        <v>11</v>
      </c>
      <c r="C727" s="40">
        <v>5.53</v>
      </c>
      <c r="D727" s="113"/>
    </row>
    <row r="728" spans="1:4" ht="15.75" outlineLevel="1">
      <c r="A728" s="40" t="s">
        <v>1193</v>
      </c>
      <c r="B728" s="41" t="s">
        <v>173</v>
      </c>
      <c r="C728" s="40">
        <v>5.109</v>
      </c>
      <c r="D728" s="113"/>
    </row>
    <row r="729" spans="1:4" ht="15.75" outlineLevel="1">
      <c r="A729" s="40" t="s">
        <v>1193</v>
      </c>
      <c r="B729" s="41" t="s">
        <v>174</v>
      </c>
      <c r="C729" s="40">
        <v>5.1109999999999998</v>
      </c>
      <c r="D729" s="113"/>
    </row>
    <row r="730" spans="1:4" ht="15.75" outlineLevel="1">
      <c r="A730" s="40" t="s">
        <v>1193</v>
      </c>
      <c r="B730" s="41" t="s">
        <v>158</v>
      </c>
      <c r="C730" s="40">
        <v>5.1120000000000001</v>
      </c>
      <c r="D730" s="113"/>
    </row>
    <row r="731" spans="1:4" ht="15.75" outlineLevel="1">
      <c r="A731" s="40" t="s">
        <v>1193</v>
      </c>
      <c r="B731" s="41" t="s">
        <v>1151</v>
      </c>
      <c r="C731" s="40">
        <v>5.1130000000000004</v>
      </c>
      <c r="D731" s="113"/>
    </row>
    <row r="732" spans="1:4" ht="15.75" outlineLevel="1">
      <c r="A732" s="40" t="s">
        <v>1193</v>
      </c>
      <c r="B732" s="41" t="s">
        <v>176</v>
      </c>
      <c r="C732" s="40">
        <v>5.117</v>
      </c>
      <c r="D732" s="113"/>
    </row>
    <row r="733" spans="1:4" ht="15.75" outlineLevel="1">
      <c r="A733" s="40" t="s">
        <v>1193</v>
      </c>
      <c r="B733" s="41" t="s">
        <v>177</v>
      </c>
      <c r="C733" s="40">
        <v>5.67</v>
      </c>
      <c r="D733" s="113"/>
    </row>
    <row r="734" spans="1:4" ht="15.75" outlineLevel="1">
      <c r="A734" s="40" t="s">
        <v>1193</v>
      </c>
      <c r="B734" s="41" t="s">
        <v>20</v>
      </c>
      <c r="C734" s="40">
        <v>5.63</v>
      </c>
      <c r="D734" s="113"/>
    </row>
    <row r="735" spans="1:4" ht="15.75" outlineLevel="1">
      <c r="A735" s="40" t="s">
        <v>1193</v>
      </c>
      <c r="B735" s="41" t="s">
        <v>24</v>
      </c>
      <c r="C735" s="40">
        <v>5.47</v>
      </c>
      <c r="D735" s="113"/>
    </row>
    <row r="736" spans="1:4" ht="15.75" outlineLevel="1">
      <c r="A736" s="40" t="s">
        <v>1193</v>
      </c>
      <c r="B736" s="41" t="s">
        <v>25</v>
      </c>
      <c r="C736" s="40">
        <v>5.48</v>
      </c>
      <c r="D736" s="113"/>
    </row>
    <row r="737" spans="1:4" ht="15.75">
      <c r="A737" s="46" t="s">
        <v>1194</v>
      </c>
      <c r="B737" s="41"/>
      <c r="C737" s="40"/>
      <c r="D737" s="113"/>
    </row>
    <row r="738" spans="1:4" ht="15.75" outlineLevel="1">
      <c r="A738" s="40" t="s">
        <v>1087</v>
      </c>
      <c r="B738" s="41" t="s">
        <v>0</v>
      </c>
      <c r="C738" s="40">
        <v>5.0999999999999996</v>
      </c>
      <c r="D738" s="113"/>
    </row>
    <row r="739" spans="1:4" ht="15.75" outlineLevel="1">
      <c r="A739" s="40" t="s">
        <v>1087</v>
      </c>
      <c r="B739" s="41" t="s">
        <v>1</v>
      </c>
      <c r="C739" s="40">
        <v>5.2</v>
      </c>
      <c r="D739" s="113"/>
    </row>
    <row r="740" spans="1:4" ht="15.75" outlineLevel="1">
      <c r="A740" s="40" t="s">
        <v>1087</v>
      </c>
      <c r="B740" s="41" t="s">
        <v>155</v>
      </c>
      <c r="C740" s="40">
        <v>5.18</v>
      </c>
      <c r="D740" s="113"/>
    </row>
    <row r="741" spans="1:4" ht="15.75" outlineLevel="1">
      <c r="A741" s="40" t="s">
        <v>1087</v>
      </c>
      <c r="B741" s="41" t="s">
        <v>156</v>
      </c>
      <c r="C741" s="40">
        <v>5.23</v>
      </c>
      <c r="D741" s="113"/>
    </row>
    <row r="742" spans="1:4" ht="15.75" outlineLevel="1">
      <c r="A742" s="40" t="s">
        <v>1087</v>
      </c>
      <c r="B742" s="41" t="s">
        <v>5</v>
      </c>
      <c r="C742" s="40">
        <v>5.26</v>
      </c>
      <c r="D742" s="113"/>
    </row>
    <row r="743" spans="1:4" ht="15.75" outlineLevel="1">
      <c r="A743" s="40" t="s">
        <v>1087</v>
      </c>
      <c r="B743" s="41" t="s">
        <v>6</v>
      </c>
      <c r="C743" s="40">
        <v>5.27</v>
      </c>
      <c r="D743" s="113"/>
    </row>
    <row r="744" spans="1:4" ht="15.75" outlineLevel="1">
      <c r="A744" s="40" t="s">
        <v>1087</v>
      </c>
      <c r="B744" s="41" t="s">
        <v>7</v>
      </c>
      <c r="C744" s="40">
        <v>5.28</v>
      </c>
      <c r="D744" s="113"/>
    </row>
    <row r="745" spans="1:4" ht="15.75" outlineLevel="1">
      <c r="A745" s="40" t="s">
        <v>1087</v>
      </c>
      <c r="B745" s="41" t="s">
        <v>149</v>
      </c>
      <c r="C745" s="40">
        <v>5.36</v>
      </c>
      <c r="D745" s="113"/>
    </row>
    <row r="746" spans="1:4" ht="15.75" outlineLevel="1">
      <c r="A746" s="40" t="s">
        <v>1087</v>
      </c>
      <c r="B746" s="41" t="s">
        <v>157</v>
      </c>
      <c r="C746" s="40">
        <v>5.44</v>
      </c>
      <c r="D746" s="113"/>
    </row>
    <row r="747" spans="1:4" ht="15.75" outlineLevel="1">
      <c r="A747" s="40" t="s">
        <v>1087</v>
      </c>
      <c r="B747" s="41" t="s">
        <v>11</v>
      </c>
      <c r="C747" s="40">
        <v>5.53</v>
      </c>
      <c r="D747" s="113"/>
    </row>
    <row r="748" spans="1:4" ht="15.75" outlineLevel="1">
      <c r="A748" s="40" t="s">
        <v>1087</v>
      </c>
      <c r="B748" s="41" t="s">
        <v>158</v>
      </c>
      <c r="C748" s="40">
        <v>5.1120000000000001</v>
      </c>
      <c r="D748" s="113"/>
    </row>
    <row r="749" spans="1:4" ht="15.75" outlineLevel="1">
      <c r="A749" s="40" t="s">
        <v>1087</v>
      </c>
      <c r="B749" s="41" t="s">
        <v>159</v>
      </c>
      <c r="C749" s="40">
        <v>5.59</v>
      </c>
      <c r="D749" s="113"/>
    </row>
    <row r="750" spans="1:4" ht="15.75" outlineLevel="1">
      <c r="A750" s="40" t="s">
        <v>1087</v>
      </c>
      <c r="B750" s="41" t="s">
        <v>18</v>
      </c>
      <c r="C750" s="40">
        <v>5.54</v>
      </c>
      <c r="D750" s="113"/>
    </row>
    <row r="751" spans="1:4" ht="15.75" outlineLevel="1">
      <c r="A751" s="40" t="s">
        <v>1087</v>
      </c>
      <c r="B751" s="41" t="s">
        <v>20</v>
      </c>
      <c r="C751" s="40">
        <v>5.63</v>
      </c>
      <c r="D751" s="113"/>
    </row>
    <row r="752" spans="1:4" ht="15.75" outlineLevel="1">
      <c r="A752" s="40" t="s">
        <v>1087</v>
      </c>
      <c r="B752" s="41" t="s">
        <v>21</v>
      </c>
      <c r="C752" s="40">
        <v>5.65</v>
      </c>
      <c r="D752" s="113"/>
    </row>
    <row r="753" spans="1:4" ht="15.75" outlineLevel="1">
      <c r="A753" s="40" t="s">
        <v>1087</v>
      </c>
      <c r="B753" s="41" t="s">
        <v>22</v>
      </c>
      <c r="C753" s="40">
        <v>5.68</v>
      </c>
      <c r="D753" s="113"/>
    </row>
    <row r="754" spans="1:4" ht="15.75" outlineLevel="1">
      <c r="A754" s="40" t="s">
        <v>1087</v>
      </c>
      <c r="B754" s="41" t="s">
        <v>24</v>
      </c>
      <c r="C754" s="40">
        <v>5.47</v>
      </c>
      <c r="D754" s="113"/>
    </row>
    <row r="755" spans="1:4" ht="15.75" outlineLevel="1">
      <c r="A755" s="40" t="s">
        <v>1087</v>
      </c>
      <c r="B755" s="41" t="s">
        <v>25</v>
      </c>
      <c r="C755" s="40">
        <v>5.48</v>
      </c>
      <c r="D755" s="113"/>
    </row>
    <row r="756" spans="1:4" ht="15.75">
      <c r="A756" s="46" t="s">
        <v>1087</v>
      </c>
      <c r="B756" s="41"/>
      <c r="C756" s="40"/>
      <c r="D756" s="113"/>
    </row>
    <row r="757" spans="1:4" ht="15.75" outlineLevel="1">
      <c r="A757" s="40" t="s">
        <v>1195</v>
      </c>
      <c r="B757" s="41" t="s">
        <v>0</v>
      </c>
      <c r="C757" s="40">
        <v>5.0999999999999996</v>
      </c>
      <c r="D757" s="113"/>
    </row>
    <row r="758" spans="1:4" ht="15.75" outlineLevel="1">
      <c r="A758" s="40" t="s">
        <v>1195</v>
      </c>
      <c r="B758" s="41" t="s">
        <v>1</v>
      </c>
      <c r="C758" s="40">
        <v>5.2</v>
      </c>
      <c r="D758" s="113"/>
    </row>
    <row r="759" spans="1:4" ht="15.75" outlineLevel="1">
      <c r="A759" s="40" t="s">
        <v>1195</v>
      </c>
      <c r="B759" s="41" t="s">
        <v>144</v>
      </c>
      <c r="C759" s="40">
        <v>5.9</v>
      </c>
      <c r="D759" s="112" t="s">
        <v>1135</v>
      </c>
    </row>
    <row r="760" spans="1:4" ht="15.75" outlineLevel="1">
      <c r="A760" s="40" t="s">
        <v>1195</v>
      </c>
      <c r="B760" s="41" t="s">
        <v>145</v>
      </c>
      <c r="C760" s="40">
        <v>5.13</v>
      </c>
      <c r="D760" s="113"/>
    </row>
    <row r="761" spans="1:4" ht="15.75" outlineLevel="1">
      <c r="A761" s="40" t="s">
        <v>1195</v>
      </c>
      <c r="B761" s="41" t="s">
        <v>146</v>
      </c>
      <c r="C761" s="40">
        <v>5.16</v>
      </c>
      <c r="D761" s="112" t="s">
        <v>1135</v>
      </c>
    </row>
    <row r="762" spans="1:4" ht="15.75" outlineLevel="1">
      <c r="A762" s="40" t="s">
        <v>1195</v>
      </c>
      <c r="B762" s="41" t="s">
        <v>147</v>
      </c>
      <c r="C762" s="40">
        <v>5.22</v>
      </c>
      <c r="D762" s="112"/>
    </row>
    <row r="763" spans="1:4" ht="15.75" outlineLevel="1">
      <c r="A763" s="40" t="s">
        <v>1195</v>
      </c>
      <c r="B763" s="41" t="s">
        <v>148</v>
      </c>
      <c r="C763" s="40">
        <v>5.42</v>
      </c>
      <c r="D763" s="113"/>
    </row>
    <row r="764" spans="1:4" ht="15.75" outlineLevel="1">
      <c r="A764" s="40" t="s">
        <v>1195</v>
      </c>
      <c r="B764" s="41" t="s">
        <v>6</v>
      </c>
      <c r="C764" s="40">
        <v>5.27</v>
      </c>
      <c r="D764" s="113"/>
    </row>
    <row r="765" spans="1:4" ht="15.75" outlineLevel="1">
      <c r="A765" s="40" t="s">
        <v>1195</v>
      </c>
      <c r="B765" s="41" t="s">
        <v>7</v>
      </c>
      <c r="C765" s="40">
        <v>5.28</v>
      </c>
      <c r="D765" s="112" t="s">
        <v>1135</v>
      </c>
    </row>
    <row r="766" spans="1:4" ht="15.75" outlineLevel="1">
      <c r="A766" s="40" t="s">
        <v>1195</v>
      </c>
      <c r="B766" s="41" t="s">
        <v>149</v>
      </c>
      <c r="C766" s="40">
        <v>5.36</v>
      </c>
      <c r="D766" s="113"/>
    </row>
    <row r="767" spans="1:4" ht="15.75" outlineLevel="1">
      <c r="A767" s="40" t="s">
        <v>1195</v>
      </c>
      <c r="B767" s="41" t="s">
        <v>9</v>
      </c>
      <c r="C767" s="40">
        <v>5.49</v>
      </c>
      <c r="D767" s="113"/>
    </row>
    <row r="768" spans="1:4" ht="15.75" outlineLevel="1">
      <c r="A768" s="40" t="s">
        <v>1195</v>
      </c>
      <c r="B768" s="41" t="s">
        <v>10</v>
      </c>
      <c r="C768" s="40">
        <v>5.51</v>
      </c>
      <c r="D768" s="113"/>
    </row>
    <row r="769" spans="1:4" ht="15.75" outlineLevel="1">
      <c r="A769" s="40" t="s">
        <v>1195</v>
      </c>
      <c r="B769" s="41" t="s">
        <v>1184</v>
      </c>
      <c r="C769" s="40">
        <v>5.52</v>
      </c>
      <c r="D769" s="113"/>
    </row>
    <row r="770" spans="1:4" ht="15.75" outlineLevel="1">
      <c r="A770" s="40" t="s">
        <v>1195</v>
      </c>
      <c r="B770" s="41" t="s">
        <v>11</v>
      </c>
      <c r="C770" s="40">
        <v>5.53</v>
      </c>
      <c r="D770" s="113"/>
    </row>
    <row r="771" spans="1:4" ht="15.75" outlineLevel="1">
      <c r="A771" s="40" t="s">
        <v>1195</v>
      </c>
      <c r="B771" s="41" t="s">
        <v>18</v>
      </c>
      <c r="C771" s="40">
        <v>5.54</v>
      </c>
      <c r="D771" s="113"/>
    </row>
    <row r="772" spans="1:4" ht="15.75" outlineLevel="1">
      <c r="A772" s="40" t="s">
        <v>1195</v>
      </c>
      <c r="B772" s="41" t="s">
        <v>14</v>
      </c>
      <c r="C772" s="42">
        <v>5.7</v>
      </c>
      <c r="D772" s="113"/>
    </row>
    <row r="773" spans="1:4" ht="15.75" outlineLevel="1">
      <c r="A773" s="40" t="s">
        <v>1195</v>
      </c>
      <c r="B773" s="41" t="s">
        <v>151</v>
      </c>
      <c r="C773" s="40">
        <v>5.71</v>
      </c>
      <c r="D773" s="113"/>
    </row>
    <row r="774" spans="1:4" ht="15.75" outlineLevel="1">
      <c r="A774" s="40" t="s">
        <v>1195</v>
      </c>
      <c r="B774" s="41" t="s">
        <v>152</v>
      </c>
      <c r="C774" s="42">
        <v>5.9</v>
      </c>
      <c r="D774" s="113"/>
    </row>
    <row r="775" spans="1:4" ht="15.75" outlineLevel="1">
      <c r="A775" s="40" t="s">
        <v>1195</v>
      </c>
      <c r="B775" s="41" t="s">
        <v>153</v>
      </c>
      <c r="C775" s="40">
        <v>5.91</v>
      </c>
      <c r="D775" s="113"/>
    </row>
    <row r="776" spans="1:4" ht="15.75" outlineLevel="1">
      <c r="A776" s="40" t="s">
        <v>1195</v>
      </c>
      <c r="B776" s="41" t="s">
        <v>154</v>
      </c>
      <c r="C776" s="40">
        <v>5.97</v>
      </c>
      <c r="D776" s="113"/>
    </row>
    <row r="777" spans="1:4" ht="15.75">
      <c r="A777" s="46" t="s">
        <v>1195</v>
      </c>
      <c r="B777" s="41"/>
      <c r="C777" s="40"/>
      <c r="D777" s="113"/>
    </row>
    <row r="778" spans="1:4" ht="15.75" outlineLevel="1">
      <c r="A778" s="40" t="s">
        <v>1122</v>
      </c>
      <c r="B778" s="41" t="s">
        <v>0</v>
      </c>
      <c r="C778" s="40">
        <v>5.0999999999999996</v>
      </c>
      <c r="D778" s="113"/>
    </row>
    <row r="779" spans="1:4" ht="15.75" outlineLevel="1">
      <c r="A779" s="40" t="s">
        <v>1122</v>
      </c>
      <c r="B779" s="41" t="s">
        <v>1</v>
      </c>
      <c r="C779" s="40">
        <v>5.2</v>
      </c>
      <c r="D779" s="113"/>
    </row>
    <row r="780" spans="1:4" ht="15.75" outlineLevel="1">
      <c r="A780" s="40" t="s">
        <v>1122</v>
      </c>
      <c r="B780" s="41" t="s">
        <v>5</v>
      </c>
      <c r="C780" s="40">
        <v>5.26</v>
      </c>
      <c r="D780" s="113"/>
    </row>
    <row r="781" spans="1:4" ht="15.75" outlineLevel="1">
      <c r="A781" s="40" t="s">
        <v>1122</v>
      </c>
      <c r="B781" s="41" t="s">
        <v>212</v>
      </c>
      <c r="C781" s="40">
        <v>5.5</v>
      </c>
      <c r="D781" s="113"/>
    </row>
    <row r="782" spans="1:4" ht="15.75" outlineLevel="1">
      <c r="A782" s="40" t="s">
        <v>1122</v>
      </c>
      <c r="B782" s="41" t="s">
        <v>213</v>
      </c>
      <c r="C782" s="40">
        <v>5.8</v>
      </c>
      <c r="D782" s="112" t="s">
        <v>1135</v>
      </c>
    </row>
    <row r="783" spans="1:4" ht="15.75" outlineLevel="1">
      <c r="A783" s="40" t="s">
        <v>1122</v>
      </c>
      <c r="B783" s="41" t="s">
        <v>214</v>
      </c>
      <c r="C783" s="40">
        <v>5.12</v>
      </c>
      <c r="D783" s="40"/>
    </row>
    <row r="784" spans="1:4" ht="15.75" outlineLevel="1">
      <c r="A784" s="40" t="s">
        <v>1122</v>
      </c>
      <c r="B784" s="41" t="s">
        <v>215</v>
      </c>
      <c r="C784" s="40">
        <v>5.15</v>
      </c>
      <c r="D784" s="40"/>
    </row>
    <row r="785" spans="1:4" ht="15.75" outlineLevel="1">
      <c r="A785" s="40" t="s">
        <v>1122</v>
      </c>
      <c r="B785" s="41" t="s">
        <v>216</v>
      </c>
      <c r="C785" s="42">
        <v>5.2</v>
      </c>
      <c r="D785" s="112"/>
    </row>
    <row r="786" spans="1:4" ht="15.75" outlineLevel="1">
      <c r="A786" s="40" t="s">
        <v>1122</v>
      </c>
      <c r="B786" s="41" t="s">
        <v>217</v>
      </c>
      <c r="C786" s="40">
        <v>5.25</v>
      </c>
      <c r="D786" s="40"/>
    </row>
    <row r="787" spans="1:4" ht="15.75" outlineLevel="1">
      <c r="A787" s="40" t="s">
        <v>1122</v>
      </c>
      <c r="B787" s="41" t="s">
        <v>11</v>
      </c>
      <c r="C787" s="40">
        <v>5.53</v>
      </c>
      <c r="D787" s="40"/>
    </row>
    <row r="788" spans="1:4" ht="15.75" outlineLevel="1">
      <c r="A788" s="40" t="s">
        <v>1122</v>
      </c>
      <c r="B788" s="41" t="s">
        <v>218</v>
      </c>
      <c r="C788" s="42">
        <v>5.4</v>
      </c>
      <c r="D788" s="40"/>
    </row>
    <row r="789" spans="1:4" ht="31.5" outlineLevel="1">
      <c r="A789" s="40" t="s">
        <v>1122</v>
      </c>
      <c r="B789" s="41" t="s">
        <v>219</v>
      </c>
      <c r="C789" s="40">
        <v>5.92</v>
      </c>
      <c r="D789" s="40"/>
    </row>
    <row r="790" spans="1:4" ht="15.75" outlineLevel="1">
      <c r="A790" s="40" t="s">
        <v>1122</v>
      </c>
      <c r="B790" s="41" t="s">
        <v>220</v>
      </c>
      <c r="C790" s="40">
        <v>5.93</v>
      </c>
      <c r="D790" s="40"/>
    </row>
    <row r="791" spans="1:4" ht="31.5" outlineLevel="1">
      <c r="A791" s="40" t="s">
        <v>1122</v>
      </c>
      <c r="B791" s="41" t="s">
        <v>221</v>
      </c>
      <c r="C791" s="40">
        <v>5.94</v>
      </c>
      <c r="D791" s="40"/>
    </row>
    <row r="792" spans="1:4" ht="15.75" outlineLevel="1">
      <c r="A792" s="40" t="s">
        <v>1122</v>
      </c>
      <c r="B792" s="41" t="s">
        <v>222</v>
      </c>
      <c r="C792" s="40">
        <v>5.95</v>
      </c>
      <c r="D792" s="40"/>
    </row>
    <row r="793" spans="1:4" ht="15.75" outlineLevel="1">
      <c r="A793" s="40" t="s">
        <v>1122</v>
      </c>
      <c r="B793" s="41" t="s">
        <v>223</v>
      </c>
      <c r="C793" s="40">
        <v>5.98</v>
      </c>
      <c r="D793" s="40"/>
    </row>
    <row r="794" spans="1:4" ht="15.75" outlineLevel="1">
      <c r="A794" s="40" t="s">
        <v>1122</v>
      </c>
      <c r="B794" s="41" t="s">
        <v>224</v>
      </c>
      <c r="C794" s="40">
        <v>5.96</v>
      </c>
      <c r="D794" s="40"/>
    </row>
    <row r="795" spans="1:4" ht="31.5">
      <c r="A795" s="46" t="s">
        <v>1122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1212</v>
      </c>
    </row>
    <row r="3" spans="1:2">
      <c r="A3" t="s">
        <v>1213</v>
      </c>
      <c r="B3" t="s">
        <v>1214</v>
      </c>
    </row>
    <row r="4" spans="1:2">
      <c r="A4" t="s">
        <v>199</v>
      </c>
      <c r="B4" t="s">
        <v>1215</v>
      </c>
    </row>
    <row r="5" spans="1:2">
      <c r="A5" t="s">
        <v>1216</v>
      </c>
      <c r="B5" t="s">
        <v>1217</v>
      </c>
    </row>
    <row r="6" spans="1:2">
      <c r="A6" t="s">
        <v>1218</v>
      </c>
      <c r="B6" t="s">
        <v>1219</v>
      </c>
    </row>
    <row r="7" spans="1:2">
      <c r="A7" t="s">
        <v>1220</v>
      </c>
      <c r="B7" t="s">
        <v>1221</v>
      </c>
    </row>
    <row r="8" spans="1:2">
      <c r="A8" t="s">
        <v>1222</v>
      </c>
      <c r="B8" t="s">
        <v>1223</v>
      </c>
    </row>
    <row r="10" spans="1:2" ht="15">
      <c r="A10" s="26" t="s">
        <v>1224</v>
      </c>
    </row>
    <row r="11" spans="1:2">
      <c r="A11" t="s">
        <v>1225</v>
      </c>
    </row>
    <row r="12" spans="1:2">
      <c r="A12" t="s">
        <v>1226</v>
      </c>
      <c r="B12" t="s">
        <v>1227</v>
      </c>
    </row>
    <row r="14" spans="1:2">
      <c r="A14" s="39"/>
    </row>
    <row r="15" spans="1:2" ht="15">
      <c r="A15" s="26" t="s">
        <v>1228</v>
      </c>
    </row>
    <row r="16" spans="1:2">
      <c r="A16" s="37" t="s">
        <v>1229</v>
      </c>
    </row>
    <row r="17" spans="1:2">
      <c r="A17" s="37" t="s">
        <v>1230</v>
      </c>
    </row>
    <row r="18" spans="1:2">
      <c r="A18" s="37" t="s">
        <v>1231</v>
      </c>
    </row>
    <row r="19" spans="1:2">
      <c r="A19" s="37" t="s">
        <v>1232</v>
      </c>
    </row>
    <row r="21" spans="1:2" ht="15">
      <c r="A21" s="38" t="s">
        <v>1233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1234</v>
      </c>
      <c r="B34" s="26" t="s">
        <v>332</v>
      </c>
    </row>
    <row r="35" spans="1:2">
      <c r="A35" s="18" t="s">
        <v>1235</v>
      </c>
      <c r="B35" s="45">
        <v>512310509</v>
      </c>
    </row>
    <row r="36" spans="1:2">
      <c r="A36" t="s">
        <v>1236</v>
      </c>
      <c r="B36" s="45">
        <v>513910703</v>
      </c>
    </row>
    <row r="37" spans="1:2">
      <c r="A37" t="s">
        <v>1237</v>
      </c>
      <c r="B37" s="45">
        <v>512304882</v>
      </c>
    </row>
    <row r="38" spans="1:2">
      <c r="A38" t="s">
        <v>1238</v>
      </c>
      <c r="B38" s="45">
        <v>520030677</v>
      </c>
    </row>
    <row r="39" spans="1:2">
      <c r="A39" t="s">
        <v>1239</v>
      </c>
      <c r="B39" s="45">
        <v>513621110</v>
      </c>
    </row>
    <row r="40" spans="1:2">
      <c r="A40" t="s">
        <v>1240</v>
      </c>
      <c r="B40" s="18">
        <v>513173393</v>
      </c>
    </row>
    <row r="41" spans="1:2">
      <c r="A41" t="s">
        <v>1241</v>
      </c>
      <c r="B41" s="18">
        <v>511880460</v>
      </c>
    </row>
    <row r="42" spans="1:2">
      <c r="A42" t="s">
        <v>1242</v>
      </c>
      <c r="B42" s="18">
        <v>510773922</v>
      </c>
    </row>
    <row r="43" spans="1:2">
      <c r="A43" t="s">
        <v>1243</v>
      </c>
      <c r="B43">
        <v>520021916</v>
      </c>
    </row>
    <row r="44" spans="1:2">
      <c r="A44" t="s">
        <v>1244</v>
      </c>
      <c r="B44">
        <v>520044025</v>
      </c>
    </row>
    <row r="45" spans="1:2">
      <c r="A45" t="s">
        <v>1245</v>
      </c>
      <c r="B45">
        <v>570003152</v>
      </c>
    </row>
    <row r="46" spans="1:2">
      <c r="A46" t="s">
        <v>1246</v>
      </c>
      <c r="B46" s="18">
        <v>520023094</v>
      </c>
    </row>
    <row r="47" spans="1:2">
      <c r="A47" t="s">
        <v>1247</v>
      </c>
      <c r="B47" s="18">
        <v>512711409</v>
      </c>
    </row>
    <row r="48" spans="1:2">
      <c r="A48" t="s">
        <v>1248</v>
      </c>
      <c r="B48">
        <v>515859379</v>
      </c>
    </row>
    <row r="49" spans="1:2">
      <c r="A49" t="s">
        <v>1249</v>
      </c>
      <c r="B49" s="18">
        <v>520030990</v>
      </c>
    </row>
    <row r="50" spans="1:2">
      <c r="A50" t="s">
        <v>1250</v>
      </c>
      <c r="B50" s="18">
        <v>520028812</v>
      </c>
    </row>
    <row r="51" spans="1:2">
      <c r="A51" t="s">
        <v>1251</v>
      </c>
      <c r="B51" s="18">
        <v>520034968</v>
      </c>
    </row>
    <row r="52" spans="1:2">
      <c r="A52" t="s">
        <v>1252</v>
      </c>
      <c r="B52" s="18">
        <v>520031824</v>
      </c>
    </row>
    <row r="53" spans="1:2">
      <c r="A53" t="s">
        <v>1253</v>
      </c>
      <c r="B53" s="18">
        <v>520005497</v>
      </c>
    </row>
    <row r="54" spans="1:2">
      <c r="A54" t="s">
        <v>1254</v>
      </c>
      <c r="B54" s="18">
        <v>520022518</v>
      </c>
    </row>
    <row r="55" spans="1:2">
      <c r="A55" t="s">
        <v>1255</v>
      </c>
      <c r="B55" s="18">
        <v>520028556</v>
      </c>
    </row>
    <row r="56" spans="1:2">
      <c r="A56" t="s">
        <v>1256</v>
      </c>
      <c r="B56" s="18">
        <v>520032269</v>
      </c>
    </row>
    <row r="57" spans="1:2">
      <c r="A57" t="s">
        <v>1257</v>
      </c>
      <c r="B57" s="18">
        <v>520027954</v>
      </c>
    </row>
    <row r="58" spans="1:2">
      <c r="A58" t="s">
        <v>1258</v>
      </c>
      <c r="B58">
        <v>520029620</v>
      </c>
    </row>
    <row r="59" spans="1:2">
      <c r="A59" t="s">
        <v>1259</v>
      </c>
      <c r="B59" s="18">
        <v>520028861</v>
      </c>
    </row>
    <row r="60" spans="1:2">
      <c r="A60" t="s">
        <v>1260</v>
      </c>
      <c r="B60" s="18">
        <v>520030743</v>
      </c>
    </row>
    <row r="61" spans="1:2">
      <c r="A61" t="s">
        <v>1261</v>
      </c>
      <c r="B61">
        <v>520042177</v>
      </c>
    </row>
    <row r="62" spans="1:2">
      <c r="A62" t="s">
        <v>1262</v>
      </c>
      <c r="B62" s="18">
        <v>515447035</v>
      </c>
    </row>
    <row r="63" spans="1:2">
      <c r="A63" t="s">
        <v>1263</v>
      </c>
      <c r="B63" s="18">
        <v>520042607</v>
      </c>
    </row>
    <row r="64" spans="1:2">
      <c r="A64" t="s">
        <v>1264</v>
      </c>
      <c r="B64" s="18">
        <v>513026484</v>
      </c>
    </row>
    <row r="65" spans="1:2">
      <c r="A65" t="s">
        <v>1265</v>
      </c>
      <c r="B65">
        <v>520023185</v>
      </c>
    </row>
    <row r="66" spans="1:2">
      <c r="A66" t="s">
        <v>1266</v>
      </c>
      <c r="B66">
        <v>520004078</v>
      </c>
    </row>
    <row r="67" spans="1:2">
      <c r="A67" t="s">
        <v>1267</v>
      </c>
      <c r="B67" s="18">
        <v>512267592</v>
      </c>
    </row>
    <row r="68" spans="1:2">
      <c r="A68" t="s">
        <v>1268</v>
      </c>
      <c r="B68">
        <v>515764868</v>
      </c>
    </row>
    <row r="69" spans="1:2">
      <c r="A69" t="s">
        <v>1269</v>
      </c>
      <c r="B69" s="18">
        <v>513452003</v>
      </c>
    </row>
    <row r="70" spans="1:2">
      <c r="A70" t="s">
        <v>1270</v>
      </c>
      <c r="B70" s="18">
        <v>510142789</v>
      </c>
    </row>
    <row r="71" spans="1:2">
      <c r="A71" t="s">
        <v>1271</v>
      </c>
      <c r="B71" s="18">
        <v>510960586</v>
      </c>
    </row>
    <row r="72" spans="1:2">
      <c r="A72" t="s">
        <v>1272</v>
      </c>
      <c r="B72" s="18">
        <v>510930670</v>
      </c>
    </row>
    <row r="73" spans="1:2">
      <c r="A73" t="s">
        <v>1273</v>
      </c>
      <c r="B73" s="18">
        <v>510927536</v>
      </c>
    </row>
    <row r="74" spans="1:2">
      <c r="A74" t="s">
        <v>1274</v>
      </c>
      <c r="B74" s="18">
        <v>510930654</v>
      </c>
    </row>
    <row r="75" spans="1:2">
      <c r="A75" t="s">
        <v>1275</v>
      </c>
      <c r="B75" s="18">
        <v>520032566</v>
      </c>
    </row>
    <row r="76" spans="1:2">
      <c r="A76" t="s">
        <v>1276</v>
      </c>
      <c r="B76" s="18">
        <v>513611509</v>
      </c>
    </row>
    <row r="77" spans="1:2">
      <c r="A77" t="s">
        <v>1277</v>
      </c>
      <c r="B77">
        <v>510888985</v>
      </c>
    </row>
    <row r="78" spans="1:2">
      <c r="A78" t="s">
        <v>1278</v>
      </c>
      <c r="B78">
        <v>520024647</v>
      </c>
    </row>
    <row r="79" spans="1:2">
      <c r="A79" t="s">
        <v>1279</v>
      </c>
      <c r="B79" s="18">
        <v>512244146</v>
      </c>
    </row>
    <row r="80" spans="1:2">
      <c r="A80" t="s">
        <v>1280</v>
      </c>
      <c r="B80" s="18">
        <v>510694821</v>
      </c>
    </row>
    <row r="81" spans="1:2">
      <c r="A81" t="s">
        <v>1281</v>
      </c>
      <c r="B81">
        <v>515761625</v>
      </c>
    </row>
    <row r="82" spans="1:2">
      <c r="A82" t="s">
        <v>1282</v>
      </c>
      <c r="B82" s="18">
        <v>511423048</v>
      </c>
    </row>
    <row r="83" spans="1:2">
      <c r="A83" t="s">
        <v>1283</v>
      </c>
      <c r="B83" s="18">
        <v>520019688</v>
      </c>
    </row>
    <row r="84" spans="1:2">
      <c r="A84" t="s">
        <v>1284</v>
      </c>
      <c r="B84">
        <v>520004896</v>
      </c>
    </row>
    <row r="85" spans="1:2">
      <c r="A85" t="s">
        <v>1285</v>
      </c>
      <c r="B85" s="18">
        <v>512237744</v>
      </c>
    </row>
    <row r="86" spans="1:2">
      <c r="A86" t="s">
        <v>1286</v>
      </c>
      <c r="B86" s="18">
        <v>514956465</v>
      </c>
    </row>
    <row r="87" spans="1:2">
      <c r="A87" t="s">
        <v>1287</v>
      </c>
      <c r="B87" s="18">
        <v>512362914</v>
      </c>
    </row>
    <row r="88" spans="1:2">
      <c r="A88" t="s">
        <v>1288</v>
      </c>
      <c r="B88" s="18">
        <v>520042615</v>
      </c>
    </row>
    <row r="89" spans="1:2">
      <c r="A89" t="s">
        <v>1289</v>
      </c>
      <c r="B89" s="18">
        <v>512065202</v>
      </c>
    </row>
    <row r="90" spans="1:2">
      <c r="A90" t="s">
        <v>1290</v>
      </c>
      <c r="B90">
        <v>520042540</v>
      </c>
    </row>
    <row r="91" spans="1:2">
      <c r="A91" t="s">
        <v>1291</v>
      </c>
      <c r="B91" s="18">
        <v>520027715</v>
      </c>
    </row>
    <row r="92" spans="1:2">
      <c r="A92" t="s">
        <v>1292</v>
      </c>
      <c r="B92" s="18">
        <v>512245812</v>
      </c>
    </row>
    <row r="93" spans="1:2">
      <c r="A93" t="s">
        <v>1293</v>
      </c>
      <c r="B93" s="18">
        <v>520022351</v>
      </c>
    </row>
    <row r="94" spans="1:2">
      <c r="A94" t="s">
        <v>1294</v>
      </c>
      <c r="B94" s="18">
        <v>514767490</v>
      </c>
    </row>
    <row r="95" spans="1:2">
      <c r="A95" t="s">
        <v>1295</v>
      </c>
      <c r="B95" s="18">
        <v>520024985</v>
      </c>
    </row>
    <row r="96" spans="1:2">
      <c r="A96" t="s">
        <v>1296</v>
      </c>
      <c r="B96" s="18">
        <v>520042573</v>
      </c>
    </row>
    <row r="97" spans="1:2">
      <c r="A97" t="s">
        <v>1297</v>
      </c>
      <c r="B97" s="18">
        <v>570009449</v>
      </c>
    </row>
    <row r="98" spans="1:2">
      <c r="A98" t="s">
        <v>1298</v>
      </c>
      <c r="B98" s="18">
        <v>520031659</v>
      </c>
    </row>
    <row r="99" spans="1:2">
      <c r="A99" t="s">
        <v>1299</v>
      </c>
      <c r="B99" s="18">
        <v>520042581</v>
      </c>
    </row>
    <row r="100" spans="1:2">
      <c r="A100" t="s">
        <v>1300</v>
      </c>
      <c r="B100">
        <v>520031030</v>
      </c>
    </row>
    <row r="101" spans="1:2">
      <c r="A101" t="s">
        <v>1301</v>
      </c>
      <c r="B101" s="18">
        <v>520030941</v>
      </c>
    </row>
    <row r="102" spans="1:2">
      <c r="A102" t="s">
        <v>1302</v>
      </c>
      <c r="B102" s="18">
        <v>512008335</v>
      </c>
    </row>
    <row r="103" spans="1:2">
      <c r="A103" t="s">
        <v>1303</v>
      </c>
      <c r="B103" s="18">
        <v>520022963</v>
      </c>
    </row>
    <row r="104" spans="1:2">
      <c r="A104" t="s">
        <v>1304</v>
      </c>
      <c r="B104" s="18">
        <v>570011767</v>
      </c>
    </row>
    <row r="105" spans="1:2">
      <c r="A105" t="s">
        <v>1305</v>
      </c>
      <c r="B105" s="18">
        <v>570014928</v>
      </c>
    </row>
    <row r="106" spans="1:2">
      <c r="A106" t="s">
        <v>1306</v>
      </c>
      <c r="B106" s="18">
        <v>570005959</v>
      </c>
    </row>
    <row r="107" spans="1:2">
      <c r="A107" t="s">
        <v>1307</v>
      </c>
      <c r="B107" s="18">
        <v>510800402</v>
      </c>
    </row>
    <row r="108" spans="1:2">
      <c r="A108" t="s">
        <v>1308</v>
      </c>
      <c r="B108" s="18">
        <v>570007476</v>
      </c>
    </row>
    <row r="109" spans="1:2">
      <c r="A109" t="s">
        <v>1309</v>
      </c>
      <c r="B109" s="18">
        <v>570005850</v>
      </c>
    </row>
    <row r="110" spans="1:2">
      <c r="A110" t="s">
        <v>1310</v>
      </c>
      <c r="B110" s="18">
        <v>520020504</v>
      </c>
    </row>
    <row r="111" spans="1:2">
      <c r="A111" t="s">
        <v>1311</v>
      </c>
      <c r="B111" s="18">
        <v>520020447</v>
      </c>
    </row>
    <row r="112" spans="1:2">
      <c r="A112" t="s">
        <v>1312</v>
      </c>
      <c r="B112" s="18">
        <v>511033060</v>
      </c>
    </row>
    <row r="113" spans="1:2">
      <c r="A113" t="s">
        <v>1313</v>
      </c>
      <c r="B113">
        <v>520027848</v>
      </c>
    </row>
    <row r="114" spans="1:2">
      <c r="A114" t="s">
        <v>1314</v>
      </c>
      <c r="B114" s="18">
        <v>570009852</v>
      </c>
    </row>
    <row r="115" spans="1:2">
      <c r="A115" t="s">
        <v>1315</v>
      </c>
      <c r="B115" s="18">
        <v>520027251</v>
      </c>
    </row>
    <row r="116" spans="1:2">
      <c r="A116" t="s">
        <v>1316</v>
      </c>
      <c r="B116" s="18">
        <v>520028390</v>
      </c>
    </row>
    <row r="117" spans="1:2">
      <c r="A117" t="s">
        <v>1317</v>
      </c>
      <c r="B117" s="18">
        <v>510806870</v>
      </c>
    </row>
    <row r="118" spans="1:2">
      <c r="A118" t="s">
        <v>1318</v>
      </c>
      <c r="B118">
        <v>513879189</v>
      </c>
    </row>
    <row r="119" spans="1:2">
      <c r="A119" t="s">
        <v>1319</v>
      </c>
      <c r="B119">
        <v>510015951</v>
      </c>
    </row>
    <row r="120" spans="1:2">
      <c r="A120" t="s">
        <v>1320</v>
      </c>
      <c r="B120" s="18">
        <v>520030693</v>
      </c>
    </row>
    <row r="121" spans="1:2">
      <c r="A121" t="s">
        <v>1321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Keshet Liat</cp:lastModifiedBy>
  <cp:lastPrinted>2022-08-08T09:16:18Z</cp:lastPrinted>
  <dcterms:created xsi:type="dcterms:W3CDTF">2021-05-03T04:41:48Z</dcterms:created>
  <dcterms:modified xsi:type="dcterms:W3CDTF">2024-06-05T11:48:29Z</dcterms:modified>
</cp:coreProperties>
</file>