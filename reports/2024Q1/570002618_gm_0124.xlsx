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32024\TA_TI_Aguda_iria\"/>
    </mc:Choice>
  </mc:AlternateContent>
  <xr:revisionPtr revIDLastSave="0" documentId="13_ncr:1_{D537C3B2-A41C-4973-B1B1-2F6EEE1A4C0B}" xr6:coauthVersionLast="36" xr6:coauthVersionMax="36" xr10:uidLastSave="{00000000-0000-0000-0000-000000000000}"/>
  <bookViews>
    <workbookView xWindow="-120" yWindow="-120" windowWidth="29040" windowHeight="15720" tabRatio="840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חוב'!$A$1:$AL$684</definedName>
    <definedName name="_xlnm._FilterDatabase" localSheetId="31" hidden="1">'אפשרויות בחירה'!$A$1:$D$1040</definedName>
    <definedName name="_xlnm._FilterDatabase" localSheetId="11" hidden="1">'חוזים עתידיים'!$A$1:$T$23</definedName>
    <definedName name="_xlnm._FilterDatabase" localSheetId="30" hidden="1">'יתרות התחייבות להשקעה'!$A$1:$W$57</definedName>
    <definedName name="_xlnm._FilterDatabase" localSheetId="17" hidden="1">'לא סחיר איגרות חוב'!$A$1:$AM$41</definedName>
    <definedName name="_xlnm._FilterDatabase" localSheetId="2" hidden="1">'מזומנים ושווי מזומנים'!$A$1:$S$46</definedName>
    <definedName name="_xlnm._FilterDatabase" localSheetId="32" hidden="1">'מיפוי סעיפים'!$A$1:$D$795</definedName>
    <definedName name="_xlnm._FilterDatabase" localSheetId="6" hidden="1">'מניות מבכ ויהש'!$A$1:$Z$348</definedName>
    <definedName name="_xlnm._FilterDatabase" localSheetId="28" hidden="1">'נכסים אחרים'!$A$1:$R$19</definedName>
    <definedName name="_xlnm._FilterDatabase" localSheetId="19" hidden="1">'קרנות השקעה'!$A$1:$AA$62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  <definedName name="ככ">'[1]אפשרויות בחירה'!$C$4:$C$103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7" l="1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122" i="7"/>
  <c r="Z123" i="7"/>
  <c r="Z124" i="7"/>
  <c r="Z125" i="7"/>
  <c r="Z126" i="7"/>
  <c r="Z127" i="7"/>
  <c r="Z128" i="7"/>
  <c r="Z129" i="7"/>
  <c r="Z130" i="7"/>
  <c r="Z131" i="7"/>
  <c r="Z132" i="7"/>
  <c r="Z133" i="7"/>
  <c r="Z134" i="7"/>
  <c r="Z135" i="7"/>
  <c r="Z136" i="7"/>
  <c r="Z137" i="7"/>
  <c r="Z138" i="7"/>
  <c r="Z139" i="7"/>
  <c r="Z140" i="7"/>
  <c r="Z141" i="7"/>
  <c r="Z142" i="7"/>
  <c r="Z143" i="7"/>
  <c r="Z144" i="7"/>
  <c r="Z145" i="7"/>
  <c r="Z146" i="7"/>
  <c r="Z147" i="7"/>
  <c r="Z148" i="7"/>
  <c r="Z149" i="7"/>
  <c r="Z150" i="7"/>
  <c r="Z151" i="7"/>
  <c r="Z152" i="7"/>
  <c r="Z153" i="7"/>
  <c r="Z154" i="7"/>
  <c r="Z155" i="7"/>
  <c r="Z156" i="7"/>
  <c r="Z157" i="7"/>
  <c r="Z158" i="7"/>
  <c r="Z159" i="7"/>
  <c r="Z160" i="7"/>
  <c r="Z161" i="7"/>
  <c r="Z162" i="7"/>
  <c r="Z163" i="7"/>
  <c r="Z164" i="7"/>
  <c r="Z165" i="7"/>
  <c r="Z166" i="7"/>
  <c r="Z167" i="7"/>
  <c r="Z168" i="7"/>
  <c r="Z169" i="7"/>
  <c r="Z170" i="7"/>
  <c r="Z171" i="7"/>
  <c r="Z172" i="7"/>
  <c r="Z173" i="7"/>
  <c r="Z174" i="7"/>
  <c r="Z175" i="7"/>
  <c r="Z176" i="7"/>
  <c r="Z177" i="7"/>
  <c r="Z178" i="7"/>
  <c r="Z179" i="7"/>
  <c r="Z180" i="7"/>
  <c r="Z181" i="7"/>
  <c r="Z182" i="7"/>
  <c r="Z183" i="7"/>
  <c r="Z184" i="7"/>
  <c r="Z185" i="7"/>
  <c r="Z186" i="7"/>
  <c r="Z187" i="7"/>
  <c r="Z188" i="7"/>
  <c r="Z189" i="7"/>
  <c r="Z190" i="7"/>
  <c r="Z191" i="7"/>
  <c r="Z192" i="7"/>
  <c r="Z193" i="7"/>
  <c r="Z194" i="7"/>
  <c r="Z195" i="7"/>
  <c r="Z196" i="7"/>
  <c r="Z197" i="7"/>
  <c r="Z198" i="7"/>
  <c r="Z199" i="7"/>
  <c r="Z200" i="7"/>
  <c r="Z201" i="7"/>
  <c r="Z202" i="7"/>
  <c r="Z203" i="7"/>
  <c r="Z204" i="7"/>
  <c r="Z205" i="7"/>
  <c r="Z206" i="7"/>
  <c r="Z207" i="7"/>
  <c r="Z208" i="7"/>
  <c r="Z209" i="7"/>
  <c r="Z210" i="7"/>
  <c r="Z211" i="7"/>
  <c r="Z212" i="7"/>
  <c r="Z213" i="7"/>
  <c r="Z214" i="7"/>
  <c r="Z215" i="7"/>
  <c r="Z216" i="7"/>
  <c r="Z217" i="7"/>
  <c r="Z218" i="7"/>
  <c r="Z219" i="7"/>
  <c r="Z220" i="7"/>
  <c r="Z221" i="7"/>
  <c r="Z222" i="7"/>
  <c r="Z223" i="7"/>
  <c r="Z224" i="7"/>
  <c r="Z225" i="7"/>
  <c r="Z226" i="7"/>
  <c r="Z227" i="7"/>
  <c r="Z228" i="7"/>
  <c r="Z229" i="7"/>
  <c r="Z230" i="7"/>
  <c r="Z231" i="7"/>
  <c r="Z232" i="7"/>
  <c r="Z233" i="7"/>
  <c r="Z234" i="7"/>
  <c r="Z235" i="7"/>
  <c r="Z236" i="7"/>
  <c r="Z237" i="7"/>
  <c r="Z238" i="7"/>
  <c r="Z239" i="7"/>
  <c r="Z240" i="7"/>
  <c r="Z241" i="7"/>
  <c r="Z242" i="7"/>
  <c r="Z243" i="7"/>
  <c r="Z244" i="7"/>
  <c r="Z245" i="7"/>
  <c r="Z246" i="7"/>
  <c r="Z247" i="7"/>
  <c r="Z248" i="7"/>
  <c r="Z249" i="7"/>
  <c r="Z250" i="7"/>
  <c r="Z251" i="7"/>
  <c r="Z252" i="7"/>
  <c r="Z253" i="7"/>
  <c r="Z254" i="7"/>
  <c r="Z255" i="7"/>
  <c r="Z256" i="7"/>
  <c r="Z257" i="7"/>
  <c r="Z258" i="7"/>
  <c r="Z259" i="7"/>
  <c r="Z260" i="7"/>
  <c r="Z261" i="7"/>
  <c r="Z262" i="7"/>
  <c r="Z263" i="7"/>
  <c r="Z264" i="7"/>
  <c r="Z265" i="7"/>
  <c r="Z266" i="7"/>
  <c r="Z267" i="7"/>
  <c r="Z268" i="7"/>
  <c r="Z269" i="7"/>
  <c r="Z270" i="7"/>
  <c r="Z271" i="7"/>
  <c r="Z272" i="7"/>
  <c r="Z273" i="7"/>
  <c r="Z274" i="7"/>
  <c r="Z275" i="7"/>
  <c r="Z276" i="7"/>
  <c r="Z277" i="7"/>
  <c r="Z278" i="7"/>
  <c r="Z279" i="7"/>
  <c r="Z280" i="7"/>
  <c r="Z281" i="7"/>
  <c r="Z282" i="7"/>
  <c r="Z283" i="7"/>
  <c r="Z284" i="7"/>
  <c r="Z285" i="7"/>
  <c r="Z286" i="7"/>
  <c r="Z287" i="7"/>
  <c r="Z288" i="7"/>
  <c r="Z289" i="7"/>
  <c r="Z290" i="7"/>
  <c r="Z291" i="7"/>
  <c r="Z292" i="7"/>
  <c r="Z293" i="7"/>
  <c r="Z294" i="7"/>
  <c r="Z295" i="7"/>
  <c r="Z296" i="7"/>
  <c r="Z297" i="7"/>
  <c r="Z298" i="7"/>
  <c r="Z299" i="7"/>
  <c r="Z300" i="7"/>
  <c r="Z301" i="7"/>
  <c r="Z302" i="7"/>
  <c r="Z303" i="7"/>
  <c r="Z304" i="7"/>
  <c r="Z305" i="7"/>
  <c r="Z306" i="7"/>
  <c r="Z307" i="7"/>
  <c r="Z308" i="7"/>
  <c r="Z309" i="7"/>
  <c r="Z310" i="7"/>
  <c r="Z311" i="7"/>
  <c r="Z312" i="7"/>
  <c r="Z313" i="7"/>
  <c r="Z314" i="7"/>
  <c r="Z315" i="7"/>
  <c r="Z316" i="7"/>
  <c r="Z317" i="7"/>
  <c r="Z318" i="7"/>
  <c r="Z319" i="7"/>
  <c r="Z320" i="7"/>
  <c r="Z321" i="7"/>
  <c r="Z322" i="7"/>
  <c r="Z323" i="7"/>
  <c r="Z324" i="7"/>
  <c r="Z325" i="7"/>
  <c r="Z326" i="7"/>
  <c r="Z327" i="7"/>
  <c r="Z328" i="7"/>
  <c r="Z329" i="7"/>
  <c r="Z330" i="7"/>
  <c r="Z331" i="7"/>
  <c r="Z332" i="7"/>
  <c r="Z333" i="7"/>
  <c r="Z334" i="7"/>
  <c r="Z335" i="7"/>
  <c r="Z336" i="7"/>
  <c r="Z337" i="7"/>
  <c r="Z338" i="7"/>
  <c r="Z339" i="7"/>
  <c r="Z340" i="7"/>
  <c r="Z341" i="7"/>
  <c r="Z342" i="7"/>
  <c r="Z343" i="7"/>
  <c r="Z344" i="7"/>
  <c r="Z345" i="7"/>
  <c r="Z346" i="7"/>
  <c r="Z347" i="7"/>
  <c r="Z348" i="7"/>
  <c r="Z2" i="7"/>
  <c r="C30" i="2" l="1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D15" i="38"/>
  <c r="B30" i="2" l="1"/>
  <c r="D30" i="2"/>
  <c r="E25" i="2" l="1"/>
  <c r="E32" i="2"/>
  <c r="E6" i="2"/>
  <c r="E9" i="2"/>
  <c r="E4" i="2"/>
  <c r="E20" i="2"/>
  <c r="E24" i="2"/>
  <c r="E10" i="2"/>
  <c r="E19" i="2"/>
  <c r="E8" i="2"/>
  <c r="E23" i="2"/>
  <c r="E14" i="2"/>
  <c r="E12" i="2"/>
  <c r="E28" i="2"/>
  <c r="E27" i="2"/>
  <c r="E7" i="2"/>
  <c r="E18" i="2"/>
  <c r="E16" i="2"/>
  <c r="E3" i="2"/>
  <c r="E5" i="2"/>
  <c r="E11" i="2"/>
  <c r="E26" i="2"/>
  <c r="E15" i="2"/>
  <c r="E22" i="2"/>
  <c r="E13" i="2"/>
  <c r="E17" i="2"/>
  <c r="E21" i="2"/>
  <c r="E29" i="2"/>
  <c r="E30" i="2" l="1"/>
</calcChain>
</file>

<file path=xl/sharedStrings.xml><?xml version="1.0" encoding="utf-8"?>
<sst xmlns="http://schemas.openxmlformats.org/spreadsheetml/2006/main" count="29586" uniqueCount="2851">
  <si>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</si>
  <si>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</si>
  <si>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</si>
  <si>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</si>
  <si>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</si>
  <si>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</si>
  <si>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</si>
  <si>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</si>
  <si>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</si>
  <si>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</si>
  <si>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</si>
  <si>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</si>
  <si>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</si>
  <si>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</si>
  <si>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</si>
  <si>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</si>
  <si>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</si>
  <si>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</si>
  <si>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</si>
  <si>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</si>
  <si>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</si>
  <si>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</si>
  <si>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</si>
  <si>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</si>
  <si>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</si>
  <si>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</si>
  <si>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337</t>
  </si>
  <si>
    <t>בנק ישראל- מק"מ</t>
  </si>
  <si>
    <t>מ.ק.מ. 315</t>
  </si>
  <si>
    <t>IL0082503181</t>
  </si>
  <si>
    <t>מק"מ קצר משנים עשר חודשים</t>
  </si>
  <si>
    <t>ישראל</t>
  </si>
  <si>
    <t>TASE </t>
  </si>
  <si>
    <t>RF</t>
  </si>
  <si>
    <t>פנימי</t>
  </si>
  <si>
    <t>ILS</t>
  </si>
  <si>
    <t>05/03/2025</t>
  </si>
  <si>
    <t>שווי הוגן</t>
  </si>
  <si>
    <t>מלווה קצר מועד 1214</t>
  </si>
  <si>
    <t>IL0082412185</t>
  </si>
  <si>
    <t>TASE</t>
  </si>
  <si>
    <t>04/12/2024</t>
  </si>
  <si>
    <t>גליל</t>
  </si>
  <si>
    <t>ממשלתי צמוד 841</t>
  </si>
  <si>
    <t>IL0011205833</t>
  </si>
  <si>
    <t>צמוד למדד המחירים לצרכן בריבית קבועה</t>
  </si>
  <si>
    <t>30/08/2041</t>
  </si>
  <si>
    <t>שחר</t>
  </si>
  <si>
    <t>ממשלתי שקלית 0142</t>
  </si>
  <si>
    <t>IL0011254005</t>
  </si>
  <si>
    <t>לא צמוד למדד המחירים לצרכן ריבית קבועה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</si>
  <si>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</si>
  <si>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</si>
  <si>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</si>
  <si>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</si>
  <si>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</si>
  <si>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</si>
  <si>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צמודה 0726</t>
  </si>
  <si>
    <t>IL0011695645</t>
  </si>
  <si>
    <t>31/07/2026</t>
  </si>
  <si>
    <t>ממשלתית שקלית 1.00% 03/30</t>
  </si>
  <si>
    <t>IL0011609851</t>
  </si>
  <si>
    <t>31/03/2030</t>
  </si>
  <si>
    <t>מקמ 524</t>
  </si>
  <si>
    <t>IL0082405254</t>
  </si>
  <si>
    <t>08/05/2024</t>
  </si>
  <si>
    <t>מקמ 614</t>
  </si>
  <si>
    <t>IL0082406161</t>
  </si>
  <si>
    <t>05/06/2024</t>
  </si>
  <si>
    <t>US TREASURY N/B</t>
  </si>
  <si>
    <t>T-3 3/8 15/05/33</t>
  </si>
  <si>
    <t>US91282CHC82</t>
  </si>
  <si>
    <t>צמוד מט"ח בריבית קבועה</t>
  </si>
  <si>
    <t>חו"ל</t>
  </si>
  <si>
    <t>ארה"ב</t>
  </si>
  <si>
    <t>NYSE </t>
  </si>
  <si>
    <t>Aaa</t>
  </si>
  <si>
    <t>Moodys</t>
  </si>
  <si>
    <t>USD</t>
  </si>
  <si>
    <t>15/05/2033</t>
  </si>
  <si>
    <t>מלווה קצר מועד 714</t>
  </si>
  <si>
    <t>IL0082407151</t>
  </si>
  <si>
    <t>03/07/2024</t>
  </si>
  <si>
    <t>מלווה קצר מועד 215</t>
  </si>
  <si>
    <t>IL0082502191</t>
  </si>
  <si>
    <t>05/02/2025</t>
  </si>
  <si>
    <t>מלווה קצר מועד 814</t>
  </si>
  <si>
    <t>IL0082408142</t>
  </si>
  <si>
    <t>07/08/2024</t>
  </si>
  <si>
    <t>ממשל צמודה 0527</t>
  </si>
  <si>
    <t>IL0011408478</t>
  </si>
  <si>
    <t>31/05/2027</t>
  </si>
  <si>
    <t>ממשל צמודה 1025</t>
  </si>
  <si>
    <t>IL0011359127</t>
  </si>
  <si>
    <t>31/10/2025</t>
  </si>
  <si>
    <t>ממשל שיקלית 0928</t>
  </si>
  <si>
    <t>IL0011508798</t>
  </si>
  <si>
    <t>28/09/2028</t>
  </si>
  <si>
    <t>ממשלתית צמודה 1.10% 1028</t>
  </si>
  <si>
    <t>IL0011973265</t>
  </si>
  <si>
    <t>31/10/2028</t>
  </si>
  <si>
    <t>Treasury Bill</t>
  </si>
  <si>
    <t>B 31/10/24</t>
  </si>
  <si>
    <t>US912797HE00</t>
  </si>
  <si>
    <t>מידרוג Moodys</t>
  </si>
  <si>
    <t>31/10/2024</t>
  </si>
  <si>
    <t>ממשל צמודה 1131</t>
  </si>
  <si>
    <t>IL0011722209</t>
  </si>
  <si>
    <t>30/11/2031</t>
  </si>
  <si>
    <t>ממשל שקלית 0335</t>
  </si>
  <si>
    <t>IL0012023326</t>
  </si>
  <si>
    <t>30/03/2035</t>
  </si>
  <si>
    <t>ממשלתית צמודה 0.5% 0529</t>
  </si>
  <si>
    <t>IL0011570236</t>
  </si>
  <si>
    <t>31/05/2029</t>
  </si>
  <si>
    <t>מלווה קצר מועד 914</t>
  </si>
  <si>
    <t>IL0082409132</t>
  </si>
  <si>
    <t>04/09/2024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</si>
  <si>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</si>
  <si>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</si>
  <si>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</si>
  <si>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</si>
  <si>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</si>
  <si>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</si>
  <si>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</si>
  <si>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</si>
  <si>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</si>
  <si>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</si>
  <si>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</si>
  <si>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</si>
  <si>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</si>
  <si>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</si>
  <si>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</si>
  <si>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</si>
  <si>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</si>
  <si>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חייבים וזכאים</t>
  </si>
  <si>
    <t>לא</t>
  </si>
  <si>
    <t>NA</t>
  </si>
  <si>
    <t>חייבים</t>
  </si>
  <si>
    <t>זכאים מס עמיתים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</si>
  <si>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</si>
  <si>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</si>
  <si>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</si>
  <si>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</si>
  <si>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</si>
  <si>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</si>
  <si>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</si>
  <si>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</si>
  <si>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</si>
  <si>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</si>
  <si>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</si>
  <si>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</si>
  <si>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</si>
  <si>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</si>
  <si>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</si>
  <si>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</si>
  <si>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</si>
  <si>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</si>
  <si>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</si>
  <si>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</si>
  <si>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</si>
  <si>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זכויות בנכסי מקרקעין נדל"ן</t>
  </si>
  <si>
    <t>נדל"ן לא מניב</t>
  </si>
  <si>
    <t>15/12/2014</t>
  </si>
  <si>
    <t>אחר</t>
  </si>
  <si>
    <t>28/12/2023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</si>
  <si>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</si>
  <si>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</si>
  <si>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</si>
  <si>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</si>
  <si>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</si>
  <si>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</si>
  <si>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</si>
  <si>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</si>
  <si>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</si>
  <si>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</si>
  <si>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</si>
  <si>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</si>
  <si>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</si>
  <si>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</si>
  <si>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</si>
  <si>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</si>
  <si>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</si>
  <si>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</si>
  <si>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</si>
  <si>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</si>
  <si>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</si>
  <si>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</si>
  <si>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</si>
  <si>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</si>
  <si>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</si>
  <si>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</si>
  <si>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</si>
  <si>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</si>
  <si>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</si>
  <si>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</si>
  <si>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</si>
  <si>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</si>
  <si>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</si>
  <si>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</si>
  <si>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</si>
  <si>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</si>
  <si>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</si>
  <si>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</si>
  <si>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</si>
  <si>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</si>
  <si>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</si>
  <si>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</si>
  <si>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</si>
  <si>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</si>
  <si>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</si>
  <si>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</si>
  <si>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</si>
  <si>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</si>
  <si>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</si>
  <si>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</si>
  <si>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</si>
  <si>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</si>
  <si>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</si>
  <si>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</si>
  <si>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</si>
  <si>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</si>
  <si>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</si>
  <si>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</si>
  <si>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</si>
  <si>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</si>
  <si>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</si>
  <si>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</si>
  <si>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</si>
  <si>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</si>
  <si>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</si>
  <si>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</si>
  <si>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</si>
  <si>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</si>
  <si>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</si>
  <si>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</si>
  <si>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</si>
  <si>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</si>
  <si>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</si>
  <si>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</si>
  <si>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</si>
  <si>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</si>
  <si>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</si>
  <si>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</si>
  <si>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</si>
  <si>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</si>
  <si>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</si>
  <si>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</si>
  <si>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</si>
  <si>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</si>
  <si>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</si>
  <si>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</si>
  <si>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</si>
  <si>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</si>
  <si>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</si>
  <si>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</si>
  <si>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</si>
  <si>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</si>
  <si>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</si>
  <si>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</si>
  <si>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</si>
  <si>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</si>
  <si>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</si>
  <si>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</si>
  <si>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</si>
  <si>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</si>
  <si>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</si>
  <si>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</si>
  <si>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</si>
  <si>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</si>
  <si>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</si>
  <si>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</si>
  <si>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</si>
  <si>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</si>
  <si>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</si>
  <si>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</si>
  <si>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</si>
  <si>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</si>
  <si>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</si>
  <si>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</si>
  <si>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</si>
  <si>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</si>
  <si>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</si>
  <si>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</si>
  <si>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</si>
  <si>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</si>
  <si>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</si>
  <si>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</si>
  <si>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</si>
  <si>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</si>
  <si>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</si>
  <si>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</si>
  <si>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</si>
  <si>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</si>
  <si>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</si>
  <si>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</si>
  <si>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</si>
  <si>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</si>
  <si>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</si>
  <si>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</si>
  <si>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</si>
  <si>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</si>
  <si>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</si>
  <si>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</si>
  <si>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</si>
  <si>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</si>
  <si>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</si>
  <si>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</si>
  <si>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</si>
  <si>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</si>
  <si>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</si>
  <si>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</si>
  <si>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</si>
  <si>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</si>
  <si>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</si>
  <si>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</si>
  <si>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</si>
  <si>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</si>
  <si>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</si>
  <si>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</si>
  <si>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</si>
  <si>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</si>
  <si>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</si>
  <si>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</si>
  <si>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</si>
  <si>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</si>
  <si>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</si>
  <si>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</si>
  <si>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</si>
  <si>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</si>
  <si>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</si>
  <si>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</si>
  <si>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</si>
  <si>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</si>
  <si>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</si>
  <si>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</si>
  <si>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</si>
  <si>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</si>
  <si>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</si>
  <si>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</si>
  <si>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</si>
  <si>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</si>
  <si>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</si>
  <si>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</si>
  <si>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</si>
  <si>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</si>
  <si>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</si>
  <si>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</si>
  <si>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</si>
  <si>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</si>
  <si>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</si>
  <si>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</si>
  <si>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</si>
  <si>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</si>
  <si>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</si>
  <si>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</si>
  <si>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</si>
  <si>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</si>
  <si>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</si>
  <si>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</si>
  <si>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</si>
  <si>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</si>
  <si>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</si>
  <si>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</si>
  <si>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</si>
  <si>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</si>
  <si>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</si>
  <si>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</si>
  <si>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</si>
  <si>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</si>
  <si>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</si>
  <si>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</si>
  <si>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</si>
  <si>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</si>
  <si>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</si>
  <si>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</si>
  <si>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</si>
  <si>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</si>
  <si>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</si>
  <si>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</si>
  <si>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</si>
  <si>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</si>
  <si>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</si>
  <si>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</si>
  <si>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</si>
  <si>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</si>
  <si>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</si>
  <si>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</si>
  <si>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</si>
  <si>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</si>
  <si>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</si>
  <si>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</si>
  <si>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</si>
  <si>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</si>
  <si>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</si>
  <si>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</si>
  <si>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</si>
  <si>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</si>
  <si>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</si>
  <si>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</si>
  <si>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</si>
  <si>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</si>
  <si>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</si>
  <si>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</si>
  <si>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</si>
  <si>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</si>
  <si>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</si>
  <si>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</si>
  <si>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</si>
  <si>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</si>
  <si>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</si>
  <si>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</si>
  <si>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</si>
  <si>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</si>
  <si>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</si>
  <si>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</si>
  <si>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</si>
  <si>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</si>
  <si>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</si>
  <si>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</si>
  <si>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</si>
  <si>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</si>
  <si>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</si>
  <si>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</si>
  <si>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</si>
  <si>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</si>
  <si>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</si>
  <si>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</si>
  <si>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</si>
  <si>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</si>
  <si>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</si>
  <si>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</si>
  <si>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</si>
  <si>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</si>
  <si>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</si>
  <si>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</si>
  <si>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</si>
  <si>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</si>
  <si>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</si>
  <si>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</si>
  <si>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</si>
  <si>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</si>
  <si>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</si>
  <si>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</si>
  <si>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</si>
  <si>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</si>
  <si>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</si>
  <si>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</si>
  <si>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</si>
  <si>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</si>
  <si>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</si>
  <si>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</si>
  <si>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</si>
  <si>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</si>
  <si>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</si>
  <si>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</si>
  <si>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</si>
  <si>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</si>
  <si>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</si>
  <si>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</si>
  <si>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</si>
  <si>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</si>
  <si>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</si>
  <si>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</si>
  <si>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</si>
  <si>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</si>
  <si>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</si>
  <si>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</si>
  <si>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</si>
  <si>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</si>
  <si>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</si>
  <si>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</si>
  <si>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</si>
  <si>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</si>
  <si>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</si>
  <si>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</si>
  <si>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</si>
  <si>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</si>
  <si>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</si>
  <si>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</si>
  <si>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</si>
  <si>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</si>
  <si>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</si>
  <si>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</si>
  <si>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</si>
  <si>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</si>
  <si>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</si>
  <si>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</si>
  <si>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</si>
  <si>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</si>
  <si>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</si>
  <si>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</si>
  <si>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</si>
  <si>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</si>
  <si>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</si>
  <si>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</si>
  <si>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</si>
  <si>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</si>
  <si>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</si>
  <si>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</si>
  <si>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</si>
  <si>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</si>
  <si>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</si>
  <si>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</si>
  <si>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</si>
  <si>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</si>
  <si>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</si>
  <si>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</si>
  <si>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</si>
  <si>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</si>
  <si>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</si>
  <si>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</si>
  <si>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</si>
  <si>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</si>
  <si>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</si>
  <si>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</si>
  <si>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</si>
  <si>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</si>
  <si>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</si>
  <si>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</si>
  <si>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</si>
  <si>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</si>
  <si>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</si>
  <si>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</si>
  <si>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</si>
  <si>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</si>
  <si>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</si>
  <si>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</si>
  <si>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</si>
  <si>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</si>
  <si>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</si>
  <si>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</si>
  <si>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</si>
  <si>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</si>
  <si>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</si>
  <si>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</si>
  <si>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</si>
  <si>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</si>
  <si>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</si>
  <si>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</si>
  <si>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</si>
  <si>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</si>
  <si>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</si>
  <si>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</si>
  <si>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</si>
  <si>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</si>
  <si>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</si>
  <si>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</si>
  <si>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</si>
  <si>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</si>
  <si>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</si>
  <si>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</si>
  <si>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</si>
  <si>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</si>
  <si>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</si>
  <si>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</si>
  <si>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</si>
  <si>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</si>
  <si>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</si>
  <si>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</si>
  <si>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</si>
  <si>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</si>
  <si>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</si>
  <si>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</si>
  <si>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</si>
  <si>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</si>
  <si>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</si>
  <si>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</si>
  <si>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</si>
  <si>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</si>
  <si>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</si>
  <si>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</si>
  <si>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</si>
  <si>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</si>
  <si>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</si>
  <si>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</si>
  <si>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</si>
  <si>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</si>
  <si>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</si>
  <si>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</si>
  <si>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</si>
  <si>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</si>
  <si>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</si>
  <si>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</si>
  <si>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</si>
  <si>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</si>
  <si>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</si>
  <si>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</si>
  <si>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</si>
  <si>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</si>
  <si>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</si>
  <si>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</si>
  <si>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</si>
  <si>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</si>
  <si>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</si>
  <si>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</si>
  <si>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</si>
  <si>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</si>
  <si>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</si>
  <si>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</si>
  <si>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</si>
  <si>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</si>
  <si>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</si>
  <si>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</si>
  <si>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</si>
  <si>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</si>
  <si>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</si>
  <si>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</si>
  <si>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</si>
  <si>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</si>
  <si>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</si>
  <si>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</si>
  <si>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</si>
  <si>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</si>
  <si>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</si>
  <si>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</si>
  <si>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</si>
  <si>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</si>
  <si>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</si>
  <si>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</si>
  <si>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</si>
  <si>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</si>
  <si>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</si>
  <si>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</si>
  <si>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</si>
  <si>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</si>
  <si>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</si>
  <si>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</si>
  <si>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</si>
  <si>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</si>
  <si>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</si>
  <si>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</si>
  <si>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</si>
  <si>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</si>
  <si>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</si>
  <si>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</si>
  <si>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</si>
  <si>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</si>
  <si>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</si>
  <si>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</si>
  <si>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</si>
  <si>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</si>
  <si>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</si>
  <si>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</si>
  <si>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</si>
  <si>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</si>
  <si>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</si>
  <si>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</si>
  <si>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</si>
  <si>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</si>
  <si>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</si>
  <si>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</si>
  <si>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</si>
  <si>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</si>
  <si>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</si>
  <si>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</si>
  <si>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</si>
  <si>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</si>
  <si>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</si>
  <si>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</si>
  <si>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</si>
  <si>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</si>
  <si>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</si>
  <si>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</si>
  <si>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</si>
  <si>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</si>
  <si>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</si>
  <si>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</si>
  <si>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</si>
  <si>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</si>
  <si>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</si>
  <si>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</si>
  <si>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</si>
  <si>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</si>
  <si>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</si>
  <si>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</si>
  <si>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</si>
  <si>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</si>
  <si>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</si>
  <si>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</si>
  <si>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</si>
  <si>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</si>
  <si>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</si>
  <si>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</si>
  <si>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</si>
  <si>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</si>
  <si>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</si>
  <si>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</si>
  <si>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</si>
  <si>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</si>
  <si>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</si>
  <si>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</si>
  <si>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</si>
  <si>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</si>
  <si>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</si>
  <si>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</si>
  <si>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</si>
  <si>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</si>
  <si>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</si>
  <si>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</si>
  <si>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</si>
  <si>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</si>
  <si>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</si>
  <si>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</si>
  <si>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</si>
  <si>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</si>
  <si>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</si>
  <si>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</si>
  <si>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</si>
  <si>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</si>
  <si>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</si>
  <si>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</si>
  <si>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</si>
  <si>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</si>
  <si>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</si>
  <si>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</si>
  <si>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</si>
  <si>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</si>
  <si>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</si>
  <si>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</si>
  <si>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</si>
  <si>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</si>
  <si>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</si>
  <si>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</si>
  <si>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</si>
  <si>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</si>
  <si>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</si>
  <si>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</si>
  <si>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</si>
  <si>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</si>
  <si>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</si>
  <si>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</si>
  <si>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</si>
  <si>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</si>
  <si>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</si>
  <si>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</si>
  <si>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</si>
  <si>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</si>
  <si>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</si>
  <si>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</si>
  <si>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</si>
  <si>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</si>
  <si>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</si>
  <si>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</si>
  <si>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</si>
  <si>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</si>
  <si>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</si>
  <si>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</si>
  <si>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</si>
  <si>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</si>
  <si>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</si>
  <si>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</si>
  <si>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</si>
  <si>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</si>
  <si>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</si>
  <si>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</si>
  <si>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</si>
  <si>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</si>
  <si>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</si>
  <si>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</si>
  <si>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</si>
  <si>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</si>
  <si>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</si>
  <si>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</si>
  <si>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</si>
  <si>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</si>
  <si>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</si>
  <si>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</si>
  <si>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</si>
  <si>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</si>
  <si>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</si>
  <si>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</si>
  <si>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</si>
  <si>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</si>
  <si>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</si>
  <si>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</si>
  <si>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</si>
  <si>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</si>
  <si>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</si>
  <si>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</si>
  <si>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</si>
  <si>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</si>
  <si>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</si>
  <si>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</si>
  <si>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</si>
  <si>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</si>
  <si>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</si>
  <si>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</si>
  <si>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</si>
  <si>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</si>
  <si>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</si>
  <si>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</si>
  <si>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</si>
  <si>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</si>
  <si>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</si>
  <si>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</si>
  <si>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</si>
  <si>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</si>
  <si>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</si>
  <si>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</si>
  <si>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</si>
  <si>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</si>
  <si>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</si>
  <si>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</si>
  <si>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</si>
  <si>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</si>
  <si>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</si>
  <si>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</si>
  <si>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</si>
  <si>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</si>
  <si>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</si>
  <si>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</si>
  <si>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</si>
  <si>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</si>
  <si>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</si>
  <si>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</si>
  <si>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</si>
  <si>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</si>
  <si>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</si>
  <si>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</si>
  <si>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</si>
  <si>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</si>
  <si>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</si>
  <si>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</si>
  <si>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</si>
  <si>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</si>
  <si>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</si>
  <si>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</si>
  <si>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</si>
  <si>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</si>
  <si>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</si>
  <si>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</si>
  <si>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</si>
  <si>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</si>
  <si>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</si>
  <si>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</si>
  <si>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</si>
  <si>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</si>
  <si>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</si>
  <si>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</si>
  <si>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</si>
  <si>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</si>
  <si>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</si>
  <si>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</si>
  <si>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</si>
  <si>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</si>
  <si>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</si>
  <si>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</si>
  <si>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</si>
  <si>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</si>
  <si>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</si>
  <si>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</si>
  <si>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</si>
  <si>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</si>
  <si>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</si>
  <si>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</si>
  <si>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</si>
  <si>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</si>
  <si>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</si>
  <si>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</si>
  <si>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</si>
  <si>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</si>
  <si>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</si>
  <si>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</si>
  <si>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</si>
  <si>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</si>
  <si>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</si>
  <si>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</si>
  <si>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</si>
  <si>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</si>
  <si>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</si>
  <si>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</si>
  <si>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</si>
  <si>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</si>
  <si>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</si>
  <si>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</si>
  <si>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</si>
  <si>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</si>
  <si>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</si>
  <si>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</si>
  <si>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</si>
  <si>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</si>
  <si>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</si>
  <si>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</si>
  <si>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</si>
  <si>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</si>
  <si>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</si>
  <si>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</si>
  <si>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</si>
  <si>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</si>
  <si>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</si>
  <si>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</si>
  <si>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</si>
  <si>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</si>
  <si>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</si>
  <si>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</si>
  <si>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</si>
  <si>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</si>
  <si>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</si>
  <si>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</si>
  <si>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</si>
  <si>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</si>
  <si>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</si>
  <si>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</si>
  <si>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</si>
  <si>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</si>
  <si>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</si>
  <si>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</si>
  <si>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</si>
  <si>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</si>
  <si>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</si>
  <si>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</si>
  <si>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</si>
  <si>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</si>
  <si>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</si>
  <si>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</si>
  <si>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</si>
  <si>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</si>
  <si>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</si>
  <si>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</si>
  <si>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</si>
  <si>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</si>
  <si>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</si>
  <si>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</si>
  <si>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</si>
  <si>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</si>
  <si>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</si>
  <si>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</si>
  <si>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</si>
  <si>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</si>
  <si>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</si>
  <si>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</si>
  <si>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</si>
  <si>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</si>
  <si>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</si>
  <si>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</si>
  <si>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</si>
  <si>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</si>
  <si>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</si>
  <si>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</si>
  <si>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</si>
  <si>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</si>
  <si>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</si>
  <si>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</si>
  <si>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</si>
  <si>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</si>
  <si>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</si>
  <si>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</si>
  <si>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</si>
  <si>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</si>
  <si>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</si>
  <si>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</si>
  <si>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</si>
  <si>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</si>
  <si>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</si>
  <si>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</si>
  <si>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</si>
  <si>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</si>
  <si>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</si>
  <si>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</si>
  <si>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</si>
  <si>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</si>
  <si>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</si>
  <si>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</si>
  <si>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</si>
  <si>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</si>
  <si>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</si>
  <si>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</si>
  <si>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</si>
  <si>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</si>
  <si>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</si>
  <si>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</si>
  <si>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</si>
  <si>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</si>
  <si>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</si>
  <si>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</si>
  <si>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</si>
  <si>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</si>
  <si>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</si>
  <si>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</si>
  <si>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</si>
  <si>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</si>
  <si>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</si>
  <si>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</si>
  <si>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</si>
  <si>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</si>
  <si>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</si>
  <si>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</si>
  <si>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</si>
  <si>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</si>
  <si>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</si>
  <si>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</si>
  <si>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</si>
  <si>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</si>
  <si>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</si>
  <si>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</si>
  <si>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</si>
  <si>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</si>
  <si>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</si>
  <si>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</si>
  <si>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</si>
  <si>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</si>
  <si>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</si>
  <si>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</si>
  <si>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</si>
  <si>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</si>
  <si>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</si>
  <si>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</si>
  <si>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</si>
  <si>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</si>
  <si>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</si>
  <si>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</si>
  <si>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</si>
  <si>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</si>
  <si>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</si>
  <si>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</si>
  <si>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</si>
  <si>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</si>
  <si>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</si>
  <si>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</si>
  <si>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</si>
  <si>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</si>
  <si>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</si>
  <si>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</si>
  <si>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</si>
  <si>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</si>
  <si>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</si>
  <si>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</si>
  <si>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</si>
  <si>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</si>
  <si>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</si>
  <si>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</si>
  <si>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</si>
  <si>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</si>
  <si>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</si>
  <si>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</si>
  <si>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</si>
  <si>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</si>
  <si>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</si>
  <si>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</si>
  <si>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</si>
  <si>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</si>
  <si>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</si>
  <si>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</si>
  <si>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</si>
  <si>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</si>
  <si>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</si>
  <si>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</si>
  <si>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</si>
  <si>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</si>
  <si>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</si>
  <si>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</si>
  <si>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</si>
  <si>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</si>
  <si>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</si>
  <si>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</si>
  <si>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</si>
  <si>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</si>
  <si>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</si>
  <si>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</si>
  <si>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</si>
  <si>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</si>
  <si>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</si>
  <si>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</si>
  <si>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</si>
  <si>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</si>
  <si>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</si>
  <si>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</si>
  <si>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</si>
  <si>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</si>
  <si>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</si>
  <si>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</si>
  <si>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</si>
  <si>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</si>
  <si>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</si>
  <si>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</si>
  <si>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</si>
  <si>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</si>
  <si>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</si>
  <si>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</si>
  <si>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</si>
  <si>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</si>
  <si>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</si>
  <si>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</si>
  <si>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</si>
  <si>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</si>
  <si>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</si>
  <si>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</si>
  <si>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</si>
  <si>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</si>
  <si>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</si>
  <si>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</si>
  <si>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</si>
  <si>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</si>
  <si>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</si>
  <si>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</si>
  <si>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</si>
  <si>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</si>
  <si>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</si>
  <si>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</si>
  <si>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</si>
  <si>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</si>
  <si>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</si>
  <si>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</si>
  <si>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</si>
  <si>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</si>
  <si>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</si>
  <si>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</si>
  <si>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</si>
  <si>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</si>
  <si>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</si>
  <si>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</si>
  <si>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</si>
  <si>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</si>
  <si>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</si>
  <si>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</si>
  <si>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</si>
  <si>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</si>
  <si>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</si>
  <si>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</si>
  <si>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</si>
  <si>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</si>
  <si>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</si>
  <si>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</si>
  <si>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</si>
  <si>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</si>
  <si>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</si>
  <si>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</si>
  <si>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</si>
  <si>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</si>
  <si>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</si>
  <si>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</si>
  <si>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</si>
  <si>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</si>
  <si>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</si>
  <si>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</si>
  <si>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</si>
  <si>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</si>
  <si>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</si>
  <si>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</si>
  <si>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</si>
  <si>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</si>
  <si>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</si>
  <si>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</si>
  <si>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</si>
  <si>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</si>
  <si>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</si>
  <si>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</si>
  <si>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</si>
  <si>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</si>
  <si>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</si>
  <si>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</si>
  <si>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</si>
  <si>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</si>
  <si>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</si>
  <si>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</si>
  <si>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</si>
  <si>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</si>
  <si>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</si>
  <si>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</si>
  <si>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</si>
  <si>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</si>
  <si>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</si>
  <si>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</si>
  <si>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</si>
  <si>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</si>
  <si>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</si>
  <si>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</si>
  <si>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</si>
  <si>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</si>
  <si>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</si>
  <si>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</si>
  <si>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</si>
  <si>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</si>
  <si>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</si>
  <si>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AAA</t>
  </si>
  <si>
    <t>בנק לאומי לישראל בע"מ</t>
  </si>
  <si>
    <t>10-800</t>
  </si>
  <si>
    <t>EUR</t>
  </si>
  <si>
    <t>CHF</t>
  </si>
  <si>
    <t>HKD</t>
  </si>
  <si>
    <t>JPY</t>
  </si>
  <si>
    <t>GBP</t>
  </si>
  <si>
    <t>CAD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</si>
  <si>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</si>
  <si>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</si>
  <si>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</si>
  <si>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</si>
  <si>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</si>
  <si>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</si>
  <si>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</si>
  <si>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</si>
  <si>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</si>
  <si>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</si>
  <si>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</si>
  <si>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</si>
  <si>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</si>
  <si>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</si>
  <si>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</si>
  <si>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</si>
  <si>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</si>
  <si>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</si>
  <si>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</si>
  <si>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</si>
  <si>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</si>
  <si>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</si>
  <si>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</si>
  <si>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</si>
  <si>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</si>
  <si>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</si>
  <si>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</si>
  <si>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</si>
  <si>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</si>
  <si>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</si>
  <si>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</si>
  <si>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</si>
  <si>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</si>
  <si>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</si>
  <si>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</si>
  <si>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</si>
  <si>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</si>
  <si>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</si>
  <si>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</si>
  <si>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</si>
  <si>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</si>
  <si>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</si>
  <si>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</si>
  <si>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</si>
  <si>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</si>
  <si>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</si>
  <si>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</si>
  <si>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</si>
  <si>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</si>
  <si>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</si>
  <si>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</si>
  <si>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</si>
  <si>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</si>
  <si>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</si>
  <si>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</si>
  <si>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</si>
  <si>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</si>
  <si>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</si>
  <si>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</si>
  <si>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</si>
  <si>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</si>
  <si>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</si>
  <si>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</si>
  <si>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</si>
  <si>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</si>
  <si>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</si>
  <si>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</si>
  <si>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</si>
  <si>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</si>
  <si>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</si>
  <si>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</si>
  <si>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</si>
  <si>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</si>
  <si>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</si>
  <si>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</si>
  <si>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</si>
  <si>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</si>
  <si>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</si>
  <si>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</si>
  <si>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</si>
  <si>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</si>
  <si>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</si>
  <si>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</si>
  <si>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</si>
  <si>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</si>
  <si>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</si>
  <si>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</si>
  <si>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</si>
  <si>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</si>
  <si>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</si>
  <si>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</si>
  <si>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</si>
  <si>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</si>
  <si>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</si>
  <si>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</si>
  <si>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</si>
  <si>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</si>
  <si>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</si>
  <si>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</si>
  <si>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</si>
  <si>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</si>
  <si>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</si>
  <si>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</si>
  <si>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</si>
  <si>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</si>
  <si>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</si>
  <si>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</si>
  <si>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</si>
  <si>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</si>
  <si>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</si>
  <si>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</si>
  <si>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</si>
  <si>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</si>
  <si>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891</t>
  </si>
  <si>
    <t>9963</t>
  </si>
  <si>
    <t>9929091</t>
  </si>
  <si>
    <t>USD ILS</t>
  </si>
  <si>
    <t>26/03/2024</t>
  </si>
  <si>
    <t>28/06/2024</t>
  </si>
  <si>
    <t>362.982</t>
  </si>
  <si>
    <t>POALILIT</t>
  </si>
  <si>
    <t>ח.פ</t>
  </si>
  <si>
    <t>הלוואות לעמיתים</t>
  </si>
  <si>
    <t>1000090</t>
  </si>
  <si>
    <t>AA+</t>
  </si>
  <si>
    <t>קבועה</t>
  </si>
  <si>
    <t>31/03/2024</t>
  </si>
  <si>
    <t>בליץ טכנולוגיות בעמ</t>
  </si>
  <si>
    <t>520038779</t>
  </si>
  <si>
    <t>בליץ אופציה לס 0621</t>
  </si>
  <si>
    <t>424999</t>
  </si>
  <si>
    <t>01/06/2024</t>
  </si>
  <si>
    <t>08/06/2021</t>
  </si>
  <si>
    <t>11/02/2024</t>
  </si>
  <si>
    <t>ע.י נופר אנרגי' בע"מ</t>
  </si>
  <si>
    <t>514599943</t>
  </si>
  <si>
    <t>נופר אנרגי- כתבי אופציה</t>
  </si>
  <si>
    <t>983730193</t>
  </si>
  <si>
    <t>02/01/2025</t>
  </si>
  <si>
    <t>03/01/2024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</si>
  <si>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</si>
  <si>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</si>
  <si>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</si>
  <si>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</si>
  <si>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</si>
  <si>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</si>
  <si>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קסם קרנות נאמנות בע"מ</t>
  </si>
  <si>
    <t>510938608</t>
  </si>
  <si>
    <t>קסם KTF ת"א 100</t>
  </si>
  <si>
    <t>IL0051133457</t>
  </si>
  <si>
    <t>הראל קרנות נאמנות בע"מ</t>
  </si>
  <si>
    <t>511776783</t>
  </si>
  <si>
    <t>הראל סל תא 90</t>
  </si>
  <si>
    <t>IL0011489312</t>
  </si>
  <si>
    <t>HSBC Holdings PLC</t>
  </si>
  <si>
    <t>MLU0ZO3ML4LN2LL2TL39</t>
  </si>
  <si>
    <t>Hsbc S&amp;P 500</t>
  </si>
  <si>
    <t>IE00B5KQNG97</t>
  </si>
  <si>
    <t>LYXOR ETF</t>
  </si>
  <si>
    <t>549300D36R80ZKQLJ385</t>
  </si>
  <si>
    <t>LYXOR S&amp;P 500 UCITS ETF</t>
  </si>
  <si>
    <t>LU1135865084</t>
  </si>
  <si>
    <t>Invesco investment management limited</t>
  </si>
  <si>
    <t>635400KFAN415FMIGG54</t>
  </si>
  <si>
    <t>Powershares  QQQ NAS1</t>
  </si>
  <si>
    <t>US46090E1038</t>
  </si>
  <si>
    <t>Vanguard Group</t>
  </si>
  <si>
    <t>QS6WHLCJOJSYY4PYNF72</t>
  </si>
  <si>
    <t>VANGUARD S&amp;P 50</t>
  </si>
  <si>
    <t>us9229083632</t>
  </si>
  <si>
    <t>SOURCE S&amp;P 500 UCITS EFT</t>
  </si>
  <si>
    <t>IE00B3YCGJ38</t>
  </si>
  <si>
    <t>אלביט מערכות בע"מ</t>
  </si>
  <si>
    <t>520043027</t>
  </si>
  <si>
    <t>אלביט מערכות</t>
  </si>
  <si>
    <t>IL0010811243</t>
  </si>
  <si>
    <t>הפניקס אחזקות בע"מ</t>
  </si>
  <si>
    <t>520017450</t>
  </si>
  <si>
    <t>הפניקס</t>
  </si>
  <si>
    <t>IL0007670123</t>
  </si>
  <si>
    <t>520018078</t>
  </si>
  <si>
    <t>לאומי</t>
  </si>
  <si>
    <t>IL0006046119</t>
  </si>
  <si>
    <t>מבנה נדל"ן (כ.ד)  בע"מ</t>
  </si>
  <si>
    <t>520024126</t>
  </si>
  <si>
    <t>מבנה</t>
  </si>
  <si>
    <t>IL0002260193</t>
  </si>
  <si>
    <t>קבוצת עזריאלי בע"מ (לשעבר קנית מימון)</t>
  </si>
  <si>
    <t>510960719</t>
  </si>
  <si>
    <t>עזריאלי קבוצה</t>
  </si>
  <si>
    <t>IL0011194789</t>
  </si>
  <si>
    <t>פוקס-ויזל בע"מ</t>
  </si>
  <si>
    <t>512157603</t>
  </si>
  <si>
    <t>פוקס- ויזל</t>
  </si>
  <si>
    <t>IL0010870223</t>
  </si>
  <si>
    <t>רשת חנויות רמי לוי שיווק השיקמה 2006 בע"מ</t>
  </si>
  <si>
    <t>513770669</t>
  </si>
  <si>
    <t>רמי לוי</t>
  </si>
  <si>
    <t>IL0011042491</t>
  </si>
  <si>
    <t>רני צים מרכזי קניות בע"מ</t>
  </si>
  <si>
    <t>514353671</t>
  </si>
  <si>
    <t>רני צים</t>
  </si>
  <si>
    <t>IL0011436198</t>
  </si>
  <si>
    <t>תדיראן גרופ בע"מ</t>
  </si>
  <si>
    <t>520036732</t>
  </si>
  <si>
    <t>תדיראן גרופ</t>
  </si>
  <si>
    <t>IL0002580129</t>
  </si>
  <si>
    <t>או.פי.סי. אנרגיה בע"מ</t>
  </si>
  <si>
    <t>514401702</t>
  </si>
  <si>
    <t>או פי סי אנרגיה</t>
  </si>
  <si>
    <t>IL0011415713</t>
  </si>
  <si>
    <t>אטראו שוקי הון בע"מ לשעבר לידר</t>
  </si>
  <si>
    <t>513773564</t>
  </si>
  <si>
    <t>אטראו שוקי הון</t>
  </si>
  <si>
    <t>IL0010961063</t>
  </si>
  <si>
    <t>אי.טי.גי. איי גרופ בע"מ</t>
  </si>
  <si>
    <t>513764399</t>
  </si>
  <si>
    <t>אי. טי. ג'י. איי</t>
  </si>
  <si>
    <t>IL0011761140</t>
  </si>
  <si>
    <t>איי.סי.אל גרופ בע"מ (דואלי)</t>
  </si>
  <si>
    <t>520027830</t>
  </si>
  <si>
    <t>איי.סי.אל</t>
  </si>
  <si>
    <t>IL0002810146</t>
  </si>
  <si>
    <t>אינרום תעשיות בנייה בע"מ</t>
  </si>
  <si>
    <t>515001659</t>
  </si>
  <si>
    <t>אינרום חסום 06.08.24</t>
  </si>
  <si>
    <t>IL0011323560</t>
  </si>
  <si>
    <t>איסתא בע"מ</t>
  </si>
  <si>
    <t>520042763</t>
  </si>
  <si>
    <t>איסתא</t>
  </si>
  <si>
    <t>IL0010810740</t>
  </si>
  <si>
    <t>אלקטרה נדל"ן בע"מ</t>
  </si>
  <si>
    <t>510607328</t>
  </si>
  <si>
    <t>אלקטרה נדלן</t>
  </si>
  <si>
    <t>IL0010940448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</si>
  <si>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</si>
  <si>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</si>
  <si>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</si>
  <si>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</si>
  <si>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</si>
  <si>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</si>
  <si>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</si>
  <si>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</si>
  <si>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</si>
  <si>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</si>
  <si>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</si>
  <si>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</si>
  <si>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ארגו פרופרטיז אן. וי</t>
  </si>
  <si>
    <t>724500VWIAC6N6VHCK55</t>
  </si>
  <si>
    <t>NL0015000D84</t>
  </si>
  <si>
    <t>ארד בע"מ</t>
  </si>
  <si>
    <t>510007800</t>
  </si>
  <si>
    <t>ארד</t>
  </si>
  <si>
    <t>IL0010916513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</si>
  <si>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</si>
  <si>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</si>
  <si>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</si>
  <si>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</si>
  <si>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</si>
  <si>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</si>
  <si>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</si>
  <si>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</si>
  <si>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</si>
  <si>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</si>
  <si>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</si>
  <si>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</si>
  <si>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</si>
  <si>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</si>
  <si>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</si>
  <si>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</si>
  <si>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</si>
  <si>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</si>
  <si>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</si>
  <si>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</si>
  <si>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</si>
  <si>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</si>
  <si>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</si>
  <si>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</si>
  <si>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בנק דיסקונט לישראל בע"מ</t>
  </si>
  <si>
    <t>520007030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</si>
  <si>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</si>
  <si>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</si>
  <si>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</si>
  <si>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</si>
  <si>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</si>
  <si>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</si>
  <si>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דנאל (אדיר יהושע) בע"מ</t>
  </si>
  <si>
    <t>520037565</t>
  </si>
  <si>
    <t>דנאל כא</t>
  </si>
  <si>
    <t>IL0003140139</t>
  </si>
  <si>
    <t>וואן טכנולוגיות תוכנה(או.אס.טי)בע"מ</t>
  </si>
  <si>
    <t>520034695</t>
  </si>
  <si>
    <t>וואן טכנולוגיות תוכנה</t>
  </si>
  <si>
    <t>IL0001610182</t>
  </si>
  <si>
    <t>חג'ג' אירופה דיוולופמנט צ.ש. בע"מ</t>
  </si>
  <si>
    <t>515682292</t>
  </si>
  <si>
    <t>חג'ג' אירופה</t>
  </si>
  <si>
    <t>IL0011436354</t>
  </si>
  <si>
    <t xml:space="preserve">קבוצת חג'ג' ייזום נדל"ן בע"מ </t>
  </si>
  <si>
    <t>520033309</t>
  </si>
  <si>
    <t>חג'ג' נדלן</t>
  </si>
  <si>
    <t>IL0008230133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</si>
  <si>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</si>
  <si>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</si>
  <si>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</si>
  <si>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</si>
  <si>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</si>
  <si>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</si>
  <si>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</si>
  <si>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</si>
  <si>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</si>
  <si>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</si>
  <si>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</si>
  <si>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</si>
  <si>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</si>
  <si>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</si>
  <si>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</si>
  <si>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</si>
  <si>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</si>
  <si>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</si>
  <si>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</si>
  <si>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</si>
  <si>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נגב 2 שותפות מוגבלת</t>
  </si>
  <si>
    <t>550010003</t>
  </si>
  <si>
    <t>ישראמקו יהש</t>
  </si>
  <si>
    <t>IL0002320179</t>
  </si>
  <si>
    <t>ישרוטל בע"מ</t>
  </si>
  <si>
    <t>520042482</t>
  </si>
  <si>
    <t>ישרוטל</t>
  </si>
  <si>
    <t>IL0010809858</t>
  </si>
  <si>
    <t>יוחננוף</t>
  </si>
  <si>
    <t>511344186</t>
  </si>
  <si>
    <t>מ. יוחננוף</t>
  </si>
  <si>
    <t>IL0011612640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</si>
  <si>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</si>
  <si>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</si>
  <si>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</si>
  <si>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</si>
  <si>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</si>
  <si>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</si>
  <si>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</si>
  <si>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</si>
  <si>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</si>
  <si>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</si>
  <si>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</si>
  <si>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</si>
  <si>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</si>
  <si>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</si>
  <si>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</si>
  <si>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</si>
  <si>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</si>
  <si>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</si>
  <si>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</si>
  <si>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</si>
  <si>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</si>
  <si>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</si>
  <si>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</si>
  <si>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</si>
  <si>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</si>
  <si>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</si>
  <si>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</si>
  <si>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</si>
  <si>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</si>
  <si>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</si>
  <si>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</si>
  <si>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</si>
  <si>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</si>
  <si>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</si>
  <si>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חברה לנכסים ולבנין בע"מ</t>
  </si>
  <si>
    <t>520025438</t>
  </si>
  <si>
    <t>נכסים ובנין</t>
  </si>
  <si>
    <t>IL0006990175</t>
  </si>
  <si>
    <t>נקסט ויז'ן</t>
  </si>
  <si>
    <t>514259019</t>
  </si>
  <si>
    <t>IL0011765935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</si>
  <si>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</si>
  <si>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</si>
  <si>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</si>
  <si>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</si>
  <si>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</si>
  <si>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</si>
  <si>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</si>
  <si>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</si>
  <si>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</si>
  <si>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</si>
  <si>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</si>
  <si>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</si>
  <si>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פוםוום בע"מ</t>
  </si>
  <si>
    <t>515236735</t>
  </si>
  <si>
    <t>פוםוום</t>
  </si>
  <si>
    <t>IL0011734345</t>
  </si>
  <si>
    <t>בנק הפועלים בע"מ</t>
  </si>
  <si>
    <t>520000118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</si>
  <si>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</si>
  <si>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</si>
  <si>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</si>
  <si>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</si>
  <si>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</si>
  <si>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</si>
  <si>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</si>
  <si>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</si>
  <si>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</si>
  <si>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</si>
  <si>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פתאל החזקות 1998 בע"מ</t>
  </si>
  <si>
    <t>512607888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</si>
  <si>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</si>
  <si>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</si>
  <si>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</si>
  <si>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</si>
  <si>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</si>
  <si>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</si>
  <si>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 בע"מ</t>
  </si>
  <si>
    <t>514065283</t>
  </si>
  <si>
    <t>קרסו מוטורס</t>
  </si>
  <si>
    <t>IL0011238503</t>
  </si>
  <si>
    <t>ריט 1 בע"מ</t>
  </si>
  <si>
    <t>513821488</t>
  </si>
  <si>
    <t>ריט 1</t>
  </si>
  <si>
    <t>IL0010989205</t>
  </si>
  <si>
    <t>ריטיילורס בע"מ</t>
  </si>
  <si>
    <t>514211457</t>
  </si>
  <si>
    <t>ריטיילורס</t>
  </si>
  <si>
    <t>IL0011754889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</si>
  <si>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</si>
  <si>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</si>
  <si>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</si>
  <si>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</si>
  <si>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</si>
  <si>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</si>
  <si>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</si>
  <si>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</si>
  <si>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amazon.com</t>
  </si>
  <si>
    <t>549300LQHH5G4WPME241</t>
  </si>
  <si>
    <t>AMAZON.COM INC</t>
  </si>
  <si>
    <t>US0231351067</t>
  </si>
  <si>
    <t>APPLE COMPUTER INC</t>
  </si>
  <si>
    <t>HWUPKR0MPOU8FGXBT394</t>
  </si>
  <si>
    <t>APPLE INC</t>
  </si>
  <si>
    <t>US0378331005</t>
  </si>
  <si>
    <t>Bank of America</t>
  </si>
  <si>
    <t>5493006QMFDDMYWIAM13</t>
  </si>
  <si>
    <t>Bank of Ameica Corp</t>
  </si>
  <si>
    <t>US0605051046</t>
  </si>
  <si>
    <t>CATERPILLAR</t>
  </si>
  <si>
    <t>WRJR7GS4GTRECRRTVX92</t>
  </si>
  <si>
    <t>CATERPILLAR INC</t>
  </si>
  <si>
    <t>US1491231015</t>
  </si>
  <si>
    <t>Capital Markets </t>
  </si>
  <si>
    <t>Meta Platforms Inc</t>
  </si>
  <si>
    <t>BQ4BKCS1HXDV9HN80Z93</t>
  </si>
  <si>
    <t>Facebook Inc</t>
  </si>
  <si>
    <t>US30303M1027</t>
  </si>
  <si>
    <t>ALPHABET INC</t>
  </si>
  <si>
    <t>7ZW8QJWVPR4P1J1KQY45</t>
  </si>
  <si>
    <t>Google Us Class c</t>
  </si>
  <si>
    <t>US02079K1079</t>
  </si>
  <si>
    <t>איתוראן איתור ושליטה בע"מ</t>
  </si>
  <si>
    <t>520043811</t>
  </si>
  <si>
    <t>Ituran Location And Control 16</t>
  </si>
  <si>
    <t>IL0010818685</t>
  </si>
  <si>
    <t>Jacobs Solutions Inc</t>
  </si>
  <si>
    <t>549300CZ8QS1GE53O776</t>
  </si>
  <si>
    <t>JACOBS SOLUTION</t>
  </si>
  <si>
    <t>US46982L1089</t>
  </si>
  <si>
    <t>JPMORGAN CHASE</t>
  </si>
  <si>
    <t>8I5DZWZKVSZI1NUHU748</t>
  </si>
  <si>
    <t>JPMORGAN CHASE &amp; CO</t>
  </si>
  <si>
    <t>US46625H1005</t>
  </si>
  <si>
    <t>MICROSOFT CORP</t>
  </si>
  <si>
    <t>INR2EJN1ERAN0W5ZP974</t>
  </si>
  <si>
    <t>Microsoft crop</t>
  </si>
  <si>
    <t>US5949181045</t>
  </si>
  <si>
    <t>MONDELEZ INTERNATIONAL</t>
  </si>
  <si>
    <t>549300DV9GIB88LZ5P30</t>
  </si>
  <si>
    <t>MONDELEZ INTERNATIONAL INC</t>
  </si>
  <si>
    <t>US6092071058</t>
  </si>
  <si>
    <t>NICE LTD</t>
  </si>
  <si>
    <t>254900YTY4EF5Z4W0A51</t>
  </si>
  <si>
    <t>NICE SYS ADR</t>
  </si>
  <si>
    <t>US6536561086</t>
  </si>
  <si>
    <t xml:space="preserve">אורמת טכנולגיות אינק </t>
  </si>
  <si>
    <t>5493000TSHHWY24VHM09</t>
  </si>
  <si>
    <t>Ormat Technologies</t>
  </si>
  <si>
    <t>US6866881021</t>
  </si>
  <si>
    <t>Palo alto networks inc</t>
  </si>
  <si>
    <t>549300QXR2YVZV231H43</t>
  </si>
  <si>
    <t>PALO ALTO NETWORKS INC</t>
  </si>
  <si>
    <t>US6974351057</t>
  </si>
  <si>
    <t>פריון נטוורק בע"מ לשעבר אינקרדימייל</t>
  </si>
  <si>
    <t>512849498</t>
  </si>
  <si>
    <t>Perion Network LTD</t>
  </si>
  <si>
    <t>IL0010958192</t>
  </si>
  <si>
    <t>PPHE HOTEL GROUP LTD</t>
  </si>
  <si>
    <t>2138003H1BZGR6KM5823</t>
  </si>
  <si>
    <t>PP HOTEL GROUP LTD</t>
  </si>
  <si>
    <t>GG00B1Z5FH87</t>
  </si>
  <si>
    <t>RWE AG</t>
  </si>
  <si>
    <t>529900GB7KCA94ACC940</t>
  </si>
  <si>
    <t>DE0007037129R</t>
  </si>
  <si>
    <t>Saleforce.com Inc</t>
  </si>
  <si>
    <t>RCGZFPDMRW58VJ54VR07</t>
  </si>
  <si>
    <t>Saleforce</t>
  </si>
  <si>
    <t>US794466L3024</t>
  </si>
  <si>
    <t>SHL TELEMEDICINE LTD</t>
  </si>
  <si>
    <t>512527383</t>
  </si>
  <si>
    <t>IL0010855885</t>
  </si>
  <si>
    <t>TAIWAN Semiconductor</t>
  </si>
  <si>
    <t>549300KB6NK5SBD14S87</t>
  </si>
  <si>
    <t>TAIWAN SEMICON ADR</t>
  </si>
  <si>
    <t>US8740391003</t>
  </si>
  <si>
    <t>איידנטי הלת'קייר בע"מ</t>
  </si>
  <si>
    <t>515679405</t>
  </si>
  <si>
    <t>איידנטי הלת'קייר</t>
  </si>
  <si>
    <t>IL0011774507</t>
  </si>
  <si>
    <t>אלומה קרן תשתיות (2020) בע"מ</t>
  </si>
  <si>
    <t>516214871</t>
  </si>
  <si>
    <t>אלומה תשתיות</t>
  </si>
  <si>
    <t>IL0011816431</t>
  </si>
  <si>
    <t>חפציבה ג'רוזלם גולד בע"מ</t>
  </si>
  <si>
    <t>510404460</t>
  </si>
  <si>
    <t>חפציבה גרוזלם</t>
  </si>
  <si>
    <t>IL0010999360</t>
  </si>
  <si>
    <t>Selina</t>
  </si>
  <si>
    <t>549300BAEIWO0QPTC061</t>
  </si>
  <si>
    <t>SELINA HOSPITALITY</t>
  </si>
  <si>
    <t>GB00BQ1MW662</t>
  </si>
  <si>
    <t>לוויתן בונד בע"מ</t>
  </si>
  <si>
    <t>516223864</t>
  </si>
  <si>
    <t>LVIA 6.125% 6/25</t>
  </si>
  <si>
    <t>IL0011677742</t>
  </si>
  <si>
    <t>Ba3</t>
  </si>
  <si>
    <t>30/06/2025</t>
  </si>
  <si>
    <t>אאורה השקעות בע"מ</t>
  </si>
  <si>
    <t>520038274</t>
  </si>
  <si>
    <t>אאורה אגח טז</t>
  </si>
  <si>
    <t>IL0037305799</t>
  </si>
  <si>
    <t>A3</t>
  </si>
  <si>
    <t>30/09/2027</t>
  </si>
  <si>
    <t>אאורה אגח יז %3.85 31/01/2029</t>
  </si>
  <si>
    <t>IL0011935801</t>
  </si>
  <si>
    <t>A-</t>
  </si>
  <si>
    <t>31/01/2029</t>
  </si>
  <si>
    <t>אאורה אגח יז חסום עד 14.05.24</t>
  </si>
  <si>
    <t>אדגר השקעות ופיתוח בע"מ</t>
  </si>
  <si>
    <t>520035171</t>
  </si>
  <si>
    <t>אדגר אגח י</t>
  </si>
  <si>
    <t>IL0018202080</t>
  </si>
  <si>
    <t>A2</t>
  </si>
  <si>
    <t>01/09/2027</t>
  </si>
  <si>
    <t>אדגר אגח סד יא</t>
  </si>
  <si>
    <t>IL0018202817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</si>
  <si>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</si>
  <si>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</si>
  <si>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</si>
  <si>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</si>
  <si>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</si>
  <si>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</si>
  <si>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</si>
  <si>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</si>
  <si>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01/10/2028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</si>
  <si>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</si>
  <si>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</si>
  <si>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</si>
  <si>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</si>
  <si>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</si>
  <si>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</si>
  <si>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איסתא אגח א להמרה</t>
  </si>
  <si>
    <t>IL0011971285</t>
  </si>
  <si>
    <t>N/R</t>
  </si>
  <si>
    <t>30/06/2028</t>
  </si>
  <si>
    <t>אלבר שירותי מימונית בע"מ</t>
  </si>
  <si>
    <t>512025891</t>
  </si>
  <si>
    <t>אלבר אגח יט</t>
  </si>
  <si>
    <t>IL0011918245</t>
  </si>
  <si>
    <t>A+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</si>
  <si>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</si>
  <si>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</si>
  <si>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</si>
  <si>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</si>
  <si>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</si>
  <si>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</si>
  <si>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</si>
  <si>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</si>
  <si>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</si>
  <si>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</si>
  <si>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</si>
  <si>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</si>
  <si>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</si>
  <si>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A</t>
  </si>
  <si>
    <t>01/07/2029</t>
  </si>
  <si>
    <t>אלקו בע"מ</t>
  </si>
  <si>
    <t>520025370</t>
  </si>
  <si>
    <t>אלקו סדרה אגח יג 2022/2029</t>
  </si>
  <si>
    <t>IL0069402332</t>
  </si>
  <si>
    <t>16/09/2029</t>
  </si>
  <si>
    <t>אלקטרה בע"מ</t>
  </si>
  <si>
    <t>520028911</t>
  </si>
  <si>
    <t>אלקטרה אגח ה</t>
  </si>
  <si>
    <t>IL0073902228</t>
  </si>
  <si>
    <t>10/01/2031</t>
  </si>
  <si>
    <t>אמ אר אר ת'ירטין לימיטד</t>
  </si>
  <si>
    <t>1983001</t>
  </si>
  <si>
    <t>אם אר אר  אגח ב</t>
  </si>
  <si>
    <t>IL0011846966</t>
  </si>
  <si>
    <t>30/06/2026</t>
  </si>
  <si>
    <t>אם.אר.פי השקעות בע"מ</t>
  </si>
  <si>
    <t>520044421</t>
  </si>
  <si>
    <t>אם.אר.פי אגח ד</t>
  </si>
  <si>
    <t>IL0011901720</t>
  </si>
  <si>
    <t>16/03/2025</t>
  </si>
  <si>
    <t>אמ.ג'י.ג'י בי וי אי לימיטד</t>
  </si>
  <si>
    <t>1981143</t>
  </si>
  <si>
    <t>אמ.ג'יג'י אגח ב</t>
  </si>
  <si>
    <t>IL0011608119</t>
  </si>
  <si>
    <t>21/09/2025</t>
  </si>
  <si>
    <t>אמפא יובלים דיור להשכרה בע"מ</t>
  </si>
  <si>
    <t>516286432</t>
  </si>
  <si>
    <t>אמפא יובל אגח א חסום 20/09/24</t>
  </si>
  <si>
    <t>IL0011935157</t>
  </si>
  <si>
    <t>נדלן מניב בישראל</t>
  </si>
  <si>
    <t>15/12/2025</t>
  </si>
  <si>
    <t>אמפא יובלים אגח א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</si>
  <si>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</si>
  <si>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</si>
  <si>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</si>
  <si>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</si>
  <si>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</si>
  <si>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</si>
  <si>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ב 0.25%</t>
  </si>
  <si>
    <t>IL0011684839</t>
  </si>
  <si>
    <t>01/08/2027</t>
  </si>
  <si>
    <t xml:space="preserve">אס.אר.אקורד בע"מ </t>
  </si>
  <si>
    <t>520038670</t>
  </si>
  <si>
    <t>אסאר אקורד אגח א</t>
  </si>
  <si>
    <t>IL0042203492</t>
  </si>
  <si>
    <t>30/09/2024</t>
  </si>
  <si>
    <t>אסאר אקורד אגח ב</t>
  </si>
  <si>
    <t>IL0042203724</t>
  </si>
  <si>
    <t>30/06/2027</t>
  </si>
  <si>
    <t>אפי נכסים בע"מ</t>
  </si>
  <si>
    <t>510560188</t>
  </si>
  <si>
    <t>אפי נכסים אגח י</t>
  </si>
  <si>
    <t>IL0011608788</t>
  </si>
  <si>
    <t>30/03/2029</t>
  </si>
  <si>
    <t>אפי נכסים אגח יא</t>
  </si>
  <si>
    <t>IL0011716284</t>
  </si>
  <si>
    <t>אפי נכסים אגח יב</t>
  </si>
  <si>
    <t>IL0011737645</t>
  </si>
  <si>
    <t>15/09/2027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</si>
  <si>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</si>
  <si>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</si>
  <si>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</si>
  <si>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</si>
  <si>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</si>
  <si>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</si>
  <si>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</si>
  <si>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</si>
  <si>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</si>
  <si>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אקסטל לימיטד</t>
  </si>
  <si>
    <t>1811308</t>
  </si>
  <si>
    <t>אקסטל אג"ח ג</t>
  </si>
  <si>
    <t>IL0011750416</t>
  </si>
  <si>
    <t>31/03/2026</t>
  </si>
  <si>
    <t>אקסטל אגח ד- חסום עד 24/06/24</t>
  </si>
  <si>
    <t>IL0011831695</t>
  </si>
  <si>
    <t>31/12/2027</t>
  </si>
  <si>
    <t>ארי נדל"ן(ארנה) השקעות בע"מ</t>
  </si>
  <si>
    <t>520038332</t>
  </si>
  <si>
    <t>ארי נדלן אגח א</t>
  </si>
  <si>
    <t>IL0036601560</t>
  </si>
  <si>
    <t>01/04/2027</t>
  </si>
  <si>
    <t>ארפורט אגח ט</t>
  </si>
  <si>
    <t>IL0011609448</t>
  </si>
  <si>
    <t>30/08/2035</t>
  </si>
  <si>
    <t>בתי זקוק לנפט בע"מ</t>
  </si>
  <si>
    <t>520036658</t>
  </si>
  <si>
    <t>בזן אגח יב</t>
  </si>
  <si>
    <t>IL0025905782</t>
  </si>
  <si>
    <t>25/09/2029</t>
  </si>
  <si>
    <t>הבינלאומי הראשון הנפקות בע"מ</t>
  </si>
  <si>
    <t>513141879</t>
  </si>
  <si>
    <t>בינלאומי הנפק התח כו</t>
  </si>
  <si>
    <t>IL0011855371</t>
  </si>
  <si>
    <t>Aa3</t>
  </si>
  <si>
    <t>31/03/2028</t>
  </si>
  <si>
    <t>בית זיקוק אשדוד אגח 2</t>
  </si>
  <si>
    <t>IL0011994881</t>
  </si>
  <si>
    <t>30/04/2029</t>
  </si>
  <si>
    <t>גב ים אגח ט</t>
  </si>
  <si>
    <t>IL0075902192</t>
  </si>
  <si>
    <t>30/06/2033</t>
  </si>
  <si>
    <t>גב ים סד' ו'</t>
  </si>
  <si>
    <t>IL0075901285</t>
  </si>
  <si>
    <t>גבאי מניבים ופיתוח בע"מ</t>
  </si>
  <si>
    <t>520032178</t>
  </si>
  <si>
    <t>גבאי מניבים אגח  יג חסום עד 12.09.2024</t>
  </si>
  <si>
    <t>IL0077102965</t>
  </si>
  <si>
    <t>גבאי מניבים אגח י</t>
  </si>
  <si>
    <t>IL0077102395</t>
  </si>
  <si>
    <t>גבאי מניבים אגח י עד 25.04.2024 חסום</t>
  </si>
  <si>
    <t>גבאי מניבים אגח יב חסום עד 12.09.2024</t>
  </si>
  <si>
    <t>IL0077102627</t>
  </si>
  <si>
    <t>ג'י.אף.איי ריאל אסטייט לימיטד</t>
  </si>
  <si>
    <t>1852623</t>
  </si>
  <si>
    <t>ג'י אף איי אגח ה</t>
  </si>
  <si>
    <t>IL0012026477</t>
  </si>
  <si>
    <t>BBB+</t>
  </si>
  <si>
    <t>01/12/2026</t>
  </si>
  <si>
    <t>גירון פיתוח ובניה בע"מ</t>
  </si>
  <si>
    <t>520044520</t>
  </si>
  <si>
    <t>גירון אגח ו</t>
  </si>
  <si>
    <t>IL0011398497</t>
  </si>
  <si>
    <t>A1</t>
  </si>
  <si>
    <t>31/12/2025</t>
  </si>
  <si>
    <t>גפן מגורים והתחדשות בע"מ</t>
  </si>
  <si>
    <t>512781386</t>
  </si>
  <si>
    <t>גפן מגורים אג א</t>
  </si>
  <si>
    <t>IL0011996860</t>
  </si>
  <si>
    <t>דה לסר גרופ לימיטד</t>
  </si>
  <si>
    <t>1427976</t>
  </si>
  <si>
    <t>דה לסר אגח ז</t>
  </si>
  <si>
    <t>IL0011789208</t>
  </si>
  <si>
    <t>דה לסר אגח ח</t>
  </si>
  <si>
    <t>IL0011931925</t>
  </si>
  <si>
    <t>31/12/2026</t>
  </si>
  <si>
    <t>דיסקונט מנפיקים בע"מ</t>
  </si>
  <si>
    <t>520029935</t>
  </si>
  <si>
    <t>דיסק מנ אגח טו</t>
  </si>
  <si>
    <t>IL0074803045</t>
  </si>
  <si>
    <t>15/08/2032</t>
  </si>
  <si>
    <t>דיסקונט אגח יד</t>
  </si>
  <si>
    <t>IL0074801635</t>
  </si>
  <si>
    <t>05/12/2030</t>
  </si>
  <si>
    <t>דליה חברות אנרגיה בע"מ</t>
  </si>
  <si>
    <t>516269248</t>
  </si>
  <si>
    <t>דליה אגח א</t>
  </si>
  <si>
    <t>IL0011849515</t>
  </si>
  <si>
    <t>30/09/2031</t>
  </si>
  <si>
    <t>חברת הכשרת הישוב בישראל בע"מ</t>
  </si>
  <si>
    <t>520020116</t>
  </si>
  <si>
    <t>הכשרת הישוב אגח 25</t>
  </si>
  <si>
    <t>IL0011915274</t>
  </si>
  <si>
    <t>31/12/2029</t>
  </si>
  <si>
    <t>הכשרת ישוב אגח 21</t>
  </si>
  <si>
    <t>IL0061202243</t>
  </si>
  <si>
    <t>ויי בוקס נדלן בע"מ</t>
  </si>
  <si>
    <t>520038688</t>
  </si>
  <si>
    <t>ווי בוקס אגח ב</t>
  </si>
  <si>
    <t>IL0048601442</t>
  </si>
  <si>
    <t>31/12/2024</t>
  </si>
  <si>
    <t>חג'ג' אגח יא</t>
  </si>
  <si>
    <t>IL0082303285</t>
  </si>
  <si>
    <t>01/07/2027</t>
  </si>
  <si>
    <t>חג'ג' אגח יב</t>
  </si>
  <si>
    <t>IL0082303772</t>
  </si>
  <si>
    <t>חג'ג' אגח יג 5.62%</t>
  </si>
  <si>
    <t>IL0011900409</t>
  </si>
  <si>
    <t>01/04/2025</t>
  </si>
  <si>
    <t>חג'ג' אגח להמרה י</t>
  </si>
  <si>
    <t>IL0082302949</t>
  </si>
  <si>
    <t>יו.אמ.איץ' פרופרטיס אינק.</t>
  </si>
  <si>
    <t>221890929</t>
  </si>
  <si>
    <t>יו.אמ.איץ' אגח א</t>
  </si>
  <si>
    <t>IL0011841678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</si>
  <si>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</si>
  <si>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</si>
  <si>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</si>
  <si>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</si>
  <si>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</si>
  <si>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</si>
  <si>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יובלים אגח ג</t>
  </si>
  <si>
    <t>IL0011986960</t>
  </si>
  <si>
    <t>יוחננוף אגח א</t>
  </si>
  <si>
    <t>IL0011874182</t>
  </si>
  <si>
    <t>01/07/2032</t>
  </si>
  <si>
    <t>יוניברסל מוטורס  ישראל בע"מ</t>
  </si>
  <si>
    <t>511809071</t>
  </si>
  <si>
    <t>יוניברסל אגח ה</t>
  </si>
  <si>
    <t>IL0011926081</t>
  </si>
  <si>
    <t>10/02/2031</t>
  </si>
  <si>
    <t>ירושלים מימון והנפקות (2005) בע"מ</t>
  </si>
  <si>
    <t>513682146</t>
  </si>
  <si>
    <t>ירושלים הנפ אגח יג</t>
  </si>
  <si>
    <t>IL0011425126</t>
  </si>
  <si>
    <t>31/05/2024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</si>
  <si>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</si>
  <si>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</si>
  <si>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</si>
  <si>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</si>
  <si>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</si>
  <si>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</si>
  <si>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</si>
  <si>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(ט.ר) בעמ</t>
  </si>
  <si>
    <t>520039298</t>
  </si>
  <si>
    <t>ישראל קנדה אגח ז</t>
  </si>
  <si>
    <t>IL0043402127</t>
  </si>
  <si>
    <t>ישרס חברה להשקעות בע"מ</t>
  </si>
  <si>
    <t>520017807</t>
  </si>
  <si>
    <t>ישרס אגח טו</t>
  </si>
  <si>
    <t>IL0061302076</t>
  </si>
  <si>
    <t>Aa2</t>
  </si>
  <si>
    <t>16/05/2027</t>
  </si>
  <si>
    <t>ישרס אגח יח</t>
  </si>
  <si>
    <t>IL0061302803</t>
  </si>
  <si>
    <t>10/04/2030</t>
  </si>
  <si>
    <t>לאומי   אגח 179</t>
  </si>
  <si>
    <t>IL0060403727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</si>
  <si>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</si>
  <si>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</si>
  <si>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</si>
  <si>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</si>
  <si>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</si>
  <si>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</si>
  <si>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</si>
  <si>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</si>
  <si>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</si>
  <si>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</si>
  <si>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</si>
  <si>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</si>
  <si>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 403</t>
  </si>
  <si>
    <t>IL0060404303</t>
  </si>
  <si>
    <t>28/02/2025</t>
  </si>
  <si>
    <t>לאומי התח נדח' סד' 405</t>
  </si>
  <si>
    <t>IL0060406209</t>
  </si>
  <si>
    <t>27/03/2028</t>
  </si>
  <si>
    <t>להב אל.אר רילאסטייט בעמ</t>
  </si>
  <si>
    <t>520034257</t>
  </si>
  <si>
    <t>להב אגח ג</t>
  </si>
  <si>
    <t>IL0011933418</t>
  </si>
  <si>
    <t>10/07/2028</t>
  </si>
  <si>
    <t>לוזון רונסון</t>
  </si>
  <si>
    <t>560040545</t>
  </si>
  <si>
    <t>לוזון רונסון אגח א 8.15% 25/09/2030</t>
  </si>
  <si>
    <t>IL0012023409</t>
  </si>
  <si>
    <t>25/09/2030</t>
  </si>
  <si>
    <t>לייטסטון אנטרפרייזס לימיטד</t>
  </si>
  <si>
    <t>512600966</t>
  </si>
  <si>
    <t>לייטסטון אגח ב</t>
  </si>
  <si>
    <t>IL0011607467</t>
  </si>
  <si>
    <t>30/11/2025</t>
  </si>
  <si>
    <t>מבני תעשיה  אגח כ</t>
  </si>
  <si>
    <t>IL0022604958</t>
  </si>
  <si>
    <t>מגה אור החזקות בע"מ</t>
  </si>
  <si>
    <t>513257873</t>
  </si>
  <si>
    <t>מגה אור אגח ז</t>
  </si>
  <si>
    <t>IL0011416968</t>
  </si>
  <si>
    <t>30/08/2027</t>
  </si>
  <si>
    <t>מגוריט ישראל בעמ</t>
  </si>
  <si>
    <t>515434074</t>
  </si>
  <si>
    <t>מגוריט אגח ג</t>
  </si>
  <si>
    <t>IL0011759755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</si>
  <si>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</si>
  <si>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</si>
  <si>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</si>
  <si>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</si>
  <si>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</si>
  <si>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</si>
  <si>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</si>
  <si>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</si>
  <si>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הנפ אגח61</t>
  </si>
  <si>
    <t>IL0023104644</t>
  </si>
  <si>
    <t>04/12/2026</t>
  </si>
  <si>
    <t xml:space="preserve">מימון ישיר מקבוצת ישיר 2006 בע"מ </t>
  </si>
  <si>
    <t>513893123</t>
  </si>
  <si>
    <t>מימון ישיר אגח ג</t>
  </si>
  <si>
    <t>IL0011712143</t>
  </si>
  <si>
    <t>מימון ישיר אגח ה</t>
  </si>
  <si>
    <t>IL0011828311</t>
  </si>
  <si>
    <t>31/07/2031</t>
  </si>
  <si>
    <t>מימון ישיר אגח ו</t>
  </si>
  <si>
    <t>IL0011916595</t>
  </si>
  <si>
    <t>31/03/2027</t>
  </si>
  <si>
    <t>מימון ישיר ד</t>
  </si>
  <si>
    <t>IL0011756603</t>
  </si>
  <si>
    <t>01/02/2026</t>
  </si>
  <si>
    <t>מליסרון  אגח יט</t>
  </si>
  <si>
    <t>IL0032303989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</si>
  <si>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</si>
  <si>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</si>
  <si>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</si>
  <si>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</si>
  <si>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</si>
  <si>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</si>
  <si>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מ.ל.ר.ן פרויקטים ומסחר בע"מ</t>
  </si>
  <si>
    <t>514097591</t>
  </si>
  <si>
    <t>מלרן אגח ג</t>
  </si>
  <si>
    <t>IL0011800583</t>
  </si>
  <si>
    <t>30/09/2025</t>
  </si>
  <si>
    <t>מלרן אגח ד</t>
  </si>
  <si>
    <t>IL0011868655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</si>
  <si>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</si>
  <si>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</si>
  <si>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</si>
  <si>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</si>
  <si>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</si>
  <si>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קבוצת מנרב  בע"מ</t>
  </si>
  <si>
    <t>520034505</t>
  </si>
  <si>
    <t>מנרב אגח ד</t>
  </si>
  <si>
    <t>IL0015501690</t>
  </si>
  <si>
    <t>Baa1</t>
  </si>
  <si>
    <t>15/04/2032</t>
  </si>
  <si>
    <t>מנרב אגח ד חסום עד 07.09.24</t>
  </si>
  <si>
    <t>נאוויטס פטרו אגח ה חסום עד 11.07.24</t>
  </si>
  <si>
    <t>IL0011979122</t>
  </si>
  <si>
    <t>31/12/2028</t>
  </si>
  <si>
    <t>נאוויטס פטרו אגח ו</t>
  </si>
  <si>
    <t>IL0012048257</t>
  </si>
  <si>
    <t>נופר אנרג אגח א</t>
  </si>
  <si>
    <t>IL0011793408</t>
  </si>
  <si>
    <t>נכסים ובניין  אגח ט</t>
  </si>
  <si>
    <t>IL0069902125</t>
  </si>
  <si>
    <t>נכסים ובנין אגח י</t>
  </si>
  <si>
    <t>IL0011936304</t>
  </si>
  <si>
    <t>נמקו ריאליטי לטד</t>
  </si>
  <si>
    <t>1905761</t>
  </si>
  <si>
    <t>נמקו אגח ג</t>
  </si>
  <si>
    <t>IL0011987612</t>
  </si>
  <si>
    <t>סולאיר אגח א</t>
  </si>
  <si>
    <t>IL0011837304</t>
  </si>
  <si>
    <t>סולגרין בע"מ</t>
  </si>
  <si>
    <t>512882747</t>
  </si>
  <si>
    <t>סולגרין אגח ב</t>
  </si>
  <si>
    <t>IL0011862468</t>
  </si>
  <si>
    <t>סטרוברי פילדס ריט לימיטד</t>
  </si>
  <si>
    <t>1863501</t>
  </si>
  <si>
    <t>סטרוברי אגח ג</t>
  </si>
  <si>
    <t>IL0011790198</t>
  </si>
  <si>
    <t>סטרוברי אגח ד</t>
  </si>
  <si>
    <t>IL0011970295</t>
  </si>
  <si>
    <t>סיאון אינווסטמנט קורפוריישן</t>
  </si>
  <si>
    <t>14242259</t>
  </si>
  <si>
    <t>סיאון אגח א - חסום עד 05/04/24</t>
  </si>
  <si>
    <t>IL0011940181</t>
  </si>
  <si>
    <t>31/08/2026</t>
  </si>
  <si>
    <t>ספיר קורפ בע"מ</t>
  </si>
  <si>
    <t>520038340</t>
  </si>
  <si>
    <t>ספיר קור אגח יט</t>
  </si>
  <si>
    <t>IL0011886483</t>
  </si>
  <si>
    <t>ספיר קורפ אגח יח</t>
  </si>
  <si>
    <t>IL0036501406</t>
  </si>
  <si>
    <t>15/07/2025</t>
  </si>
  <si>
    <t>ספנסר אקוויטי גרופ לימיטד</t>
  </si>
  <si>
    <t>1838863</t>
  </si>
  <si>
    <t>ספנסר אגח ב</t>
  </si>
  <si>
    <t>IL0011398984</t>
  </si>
  <si>
    <t>ספנסר אגח ג</t>
  </si>
  <si>
    <t>IL0011474959</t>
  </si>
  <si>
    <t>01/12/2024</t>
  </si>
  <si>
    <t>ספנסר אגח ד</t>
  </si>
  <si>
    <t>IL0011887887</t>
  </si>
  <si>
    <t>עזריאלי אגח ד</t>
  </si>
  <si>
    <t>IL0011386500</t>
  </si>
  <si>
    <t>Aa1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</si>
  <si>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</si>
  <si>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</si>
  <si>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</si>
  <si>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</si>
  <si>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</si>
  <si>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</si>
  <si>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</si>
  <si>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</si>
  <si>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</si>
  <si>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עזריאלי קבוצה אגח ב סחיר</t>
  </si>
  <si>
    <t>IL0011344368</t>
  </si>
  <si>
    <t>עמרם אברהם חברה לבנין בע"מ</t>
  </si>
  <si>
    <t>513201582</t>
  </si>
  <si>
    <t>עמרם אברהם אגח א</t>
  </si>
  <si>
    <t>IL0011880445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</si>
  <si>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</si>
  <si>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</si>
  <si>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</si>
  <si>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</si>
  <si>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</si>
  <si>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</si>
  <si>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</si>
  <si>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</si>
  <si>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</si>
  <si>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פורמולה אג"ח ג</t>
  </si>
  <si>
    <t>IL0025602090</t>
  </si>
  <si>
    <t>הפניקס גיוסי הון (2009) בע"מ</t>
  </si>
  <si>
    <t>514290345</t>
  </si>
  <si>
    <t>פניקס הון אגח יב</t>
  </si>
  <si>
    <t>IL0011955858</t>
  </si>
  <si>
    <t>05/02/2032</t>
  </si>
  <si>
    <t>פתאל החזקות אגח ד</t>
  </si>
  <si>
    <t>IL0011881922</t>
  </si>
  <si>
    <t>31/12/2032</t>
  </si>
  <si>
    <t>צ.מ.ח המרמן בע"מ</t>
  </si>
  <si>
    <t>512531203</t>
  </si>
  <si>
    <t>צמח המרמן אגח ז</t>
  </si>
  <si>
    <t>IL0011864027</t>
  </si>
  <si>
    <t>קרסו נדלן</t>
  </si>
  <si>
    <t>510488190</t>
  </si>
  <si>
    <t>קרסו נדלן אגח א</t>
  </si>
  <si>
    <t>IL0011900086</t>
  </si>
  <si>
    <t>30/11/2029</t>
  </si>
  <si>
    <t>רוטשטיין נדל"ן  בע"מ</t>
  </si>
  <si>
    <t>520039959</t>
  </si>
  <si>
    <t>רוטשטיין אגח ח</t>
  </si>
  <si>
    <t>IL0053901828</t>
  </si>
  <si>
    <t>14/07/2025</t>
  </si>
  <si>
    <t>רוטשטיין אגח יא</t>
  </si>
  <si>
    <t>IL0011971772</t>
  </si>
  <si>
    <t xml:space="preserve">רותם שני יזמות והשקעות בע"מ
</t>
  </si>
  <si>
    <t>512287517</t>
  </si>
  <si>
    <t>רותם שני אגח</t>
  </si>
  <si>
    <t>IL0011739963</t>
  </si>
  <si>
    <t>רמות בעיר בע"מ</t>
  </si>
  <si>
    <t>514328004</t>
  </si>
  <si>
    <t>רמות בעיר אגח ב - חסום 26/08/24</t>
  </si>
  <si>
    <t>IL0011824013</t>
  </si>
  <si>
    <t>רני צים אגח ב</t>
  </si>
  <si>
    <t>IL0011718348</t>
  </si>
  <si>
    <t>01/03/2028</t>
  </si>
  <si>
    <t>רני צים ג</t>
  </si>
  <si>
    <t>IL0011831935</t>
  </si>
  <si>
    <t xml:space="preserve">א.נ שוהם בידנס בע"מ </t>
  </si>
  <si>
    <t>520043860</t>
  </si>
  <si>
    <t>שוהם ביזנס אגח ד</t>
  </si>
  <si>
    <t>IL0011820474</t>
  </si>
  <si>
    <t>Baa2</t>
  </si>
  <si>
    <t>שוהם ביזנס אגח ד חסום</t>
  </si>
  <si>
    <t>ש.י.ר שלמה נדל"ן בע"מ</t>
  </si>
  <si>
    <t>513957472</t>
  </si>
  <si>
    <t>שלמה נדלן אגח ד</t>
  </si>
  <si>
    <t>IL0011576688</t>
  </si>
  <si>
    <t>31/10/2030</t>
  </si>
  <si>
    <t>שלמה נדלן אגח ד חסום עד 08/08/2024</t>
  </si>
  <si>
    <t>שפיר הנדסה ותעשיה בע"מ</t>
  </si>
  <si>
    <t>514892801</t>
  </si>
  <si>
    <t>שפיר הנדסה אגח ב</t>
  </si>
  <si>
    <t>IL0011419517</t>
  </si>
  <si>
    <t>תנופורט (1990) בע"מ</t>
  </si>
  <si>
    <t>511519829</t>
  </si>
  <si>
    <t>תנופורט אגח ב</t>
  </si>
  <si>
    <t>IL0011899197</t>
  </si>
  <si>
    <t>G City Europe Ltd</t>
  </si>
  <si>
    <t>213800OJ67K27RCO2J56</t>
  </si>
  <si>
    <t>ATRSAV 4 1/4 09/11/25</t>
  </si>
  <si>
    <t>XS1829325239</t>
  </si>
  <si>
    <t>B2</t>
  </si>
  <si>
    <t>11/09/2025</t>
  </si>
  <si>
    <t>Energean plc</t>
  </si>
  <si>
    <t>549300RVMKU0CYUZBB05</t>
  </si>
  <si>
    <t>ENOIGA 5 3/8 30/03/28</t>
  </si>
  <si>
    <t>IL0011736738</t>
  </si>
  <si>
    <t>30/03/2028</t>
  </si>
  <si>
    <t>ENOIGA 5 7/8 30/03/31</t>
  </si>
  <si>
    <t>IL0011736811</t>
  </si>
  <si>
    <t>30/03/2031</t>
  </si>
  <si>
    <t>Hyundai Capital America</t>
  </si>
  <si>
    <t>549300RIPPWJB5Z0FK07</t>
  </si>
  <si>
    <t>HYNMTR 5.6 03/30/28</t>
  </si>
  <si>
    <t>US44891CCD39</t>
  </si>
  <si>
    <t>ITHACA ENERGY NORTH</t>
  </si>
  <si>
    <t>21380057TNFLXPXBIP34</t>
  </si>
  <si>
    <t>IAECN 9% 07/26</t>
  </si>
  <si>
    <t>USG49774AB18</t>
  </si>
  <si>
    <t>B3</t>
  </si>
  <si>
    <t>15/07/2026</t>
  </si>
  <si>
    <t>JPM 4.912 07/25/33</t>
  </si>
  <si>
    <t>US46647PDH64</t>
  </si>
  <si>
    <t>25/07/2033</t>
  </si>
  <si>
    <t>LUMIIT 3.275 01/29/31</t>
  </si>
  <si>
    <t>IL0060404899</t>
  </si>
  <si>
    <t>BBB</t>
  </si>
  <si>
    <t>29/01/2031</t>
  </si>
  <si>
    <t>LVIATH 6.5 30/06/27</t>
  </si>
  <si>
    <t>IL0011677825</t>
  </si>
  <si>
    <t>BB-</t>
  </si>
  <si>
    <t>AP MOLLER- MAERSK A/S</t>
  </si>
  <si>
    <t>549300D2K6PKKKXVNN73</t>
  </si>
  <si>
    <t>MAERSK 5 7/8 14/09/33</t>
  </si>
  <si>
    <t>USK0479SAG32</t>
  </si>
  <si>
    <t>14/09/2033</t>
  </si>
  <si>
    <t>Macquarie Group TLD</t>
  </si>
  <si>
    <t>ACMHD8HWFMFUIQQ8Y590</t>
  </si>
  <si>
    <t>MQGAU 5.887 06/15/34</t>
  </si>
  <si>
    <t>US55608KBN46</t>
  </si>
  <si>
    <t>Diversified Financial Services Financial Services</t>
  </si>
  <si>
    <t>15/06/2034</t>
  </si>
  <si>
    <t>MZRHIT 3.077 04/07/31</t>
  </si>
  <si>
    <t>IL0069508369</t>
  </si>
  <si>
    <t>BBB-</t>
  </si>
  <si>
    <t>07/04/2031</t>
  </si>
  <si>
    <t>OMEGA HEALTHCARE IN</t>
  </si>
  <si>
    <t>549300OJ7ENK42CZ8E73</t>
  </si>
  <si>
    <t>OHI 3 3/8 01/02/31</t>
  </si>
  <si>
    <t>US681936BM17</t>
  </si>
  <si>
    <t>01/02/2031</t>
  </si>
  <si>
    <t>PROSPECT CAPITAL CORP</t>
  </si>
  <si>
    <t>549300FSD8T39P5Q0O47</t>
  </si>
  <si>
    <t>PSEC 3.364% 11/26</t>
  </si>
  <si>
    <t>US74348TAV44</t>
  </si>
  <si>
    <t>Baa3</t>
  </si>
  <si>
    <t>15/11/2026</t>
  </si>
  <si>
    <t>SANTANDER HOLDINGS USA</t>
  </si>
  <si>
    <t>549300SMVCQN2P0O6I58</t>
  </si>
  <si>
    <t>SANUSA 6.565 06/12/29</t>
  </si>
  <si>
    <t>US80282KBG04</t>
  </si>
  <si>
    <t>12/06/2029</t>
  </si>
  <si>
    <t>Summit Properties Limited</t>
  </si>
  <si>
    <t>213800KLWIACHRBYR158</t>
  </si>
  <si>
    <t>SMTPLN 2 01/31/25</t>
  </si>
  <si>
    <t>XS1757821688</t>
  </si>
  <si>
    <t>Ba1</t>
  </si>
  <si>
    <t>31/01/2025</t>
  </si>
  <si>
    <t>TEVA 4.375% 09/05/30</t>
  </si>
  <si>
    <t>XS2406607171</t>
  </si>
  <si>
    <t>09/05/2030</t>
  </si>
  <si>
    <t>TEVA 5.125% 09/05/29</t>
  </si>
  <si>
    <t>US88167AAQ40</t>
  </si>
  <si>
    <t>09/05/2029</t>
  </si>
  <si>
    <t>UNITEDHEALTH GROUP</t>
  </si>
  <si>
    <t>549300GHBMY8T5GXDE41</t>
  </si>
  <si>
    <t>UHN 5.3 02/15/30</t>
  </si>
  <si>
    <t>US91324PEQ19</t>
  </si>
  <si>
    <t>15/02/2030</t>
  </si>
  <si>
    <t>Utah Acuisition Sub Inc</t>
  </si>
  <si>
    <t>254900JOFV74IJ7H9933</t>
  </si>
  <si>
    <t>VTRS 3.95 06/15/2026</t>
  </si>
  <si>
    <t>US62854AAN46</t>
  </si>
  <si>
    <t>15/06/2026</t>
  </si>
  <si>
    <t>נאוויטס פטרו אגח ג</t>
  </si>
  <si>
    <t>IL0011815938</t>
  </si>
  <si>
    <t>15/10/2028</t>
  </si>
  <si>
    <t>נמקו  אגח ב' 2020/2032 4.5%</t>
  </si>
  <si>
    <t>IL0011602583</t>
  </si>
  <si>
    <t>15/10/2032</t>
  </si>
  <si>
    <t>פסיפיק אוק אסאואר(בי וי איי) הולדינגס</t>
  </si>
  <si>
    <t>1900288</t>
  </si>
  <si>
    <t>פסיפיק  אגח ב</t>
  </si>
  <si>
    <t>IL0011630626</t>
  </si>
  <si>
    <t>אלומיי קפיטל בע"מ</t>
  </si>
  <si>
    <t>520039868</t>
  </si>
  <si>
    <t>אלומיי אגח ו</t>
  </si>
  <si>
    <t>IL0012030743</t>
  </si>
  <si>
    <t>דה לסר ה</t>
  </si>
  <si>
    <t>IL0011356644</t>
  </si>
  <si>
    <t>15/05/2026</t>
  </si>
  <si>
    <t>וויי בוקס אג ג</t>
  </si>
  <si>
    <t>IL0048601772</t>
  </si>
  <si>
    <t>חג'ג' אירופה אגח ד</t>
  </si>
  <si>
    <t>IL0011901316</t>
  </si>
  <si>
    <t>01/07/2026</t>
  </si>
  <si>
    <t>נכסים ובנין ד</t>
  </si>
  <si>
    <t>IL0069901549</t>
  </si>
  <si>
    <t>פסיפיק אגח ג</t>
  </si>
  <si>
    <t>IL0011976805</t>
  </si>
  <si>
    <t>בינל הנפק אגח יא</t>
  </si>
  <si>
    <t>IL0011670481</t>
  </si>
  <si>
    <t>23/06/2024</t>
  </si>
  <si>
    <t>דיסקונט אג"ח יג</t>
  </si>
  <si>
    <t>IL0074801551</t>
  </si>
  <si>
    <t>05/12/2024</t>
  </si>
  <si>
    <t>דיסקונט מנ נד ח</t>
  </si>
  <si>
    <t>IL0074803128</t>
  </si>
  <si>
    <t>01/11/2027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</si>
  <si>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</si>
  <si>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</si>
  <si>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</si>
  <si>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</si>
  <si>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</si>
  <si>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הנפקות יג ש</t>
  </si>
  <si>
    <t>IL0011381717</t>
  </si>
  <si>
    <t>חברת החשמל לישראל בע"מ</t>
  </si>
  <si>
    <t>520000472</t>
  </si>
  <si>
    <t>חשמל     אגח 29</t>
  </si>
  <si>
    <t>IL0060002362</t>
  </si>
  <si>
    <t>01/03/2026</t>
  </si>
  <si>
    <t>חשמל אגח 31</t>
  </si>
  <si>
    <t>IL0060002859</t>
  </si>
  <si>
    <t>21/09/2031</t>
  </si>
  <si>
    <t>כלל החזקות עסקי ביטוח בע"מ</t>
  </si>
  <si>
    <t>520036120</t>
  </si>
  <si>
    <t>כלל ביטוח אגח א</t>
  </si>
  <si>
    <t>IL0011934812</t>
  </si>
  <si>
    <t>28/02/2028</t>
  </si>
  <si>
    <t>כללביט מימון בע"מ</t>
  </si>
  <si>
    <t>513754069</t>
  </si>
  <si>
    <t>כלל מימון אגח יב</t>
  </si>
  <si>
    <t>IL0011799280</t>
  </si>
  <si>
    <t>31/03/2032</t>
  </si>
  <si>
    <t>כללביט אגח ט</t>
  </si>
  <si>
    <t>IL0011360505</t>
  </si>
  <si>
    <t>31/07/2025</t>
  </si>
  <si>
    <t>מבני תעשיה אגח יז</t>
  </si>
  <si>
    <t>IL0022604461</t>
  </si>
  <si>
    <t>מליסרון אגח יא</t>
  </si>
  <si>
    <t>IL0032302080</t>
  </si>
  <si>
    <t>10/07/2025</t>
  </si>
  <si>
    <t>פועלים אגח 202</t>
  </si>
  <si>
    <t>IL0011998502</t>
  </si>
  <si>
    <t>30/04/2028</t>
  </si>
  <si>
    <t>פועלים התחייבות נדחים ו</t>
  </si>
  <si>
    <t>IL0066205530</t>
  </si>
  <si>
    <t>13/03/2028</t>
  </si>
  <si>
    <t>ריט 1 אגח ד</t>
  </si>
  <si>
    <t>IL0011298994</t>
  </si>
  <si>
    <t>20/09/2024</t>
  </si>
  <si>
    <t>תמר פטרוליום בעמ</t>
  </si>
  <si>
    <t>515334662</t>
  </si>
  <si>
    <t>תמר פטרוליום אגח א</t>
  </si>
  <si>
    <t>IL0011413320</t>
  </si>
  <si>
    <t>30/08/2028</t>
  </si>
  <si>
    <t>אלבר אגח טז 062024</t>
  </si>
  <si>
    <t>IL0011398232</t>
  </si>
  <si>
    <t>20/06/2024</t>
  </si>
  <si>
    <t>אמות אגח ו</t>
  </si>
  <si>
    <t>IL0011586091</t>
  </si>
  <si>
    <t>03/10/2029</t>
  </si>
  <si>
    <t>מגה אור אגח 8</t>
  </si>
  <si>
    <t>IL0011476020</t>
  </si>
  <si>
    <t>מז טפחות הנפ אגח57</t>
  </si>
  <si>
    <t>IL0023104230</t>
  </si>
  <si>
    <t>01/03/2025</t>
  </si>
  <si>
    <t xml:space="preserve">מכלול מימון בע"מ </t>
  </si>
  <si>
    <t>515763845</t>
  </si>
  <si>
    <t>מכלול אגח א</t>
  </si>
  <si>
    <t>IL0011872772</t>
  </si>
  <si>
    <t xml:space="preserve">קבוצת האחים נאוי בע"מ </t>
  </si>
  <si>
    <t>520036070</t>
  </si>
  <si>
    <t>נאווי אגח 6</t>
  </si>
  <si>
    <t>IL0020802737</t>
  </si>
  <si>
    <t>פועלים התחייבות נדחים ה'</t>
  </si>
  <si>
    <t>IL0066204624</t>
  </si>
  <si>
    <t>17/08/2026</t>
  </si>
  <si>
    <t>פתאל החזקות אגח ג</t>
  </si>
  <si>
    <t>IL0011617854</t>
  </si>
  <si>
    <t>31/08/2031</t>
  </si>
  <si>
    <t>קרסו מוטורס אגח ד</t>
  </si>
  <si>
    <t>IL0011735664</t>
  </si>
  <si>
    <t>ריט 1 סד ה</t>
  </si>
  <si>
    <t>IL0011367534</t>
  </si>
  <si>
    <t>20/09/2028</t>
  </si>
  <si>
    <t>8.1%ISRAEL.E15.12.96</t>
  </si>
  <si>
    <t>USM60170AC79</t>
  </si>
  <si>
    <t>15/12/2096</t>
  </si>
  <si>
    <t>ENOGLN 6.5% 30/4/27</t>
  </si>
  <si>
    <t>USG3044DAA49</t>
  </si>
  <si>
    <t>B+</t>
  </si>
  <si>
    <t>30/04/2027</t>
  </si>
  <si>
    <t>דה לסר אגח ו</t>
  </si>
  <si>
    <t>IL0011674772</t>
  </si>
  <si>
    <t>30/06/2024</t>
  </si>
  <si>
    <t>מזרחי טפחות הנפ 9/24</t>
  </si>
  <si>
    <t>IL0023102176</t>
  </si>
  <si>
    <t>29/09/2024</t>
  </si>
  <si>
    <t>מליסרון אגח י'</t>
  </si>
  <si>
    <t>IL0032301900</t>
  </si>
  <si>
    <t>מלרן אגח ב</t>
  </si>
  <si>
    <t>IL0011703233</t>
  </si>
  <si>
    <t>מגה אור נעמ 3 18062024</t>
  </si>
  <si>
    <t>IL0011969552</t>
  </si>
  <si>
    <t>18/06/2024</t>
  </si>
  <si>
    <t>חוזים עתידיים בחול</t>
  </si>
  <si>
    <t>10527</t>
  </si>
  <si>
    <t>HWAM4_SP500 MIC EMIN FUTJUN24</t>
  </si>
  <si>
    <t>HWAM4 INDEX</t>
  </si>
  <si>
    <t>HWBM4_NASDAQ 100 MICRO EMINJUN24</t>
  </si>
  <si>
    <t>HWBM4</t>
  </si>
  <si>
    <t>HWIM4_  DJIA MICR MIN CBOTJUN24</t>
  </si>
  <si>
    <t>HWIM4</t>
  </si>
  <si>
    <t>MESM4_MSCI EMGMKT_JUN24</t>
  </si>
  <si>
    <t>MESM4</t>
  </si>
  <si>
    <t>SXOM4_STOX EURP 600 JUN24</t>
  </si>
  <si>
    <t>SXOM4 INDEX</t>
  </si>
  <si>
    <t>DMM4_  DJIA  MINI E- CBOTJUN24</t>
  </si>
  <si>
    <t>DMM4</t>
  </si>
  <si>
    <t>ESM4_S&amp;P 500 EMINI FUT JUN24</t>
  </si>
  <si>
    <t>ESM4</t>
  </si>
  <si>
    <t>NQM4_NASDAQ 100 E-MINI JUN24</t>
  </si>
  <si>
    <t>NQM4</t>
  </si>
  <si>
    <t>US 10 YR ULTRA FUT JUN24</t>
  </si>
  <si>
    <t>UXYM4</t>
  </si>
  <si>
    <t>איידנטי אופ' 2</t>
  </si>
  <si>
    <t>IL0011774762</t>
  </si>
  <si>
    <t>16/06/2024</t>
  </si>
  <si>
    <t>אלומיי אופ 2</t>
  </si>
  <si>
    <t>IL0012030826</t>
  </si>
  <si>
    <t>05/01/2028</t>
  </si>
  <si>
    <t>בית בכפר   אר 1</t>
  </si>
  <si>
    <t>IL0011836645</t>
  </si>
  <si>
    <t>30/01/2025</t>
  </si>
  <si>
    <t>גרופ 107 בע"מ</t>
  </si>
  <si>
    <t>516199445</t>
  </si>
  <si>
    <t>גרופ 107 אפ 1</t>
  </si>
  <si>
    <t>IL0011801995</t>
  </si>
  <si>
    <t>01/09/2024</t>
  </si>
  <si>
    <t>זוז פאוור בע"מ</t>
  </si>
  <si>
    <t>514881564</t>
  </si>
  <si>
    <t>זוז פאוור אופ 3</t>
  </si>
  <si>
    <t>IL0011853210</t>
  </si>
  <si>
    <t>20/03/2025</t>
  </si>
  <si>
    <t>טראקנט אנטרפרייז בע"מ</t>
  </si>
  <si>
    <t>515446474</t>
  </si>
  <si>
    <t>טרקנט אופ 1</t>
  </si>
  <si>
    <t>IL0011741019</t>
  </si>
  <si>
    <t>02/03/2025</t>
  </si>
  <si>
    <t>קונטיניואל בע"מ</t>
  </si>
  <si>
    <t>514949973</t>
  </si>
  <si>
    <t>קונטיניואל אופ</t>
  </si>
  <si>
    <t>IL0011822785</t>
  </si>
  <si>
    <t>12/12/2024</t>
  </si>
  <si>
    <t>שמיים אימפרוב בע"מ</t>
  </si>
  <si>
    <t>515181014</t>
  </si>
  <si>
    <t>שמיים אופ 1</t>
  </si>
  <si>
    <t>IL0011762478</t>
  </si>
  <si>
    <t>01/06/2025</t>
  </si>
  <si>
    <t>NAV
(במטבע הדיווח של קרן ההשקעה)</t>
  </si>
  <si>
    <t>Coller Credit Opportunities</t>
  </si>
  <si>
    <t>02/09/2021</t>
  </si>
  <si>
    <t>29/02/2024</t>
  </si>
  <si>
    <t>Forma European Fund II LP</t>
  </si>
  <si>
    <t>06/07/2021</t>
  </si>
  <si>
    <t>05/03/2024</t>
  </si>
  <si>
    <t>KEDMA CAPITAL PARTNERS III LTD</t>
  </si>
  <si>
    <t>04/04/2021</t>
  </si>
  <si>
    <t>11/12/2023</t>
  </si>
  <si>
    <t xml:space="preserve">Klirmark Opportunity Fund </t>
  </si>
  <si>
    <t>KLIRMARK FUND III</t>
  </si>
  <si>
    <t>13/11/2019</t>
  </si>
  <si>
    <t>klirmark IV</t>
  </si>
  <si>
    <t>23/04/2023</t>
  </si>
  <si>
    <t>Peregrine Ventures Growth General Partner LP</t>
  </si>
  <si>
    <t>07/07/2021</t>
  </si>
  <si>
    <t>14/12/2023</t>
  </si>
  <si>
    <t>Qumra Opportunity fund</t>
  </si>
  <si>
    <t>11/05/2021</t>
  </si>
  <si>
    <t>28/03/2024</t>
  </si>
  <si>
    <t>גרופ 11 קרן 5</t>
  </si>
  <si>
    <t>09/11/2021</t>
  </si>
  <si>
    <t>יסודות נדל"ן ג' פיתוח ושותפות</t>
  </si>
  <si>
    <t>קוגיטו קפיטל 2</t>
  </si>
  <si>
    <t>06/02/2022</t>
  </si>
  <si>
    <t>קרן ברוש</t>
  </si>
  <si>
    <t>29/05/2017</t>
  </si>
  <si>
    <t>12/03/2024</t>
  </si>
  <si>
    <t>תשתיות ישראל 4 -ע' ת"א</t>
  </si>
  <si>
    <t>13/10/2020</t>
  </si>
  <si>
    <t>ALTO FUND</t>
  </si>
  <si>
    <t>ALTO 3</t>
  </si>
  <si>
    <t>22/01/2017</t>
  </si>
  <si>
    <t>27/12/2023</t>
  </si>
  <si>
    <t>01/06/2015</t>
  </si>
  <si>
    <t>20/02/2024</t>
  </si>
  <si>
    <t>AMI OPPORTUNITY</t>
  </si>
  <si>
    <t>16/12/2015</t>
  </si>
  <si>
    <t>Apexus</t>
  </si>
  <si>
    <t>14/04/2022</t>
  </si>
  <si>
    <t>29/01/2024</t>
  </si>
  <si>
    <t>Arkin Bio Capital</t>
  </si>
  <si>
    <t>23/01/2022</t>
  </si>
  <si>
    <t>Avenue B-1</t>
  </si>
  <si>
    <t>13/10/2021</t>
  </si>
  <si>
    <t>Avenue B-2</t>
  </si>
  <si>
    <t>BAIN CAPITAL DSS</t>
  </si>
  <si>
    <t>07/03/2021</t>
  </si>
  <si>
    <t>Crossroads European Real Estate Fund II</t>
  </si>
  <si>
    <t>25/11/2021</t>
  </si>
  <si>
    <t>14/03/2024</t>
  </si>
  <si>
    <t>DOVER STREET XI L.P</t>
  </si>
  <si>
    <t>21/06/2023</t>
  </si>
  <si>
    <t>20/03/2024</t>
  </si>
  <si>
    <t>ELECTRA 2</t>
  </si>
  <si>
    <t>21/11/2018</t>
  </si>
  <si>
    <t>Electra America Principal Hospitality</t>
  </si>
  <si>
    <t>16/03/2022</t>
  </si>
  <si>
    <t>Electra Capital PM Feeder 4</t>
  </si>
  <si>
    <t>29/06/2020</t>
  </si>
  <si>
    <t>EQT Infrastructure V (No.1) EUR</t>
  </si>
  <si>
    <t>18/04/2022</t>
  </si>
  <si>
    <t>22/02/2024</t>
  </si>
  <si>
    <t>FORMA FUND</t>
  </si>
  <si>
    <t>GROOP 11 FUND V</t>
  </si>
  <si>
    <t>21/04/2021</t>
  </si>
  <si>
    <t>Group 11 Fund IV L.P</t>
  </si>
  <si>
    <t>09/03/2021</t>
  </si>
  <si>
    <t>Group 11 Fund VI, L.P.</t>
  </si>
  <si>
    <t>26/05/2022</t>
  </si>
  <si>
    <t>Hanaco growth venturres</t>
  </si>
  <si>
    <t>03/03/2021</t>
  </si>
  <si>
    <t>27/03/2024</t>
  </si>
  <si>
    <t>hanaco II L.P</t>
  </si>
  <si>
    <t>26/07/2021</t>
  </si>
  <si>
    <t>Harbour Vest Access Dover x</t>
  </si>
  <si>
    <t>04/02/2020</t>
  </si>
  <si>
    <t>19/03/2024</t>
  </si>
  <si>
    <t>harbur _ESS CO INVEST V</t>
  </si>
  <si>
    <t>27/10/2019</t>
  </si>
  <si>
    <t>17/01/2024</t>
  </si>
  <si>
    <t>HGI Multifamily Credit Fund</t>
  </si>
  <si>
    <t>12/01/2023</t>
  </si>
  <si>
    <t>ISF 2</t>
  </si>
  <si>
    <t>27/01/2017</t>
  </si>
  <si>
    <t>21/12/2023</t>
  </si>
  <si>
    <t>LLCP Lower Middle Market (LLM) III</t>
  </si>
  <si>
    <t>24/08/2021</t>
  </si>
  <si>
    <t>MACQUARIE</t>
  </si>
  <si>
    <t>11/02/2019</t>
  </si>
  <si>
    <t>13/03/2024</t>
  </si>
  <si>
    <t>Madison Realty Capital Debt Fund VI LP</t>
  </si>
  <si>
    <t>22/11/2022</t>
  </si>
  <si>
    <t>Oak Street Real Estate Capital Fund VI, LP</t>
  </si>
  <si>
    <t>11/05/2023</t>
  </si>
  <si>
    <t>One Equity Partners VIII, L.P</t>
  </si>
  <si>
    <t>21/11/2021</t>
  </si>
  <si>
    <t>Pagaya Opportunity offshore feeder</t>
  </si>
  <si>
    <t>03/12/2023</t>
  </si>
  <si>
    <t>Pagaya Opportunity Offshore Feeder Fund I, LP</t>
  </si>
  <si>
    <t>29/07/2021</t>
  </si>
  <si>
    <t>Pagaya Smatresi F1</t>
  </si>
  <si>
    <t>04/07/2021</t>
  </si>
  <si>
    <t>04/01/2024</t>
  </si>
  <si>
    <t>Pantheon Global Infrastructure Fund IV (Luxembourg</t>
  </si>
  <si>
    <t>Pantheon Global Infrastructure Fund IV</t>
  </si>
  <si>
    <t>25/07/2023</t>
  </si>
  <si>
    <t>PARTNERSHIP VERTEX VENTURES</t>
  </si>
  <si>
    <t>21/07/2021</t>
  </si>
  <si>
    <t>PGCO IV_פנתיאון</t>
  </si>
  <si>
    <t>18/11/2019</t>
  </si>
  <si>
    <t>SOMV FUND</t>
  </si>
  <si>
    <t>26/05/2016</t>
  </si>
  <si>
    <t>Starlight Bond FP I LP</t>
  </si>
  <si>
    <t>31/05/2023</t>
  </si>
  <si>
    <t>SUNBIT</t>
  </si>
  <si>
    <t>03/06/2021</t>
  </si>
  <si>
    <t>31/12/2023</t>
  </si>
  <si>
    <t>TARGET GLOBAL -FLUORINE (RAPYD</t>
  </si>
  <si>
    <t>03/07/2022</t>
  </si>
  <si>
    <t>05/12/2023</t>
  </si>
  <si>
    <t>Target Global Growth Fund II</t>
  </si>
  <si>
    <t>11/03/2024</t>
  </si>
  <si>
    <t>Vertex Israel Opportunity II Fund</t>
  </si>
  <si>
    <t>23/08/2021</t>
  </si>
  <si>
    <t>VESTAR VII A</t>
  </si>
  <si>
    <t>31/03/2021</t>
  </si>
  <si>
    <t>Viola Credit GL II, Limited Partnership</t>
  </si>
  <si>
    <t>24/10/2022</t>
  </si>
  <si>
    <t>18/02/2024</t>
  </si>
  <si>
    <t>Viola Opportunity I, L.P.</t>
  </si>
  <si>
    <t>28/02/2022</t>
  </si>
  <si>
    <t>10/01/2024</t>
  </si>
  <si>
    <t>WOOD FUND - IBI</t>
  </si>
  <si>
    <t>27/02/2017</t>
  </si>
  <si>
    <t>01/02/2024</t>
  </si>
  <si>
    <t>פנתאון  PGSF VI</t>
  </si>
  <si>
    <t>24/10/2019</t>
  </si>
  <si>
    <t>רוטשילד קרן נדלן</t>
  </si>
  <si>
    <t>מניות בכורה Prospect 5.5% 1025</t>
  </si>
  <si>
    <t>US74348T5083</t>
  </si>
  <si>
    <t>27/04/2021</t>
  </si>
  <si>
    <t>וויו (veev) גרופ</t>
  </si>
  <si>
    <t>832652993</t>
  </si>
  <si>
    <t>C  וויו גרופ</t>
  </si>
  <si>
    <t>US9224741010</t>
  </si>
  <si>
    <t>08/03/2021</t>
  </si>
  <si>
    <t>28/11/2023</t>
  </si>
  <si>
    <t xml:space="preserve">לוסיקס בע"מ </t>
  </si>
  <si>
    <t>515374742</t>
  </si>
  <si>
    <t>Lusix</t>
  </si>
  <si>
    <t>62020193</t>
  </si>
  <si>
    <t>10/02/2022</t>
  </si>
  <si>
    <t>11/10/2023</t>
  </si>
  <si>
    <t>UVEYE LTD</t>
  </si>
  <si>
    <t>514234202</t>
  </si>
  <si>
    <t>62018262</t>
  </si>
  <si>
    <t>18/05/2021</t>
  </si>
  <si>
    <t>26/12/2022</t>
  </si>
  <si>
    <t>אדאקום טכנולוגיות בע"מ</t>
  </si>
  <si>
    <t>520036419</t>
  </si>
  <si>
    <t>אדאקום</t>
  </si>
  <si>
    <t>IL0002390123</t>
  </si>
  <si>
    <t>ג'נריישן ניהול בע"מ</t>
  </si>
  <si>
    <t>515785012</t>
  </si>
  <si>
    <t>56093</t>
  </si>
  <si>
    <t>16/08/2018</t>
  </si>
  <si>
    <t>29/11/2023</t>
  </si>
  <si>
    <t>מניבים קרן הריט החדשה בע"מ</t>
  </si>
  <si>
    <t>515327120</t>
  </si>
  <si>
    <t>מניבים ניהול הר</t>
  </si>
  <si>
    <t>36475</t>
  </si>
  <si>
    <t>03/11/2015</t>
  </si>
  <si>
    <t>18/07/2023</t>
  </si>
  <si>
    <t>wefox</t>
  </si>
  <si>
    <t>28503</t>
  </si>
  <si>
    <t>TARGET GLOBAL-NICKEL (WEFOX)</t>
  </si>
  <si>
    <t>62018396</t>
  </si>
  <si>
    <t>Verbit Inc</t>
  </si>
  <si>
    <t>28460</t>
  </si>
  <si>
    <t>620182700</t>
  </si>
  <si>
    <t>20/03/2023</t>
  </si>
  <si>
    <t>21/03/2023</t>
  </si>
  <si>
    <t xml:space="preserve">י.ח.ק להשקעות שותפות מוגבלת </t>
  </si>
  <si>
    <t>550016091</t>
  </si>
  <si>
    <t>י.ח.ק.  אגח ב רמ</t>
  </si>
  <si>
    <t>IL0011817835</t>
  </si>
  <si>
    <t>19/11/2021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</si>
  <si>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</si>
  <si>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</si>
  <si>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</si>
  <si>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</si>
  <si>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</si>
  <si>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</si>
  <si>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</si>
  <si>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</si>
  <si>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</si>
  <si>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</si>
  <si>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</si>
  <si>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אי תלות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</si>
  <si>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</si>
  <si>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</si>
  <si>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</si>
  <si>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</si>
  <si>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</si>
  <si>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</si>
  <si>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</si>
  <si>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</si>
  <si>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</si>
  <si>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</si>
  <si>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</si>
  <si>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</si>
  <si>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</si>
  <si>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</si>
  <si>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</t>
  </si>
  <si>
    <t>IL0011402760</t>
  </si>
  <si>
    <t>05/05/2021</t>
  </si>
  <si>
    <t>20/12/2037</t>
  </si>
  <si>
    <t>רפאל אגח סדרה ה 2020/2026</t>
  </si>
  <si>
    <t>IL0011402927</t>
  </si>
  <si>
    <t>רפאל סד' ד 2020/2034</t>
  </si>
  <si>
    <t>IL0011402844</t>
  </si>
  <si>
    <t>20/09/2026</t>
  </si>
  <si>
    <t>אלון חברת הדלק לישראל בע"מ</t>
  </si>
  <si>
    <t>520041690</t>
  </si>
  <si>
    <t>אלון חברת הדלק אגח סד' א TA</t>
  </si>
  <si>
    <t>IL0011015679</t>
  </si>
  <si>
    <t>31/08/2016</t>
  </si>
  <si>
    <t>גלובל פיננס ג'י.אר 8 בע"מ</t>
  </si>
  <si>
    <t>513739466</t>
  </si>
  <si>
    <t>גלובל פינס גיאר 8 סד  ה 2019</t>
  </si>
  <si>
    <t>32003</t>
  </si>
  <si>
    <t>19/01/2019</t>
  </si>
  <si>
    <t>גמול חברה להשקעות בע"מ</t>
  </si>
  <si>
    <t>520018136</t>
  </si>
  <si>
    <t>גמול אגח א חש 12/09</t>
  </si>
  <si>
    <t>1116649</t>
  </si>
  <si>
    <t>28/06/2019</t>
  </si>
  <si>
    <t>וי.אי.די. התפלת מי אשקלון</t>
  </si>
  <si>
    <t>513102384</t>
  </si>
  <si>
    <t>התפלת מי אשקלון VID</t>
  </si>
  <si>
    <t>IL0010876832</t>
  </si>
  <si>
    <t>22/10/2025</t>
  </si>
  <si>
    <t>לאומי שטר הון 6.60% 01/2027</t>
  </si>
  <si>
    <t>6401764</t>
  </si>
  <si>
    <t>24/01/2027</t>
  </si>
  <si>
    <t>קאר אנד גו (סדרה א) בע"מ</t>
  </si>
  <si>
    <t>513406835</t>
  </si>
  <si>
    <t>קאר אנד גו %7.4 (חודשי+קרן) 07</t>
  </si>
  <si>
    <t>IL0010882020</t>
  </si>
  <si>
    <t>D</t>
  </si>
  <si>
    <t>10/08/2007</t>
  </si>
  <si>
    <t>28/12/2014</t>
  </si>
  <si>
    <t>אדמה נעמ סדרה 2</t>
  </si>
  <si>
    <t>IL0011619835</t>
  </si>
  <si>
    <t>14/06/2023</t>
  </si>
  <si>
    <t>15/11/2024</t>
  </si>
  <si>
    <t>מרווח הוגן</t>
  </si>
  <si>
    <t>אורמת נעמ 2 לא סחיר</t>
  </si>
  <si>
    <t>IL0012004680</t>
  </si>
  <si>
    <t>31/10/2023</t>
  </si>
  <si>
    <t>25/09/2028</t>
  </si>
  <si>
    <t>אלביט מערכות נעמ1-ל</t>
  </si>
  <si>
    <t>IL0011991572</t>
  </si>
  <si>
    <t>31/08/2023</t>
  </si>
  <si>
    <t>04/08/2028</t>
  </si>
  <si>
    <t xml:space="preserve">זכאים חברה מנהלת </t>
  </si>
  <si>
    <t>ניכויי חברה מנהלת</t>
  </si>
  <si>
    <t>12-600</t>
  </si>
  <si>
    <t>תגמולים של עובדים בעירית ת"א יפו א.ש בע"מ</t>
  </si>
  <si>
    <t>חול</t>
  </si>
  <si>
    <t>Gatewood Capital GP LLC</t>
  </si>
  <si>
    <t>[GATEWOOD FUND (IBI)</t>
  </si>
  <si>
    <t xml:space="preserve">Alto Fund II GP, LLC  </t>
  </si>
  <si>
    <t xml:space="preserve">Alto Fund III GP, LLC  </t>
  </si>
  <si>
    <t>ALTO III</t>
  </si>
  <si>
    <t>AMI GP L.P. Inc</t>
  </si>
  <si>
    <t>AMI OPPORTUNIT</t>
  </si>
  <si>
    <t>Apexus Logistics Re GP L.P.</t>
  </si>
  <si>
    <t>ARKIN BIO CAPITAL, LIMITED PARTNERSHIP</t>
  </si>
  <si>
    <t>Avenue Global Dislocation Opportunities GenPar, LLC,</t>
  </si>
  <si>
    <t>Bain Capital Distressed and Special Situations 2019 Investors, LLC</t>
  </si>
  <si>
    <t>Coller Credit Opportunities I General Partner, L.P.</t>
  </si>
  <si>
    <t>Crossroads Real Estate Partners II S.à r.l.</t>
  </si>
  <si>
    <t>HarbourVest GP LLC</t>
  </si>
  <si>
    <t>Dover Street XI L.P. Dover Street XI L.P</t>
  </si>
  <si>
    <t xml:space="preserve">American Landmark III </t>
  </si>
  <si>
    <t>Electra America Hospitality AKA LLC</t>
  </si>
  <si>
    <t>Electra Capital Advisors LLC</t>
  </si>
  <si>
    <t>Electra Capital PM Fund</t>
  </si>
  <si>
    <t>FORMA EUROPEAN FUND II GENERAL PARTNER LTD</t>
  </si>
  <si>
    <t>Forma European Fund II LP Forma European Fund II</t>
  </si>
  <si>
    <t>FORMA FUND GENERAL PARTNER LTD</t>
  </si>
  <si>
    <t>EQT Infrastructure V (General Partner) S.à r.l.</t>
  </si>
  <si>
    <t>Fund EQT Infrastructure V</t>
  </si>
  <si>
    <t>Group 11 GP VI LLC</t>
  </si>
  <si>
    <t>Group 11 Fund VI, L.P</t>
  </si>
  <si>
    <t>Group 11 GP IV LLC</t>
  </si>
  <si>
    <t>GROUP 11 IV</t>
  </si>
  <si>
    <t>Group 11 GP V, LLC</t>
  </si>
  <si>
    <t>GROUP 11 V</t>
  </si>
  <si>
    <t>Hanaco Growth GP, L.P.</t>
  </si>
  <si>
    <t>Hanaco Growth</t>
  </si>
  <si>
    <t>Hanaco II GP, L.P.</t>
  </si>
  <si>
    <t>Hanaco II L.P</t>
  </si>
  <si>
    <t>HarbouVest Partners, LLC</t>
  </si>
  <si>
    <t>HARBOURVEST ACCESS CO INVEST V</t>
  </si>
  <si>
    <t>HARBOURVEST ACCESS DOVER X</t>
  </si>
  <si>
    <t>HGI Multifamily Credit Fund GP LLC</t>
  </si>
  <si>
    <t xml:space="preserve">HGI Multifamily Credit Fund, LP </t>
  </si>
  <si>
    <t>ISFM GPLP LTD</t>
  </si>
  <si>
    <t>ISF II</t>
  </si>
  <si>
    <t>Kedma Capital III G.P.L.P Limited Partnership</t>
  </si>
  <si>
    <t>Special Situations 2019 Investors, LLC</t>
  </si>
  <si>
    <t>KLIRMARK III</t>
  </si>
  <si>
    <t>Klirmark Opportunity Fund IV, L.P</t>
  </si>
  <si>
    <t>LLCP LMM III GP L.P</t>
  </si>
  <si>
    <t>MACQUARIE INFRASTRUCTURE PARTNERS GP LLC</t>
  </si>
  <si>
    <t>Madison Realty Capital Debt Fund VI GP LLC</t>
  </si>
  <si>
    <t>OEP VIII General Partner L.P</t>
  </si>
  <si>
    <t>One Equity Partners VIII, L.P.</t>
  </si>
  <si>
    <t>Pagay Opportunity Manager Ltd.</t>
  </si>
  <si>
    <t>PAGAYA OPPORTUNITY</t>
  </si>
  <si>
    <t>PAGAYA RE MANAGEMENT GP LLC</t>
  </si>
  <si>
    <t>Pagaya Smartresi F1</t>
  </si>
  <si>
    <t>Pantheon PGIF IV GP (LUX) S.à r.l</t>
  </si>
  <si>
    <t>PEREGRINE VENTURES GROWTH GENERAL PARTNER, LIMITED PARTNERSHIP</t>
  </si>
  <si>
    <t>Peregrin Growth</t>
  </si>
  <si>
    <t>PGCO IV GP S.à r.l.</t>
  </si>
  <si>
    <t>PGCO IV I פנתאון</t>
  </si>
  <si>
    <t>Qumra Opportunity Fund GP, L.P.</t>
  </si>
  <si>
    <t>Qumra Opportunity</t>
  </si>
  <si>
    <t>STATE OF MIND VENTURES GP LIMITED PARTNERSHIP</t>
  </si>
  <si>
    <t>Starlight Bond FP I GP LIMITED</t>
  </si>
  <si>
    <t>Target Global Growth II GP S.à r.l.</t>
  </si>
  <si>
    <t>Vertex Venturs Partners LTD</t>
  </si>
  <si>
    <t>Vestar Capital Partners GP</t>
  </si>
  <si>
    <t>VIOLA CREDIT GL II, LIMITED PARTNERSHIP</t>
  </si>
  <si>
    <t>Viola Opportunity GP I, L.P.,</t>
  </si>
  <si>
    <t>VIOLA OPPORTUNITY I</t>
  </si>
  <si>
    <t>יסודות מעטפת פיננסית ג'יפי שותפות מוגבלת</t>
  </si>
  <si>
    <t>יסודות נדל"ן ג' פיתוח ושותפות I</t>
  </si>
  <si>
    <t>PGSF VI GP S.à r.l</t>
  </si>
  <si>
    <t>פנתאון PGSF VI</t>
  </si>
  <si>
    <t>COGITO CAPITAL FUND II GENERAL PARTNER LTD</t>
  </si>
  <si>
    <t>EdR Real Estate (Eastern Europe) Management S.à r.l,</t>
  </si>
  <si>
    <t>קרן רוטשילד נדלן</t>
  </si>
  <si>
    <t>ISRAEL INFRASTRUCTURE G.P. 4, LIMITED PARTNERSHIP</t>
  </si>
  <si>
    <t>תשתיות ישראל 4</t>
  </si>
  <si>
    <t>Ares CIP Mangement II,L.P.</t>
  </si>
  <si>
    <t>Ares Climate Infrastructure Partners II-A, L.P</t>
  </si>
  <si>
    <t>3,67</t>
  </si>
  <si>
    <t>לכל מטרה</t>
  </si>
  <si>
    <t>שווקים מתעוררים</t>
  </si>
  <si>
    <t>צביקה שמיר , מנכ"ל</t>
  </si>
  <si>
    <t>03-5210603</t>
  </si>
  <si>
    <t>zvi-sha@ovdim-tlv.org.il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</si>
</sst>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#,##0.00%"/>
    <numFmt numFmtId="165" formatCode="0.000"/>
    <numFmt numFmtId="166" formatCode="0.000%"/>
  </numFmts>
  <fonts count="30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6">
    <xf numFmtId="0" fontId="0" fillId="0" borderId="0"/>
    <xf numFmtId="43" fontId="10" fillId="0" borderId="0"/>
    <xf numFmtId="0" fontId="10" fillId="0" borderId="0"/>
    <xf numFmtId="0" fontId="10" fillId="0" borderId="0"/>
    <xf numFmtId="9" fontId="10" fillId="0" borderId="0"/>
    <xf numFmtId="0" fontId="2" fillId="0" borderId="0"/>
  </cellStyleXfs>
  <cellXfs count="19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1" xfId="0" applyNumberFormat="1" applyFont="1" applyFill="1" applyBorder="1" applyProtection="1">
      <protection locked="0"/>
    </xf>
    <xf numFmtId="0" fontId="4" fillId="0" borderId="2" xfId="0" applyNumberFormat="1" applyFont="1" applyFill="1" applyBorder="1" applyProtection="1">
      <protection locked="0"/>
    </xf>
    <xf numFmtId="0" fontId="4" fillId="0" borderId="1" xfId="0" applyNumberFormat="1" applyFont="1" applyFill="1" applyBorder="1" applyProtection="1">
      <protection locked="0"/>
    </xf>
    <xf numFmtId="0" fontId="4" fillId="0" borderId="0" xfId="0" applyNumberFormat="1" applyFont="1" applyFill="1" applyBorder="1" applyAlignment="1">
      <alignment horizontal="right" readingOrder="1"/>
    </xf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4" fillId="2" borderId="4" xfId="0" applyNumberFormat="1" applyFont="1" applyFill="1" applyBorder="1" applyAlignment="1">
      <alignment horizontal="right"/>
    </xf>
    <xf numFmtId="0" fontId="4" fillId="0" borderId="4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8" fillId="3" borderId="9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Protection="1">
      <protection locked="0"/>
    </xf>
    <xf numFmtId="0" fontId="13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8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18" fillId="0" borderId="1" xfId="0" applyNumberFormat="1" applyFont="1" applyFill="1" applyBorder="1" applyAlignment="1">
      <alignment horizontal="right" vertical="center" wrapText="1" readingOrder="2"/>
    </xf>
    <xf numFmtId="2" fontId="18" fillId="0" borderId="1" xfId="0" applyNumberFormat="1" applyFont="1" applyFill="1" applyBorder="1" applyAlignment="1">
      <alignment vertical="center" wrapText="1" readingOrder="2"/>
    </xf>
    <xf numFmtId="165" fontId="18" fillId="0" borderId="1" xfId="0" applyNumberFormat="1" applyFont="1" applyFill="1" applyBorder="1" applyAlignment="1">
      <alignment vertical="center" wrapText="1" readingOrder="2"/>
    </xf>
    <xf numFmtId="0" fontId="3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9" fillId="0" borderId="1" xfId="0" applyNumberFormat="1" applyFont="1" applyFill="1" applyBorder="1" applyAlignment="1">
      <alignment vertical="center" wrapText="1" readingOrder="2"/>
    </xf>
    <xf numFmtId="0" fontId="7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right" vertical="center" wrapText="1"/>
    </xf>
    <xf numFmtId="0" fontId="9" fillId="0" borderId="11" xfId="0" applyNumberFormat="1" applyFont="1" applyFill="1" applyBorder="1"/>
    <xf numFmtId="0" fontId="9" fillId="0" borderId="11" xfId="0" applyNumberFormat="1" applyFont="1" applyFill="1" applyBorder="1" applyAlignment="1">
      <alignment horizontal="center" vertical="center" wrapText="1"/>
    </xf>
    <xf numFmtId="0" fontId="16" fillId="0" borderId="11" xfId="0" applyNumberFormat="1" applyFont="1" applyFill="1" applyBorder="1" applyAlignment="1">
      <alignment horizontal="center" vertical="center" wrapText="1"/>
    </xf>
    <xf numFmtId="0" fontId="20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1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center"/>
    </xf>
    <xf numFmtId="0" fontId="3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3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>
      <alignment horizontal="right" vertical="top"/>
    </xf>
    <xf numFmtId="0" fontId="3" fillId="2" borderId="10" xfId="0" applyNumberFormat="1" applyFont="1" applyFill="1" applyBorder="1" applyAlignment="1">
      <alignment horizontal="right" vertical="top"/>
    </xf>
    <xf numFmtId="0" fontId="3" fillId="2" borderId="6" xfId="0" applyNumberFormat="1" applyFont="1" applyFill="1" applyBorder="1" applyAlignment="1">
      <alignment horizontal="right" vertical="top"/>
    </xf>
    <xf numFmtId="0" fontId="4" fillId="0" borderId="5" xfId="0" applyNumberFormat="1" applyFont="1" applyFill="1" applyBorder="1" applyAlignment="1">
      <alignment horizontal="right" vertical="top"/>
    </xf>
    <xf numFmtId="0" fontId="4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3" fillId="5" borderId="12" xfId="2" applyNumberFormat="1" applyFont="1" applyFill="1" applyBorder="1" applyAlignment="1">
      <alignment horizontal="right" vertical="center" wrapText="1"/>
    </xf>
    <xf numFmtId="0" fontId="13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3" fillId="5" borderId="12" xfId="2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right" vertical="center"/>
    </xf>
    <xf numFmtId="0" fontId="8" fillId="3" borderId="3" xfId="0" applyNumberFormat="1" applyFont="1" applyFill="1" applyBorder="1" applyAlignment="1">
      <alignment horizontal="center" vertical="center" wrapText="1" readingOrder="2"/>
    </xf>
    <xf numFmtId="0" fontId="19" fillId="0" borderId="15" xfId="0" applyNumberFormat="1" applyFont="1" applyFill="1" applyBorder="1"/>
    <xf numFmtId="0" fontId="19" fillId="0" borderId="16" xfId="0" applyNumberFormat="1" applyFont="1" applyFill="1" applyBorder="1"/>
    <xf numFmtId="0" fontId="19" fillId="0" borderId="17" xfId="0" applyNumberFormat="1" applyFont="1" applyFill="1" applyBorder="1" applyAlignment="1">
      <alignment horizontal="right"/>
    </xf>
    <xf numFmtId="0" fontId="22" fillId="0" borderId="1" xfId="0" applyNumberFormat="1" applyFont="1" applyFill="1" applyBorder="1" applyAlignment="1">
      <alignment horizontal="center" vertical="center" wrapText="1" readingOrder="2"/>
    </xf>
    <xf numFmtId="0" fontId="23" fillId="0" borderId="1" xfId="0" applyNumberFormat="1" applyFont="1" applyFill="1" applyBorder="1" applyAlignment="1">
      <alignment vertical="center" wrapText="1" readingOrder="2"/>
    </xf>
    <xf numFmtId="0" fontId="3" fillId="2" borderId="5" xfId="0" applyNumberFormat="1" applyFont="1" applyFill="1" applyBorder="1" applyAlignment="1">
      <alignment horizontal="right"/>
    </xf>
    <xf numFmtId="0" fontId="4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3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4" fillId="2" borderId="4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3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4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5" fillId="2" borderId="4" xfId="0" applyNumberFormat="1" applyFont="1" applyFill="1" applyBorder="1" applyAlignment="1">
      <alignment horizontal="right"/>
    </xf>
    <xf numFmtId="0" fontId="4" fillId="6" borderId="4" xfId="0" applyNumberFormat="1" applyFont="1" applyFill="1" applyBorder="1" applyAlignment="1">
      <alignment horizontal="right"/>
    </xf>
    <xf numFmtId="0" fontId="26" fillId="0" borderId="0" xfId="0" applyNumberFormat="1" applyFont="1" applyFill="1" applyBorder="1" applyProtection="1">
      <protection locked="0"/>
    </xf>
    <xf numFmtId="0" fontId="26" fillId="0" borderId="0" xfId="0" applyNumberFormat="1" applyFont="1" applyFill="1" applyBorder="1"/>
    <xf numFmtId="43" fontId="8" fillId="3" borderId="11" xfId="1" applyNumberFormat="1" applyFont="1" applyFill="1" applyBorder="1" applyAlignment="1">
      <alignment horizontal="center" vertical="center" wrapText="1"/>
    </xf>
    <xf numFmtId="43" fontId="9" fillId="0" borderId="11" xfId="1" applyNumberFormat="1" applyFont="1" applyFill="1" applyBorder="1" applyAlignment="1">
      <alignment horizontal="center" vertical="center" wrapText="1"/>
    </xf>
    <xf numFmtId="43" fontId="16" fillId="0" borderId="11" xfId="1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 applyAlignment="1">
      <alignment horizontal="center" vertical="center" wrapText="1"/>
    </xf>
    <xf numFmtId="43" fontId="8" fillId="3" borderId="14" xfId="1" applyNumberFormat="1" applyFont="1" applyFill="1" applyBorder="1" applyAlignment="1">
      <alignment horizontal="center" vertical="center"/>
    </xf>
    <xf numFmtId="9" fontId="8" fillId="3" borderId="11" xfId="4" applyNumberFormat="1" applyFont="1" applyFill="1" applyBorder="1" applyAlignment="1">
      <alignment horizontal="center" vertical="center" wrapText="1"/>
    </xf>
    <xf numFmtId="9" fontId="9" fillId="0" borderId="11" xfId="4" applyNumberFormat="1" applyFont="1" applyFill="1" applyBorder="1" applyAlignment="1">
      <alignment horizontal="center" vertical="center" wrapText="1"/>
    </xf>
    <xf numFmtId="9" fontId="16" fillId="0" borderId="11" xfId="4" applyNumberFormat="1" applyFont="1" applyFill="1" applyBorder="1" applyAlignment="1">
      <alignment horizontal="center" vertical="center" wrapText="1"/>
    </xf>
    <xf numFmtId="9" fontId="9" fillId="0" borderId="0" xfId="4" applyNumberFormat="1" applyFont="1" applyFill="1" applyBorder="1" applyAlignment="1">
      <alignment horizontal="center" vertical="center" wrapText="1"/>
    </xf>
    <xf numFmtId="10" fontId="8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5" fillId="0" borderId="0" xfId="4" applyNumberFormat="1" applyFont="1" applyFill="1" applyBorder="1"/>
    <xf numFmtId="10" fontId="4" fillId="0" borderId="0" xfId="4" applyNumberFormat="1" applyFont="1" applyFill="1" applyBorder="1"/>
    <xf numFmtId="10" fontId="4" fillId="0" borderId="0" xfId="4" applyNumberFormat="1" applyFont="1" applyFill="1" applyBorder="1" applyProtection="1">
      <protection locked="0"/>
    </xf>
    <xf numFmtId="10" fontId="5" fillId="0" borderId="0" xfId="4" applyNumberFormat="1" applyFont="1" applyFill="1" applyBorder="1" applyProtection="1">
      <protection locked="0"/>
    </xf>
    <xf numFmtId="4" fontId="0" fillId="0" borderId="0" xfId="0" applyNumberFormat="1" applyFont="1" applyFill="1" applyBorder="1" applyAlignment="1">
      <alignment horizontal="center"/>
    </xf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5" fillId="0" borderId="0" xfId="0" applyNumberFormat="1" applyFont="1" applyFill="1" applyBorder="1" applyProtection="1">
      <protection locked="0"/>
    </xf>
    <xf numFmtId="4" fontId="26" fillId="0" borderId="0" xfId="0" applyNumberFormat="1" applyFont="1" applyFill="1" applyBorder="1" applyProtection="1">
      <protection locked="0"/>
    </xf>
    <xf numFmtId="4" fontId="0" fillId="0" borderId="0" xfId="0" applyNumberFormat="1" applyFont="1" applyFill="1" applyBorder="1"/>
    <xf numFmtId="4" fontId="3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166" fontId="8" fillId="3" borderId="3" xfId="4" applyNumberFormat="1" applyFont="1" applyFill="1" applyBorder="1" applyAlignment="1">
      <alignment horizontal="center" vertical="center" wrapText="1"/>
    </xf>
    <xf numFmtId="166" fontId="27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5" fillId="0" borderId="0" xfId="4" applyNumberFormat="1" applyFont="1" applyFill="1" applyBorder="1"/>
    <xf numFmtId="166" fontId="8" fillId="3" borderId="3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6" fontId="4" fillId="0" borderId="0" xfId="4" applyNumberFormat="1" applyFont="1" applyFill="1" applyBorder="1"/>
    <xf numFmtId="166" fontId="4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6" fontId="5" fillId="0" borderId="0" xfId="4" applyNumberFormat="1" applyFont="1" applyFill="1" applyBorder="1" applyProtection="1">
      <protection locked="0"/>
    </xf>
    <xf numFmtId="166" fontId="5" fillId="0" borderId="0" xfId="0" applyNumberFormat="1" applyFont="1" applyFill="1" applyBorder="1" applyProtection="1">
      <protection locked="0"/>
    </xf>
    <xf numFmtId="166" fontId="0" fillId="0" borderId="0" xfId="0" applyNumberFormat="1" applyFont="1" applyFill="1" applyBorder="1"/>
    <xf numFmtId="2" fontId="8" fillId="3" borderId="3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Fill="1" applyBorder="1" applyProtection="1">
      <protection locked="0"/>
    </xf>
    <xf numFmtId="166" fontId="3" fillId="0" borderId="0" xfId="4" applyNumberFormat="1" applyFont="1" applyFill="1" applyBorder="1"/>
    <xf numFmtId="0" fontId="29" fillId="0" borderId="0" xfId="0" applyNumberFormat="1" applyFont="1" applyFill="1" applyBorder="1" applyAlignment="1">
      <alignment horizontal="right" vertical="center" readingOrder="2"/>
    </xf>
    <xf numFmtId="2" fontId="0" fillId="0" borderId="0" xfId="0" applyNumberFormat="1" applyFont="1" applyFill="1" applyBorder="1"/>
    <xf numFmtId="2" fontId="5" fillId="0" borderId="0" xfId="0" applyNumberFormat="1" applyFont="1" applyFill="1" applyBorder="1"/>
    <xf numFmtId="0" fontId="0" fillId="0" borderId="0" xfId="0"/>
    <xf numFmtId="14" fontId="0" fillId="0" borderId="0" xfId="0" applyNumberFormat="1"/>
    <xf numFmtId="9" fontId="0" fillId="0" borderId="0" xfId="4" applyFont="1"/>
    <xf numFmtId="14" fontId="3" fillId="0" borderId="0" xfId="0" applyNumberFormat="1" applyFont="1"/>
    <xf numFmtId="14" fontId="2" fillId="0" borderId="0" xfId="5" applyNumberFormat="1"/>
    <xf numFmtId="0" fontId="3" fillId="0" borderId="0" xfId="5" applyFont="1" applyAlignment="1">
      <alignment horizontal="right"/>
    </xf>
    <xf numFmtId="0" fontId="2" fillId="0" borderId="0" xfId="5"/>
    <xf numFmtId="14" fontId="3" fillId="0" borderId="0" xfId="5" applyNumberFormat="1" applyFont="1"/>
    <xf numFmtId="9" fontId="0" fillId="0" borderId="0" xfId="4" applyFont="1" applyFill="1"/>
    <xf numFmtId="2" fontId="0" fillId="0" borderId="0" xfId="0" applyNumberFormat="1"/>
    <xf numFmtId="10" fontId="9" fillId="0" borderId="11" xfId="4" applyNumberFormat="1" applyFont="1" applyFill="1" applyBorder="1" applyAlignment="1">
      <alignment horizontal="center" vertical="center" wrapText="1"/>
    </xf>
    <xf numFmtId="14" fontId="5" fillId="0" borderId="0" xfId="0" applyNumberFormat="1" applyFont="1" applyFill="1" applyBorder="1" applyProtection="1">
      <protection locked="0"/>
    </xf>
    <xf numFmtId="3" fontId="4" fillId="0" borderId="0" xfId="0" applyNumberFormat="1" applyFont="1" applyFill="1" applyBorder="1"/>
  </cellXfs>
  <cellStyles count="6">
    <cellStyle name="Comma" xfId="1" builtinId="3"/>
    <cellStyle name="Normal" xfId="0" builtinId="0"/>
    <cellStyle name="Normal 2" xfId="5" xr:uid="{A57B43CD-075A-4932-A6E1-CB31971F6AAF}"/>
    <cellStyle name="Normal 3" xfId="2" xr:uid="{00000000-0005-0000-0000-000002000000}"/>
    <cellStyle name="Normal 9" xfId="3" xr:uid="{00000000-0005-0000-0000-000003000000}"/>
    <cellStyle name="Percent" xfId="4" builtinId="5"/>
  </cellStyles>
  <dxfs count="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13452003_gm_0124_&#1495;&#1505;&#1512;%20&#1492;&#1514;&#1495;&#1497;&#1497;&#1489;&#1493;&#1497;&#1493;&#1514;%20&#1500;&#1492;&#1513;&#1511;&#1506;&#14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</sheetData>
      <sheetData sheetId="32"/>
      <sheetData sheetId="33">
        <row r="2">
          <cell r="A2" t="str">
            <v>סוג קובץ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15" sqref="D1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174</v>
      </c>
      <c r="B1" s="36"/>
      <c r="C1" s="36"/>
      <c r="D1" s="36"/>
    </row>
    <row r="3" spans="1:8">
      <c r="A3" t="s">
        <v>175</v>
      </c>
      <c r="D3" s="104" t="s">
        <v>176</v>
      </c>
    </row>
    <row r="5" spans="1:8">
      <c r="A5" t="s">
        <v>177</v>
      </c>
      <c r="D5" s="104" t="s">
        <v>1198</v>
      </c>
    </row>
    <row r="7" spans="1:8">
      <c r="A7" t="s">
        <v>178</v>
      </c>
      <c r="D7" s="104" t="s">
        <v>1201</v>
      </c>
    </row>
    <row r="8" spans="1:8">
      <c r="D8" s="34"/>
      <c r="E8" s="34"/>
      <c r="F8" s="34"/>
      <c r="G8" s="34"/>
      <c r="H8" s="34"/>
    </row>
    <row r="9" spans="1:8">
      <c r="A9" t="s">
        <v>179</v>
      </c>
      <c r="D9" s="104">
        <v>2024</v>
      </c>
    </row>
    <row r="11" spans="1:8">
      <c r="A11" t="s">
        <v>180</v>
      </c>
      <c r="D11" s="178" t="s">
        <v>2763</v>
      </c>
    </row>
    <row r="13" spans="1:8">
      <c r="A13" t="s">
        <v>181</v>
      </c>
      <c r="D13">
        <v>570002618</v>
      </c>
    </row>
    <row r="15" spans="1:8" ht="15">
      <c r="A15" s="20" t="s">
        <v>182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570002618_gm_p_0124.xlsx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183</v>
      </c>
      <c r="B17" s="18" t="s">
        <v>184</v>
      </c>
      <c r="C17" s="18"/>
      <c r="D17" s="106" t="s">
        <v>2848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185</v>
      </c>
      <c r="C19" s="18"/>
      <c r="D19" s="106" t="s">
        <v>2849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186</v>
      </c>
      <c r="C21" s="18"/>
      <c r="D21" s="107" t="s">
        <v>2850</v>
      </c>
    </row>
    <row r="22" spans="1:8">
      <c r="A22" s="16"/>
      <c r="B22" s="17"/>
      <c r="C22" s="17"/>
    </row>
    <row r="23" spans="1:8" ht="15">
      <c r="A23" s="20" t="s">
        <v>187</v>
      </c>
      <c r="D23" t="s">
        <v>188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5" priority="15" operator="containsText" text="Please fill in data">
      <formula>NOT(ISERROR(SEARCH("Please fill in data",D3)))</formula>
    </cfRule>
  </conditionalFormatting>
  <conditionalFormatting sqref="D5">
    <cfRule type="containsText" dxfId="4" priority="9" operator="containsText" text="Please fill in data">
      <formula>NOT(ISERROR(SEARCH("Please fill in data",D5)))</formula>
    </cfRule>
  </conditionalFormatting>
  <conditionalFormatting sqref="D7:D9">
    <cfRule type="containsText" dxfId="3" priority="7" operator="containsText" text="Please fill in data">
      <formula>NOT(ISERROR(SEARCH("Please fill in data",D7)))</formula>
    </cfRule>
  </conditionalFormatting>
  <conditionalFormatting sqref="D15:D17">
    <cfRule type="containsText" dxfId="2" priority="3" operator="containsText" text="Please fill in data">
      <formula>NOT(ISERROR(SEARCH("Please fill in data",D15)))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4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tabSelected="1" workbookViewId="0">
      <selection activeCell="C18" sqref="C18"/>
    </sheetView>
  </sheetViews>
  <sheetFormatPr defaultColWidth="9" defaultRowHeight="12.75"/>
  <cols>
    <col min="1" max="1" width="31.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1171</v>
      </c>
      <c r="D1" s="141"/>
      <c r="E1" s="142"/>
    </row>
    <row r="2" spans="1:5" ht="39.75" customHeight="1">
      <c r="A2" s="47"/>
      <c r="B2" s="137" t="s">
        <v>37</v>
      </c>
      <c r="C2" s="48" t="s">
        <v>897</v>
      </c>
      <c r="D2" s="137" t="s">
        <v>22</v>
      </c>
      <c r="E2" s="142" t="s">
        <v>1172</v>
      </c>
    </row>
    <row r="3" spans="1:5">
      <c r="A3" s="50" t="s">
        <v>950</v>
      </c>
      <c r="B3" s="138">
        <f>SUM('מזומנים ושווי מזומנים'!O:O)</f>
        <v>140248.74</v>
      </c>
      <c r="C3" s="51"/>
      <c r="D3" s="138">
        <f>B3+C3</f>
        <v>140248.74</v>
      </c>
      <c r="E3" s="191">
        <f>SUM('מזומנים ושווי מזומנים'!O:O)/B30</f>
        <v>0.12589573284747596</v>
      </c>
    </row>
    <row r="4" spans="1:5">
      <c r="A4" s="50" t="s">
        <v>960</v>
      </c>
      <c r="B4" s="138">
        <f>SUM('איגרות חוב ממשלתיות'!U:U)</f>
        <v>278744.76899999991</v>
      </c>
      <c r="C4" s="51"/>
      <c r="D4" s="138">
        <f t="shared" ref="D4:D29" si="0">B4+C4</f>
        <v>278744.76899999991</v>
      </c>
      <c r="E4" s="191">
        <f>SUM('איגרות חוב ממשלתיות'!U:U)/B30</f>
        <v>0.25021812652759223</v>
      </c>
    </row>
    <row r="5" spans="1:5">
      <c r="A5" s="50" t="s">
        <v>964</v>
      </c>
      <c r="B5" s="138">
        <f>SUM('ניירות ערך מסחריים'!AD:AD)</f>
        <v>2162.8089999999997</v>
      </c>
      <c r="C5" s="51"/>
      <c r="D5" s="138">
        <f t="shared" si="0"/>
        <v>2162.8089999999997</v>
      </c>
      <c r="E5" s="191">
        <f>SUM('ניירות ערך מסחריים'!AD:AD)/B30</f>
        <v>1.9414678810242187E-3</v>
      </c>
    </row>
    <row r="6" spans="1:5">
      <c r="A6" s="50" t="s">
        <v>965</v>
      </c>
      <c r="B6" s="138">
        <f>SUM('איגרות חוב'!AD:AD)</f>
        <v>260026.10499999992</v>
      </c>
      <c r="C6" s="51"/>
      <c r="D6" s="138">
        <f t="shared" si="0"/>
        <v>260026.10499999992</v>
      </c>
      <c r="E6" s="191">
        <f>SUM('איגרות חוב'!AD:AD)/B30</f>
        <v>0.2334151240749095</v>
      </c>
    </row>
    <row r="7" spans="1:5">
      <c r="A7" s="50" t="s">
        <v>972</v>
      </c>
      <c r="B7" s="138">
        <f>SUM('מניות מבכ ויהש'!U:U)</f>
        <v>171789.49700000009</v>
      </c>
      <c r="C7" s="51"/>
      <c r="D7" s="138">
        <f t="shared" si="0"/>
        <v>171789.49700000009</v>
      </c>
      <c r="E7" s="191">
        <f>SUM('מניות מבכ ויהש'!U:U)/B30</f>
        <v>0.1542086197730852</v>
      </c>
    </row>
    <row r="8" spans="1:5">
      <c r="A8" s="50" t="s">
        <v>470</v>
      </c>
      <c r="B8" s="138">
        <f>SUM('קרנות סל'!T:T)</f>
        <v>6173.4050000000007</v>
      </c>
      <c r="C8" s="51"/>
      <c r="D8" s="138">
        <f t="shared" si="0"/>
        <v>6173.4050000000007</v>
      </c>
      <c r="E8" s="191">
        <f>SUM('קרנות סל'!T:T)/B30</f>
        <v>5.5416208847171994E-3</v>
      </c>
    </row>
    <row r="9" spans="1:5">
      <c r="A9" s="50" t="s">
        <v>985</v>
      </c>
      <c r="B9" s="138">
        <f>SUM('קרנות נאמנות'!T:T)</f>
        <v>2579.3989999999999</v>
      </c>
      <c r="C9" s="51"/>
      <c r="D9" s="138">
        <f t="shared" si="0"/>
        <v>2579.3989999999999</v>
      </c>
      <c r="E9" s="191">
        <f>SUM('קרנות נאמנות'!T:T)/B30</f>
        <v>2.3154242056723407E-3</v>
      </c>
    </row>
    <row r="10" spans="1:5">
      <c r="A10" s="50" t="s">
        <v>1116</v>
      </c>
      <c r="B10" s="138">
        <f>SUM('כתבי אופציה'!W:W)</f>
        <v>112.22900000000001</v>
      </c>
      <c r="C10" s="51"/>
      <c r="D10" s="138">
        <f t="shared" si="0"/>
        <v>112.22900000000001</v>
      </c>
      <c r="E10" s="191">
        <f>SUM('כתבי אופציה'!W:W)/B30</f>
        <v>1.0074352326972336E-4</v>
      </c>
    </row>
    <row r="11" spans="1:5">
      <c r="A11" s="50" t="s">
        <v>988</v>
      </c>
      <c r="B11" s="138">
        <f>SUM(אופציות!V:V)</f>
        <v>0</v>
      </c>
      <c r="C11" s="51"/>
      <c r="D11" s="138">
        <f t="shared" si="0"/>
        <v>0</v>
      </c>
      <c r="E11" s="191">
        <f>SUM(אופציות!V:V)/B30</f>
        <v>0</v>
      </c>
    </row>
    <row r="12" spans="1:5">
      <c r="A12" s="50" t="s">
        <v>1121</v>
      </c>
      <c r="B12" s="138">
        <f>SUM('חוזים עתידיים'!R:R)</f>
        <v>6484.2299999999987</v>
      </c>
      <c r="C12" s="51"/>
      <c r="D12" s="138">
        <f t="shared" si="0"/>
        <v>6484.2299999999987</v>
      </c>
      <c r="E12" s="191">
        <f>SUM('חוזים עתידיים'!R:R)/B30</f>
        <v>5.8206361625893314E-3</v>
      </c>
    </row>
    <row r="13" spans="1:5">
      <c r="A13" s="50" t="s">
        <v>993</v>
      </c>
      <c r="B13" s="138">
        <f>SUM('מוצרים מובנים'!Z:Z)</f>
        <v>0</v>
      </c>
      <c r="C13" s="51"/>
      <c r="D13" s="138">
        <f t="shared" si="0"/>
        <v>0</v>
      </c>
      <c r="E13" s="191">
        <f>SUM('מוצרים מובנים'!Z:Z)/B30</f>
        <v>0</v>
      </c>
    </row>
    <row r="14" spans="1:5">
      <c r="A14" s="50" t="s">
        <v>1000</v>
      </c>
      <c r="B14" s="138">
        <f>SUM('לא סחיר איגרות חוב ממשלתיות'!U:U)</f>
        <v>0</v>
      </c>
      <c r="C14" s="51"/>
      <c r="D14" s="138">
        <f t="shared" si="0"/>
        <v>0</v>
      </c>
      <c r="E14" s="191">
        <f>SUM('לא סחיר איגרות חוב ממשלתיות'!U:U)/B30</f>
        <v>0</v>
      </c>
    </row>
    <row r="15" spans="1:5">
      <c r="A15" s="50" t="s">
        <v>1001</v>
      </c>
      <c r="B15" s="138">
        <f>SUM('לא סחיר איגרות חוב מיועדות'!N:N)</f>
        <v>0</v>
      </c>
      <c r="C15" s="51"/>
      <c r="D15" s="138">
        <f t="shared" si="0"/>
        <v>0</v>
      </c>
      <c r="E15" s="191">
        <f>SUM('לא סחיר איגרות חוב מיועדות'!N:N)/B30</f>
        <v>0</v>
      </c>
    </row>
    <row r="16" spans="1:5">
      <c r="A16" s="50" t="s">
        <v>1007</v>
      </c>
      <c r="B16" s="138">
        <f>SUM('אפיק השקעה מובטח תשואה'!F:F)</f>
        <v>0</v>
      </c>
      <c r="C16" s="51"/>
      <c r="D16" s="138">
        <f t="shared" si="0"/>
        <v>0</v>
      </c>
      <c r="E16" s="191">
        <f>SUM('אפיק השקעה מובטח תשואה'!F:F)/B30</f>
        <v>0</v>
      </c>
    </row>
    <row r="17" spans="1:5">
      <c r="A17" s="50" t="s">
        <v>1011</v>
      </c>
      <c r="B17" s="138">
        <f>SUM('לא סחיר ניירות ערך מסחריים'!AI:AI)</f>
        <v>5251.9849999999997</v>
      </c>
      <c r="C17" s="51"/>
      <c r="D17" s="138">
        <f t="shared" si="0"/>
        <v>5251.9849999999997</v>
      </c>
      <c r="E17" s="191">
        <f>SUM('לא סחיר ניירות ערך מסחריים'!AI:AI)/B30</f>
        <v>4.7144986862552272E-3</v>
      </c>
    </row>
    <row r="18" spans="1:5">
      <c r="A18" s="50" t="s">
        <v>1013</v>
      </c>
      <c r="B18" s="138">
        <f>SUM('לא סחיר איגרות חוב'!AG:AG)</f>
        <v>16970.532000000007</v>
      </c>
      <c r="C18" s="51"/>
      <c r="D18" s="138">
        <f t="shared" si="0"/>
        <v>16970.532000000007</v>
      </c>
      <c r="E18" s="191">
        <f>SUM('לא סחיר איגרות חוב'!AG:AG)/B30</f>
        <v>1.5233773672059676E-2</v>
      </c>
    </row>
    <row r="19" spans="1:5">
      <c r="A19" s="50" t="s">
        <v>1016</v>
      </c>
      <c r="B19" s="138">
        <f>SUM('לא סחיר מניות מבכ ויהש'!X:X)</f>
        <v>16868.453000000001</v>
      </c>
      <c r="C19" s="51"/>
      <c r="D19" s="138">
        <f t="shared" si="0"/>
        <v>16868.453000000001</v>
      </c>
      <c r="E19" s="191">
        <f>SUM('לא סחיר מניות מבכ ויהש'!X:X)/B30</f>
        <v>1.5142141401328843E-2</v>
      </c>
    </row>
    <row r="20" spans="1:5">
      <c r="A20" s="50" t="s">
        <v>774</v>
      </c>
      <c r="B20" s="138">
        <f>SUM('קרנות השקעה'!W:W)</f>
        <v>156841.86300000004</v>
      </c>
      <c r="C20" s="51"/>
      <c r="D20" s="138">
        <f t="shared" si="0"/>
        <v>156841.86300000004</v>
      </c>
      <c r="E20" s="191">
        <f>SUM('קרנות השקעה'!W:W)/B30</f>
        <v>0.14079072142500837</v>
      </c>
    </row>
    <row r="21" spans="1:5">
      <c r="A21" s="50" t="s">
        <v>1132</v>
      </c>
      <c r="B21" s="138">
        <f>SUM('לא סחיר כתבי אופציה'!Z:Z)</f>
        <v>20.466999999999999</v>
      </c>
      <c r="C21" s="51"/>
      <c r="D21" s="138">
        <f t="shared" si="0"/>
        <v>20.466999999999999</v>
      </c>
      <c r="E21" s="191">
        <f>SUM('לא סחיר כתבי אופציה'!Z:Z)/B30</f>
        <v>1.8372414356016962E-5</v>
      </c>
    </row>
    <row r="22" spans="1:5">
      <c r="A22" s="50" t="s">
        <v>1031</v>
      </c>
      <c r="B22" s="138">
        <f>SUM('לא סחיר אופציות'!Z:Z)</f>
        <v>0</v>
      </c>
      <c r="C22" s="51"/>
      <c r="D22" s="138">
        <f t="shared" si="0"/>
        <v>0</v>
      </c>
      <c r="E22" s="191">
        <f>SUM('לא סחיר אופציות'!Z:Z)/B30</f>
        <v>0</v>
      </c>
    </row>
    <row r="23" spans="1:5">
      <c r="A23" s="50" t="s">
        <v>1040</v>
      </c>
      <c r="B23" s="138">
        <f>SUM('לא סחיר נגזרים אחרים'!R:R)</f>
        <v>8.08</v>
      </c>
      <c r="C23" s="51"/>
      <c r="D23" s="138">
        <f t="shared" si="0"/>
        <v>8.08</v>
      </c>
      <c r="E23" s="191">
        <f>SUM('לא סחיר נגזרים אחרים'!R:R)/B30</f>
        <v>7.2530956171699349E-6</v>
      </c>
    </row>
    <row r="24" spans="1:5">
      <c r="A24" s="50" t="s">
        <v>1033</v>
      </c>
      <c r="B24" s="138">
        <f>SUM(הלוואות!AT:AT)</f>
        <v>47806.042999999998</v>
      </c>
      <c r="C24" s="51"/>
      <c r="D24" s="138">
        <f t="shared" si="0"/>
        <v>47806.042999999998</v>
      </c>
      <c r="E24" s="191">
        <f>SUM(הלוואות!AT:AT)/B30</f>
        <v>4.2913589227418003E-2</v>
      </c>
    </row>
    <row r="25" spans="1:5">
      <c r="A25" s="50" t="s">
        <v>1052</v>
      </c>
      <c r="B25" s="138">
        <f>SUM('לא סחיר מוצרים מובנים'!AB:AB)</f>
        <v>0</v>
      </c>
      <c r="C25" s="51"/>
      <c r="D25" s="138">
        <f t="shared" si="0"/>
        <v>0</v>
      </c>
      <c r="E25" s="191">
        <f>SUM('לא סחיר מוצרים מובנים'!AB:AB)/B30</f>
        <v>0</v>
      </c>
    </row>
    <row r="26" spans="1:5">
      <c r="A26" s="50" t="s">
        <v>1057</v>
      </c>
      <c r="B26" s="138">
        <f>SUM('פיקדונות מעל 3 חודשים'!T:T)</f>
        <v>0</v>
      </c>
      <c r="C26" s="51"/>
      <c r="D26" s="138">
        <f t="shared" si="0"/>
        <v>0</v>
      </c>
      <c r="E26" s="191">
        <f>SUM('פיקדונות מעל 3 חודשים'!T:T)/B30</f>
        <v>0</v>
      </c>
    </row>
    <row r="27" spans="1:5">
      <c r="A27" s="50" t="s">
        <v>1060</v>
      </c>
      <c r="B27" s="138">
        <f>SUM('זכויות מקרקעין'!S:S)</f>
        <v>5150</v>
      </c>
      <c r="C27" s="51"/>
      <c r="D27" s="138">
        <f t="shared" si="0"/>
        <v>5150</v>
      </c>
      <c r="E27" s="191">
        <f>SUM('זכויות מקרקעין'!S:S)/B30</f>
        <v>4.6229507955971739E-3</v>
      </c>
    </row>
    <row r="28" spans="1:5">
      <c r="A28" s="50" t="s">
        <v>1094</v>
      </c>
      <c r="B28" s="138">
        <f>SUM('השקעה בחברות מוחזקות'!U:U)</f>
        <v>0</v>
      </c>
      <c r="C28" s="51"/>
      <c r="D28" s="138">
        <f t="shared" si="0"/>
        <v>0</v>
      </c>
      <c r="E28" s="191">
        <f>SUM('השקעה בחברות מוחזקות'!U:U)/B30</f>
        <v>0</v>
      </c>
    </row>
    <row r="29" spans="1:5">
      <c r="A29" s="50" t="s">
        <v>1062</v>
      </c>
      <c r="B29" s="138">
        <f>SUM('נכסים אחרים'!N:N)</f>
        <v>-3231.5079999999998</v>
      </c>
      <c r="C29" s="51"/>
      <c r="D29" s="138">
        <f t="shared" si="0"/>
        <v>-3231.5079999999998</v>
      </c>
      <c r="E29" s="191">
        <f>SUM('נכסים אחרים'!N:N)/B30</f>
        <v>-2.9007965979764333E-3</v>
      </c>
    </row>
    <row r="30" spans="1:5">
      <c r="A30" s="49" t="s">
        <v>1173</v>
      </c>
      <c r="B30" s="139">
        <f>IF(SUM(B3:B29)=0,0.0001,SUM(B3:B29))</f>
        <v>1114007.0980000002</v>
      </c>
      <c r="C30" s="52">
        <f t="shared" ref="C30:E30" si="1">SUM(C3:C29)</f>
        <v>0</v>
      </c>
      <c r="D30" s="139">
        <f t="shared" si="1"/>
        <v>1114007.0980000002</v>
      </c>
      <c r="E30" s="144">
        <f t="shared" si="1"/>
        <v>0.99999999999999967</v>
      </c>
    </row>
    <row r="31" spans="1:5">
      <c r="A31" s="50" t="s">
        <v>1170</v>
      </c>
      <c r="B31" s="138"/>
      <c r="C31" s="51"/>
      <c r="D31" s="138"/>
      <c r="E31" s="143"/>
    </row>
    <row r="32" spans="1:5">
      <c r="A32" s="50" t="s">
        <v>1174</v>
      </c>
      <c r="B32" s="138">
        <v>55248.74</v>
      </c>
      <c r="C32" s="51"/>
      <c r="D32" s="138"/>
      <c r="E32" s="191">
        <f>B32/B30</f>
        <v>4.9594603211406095E-2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 filterMode="1"/>
  <dimension ref="A1:Q46"/>
  <sheetViews>
    <sheetView rightToLeft="1" zoomScale="70" zoomScaleNormal="70" workbookViewId="0">
      <selection activeCell="N2" sqref="N2:N46"/>
    </sheetView>
  </sheetViews>
  <sheetFormatPr defaultColWidth="9" defaultRowHeight="14.25"/>
  <cols>
    <col min="1" max="2" width="11.625" style="2" customWidth="1"/>
    <col min="3" max="3" width="14.5" style="2" customWidth="1"/>
    <col min="4" max="4" width="11.625" style="2" customWidth="1"/>
    <col min="5" max="5" width="11.625" style="4" customWidth="1"/>
    <col min="6" max="6" width="19.875" style="2" customWidth="1"/>
    <col min="7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166</v>
      </c>
      <c r="D1" s="22" t="s">
        <v>167</v>
      </c>
      <c r="E1" s="22" t="s">
        <v>168</v>
      </c>
      <c r="F1" s="22" t="s">
        <v>5</v>
      </c>
      <c r="G1" s="22" t="s">
        <v>6</v>
      </c>
      <c r="H1" s="22" t="s">
        <v>123</v>
      </c>
      <c r="I1" s="22" t="s">
        <v>170</v>
      </c>
      <c r="J1" s="22" t="s">
        <v>10</v>
      </c>
      <c r="K1" s="22" t="s">
        <v>11</v>
      </c>
      <c r="L1" s="22" t="s">
        <v>133</v>
      </c>
      <c r="M1" s="22" t="s">
        <v>18</v>
      </c>
      <c r="N1" s="162" t="s">
        <v>14</v>
      </c>
      <c r="O1" s="22" t="s">
        <v>20</v>
      </c>
      <c r="P1" s="166" t="s">
        <v>24</v>
      </c>
      <c r="Q1" s="166" t="s">
        <v>25</v>
      </c>
    </row>
    <row r="2" spans="1:17">
      <c r="A2" s="2" t="s">
        <v>26</v>
      </c>
      <c r="B2" s="2">
        <v>1405</v>
      </c>
      <c r="C2" s="2" t="s">
        <v>1577</v>
      </c>
      <c r="D2" s="2" t="s">
        <v>2762</v>
      </c>
      <c r="E2" s="4" t="s">
        <v>313</v>
      </c>
      <c r="F2" s="2" t="s">
        <v>954</v>
      </c>
      <c r="G2" s="2" t="s">
        <v>31</v>
      </c>
      <c r="H2" s="2" t="s">
        <v>136</v>
      </c>
      <c r="I2" s="2" t="s">
        <v>1175</v>
      </c>
      <c r="J2" s="2" t="s">
        <v>412</v>
      </c>
      <c r="K2" s="2" t="s">
        <v>35</v>
      </c>
      <c r="L2" s="152">
        <v>497.74900000000002</v>
      </c>
      <c r="M2" s="153">
        <v>1</v>
      </c>
      <c r="N2" s="163"/>
      <c r="O2" s="153">
        <v>497.74900000000002</v>
      </c>
      <c r="P2" s="167">
        <v>0.56409121279213903</v>
      </c>
      <c r="Q2" s="167">
        <v>4.70760960330966E-2</v>
      </c>
    </row>
    <row r="3" spans="1:17" hidden="1">
      <c r="A3" s="2" t="s">
        <v>26</v>
      </c>
      <c r="B3" s="2">
        <v>1405</v>
      </c>
      <c r="C3" s="2" t="s">
        <v>1176</v>
      </c>
      <c r="D3" s="2" t="s">
        <v>1177</v>
      </c>
      <c r="E3" s="21" t="s">
        <v>313</v>
      </c>
      <c r="F3" s="2" t="s">
        <v>951</v>
      </c>
      <c r="G3" s="2" t="s">
        <v>31</v>
      </c>
      <c r="H3" s="2" t="s">
        <v>136</v>
      </c>
      <c r="I3" s="2" t="s">
        <v>1175</v>
      </c>
      <c r="J3" s="2" t="s">
        <v>412</v>
      </c>
      <c r="K3" s="2" t="s">
        <v>35</v>
      </c>
      <c r="L3" s="153">
        <v>133.91800000000001</v>
      </c>
      <c r="M3" s="153">
        <v>1</v>
      </c>
      <c r="N3" s="164">
        <v>4.0500000000000001E-2</v>
      </c>
      <c r="O3" s="153">
        <v>133.91800000000001</v>
      </c>
      <c r="P3" s="167">
        <v>0.15176758264173601</v>
      </c>
      <c r="Q3" s="167">
        <v>1.26657269837423E-2</v>
      </c>
    </row>
    <row r="4" spans="1:17">
      <c r="A4" s="2" t="s">
        <v>26</v>
      </c>
      <c r="B4" s="2">
        <v>1405</v>
      </c>
      <c r="C4" s="2" t="s">
        <v>1577</v>
      </c>
      <c r="D4" s="2" t="s">
        <v>2762</v>
      </c>
      <c r="E4" s="21" t="s">
        <v>313</v>
      </c>
      <c r="F4" s="2" t="s">
        <v>953</v>
      </c>
      <c r="G4" s="2" t="s">
        <v>73</v>
      </c>
      <c r="H4" s="2" t="s">
        <v>136</v>
      </c>
      <c r="I4" s="2" t="s">
        <v>1175</v>
      </c>
      <c r="J4" s="2" t="s">
        <v>412</v>
      </c>
      <c r="K4" s="2" t="s">
        <v>78</v>
      </c>
      <c r="L4" s="153">
        <v>65.885000000000005</v>
      </c>
      <c r="M4" s="153">
        <v>3.681</v>
      </c>
      <c r="N4" s="164"/>
      <c r="O4" s="153">
        <v>242.52199999999999</v>
      </c>
      <c r="P4" s="167">
        <v>0.27484617853416099</v>
      </c>
      <c r="Q4" s="167">
        <v>2.29372215017494E-2</v>
      </c>
    </row>
    <row r="5" spans="1:17">
      <c r="A5" s="2" t="s">
        <v>26</v>
      </c>
      <c r="B5" s="2">
        <v>1405</v>
      </c>
      <c r="C5" s="2" t="s">
        <v>1577</v>
      </c>
      <c r="D5" s="2" t="s">
        <v>2762</v>
      </c>
      <c r="E5" s="21" t="s">
        <v>313</v>
      </c>
      <c r="F5" s="2" t="s">
        <v>953</v>
      </c>
      <c r="G5" s="2" t="s">
        <v>73</v>
      </c>
      <c r="H5" s="2" t="s">
        <v>136</v>
      </c>
      <c r="I5" s="2" t="s">
        <v>1175</v>
      </c>
      <c r="J5" s="2" t="s">
        <v>412</v>
      </c>
      <c r="K5" s="2" t="s">
        <v>1178</v>
      </c>
      <c r="L5" s="153">
        <v>2.06</v>
      </c>
      <c r="M5" s="153">
        <v>3.9790000000000001</v>
      </c>
      <c r="N5" s="164"/>
      <c r="O5" s="153">
        <v>8.1969999999999992</v>
      </c>
      <c r="P5" s="167">
        <v>9.2899715810853094E-3</v>
      </c>
      <c r="Q5" s="167">
        <v>7.7529233637798798E-4</v>
      </c>
    </row>
    <row r="6" spans="1:17" hidden="1">
      <c r="A6" s="2" t="s">
        <v>26</v>
      </c>
      <c r="B6" s="2">
        <v>1405</v>
      </c>
      <c r="C6" s="2" t="s">
        <v>1176</v>
      </c>
      <c r="D6" s="2" t="s">
        <v>1177</v>
      </c>
      <c r="E6" s="21" t="s">
        <v>313</v>
      </c>
      <c r="F6" s="2" t="s">
        <v>951</v>
      </c>
      <c r="G6" s="2" t="s">
        <v>31</v>
      </c>
      <c r="H6" s="2" t="s">
        <v>136</v>
      </c>
      <c r="I6" s="2" t="s">
        <v>1175</v>
      </c>
      <c r="J6" s="2" t="s">
        <v>412</v>
      </c>
      <c r="K6" s="2" t="s">
        <v>35</v>
      </c>
      <c r="L6" s="153">
        <v>4.0000000000000001E-3</v>
      </c>
      <c r="M6" s="153">
        <v>1</v>
      </c>
      <c r="N6" s="164">
        <v>4.0500000000000001E-2</v>
      </c>
      <c r="O6" s="153">
        <v>4.0000000000000001E-3</v>
      </c>
      <c r="P6" s="167">
        <v>5.0544508788317503E-6</v>
      </c>
      <c r="Q6" s="167">
        <v>4.21817978317156E-7</v>
      </c>
    </row>
    <row r="7" spans="1:17">
      <c r="A7" s="2" t="s">
        <v>26</v>
      </c>
      <c r="B7" s="2">
        <v>1477</v>
      </c>
      <c r="C7" s="2" t="s">
        <v>1577</v>
      </c>
      <c r="D7" s="2" t="s">
        <v>2762</v>
      </c>
      <c r="E7" s="21" t="s">
        <v>313</v>
      </c>
      <c r="F7" s="2" t="s">
        <v>954</v>
      </c>
      <c r="G7" s="2" t="s">
        <v>31</v>
      </c>
      <c r="H7" s="2" t="s">
        <v>136</v>
      </c>
      <c r="I7" s="2" t="s">
        <v>1175</v>
      </c>
      <c r="J7" s="2" t="s">
        <v>412</v>
      </c>
      <c r="K7" s="2" t="s">
        <v>35</v>
      </c>
      <c r="L7" s="153">
        <v>100.56699999999999</v>
      </c>
      <c r="M7" s="153">
        <v>1</v>
      </c>
      <c r="N7" s="163"/>
      <c r="O7" s="153">
        <v>100.56699999999999</v>
      </c>
      <c r="P7" s="167">
        <v>6.1529878034665801E-2</v>
      </c>
      <c r="Q7" s="167">
        <v>1.0082964878414201E-2</v>
      </c>
    </row>
    <row r="8" spans="1:17">
      <c r="A8" s="2" t="s">
        <v>26</v>
      </c>
      <c r="B8" s="2">
        <v>1477</v>
      </c>
      <c r="C8" s="2" t="s">
        <v>1577</v>
      </c>
      <c r="D8" s="2" t="s">
        <v>2762</v>
      </c>
      <c r="E8" s="21" t="s">
        <v>313</v>
      </c>
      <c r="F8" s="2" t="s">
        <v>953</v>
      </c>
      <c r="G8" s="2" t="s">
        <v>31</v>
      </c>
      <c r="H8" s="2" t="s">
        <v>136</v>
      </c>
      <c r="I8" s="2" t="s">
        <v>1175</v>
      </c>
      <c r="J8" s="2" t="s">
        <v>412</v>
      </c>
      <c r="K8" s="2" t="s">
        <v>1179</v>
      </c>
      <c r="L8" s="153">
        <v>0.64800000000000002</v>
      </c>
      <c r="M8" s="153">
        <v>4.0739999999999998</v>
      </c>
      <c r="N8" s="163"/>
      <c r="O8" s="153">
        <v>2.6389999999999998</v>
      </c>
      <c r="P8" s="167">
        <v>1.6147015735843301E-3</v>
      </c>
      <c r="Q8" s="167">
        <v>2.6460282021684199E-4</v>
      </c>
    </row>
    <row r="9" spans="1:17" hidden="1">
      <c r="A9" s="2" t="s">
        <v>26</v>
      </c>
      <c r="B9" s="2">
        <v>1477</v>
      </c>
      <c r="C9" s="2" t="s">
        <v>1176</v>
      </c>
      <c r="D9" s="2" t="s">
        <v>1177</v>
      </c>
      <c r="E9" s="21" t="s">
        <v>313</v>
      </c>
      <c r="F9" s="2" t="s">
        <v>951</v>
      </c>
      <c r="G9" s="2" t="s">
        <v>31</v>
      </c>
      <c r="H9" s="2" t="s">
        <v>136</v>
      </c>
      <c r="I9" s="2" t="s">
        <v>1175</v>
      </c>
      <c r="J9" s="2" t="s">
        <v>412</v>
      </c>
      <c r="K9" s="2" t="s">
        <v>35</v>
      </c>
      <c r="L9" s="153">
        <v>441.262</v>
      </c>
      <c r="M9" s="153">
        <v>1</v>
      </c>
      <c r="N9" s="164">
        <v>4.0500000000000001E-2</v>
      </c>
      <c r="O9" s="153">
        <v>441.262</v>
      </c>
      <c r="P9" s="167">
        <v>0.26997726499499503</v>
      </c>
      <c r="Q9" s="167">
        <v>4.4241454198579597E-2</v>
      </c>
    </row>
    <row r="10" spans="1:17">
      <c r="A10" s="2" t="s">
        <v>26</v>
      </c>
      <c r="B10" s="2">
        <v>1477</v>
      </c>
      <c r="C10" s="2" t="s">
        <v>1577</v>
      </c>
      <c r="D10" s="2" t="s">
        <v>2762</v>
      </c>
      <c r="E10" s="21" t="s">
        <v>313</v>
      </c>
      <c r="F10" s="2" t="s">
        <v>953</v>
      </c>
      <c r="G10" s="2" t="s">
        <v>73</v>
      </c>
      <c r="H10" s="2" t="s">
        <v>136</v>
      </c>
      <c r="I10" s="2" t="s">
        <v>1175</v>
      </c>
      <c r="J10" s="2" t="s">
        <v>412</v>
      </c>
      <c r="K10" s="2" t="s">
        <v>78</v>
      </c>
      <c r="L10" s="153">
        <v>250.048</v>
      </c>
      <c r="M10" s="153">
        <v>3.681</v>
      </c>
      <c r="N10" s="164"/>
      <c r="O10" s="153">
        <v>920.42600000000004</v>
      </c>
      <c r="P10" s="167">
        <v>0.563143513338622</v>
      </c>
      <c r="Q10" s="167">
        <v>9.2282911129793394E-2</v>
      </c>
    </row>
    <row r="11" spans="1:17">
      <c r="A11" s="2" t="s">
        <v>26</v>
      </c>
      <c r="B11" s="2">
        <v>1477</v>
      </c>
      <c r="C11" s="2" t="s">
        <v>1577</v>
      </c>
      <c r="D11" s="2" t="s">
        <v>2762</v>
      </c>
      <c r="E11" s="21" t="s">
        <v>313</v>
      </c>
      <c r="F11" s="2" t="s">
        <v>953</v>
      </c>
      <c r="G11" s="2" t="s">
        <v>73</v>
      </c>
      <c r="H11" s="2" t="s">
        <v>136</v>
      </c>
      <c r="I11" s="2" t="s">
        <v>1175</v>
      </c>
      <c r="J11" s="2" t="s">
        <v>412</v>
      </c>
      <c r="K11" s="2" t="s">
        <v>1180</v>
      </c>
      <c r="L11" s="153">
        <v>2.9159999999999999</v>
      </c>
      <c r="M11" s="153">
        <v>0.47</v>
      </c>
      <c r="N11" s="164"/>
      <c r="O11" s="153">
        <v>1.371</v>
      </c>
      <c r="P11" s="167">
        <v>8.3909408375362705E-4</v>
      </c>
      <c r="Q11" s="167">
        <v>1.3750321707782799E-4</v>
      </c>
    </row>
    <row r="12" spans="1:17">
      <c r="A12" s="2" t="s">
        <v>26</v>
      </c>
      <c r="B12" s="2">
        <v>1477</v>
      </c>
      <c r="C12" s="2" t="s">
        <v>1577</v>
      </c>
      <c r="D12" s="2" t="s">
        <v>2762</v>
      </c>
      <c r="E12" s="21" t="s">
        <v>313</v>
      </c>
      <c r="F12" s="2" t="s">
        <v>953</v>
      </c>
      <c r="G12" s="2" t="s">
        <v>73</v>
      </c>
      <c r="H12" s="2" t="s">
        <v>136</v>
      </c>
      <c r="I12" s="2" t="s">
        <v>1175</v>
      </c>
      <c r="J12" s="2" t="s">
        <v>412</v>
      </c>
      <c r="K12" s="2" t="s">
        <v>1178</v>
      </c>
      <c r="L12" s="153">
        <v>40.698999999999998</v>
      </c>
      <c r="M12" s="153">
        <v>3.9790000000000001</v>
      </c>
      <c r="N12" s="164"/>
      <c r="O12" s="153">
        <v>161.946</v>
      </c>
      <c r="P12" s="167">
        <v>9.9083379989333101E-2</v>
      </c>
      <c r="Q12" s="167">
        <v>1.6236896161311201E-2</v>
      </c>
    </row>
    <row r="13" spans="1:17">
      <c r="A13" s="2" t="s">
        <v>26</v>
      </c>
      <c r="B13" s="2">
        <v>1477</v>
      </c>
      <c r="C13" s="2" t="s">
        <v>1577</v>
      </c>
      <c r="D13" s="2" t="s">
        <v>2762</v>
      </c>
      <c r="E13" s="21" t="s">
        <v>313</v>
      </c>
      <c r="F13" s="2" t="s">
        <v>953</v>
      </c>
      <c r="G13" s="2" t="s">
        <v>73</v>
      </c>
      <c r="H13" s="2" t="s">
        <v>136</v>
      </c>
      <c r="I13" s="2" t="s">
        <v>1175</v>
      </c>
      <c r="J13" s="2" t="s">
        <v>412</v>
      </c>
      <c r="K13" s="2" t="s">
        <v>1181</v>
      </c>
      <c r="L13" s="153">
        <v>88.168000000000006</v>
      </c>
      <c r="M13" s="153">
        <v>2.4329999999999998</v>
      </c>
      <c r="N13" s="164"/>
      <c r="O13" s="153">
        <v>2.145</v>
      </c>
      <c r="P13" s="167">
        <v>1.3126726405984499E-3</v>
      </c>
      <c r="Q13" s="167">
        <v>2.1510902596869199E-4</v>
      </c>
    </row>
    <row r="14" spans="1:17">
      <c r="A14" s="2" t="s">
        <v>26</v>
      </c>
      <c r="B14" s="2">
        <v>1477</v>
      </c>
      <c r="C14" s="2" t="s">
        <v>1577</v>
      </c>
      <c r="D14" s="2" t="s">
        <v>2762</v>
      </c>
      <c r="E14" s="21" t="s">
        <v>313</v>
      </c>
      <c r="F14" s="2" t="s">
        <v>953</v>
      </c>
      <c r="G14" s="2" t="s">
        <v>73</v>
      </c>
      <c r="H14" s="2" t="s">
        <v>136</v>
      </c>
      <c r="I14" s="2" t="s">
        <v>1175</v>
      </c>
      <c r="J14" s="2" t="s">
        <v>412</v>
      </c>
      <c r="K14" s="2" t="s">
        <v>1182</v>
      </c>
      <c r="L14" s="153">
        <v>0.34100000000000003</v>
      </c>
      <c r="M14" s="153">
        <v>4.6539999999999999</v>
      </c>
      <c r="N14" s="164"/>
      <c r="O14" s="153">
        <v>1.587</v>
      </c>
      <c r="P14" s="167">
        <v>9.7121907043513402E-4</v>
      </c>
      <c r="Q14" s="167">
        <v>1.5915467556958801E-4</v>
      </c>
    </row>
    <row r="15" spans="1:17">
      <c r="A15" s="2" t="s">
        <v>26</v>
      </c>
      <c r="B15" s="2">
        <v>1477</v>
      </c>
      <c r="C15" s="2" t="s">
        <v>1577</v>
      </c>
      <c r="D15" s="2" t="s">
        <v>2762</v>
      </c>
      <c r="E15" s="21" t="s">
        <v>313</v>
      </c>
      <c r="F15" s="2" t="s">
        <v>951</v>
      </c>
      <c r="G15" s="2" t="s">
        <v>31</v>
      </c>
      <c r="H15" s="2" t="s">
        <v>136</v>
      </c>
      <c r="I15" s="2" t="s">
        <v>1175</v>
      </c>
      <c r="J15" s="2" t="s">
        <v>412</v>
      </c>
      <c r="K15" s="2" t="s">
        <v>35</v>
      </c>
      <c r="L15" s="153">
        <v>2.4980000000000002</v>
      </c>
      <c r="M15" s="153">
        <v>1</v>
      </c>
      <c r="N15" s="163"/>
      <c r="O15" s="153">
        <v>2.4980000000000002</v>
      </c>
      <c r="P15" s="167">
        <v>1.5282762740128899E-3</v>
      </c>
      <c r="Q15" s="167">
        <v>2.5044021681148098E-4</v>
      </c>
    </row>
    <row r="16" spans="1:17">
      <c r="A16" s="2" t="s">
        <v>26</v>
      </c>
      <c r="B16" s="2">
        <v>9962</v>
      </c>
      <c r="C16" s="2" t="s">
        <v>1577</v>
      </c>
      <c r="D16" s="2" t="s">
        <v>2762</v>
      </c>
      <c r="E16" s="21" t="s">
        <v>313</v>
      </c>
      <c r="F16" s="2" t="s">
        <v>954</v>
      </c>
      <c r="G16" s="2" t="s">
        <v>31</v>
      </c>
      <c r="H16" s="2" t="s">
        <v>136</v>
      </c>
      <c r="I16" s="2" t="s">
        <v>1175</v>
      </c>
      <c r="J16" s="2" t="s">
        <v>412</v>
      </c>
      <c r="K16" s="2" t="s">
        <v>35</v>
      </c>
      <c r="L16" s="153">
        <v>3729.5940000000001</v>
      </c>
      <c r="M16" s="153">
        <v>1</v>
      </c>
      <c r="N16" s="163"/>
      <c r="O16" s="153">
        <v>3729.5940000000001</v>
      </c>
      <c r="P16" s="167">
        <v>0.69582212139858501</v>
      </c>
      <c r="Q16" s="167">
        <v>0.120826495841398</v>
      </c>
    </row>
    <row r="17" spans="1:17">
      <c r="A17" s="2" t="s">
        <v>26</v>
      </c>
      <c r="B17" s="2">
        <v>9962</v>
      </c>
      <c r="C17" s="2" t="s">
        <v>1577</v>
      </c>
      <c r="D17" s="2" t="s">
        <v>2762</v>
      </c>
      <c r="E17" s="21" t="s">
        <v>313</v>
      </c>
      <c r="F17" s="2" t="s">
        <v>953</v>
      </c>
      <c r="G17" s="2" t="s">
        <v>31</v>
      </c>
      <c r="H17" s="2" t="s">
        <v>136</v>
      </c>
      <c r="I17" s="2" t="s">
        <v>1175</v>
      </c>
      <c r="J17" s="2" t="s">
        <v>412</v>
      </c>
      <c r="K17" s="2" t="s">
        <v>1179</v>
      </c>
      <c r="L17" s="153">
        <v>1.0569999999999999</v>
      </c>
      <c r="M17" s="153">
        <v>4.0739999999999998</v>
      </c>
      <c r="N17" s="163"/>
      <c r="O17" s="153">
        <v>4.306</v>
      </c>
      <c r="P17" s="167">
        <v>8.0344726850447201E-4</v>
      </c>
      <c r="Q17" s="167">
        <v>1.3951513621270601E-4</v>
      </c>
    </row>
    <row r="18" spans="1:17" hidden="1">
      <c r="A18" s="2" t="s">
        <v>26</v>
      </c>
      <c r="B18" s="2">
        <v>9962</v>
      </c>
      <c r="C18" s="2" t="s">
        <v>1176</v>
      </c>
      <c r="D18" s="2" t="s">
        <v>1177</v>
      </c>
      <c r="E18" s="21" t="s">
        <v>313</v>
      </c>
      <c r="F18" s="2" t="s">
        <v>951</v>
      </c>
      <c r="G18" s="2" t="s">
        <v>31</v>
      </c>
      <c r="H18" s="2" t="s">
        <v>136</v>
      </c>
      <c r="I18" s="2" t="s">
        <v>1175</v>
      </c>
      <c r="J18" s="2" t="s">
        <v>412</v>
      </c>
      <c r="K18" s="2" t="s">
        <v>35</v>
      </c>
      <c r="L18" s="153">
        <v>340.596</v>
      </c>
      <c r="M18" s="153">
        <v>1</v>
      </c>
      <c r="N18" s="164">
        <v>4.0500000000000001E-2</v>
      </c>
      <c r="O18" s="153">
        <v>340.596</v>
      </c>
      <c r="P18" s="167">
        <v>6.3544279841695903E-2</v>
      </c>
      <c r="Q18" s="167">
        <v>1.10341888076295E-2</v>
      </c>
    </row>
    <row r="19" spans="1:17">
      <c r="A19" s="2" t="s">
        <v>26</v>
      </c>
      <c r="B19" s="2">
        <v>9962</v>
      </c>
      <c r="C19" s="2" t="s">
        <v>1577</v>
      </c>
      <c r="D19" s="2" t="s">
        <v>2762</v>
      </c>
      <c r="E19" s="21" t="s">
        <v>313</v>
      </c>
      <c r="F19" s="2" t="s">
        <v>953</v>
      </c>
      <c r="G19" s="2" t="s">
        <v>73</v>
      </c>
      <c r="H19" s="2" t="s">
        <v>136</v>
      </c>
      <c r="I19" s="2" t="s">
        <v>1175</v>
      </c>
      <c r="J19" s="2" t="s">
        <v>412</v>
      </c>
      <c r="K19" s="2" t="s">
        <v>78</v>
      </c>
      <c r="L19" s="153">
        <v>164.928</v>
      </c>
      <c r="M19" s="153">
        <v>3.681</v>
      </c>
      <c r="N19" s="164"/>
      <c r="O19" s="153">
        <v>607.1</v>
      </c>
      <c r="P19" s="167">
        <v>0.113265284324453</v>
      </c>
      <c r="Q19" s="167">
        <v>1.9668025756203099E-2</v>
      </c>
    </row>
    <row r="20" spans="1:17">
      <c r="A20" s="2" t="s">
        <v>26</v>
      </c>
      <c r="B20" s="2">
        <v>9962</v>
      </c>
      <c r="C20" s="2" t="s">
        <v>1577</v>
      </c>
      <c r="D20" s="2" t="s">
        <v>2762</v>
      </c>
      <c r="E20" s="21" t="s">
        <v>313</v>
      </c>
      <c r="F20" s="2" t="s">
        <v>953</v>
      </c>
      <c r="G20" s="2" t="s">
        <v>73</v>
      </c>
      <c r="H20" s="2" t="s">
        <v>136</v>
      </c>
      <c r="I20" s="2" t="s">
        <v>1175</v>
      </c>
      <c r="J20" s="2" t="s">
        <v>412</v>
      </c>
      <c r="K20" s="2" t="s">
        <v>1180</v>
      </c>
      <c r="L20" s="153">
        <v>0.90800000000000003</v>
      </c>
      <c r="M20" s="153">
        <v>0.47</v>
      </c>
      <c r="N20" s="164"/>
      <c r="O20" s="153">
        <v>0.42699999999999999</v>
      </c>
      <c r="P20" s="167">
        <v>7.9663744640534102E-5</v>
      </c>
      <c r="Q20" s="167">
        <v>1.3833264011745801E-5</v>
      </c>
    </row>
    <row r="21" spans="1:17">
      <c r="A21" s="2" t="s">
        <v>26</v>
      </c>
      <c r="B21" s="2">
        <v>9962</v>
      </c>
      <c r="C21" s="2" t="s">
        <v>1577</v>
      </c>
      <c r="D21" s="2" t="s">
        <v>2762</v>
      </c>
      <c r="E21" s="4" t="s">
        <v>313</v>
      </c>
      <c r="F21" s="2" t="s">
        <v>953</v>
      </c>
      <c r="G21" s="2" t="s">
        <v>73</v>
      </c>
      <c r="H21" s="2" t="s">
        <v>136</v>
      </c>
      <c r="I21" s="2" t="s">
        <v>1175</v>
      </c>
      <c r="J21" s="2" t="s">
        <v>412</v>
      </c>
      <c r="K21" s="2" t="s">
        <v>1178</v>
      </c>
      <c r="L21" s="153">
        <v>168.797</v>
      </c>
      <c r="M21" s="153">
        <v>3.9790000000000001</v>
      </c>
      <c r="N21" s="164"/>
      <c r="O21" s="153">
        <v>671.65899999999999</v>
      </c>
      <c r="P21" s="167">
        <v>0.12530992467603899</v>
      </c>
      <c r="Q21" s="167">
        <v>2.1759525354443601E-2</v>
      </c>
    </row>
    <row r="22" spans="1:17">
      <c r="A22" s="2" t="s">
        <v>26</v>
      </c>
      <c r="B22" s="2">
        <v>9962</v>
      </c>
      <c r="C22" s="2" t="s">
        <v>1577</v>
      </c>
      <c r="D22" s="2" t="s">
        <v>2762</v>
      </c>
      <c r="E22" s="4" t="s">
        <v>313</v>
      </c>
      <c r="F22" s="2" t="s">
        <v>953</v>
      </c>
      <c r="G22" s="2" t="s">
        <v>73</v>
      </c>
      <c r="H22" s="2" t="s">
        <v>136</v>
      </c>
      <c r="I22" s="2" t="s">
        <v>1175</v>
      </c>
      <c r="J22" s="2" t="s">
        <v>412</v>
      </c>
      <c r="K22" s="2" t="s">
        <v>1181</v>
      </c>
      <c r="L22" s="153">
        <v>99.373000000000005</v>
      </c>
      <c r="M22" s="153">
        <v>2.4329999999999998</v>
      </c>
      <c r="N22" s="165"/>
      <c r="O22" s="153">
        <v>2.4180000000000001</v>
      </c>
      <c r="P22" s="167">
        <v>4.51149555535854E-4</v>
      </c>
      <c r="Q22" s="167">
        <v>7.8340165136221604E-5</v>
      </c>
    </row>
    <row r="23" spans="1:17">
      <c r="A23" s="2" t="s">
        <v>26</v>
      </c>
      <c r="B23" s="2">
        <v>9962</v>
      </c>
      <c r="C23" s="2" t="s">
        <v>1577</v>
      </c>
      <c r="D23" s="2" t="s">
        <v>2762</v>
      </c>
      <c r="E23" s="4" t="s">
        <v>313</v>
      </c>
      <c r="F23" s="2" t="s">
        <v>953</v>
      </c>
      <c r="G23" s="2" t="s">
        <v>73</v>
      </c>
      <c r="H23" s="2" t="s">
        <v>136</v>
      </c>
      <c r="I23" s="2" t="s">
        <v>1175</v>
      </c>
      <c r="J23" s="2" t="s">
        <v>412</v>
      </c>
      <c r="K23" s="2" t="s">
        <v>1182</v>
      </c>
      <c r="L23" s="153">
        <v>0.29699999999999999</v>
      </c>
      <c r="M23" s="153">
        <v>4.6539999999999999</v>
      </c>
      <c r="N23" s="164"/>
      <c r="O23" s="153">
        <v>1.383</v>
      </c>
      <c r="P23" s="167">
        <v>2.5810518801233699E-4</v>
      </c>
      <c r="Q23" s="167">
        <v>4.4818847327436002E-5</v>
      </c>
    </row>
    <row r="24" spans="1:17">
      <c r="A24" s="2" t="s">
        <v>26</v>
      </c>
      <c r="B24" s="2">
        <v>9962</v>
      </c>
      <c r="C24" s="2" t="s">
        <v>1577</v>
      </c>
      <c r="D24" s="2" t="s">
        <v>2762</v>
      </c>
      <c r="E24" s="4" t="s">
        <v>313</v>
      </c>
      <c r="F24" s="2" t="s">
        <v>951</v>
      </c>
      <c r="G24" s="2" t="s">
        <v>31</v>
      </c>
      <c r="H24" s="2" t="s">
        <v>136</v>
      </c>
      <c r="I24" s="2" t="s">
        <v>1175</v>
      </c>
      <c r="J24" s="2" t="s">
        <v>412</v>
      </c>
      <c r="K24" s="2" t="s">
        <v>35</v>
      </c>
      <c r="L24" s="153">
        <v>2.4980000000000002</v>
      </c>
      <c r="M24" s="153">
        <v>1</v>
      </c>
      <c r="N24" s="163"/>
      <c r="O24" s="153">
        <v>2.4980000000000002</v>
      </c>
      <c r="P24" s="167">
        <v>4.6602400253418998E-4</v>
      </c>
      <c r="Q24" s="167">
        <v>8.0923048394913007E-5</v>
      </c>
    </row>
    <row r="25" spans="1:17">
      <c r="A25" s="2" t="s">
        <v>26</v>
      </c>
      <c r="B25" s="2">
        <v>9963</v>
      </c>
      <c r="C25" s="2" t="s">
        <v>1577</v>
      </c>
      <c r="D25" s="2" t="s">
        <v>2762</v>
      </c>
      <c r="E25" s="4" t="s">
        <v>313</v>
      </c>
      <c r="F25" s="2" t="s">
        <v>954</v>
      </c>
      <c r="G25" s="2" t="s">
        <v>31</v>
      </c>
      <c r="H25" s="2" t="s">
        <v>136</v>
      </c>
      <c r="I25" s="2" t="s">
        <v>1175</v>
      </c>
      <c r="J25" s="2" t="s">
        <v>412</v>
      </c>
      <c r="K25" s="2" t="s">
        <v>35</v>
      </c>
      <c r="L25" s="153">
        <v>119657.33199999999</v>
      </c>
      <c r="M25" s="153">
        <v>1</v>
      </c>
      <c r="N25" s="163"/>
      <c r="O25" s="153">
        <v>119657.33199999999</v>
      </c>
      <c r="P25" s="167">
        <v>0.940086065042401</v>
      </c>
      <c r="Q25" s="167">
        <v>0.116459380267784</v>
      </c>
    </row>
    <row r="26" spans="1:17">
      <c r="A26" s="2" t="s">
        <v>26</v>
      </c>
      <c r="B26" s="2">
        <v>9963</v>
      </c>
      <c r="C26" s="2" t="s">
        <v>1577</v>
      </c>
      <c r="D26" s="2" t="s">
        <v>2762</v>
      </c>
      <c r="E26" s="4" t="s">
        <v>313</v>
      </c>
      <c r="F26" s="2" t="s">
        <v>953</v>
      </c>
      <c r="G26" s="2" t="s">
        <v>31</v>
      </c>
      <c r="H26" s="2" t="s">
        <v>136</v>
      </c>
      <c r="I26" s="2" t="s">
        <v>1175</v>
      </c>
      <c r="J26" s="2" t="s">
        <v>412</v>
      </c>
      <c r="K26" s="2" t="s">
        <v>1179</v>
      </c>
      <c r="L26" s="153">
        <v>6.7080000000000002</v>
      </c>
      <c r="M26" s="153">
        <v>4.0739999999999998</v>
      </c>
      <c r="N26" s="163"/>
      <c r="O26" s="153">
        <v>27.33</v>
      </c>
      <c r="P26" s="167">
        <v>2.14714070890397E-4</v>
      </c>
      <c r="Q26" s="167">
        <v>2.6599125931667499E-5</v>
      </c>
    </row>
    <row r="27" spans="1:17" hidden="1">
      <c r="A27" s="2" t="s">
        <v>26</v>
      </c>
      <c r="B27" s="2">
        <v>9963</v>
      </c>
      <c r="C27" s="2" t="s">
        <v>1176</v>
      </c>
      <c r="D27" s="2" t="s">
        <v>1177</v>
      </c>
      <c r="E27" s="4" t="s">
        <v>313</v>
      </c>
      <c r="F27" s="2" t="s">
        <v>951</v>
      </c>
      <c r="G27" s="2" t="s">
        <v>31</v>
      </c>
      <c r="H27" s="2" t="s">
        <v>136</v>
      </c>
      <c r="I27" s="2" t="s">
        <v>1175</v>
      </c>
      <c r="J27" s="2" t="s">
        <v>412</v>
      </c>
      <c r="K27" s="2" t="s">
        <v>35</v>
      </c>
      <c r="L27" s="153">
        <v>2233.06</v>
      </c>
      <c r="M27" s="153">
        <v>1</v>
      </c>
      <c r="N27" s="164">
        <v>4.0500000000000001E-2</v>
      </c>
      <c r="O27" s="153">
        <v>2233.06</v>
      </c>
      <c r="P27" s="167">
        <v>1.7544004696016101E-2</v>
      </c>
      <c r="Q27" s="167">
        <v>2.1733796407470102E-3</v>
      </c>
    </row>
    <row r="28" spans="1:17">
      <c r="A28" s="2" t="s">
        <v>26</v>
      </c>
      <c r="B28" s="2">
        <v>9963</v>
      </c>
      <c r="C28" s="2" t="s">
        <v>1577</v>
      </c>
      <c r="D28" s="2" t="s">
        <v>2762</v>
      </c>
      <c r="E28" s="4" t="s">
        <v>313</v>
      </c>
      <c r="F28" s="2" t="s">
        <v>953</v>
      </c>
      <c r="G28" s="2" t="s">
        <v>73</v>
      </c>
      <c r="H28" s="2" t="s">
        <v>136</v>
      </c>
      <c r="I28" s="2" t="s">
        <v>1175</v>
      </c>
      <c r="J28" s="2" t="s">
        <v>412</v>
      </c>
      <c r="K28" s="2" t="s">
        <v>78</v>
      </c>
      <c r="L28" s="153">
        <v>219.166</v>
      </c>
      <c r="M28" s="153">
        <v>3.681</v>
      </c>
      <c r="N28" s="164"/>
      <c r="O28" s="153">
        <v>806.75099999999998</v>
      </c>
      <c r="P28" s="167">
        <v>6.3382262046749E-3</v>
      </c>
      <c r="Q28" s="167">
        <v>7.8518970043468599E-4</v>
      </c>
    </row>
    <row r="29" spans="1:17">
      <c r="A29" s="2" t="s">
        <v>26</v>
      </c>
      <c r="B29" s="2">
        <v>9963</v>
      </c>
      <c r="C29" s="2" t="s">
        <v>1577</v>
      </c>
      <c r="D29" s="2" t="s">
        <v>2762</v>
      </c>
      <c r="E29" s="4" t="s">
        <v>313</v>
      </c>
      <c r="F29" s="2" t="s">
        <v>953</v>
      </c>
      <c r="G29" s="2" t="s">
        <v>73</v>
      </c>
      <c r="H29" s="2" t="s">
        <v>136</v>
      </c>
      <c r="I29" s="2" t="s">
        <v>1175</v>
      </c>
      <c r="J29" s="2" t="s">
        <v>412</v>
      </c>
      <c r="K29" s="2" t="s">
        <v>1180</v>
      </c>
      <c r="L29" s="153">
        <v>87.459000000000003</v>
      </c>
      <c r="M29" s="153">
        <v>0.47</v>
      </c>
      <c r="N29" s="165"/>
      <c r="O29" s="153">
        <v>41.140999999999998</v>
      </c>
      <c r="P29" s="167">
        <v>3.2322281421581198E-4</v>
      </c>
      <c r="Q29" s="167">
        <v>4.00413643300677E-5</v>
      </c>
    </row>
    <row r="30" spans="1:17">
      <c r="A30" s="2" t="s">
        <v>26</v>
      </c>
      <c r="B30" s="2">
        <v>9963</v>
      </c>
      <c r="C30" s="2" t="s">
        <v>1577</v>
      </c>
      <c r="D30" s="2" t="s">
        <v>2762</v>
      </c>
      <c r="E30" s="4" t="s">
        <v>313</v>
      </c>
      <c r="F30" s="2" t="s">
        <v>953</v>
      </c>
      <c r="G30" s="2" t="s">
        <v>73</v>
      </c>
      <c r="H30" s="2" t="s">
        <v>136</v>
      </c>
      <c r="I30" s="2" t="s">
        <v>1175</v>
      </c>
      <c r="J30" s="2" t="s">
        <v>412</v>
      </c>
      <c r="K30" s="2" t="s">
        <v>1183</v>
      </c>
      <c r="L30" s="153">
        <v>1.121</v>
      </c>
      <c r="M30" s="153">
        <v>2.7120000000000002</v>
      </c>
      <c r="N30" s="165"/>
      <c r="O30" s="153">
        <v>3.04</v>
      </c>
      <c r="P30" s="167">
        <v>2.3880065199092299E-5</v>
      </c>
      <c r="Q30" s="167">
        <v>2.9583010505693602E-6</v>
      </c>
    </row>
    <row r="31" spans="1:17">
      <c r="A31" s="2" t="s">
        <v>26</v>
      </c>
      <c r="B31" s="2">
        <v>9963</v>
      </c>
      <c r="C31" s="2" t="s">
        <v>1577</v>
      </c>
      <c r="D31" s="2" t="s">
        <v>2762</v>
      </c>
      <c r="E31" s="4" t="s">
        <v>313</v>
      </c>
      <c r="F31" s="2" t="s">
        <v>953</v>
      </c>
      <c r="G31" s="2" t="s">
        <v>73</v>
      </c>
      <c r="H31" s="2" t="s">
        <v>136</v>
      </c>
      <c r="I31" s="2" t="s">
        <v>1175</v>
      </c>
      <c r="J31" s="2" t="s">
        <v>412</v>
      </c>
      <c r="K31" s="2" t="s">
        <v>1178</v>
      </c>
      <c r="L31" s="153">
        <v>77.805000000000007</v>
      </c>
      <c r="M31" s="153">
        <v>3.9790000000000001</v>
      </c>
      <c r="N31" s="164"/>
      <c r="O31" s="153">
        <v>309.59300000000002</v>
      </c>
      <c r="P31" s="167">
        <v>2.4323153418231401E-3</v>
      </c>
      <c r="Q31" s="167">
        <v>3.0131915348811098E-4</v>
      </c>
    </row>
    <row r="32" spans="1:17">
      <c r="A32" s="2" t="s">
        <v>26</v>
      </c>
      <c r="B32" s="2">
        <v>9963</v>
      </c>
      <c r="C32" s="2" t="s">
        <v>1577</v>
      </c>
      <c r="D32" s="2" t="s">
        <v>2762</v>
      </c>
      <c r="E32" s="4" t="s">
        <v>313</v>
      </c>
      <c r="F32" s="2" t="s">
        <v>953</v>
      </c>
      <c r="G32" s="2" t="s">
        <v>73</v>
      </c>
      <c r="H32" s="2" t="s">
        <v>136</v>
      </c>
      <c r="I32" s="2" t="s">
        <v>1175</v>
      </c>
      <c r="J32" s="2" t="s">
        <v>412</v>
      </c>
      <c r="K32" s="2" t="s">
        <v>1181</v>
      </c>
      <c r="L32" s="153">
        <v>57.023000000000003</v>
      </c>
      <c r="M32" s="153">
        <v>2.4329999999999998</v>
      </c>
      <c r="N32" s="165"/>
      <c r="O32" s="153">
        <v>1.3879999999999999</v>
      </c>
      <c r="P32" s="167">
        <v>1.09016044068821E-5</v>
      </c>
      <c r="Q32" s="167">
        <v>1.35050836339412E-6</v>
      </c>
    </row>
    <row r="33" spans="1:17">
      <c r="A33" s="2" t="s">
        <v>26</v>
      </c>
      <c r="B33" s="2">
        <v>9963</v>
      </c>
      <c r="C33" s="2" t="s">
        <v>1577</v>
      </c>
      <c r="D33" s="2" t="s">
        <v>2762</v>
      </c>
      <c r="E33" s="4" t="s">
        <v>313</v>
      </c>
      <c r="F33" s="2" t="s">
        <v>953</v>
      </c>
      <c r="G33" s="2" t="s">
        <v>73</v>
      </c>
      <c r="H33" s="2" t="s">
        <v>136</v>
      </c>
      <c r="I33" s="2" t="s">
        <v>1175</v>
      </c>
      <c r="J33" s="2" t="s">
        <v>412</v>
      </c>
      <c r="K33" s="2" t="s">
        <v>1182</v>
      </c>
      <c r="L33" s="153">
        <v>20.777000000000001</v>
      </c>
      <c r="M33" s="153">
        <v>4.6539999999999999</v>
      </c>
      <c r="N33" s="164"/>
      <c r="O33" s="153">
        <v>96.686000000000007</v>
      </c>
      <c r="P33" s="167">
        <v>7.5961397863623999E-4</v>
      </c>
      <c r="Q33" s="167">
        <v>9.4102206685439896E-5</v>
      </c>
    </row>
    <row r="34" spans="1:17">
      <c r="A34" s="2" t="s">
        <v>26</v>
      </c>
      <c r="B34" s="2">
        <v>9963</v>
      </c>
      <c r="C34" s="2" t="s">
        <v>1577</v>
      </c>
      <c r="D34" s="2" t="s">
        <v>2762</v>
      </c>
      <c r="E34" s="4" t="s">
        <v>313</v>
      </c>
      <c r="F34" s="2" t="s">
        <v>951</v>
      </c>
      <c r="G34" s="2" t="s">
        <v>31</v>
      </c>
      <c r="H34" s="2" t="s">
        <v>136</v>
      </c>
      <c r="I34" s="2" t="s">
        <v>1175</v>
      </c>
      <c r="J34" s="2" t="s">
        <v>412</v>
      </c>
      <c r="K34" s="2" t="s">
        <v>35</v>
      </c>
      <c r="L34" s="153">
        <v>703.63099999999997</v>
      </c>
      <c r="M34" s="153">
        <v>1</v>
      </c>
      <c r="N34" s="163"/>
      <c r="O34" s="153">
        <v>703.63099999999997</v>
      </c>
      <c r="P34" s="167">
        <v>5.5280659492210798E-3</v>
      </c>
      <c r="Q34" s="167">
        <v>6.8482573932918199E-4</v>
      </c>
    </row>
    <row r="35" spans="1:17" hidden="1">
      <c r="A35" s="2" t="s">
        <v>26</v>
      </c>
      <c r="B35" s="2">
        <v>9963</v>
      </c>
      <c r="C35" s="2" t="s">
        <v>1176</v>
      </c>
      <c r="D35" s="2" t="s">
        <v>1177</v>
      </c>
      <c r="E35" s="4" t="s">
        <v>313</v>
      </c>
      <c r="F35" s="2" t="s">
        <v>951</v>
      </c>
      <c r="G35" s="2" t="s">
        <v>31</v>
      </c>
      <c r="H35" s="2" t="s">
        <v>136</v>
      </c>
      <c r="I35" s="2" t="s">
        <v>1175</v>
      </c>
      <c r="J35" s="2" t="s">
        <v>412</v>
      </c>
      <c r="K35" s="2" t="s">
        <v>35</v>
      </c>
      <c r="L35" s="153">
        <v>3115.47</v>
      </c>
      <c r="M35" s="153">
        <v>1</v>
      </c>
      <c r="N35" s="164">
        <v>4.0500000000000001E-2</v>
      </c>
      <c r="O35" s="153">
        <v>3115.47</v>
      </c>
      <c r="P35" s="167">
        <v>2.4476646401438599E-2</v>
      </c>
      <c r="Q35" s="167">
        <v>3.03220649357955E-3</v>
      </c>
    </row>
    <row r="36" spans="1:17" hidden="1">
      <c r="A36" s="2" t="s">
        <v>26</v>
      </c>
      <c r="B36" s="2">
        <v>9963</v>
      </c>
      <c r="C36" s="2" t="s">
        <v>1176</v>
      </c>
      <c r="D36" s="2" t="s">
        <v>1177</v>
      </c>
      <c r="E36" s="4" t="s">
        <v>313</v>
      </c>
      <c r="F36" s="2" t="s">
        <v>951</v>
      </c>
      <c r="G36" s="2" t="s">
        <v>31</v>
      </c>
      <c r="H36" s="2" t="s">
        <v>136</v>
      </c>
      <c r="I36" s="2" t="s">
        <v>1175</v>
      </c>
      <c r="J36" s="2" t="s">
        <v>412</v>
      </c>
      <c r="K36" s="2" t="s">
        <v>35</v>
      </c>
      <c r="L36" s="153">
        <v>279.84199999999998</v>
      </c>
      <c r="M36" s="153">
        <v>1</v>
      </c>
      <c r="N36" s="164">
        <v>4.0500000000000001E-2</v>
      </c>
      <c r="O36" s="153">
        <v>279.84199999999998</v>
      </c>
      <c r="P36" s="167">
        <v>2.1985729759413301E-3</v>
      </c>
      <c r="Q36" s="167">
        <v>2.7236277163631399E-4</v>
      </c>
    </row>
    <row r="37" spans="1:17" hidden="1">
      <c r="A37" s="2" t="s">
        <v>26</v>
      </c>
      <c r="B37" s="2">
        <v>9963</v>
      </c>
      <c r="C37" s="2" t="s">
        <v>1176</v>
      </c>
      <c r="D37" s="2" t="s">
        <v>1177</v>
      </c>
      <c r="E37" s="4" t="s">
        <v>313</v>
      </c>
      <c r="F37" s="2" t="s">
        <v>951</v>
      </c>
      <c r="G37" s="2" t="s">
        <v>31</v>
      </c>
      <c r="H37" s="2" t="s">
        <v>136</v>
      </c>
      <c r="I37" s="2" t="s">
        <v>1175</v>
      </c>
      <c r="J37" s="2" t="s">
        <v>412</v>
      </c>
      <c r="K37" s="2" t="s">
        <v>35</v>
      </c>
      <c r="L37" s="153">
        <v>8.1170000000000009</v>
      </c>
      <c r="M37" s="153">
        <v>1</v>
      </c>
      <c r="N37" s="164">
        <v>4.0500000000000001E-2</v>
      </c>
      <c r="O37" s="153">
        <v>8.1170000000000009</v>
      </c>
      <c r="P37" s="167">
        <v>6.37708551350316E-5</v>
      </c>
      <c r="Q37" s="167">
        <v>7.9000365438215701E-6</v>
      </c>
    </row>
    <row r="38" spans="1:17">
      <c r="A38" s="2" t="s">
        <v>26</v>
      </c>
      <c r="B38" s="2">
        <v>9964</v>
      </c>
      <c r="C38" s="2" t="s">
        <v>1577</v>
      </c>
      <c r="D38" s="2" t="s">
        <v>2762</v>
      </c>
      <c r="E38" s="4" t="s">
        <v>313</v>
      </c>
      <c r="F38" s="2" t="s">
        <v>954</v>
      </c>
      <c r="G38" s="2" t="s">
        <v>31</v>
      </c>
      <c r="H38" s="2" t="s">
        <v>136</v>
      </c>
      <c r="I38" s="2" t="s">
        <v>1175</v>
      </c>
      <c r="J38" s="2" t="s">
        <v>412</v>
      </c>
      <c r="K38" s="2" t="s">
        <v>35</v>
      </c>
      <c r="L38" s="153">
        <v>3773.4859999999999</v>
      </c>
      <c r="M38" s="153">
        <v>1</v>
      </c>
      <c r="N38" s="163"/>
      <c r="O38" s="153">
        <v>3773.4859999999999</v>
      </c>
      <c r="P38" s="167">
        <v>0.74156470606226699</v>
      </c>
      <c r="Q38" s="167">
        <v>0.10877847745026301</v>
      </c>
    </row>
    <row r="39" spans="1:17">
      <c r="A39" s="2" t="s">
        <v>26</v>
      </c>
      <c r="B39" s="2">
        <v>9964</v>
      </c>
      <c r="C39" s="2" t="s">
        <v>1577</v>
      </c>
      <c r="D39" s="2" t="s">
        <v>2762</v>
      </c>
      <c r="E39" s="4" t="s">
        <v>313</v>
      </c>
      <c r="F39" s="2" t="s">
        <v>953</v>
      </c>
      <c r="G39" s="2" t="s">
        <v>31</v>
      </c>
      <c r="H39" s="2" t="s">
        <v>136</v>
      </c>
      <c r="I39" s="2" t="s">
        <v>1175</v>
      </c>
      <c r="J39" s="2" t="s">
        <v>412</v>
      </c>
      <c r="K39" s="2" t="s">
        <v>1179</v>
      </c>
      <c r="L39" s="153">
        <v>2.355</v>
      </c>
      <c r="M39" s="153">
        <v>4.0739999999999998</v>
      </c>
      <c r="N39" s="163"/>
      <c r="O39" s="153">
        <v>9.5950000000000006</v>
      </c>
      <c r="P39" s="167">
        <v>1.8855118037587101E-3</v>
      </c>
      <c r="Q39" s="167">
        <v>2.7658153300805699E-4</v>
      </c>
    </row>
    <row r="40" spans="1:17" hidden="1">
      <c r="A40" s="2" t="s">
        <v>26</v>
      </c>
      <c r="B40" s="2">
        <v>9964</v>
      </c>
      <c r="C40" s="2" t="s">
        <v>1176</v>
      </c>
      <c r="D40" s="2" t="s">
        <v>1177</v>
      </c>
      <c r="E40" s="4" t="s">
        <v>313</v>
      </c>
      <c r="F40" s="2" t="s">
        <v>951</v>
      </c>
      <c r="G40" s="2" t="s">
        <v>31</v>
      </c>
      <c r="H40" s="2" t="s">
        <v>136</v>
      </c>
      <c r="I40" s="2" t="s">
        <v>1175</v>
      </c>
      <c r="J40" s="2" t="s">
        <v>412</v>
      </c>
      <c r="K40" s="2" t="s">
        <v>35</v>
      </c>
      <c r="L40" s="153">
        <v>380.63900000000001</v>
      </c>
      <c r="M40" s="153">
        <v>1</v>
      </c>
      <c r="N40" s="164">
        <v>4.0500000000000001E-2</v>
      </c>
      <c r="O40" s="153">
        <v>380.63900000000001</v>
      </c>
      <c r="P40" s="167">
        <v>7.4803001598338206E-2</v>
      </c>
      <c r="Q40" s="167">
        <v>1.0972685938337501E-2</v>
      </c>
    </row>
    <row r="41" spans="1:17">
      <c r="A41" s="2" t="s">
        <v>26</v>
      </c>
      <c r="B41" s="2">
        <v>9964</v>
      </c>
      <c r="C41" s="2" t="s">
        <v>1577</v>
      </c>
      <c r="D41" s="2" t="s">
        <v>2762</v>
      </c>
      <c r="E41" s="4" t="s">
        <v>313</v>
      </c>
      <c r="F41" s="2" t="s">
        <v>953</v>
      </c>
      <c r="G41" s="2" t="s">
        <v>73</v>
      </c>
      <c r="H41" s="2" t="s">
        <v>136</v>
      </c>
      <c r="I41" s="2" t="s">
        <v>1175</v>
      </c>
      <c r="J41" s="2" t="s">
        <v>412</v>
      </c>
      <c r="K41" s="2" t="s">
        <v>78</v>
      </c>
      <c r="L41" s="153">
        <v>174.18700000000001</v>
      </c>
      <c r="M41" s="153">
        <v>3.681</v>
      </c>
      <c r="N41" s="164"/>
      <c r="O41" s="153">
        <v>641.18299999999999</v>
      </c>
      <c r="P41" s="167">
        <v>0.12600508912182101</v>
      </c>
      <c r="Q41" s="167">
        <v>1.8483406280807298E-2</v>
      </c>
    </row>
    <row r="42" spans="1:17">
      <c r="A42" s="2" t="s">
        <v>26</v>
      </c>
      <c r="B42" s="2">
        <v>9964</v>
      </c>
      <c r="C42" s="2" t="s">
        <v>1577</v>
      </c>
      <c r="D42" s="2" t="s">
        <v>2762</v>
      </c>
      <c r="E42" s="4" t="s">
        <v>313</v>
      </c>
      <c r="F42" s="2" t="s">
        <v>953</v>
      </c>
      <c r="G42" s="2" t="s">
        <v>73</v>
      </c>
      <c r="H42" s="2" t="s">
        <v>136</v>
      </c>
      <c r="I42" s="2" t="s">
        <v>1175</v>
      </c>
      <c r="J42" s="2" t="s">
        <v>412</v>
      </c>
      <c r="K42" s="2" t="s">
        <v>1180</v>
      </c>
      <c r="L42" s="153">
        <v>3.056</v>
      </c>
      <c r="M42" s="153">
        <v>0.47</v>
      </c>
      <c r="N42" s="165"/>
      <c r="O42" s="153">
        <v>1.4379999999999999</v>
      </c>
      <c r="P42" s="167">
        <v>2.8253046630328398E-4</v>
      </c>
      <c r="Q42" s="167">
        <v>4.1443765738230002E-5</v>
      </c>
    </row>
    <row r="43" spans="1:17">
      <c r="A43" s="2" t="s">
        <v>26</v>
      </c>
      <c r="B43" s="2">
        <v>9964</v>
      </c>
      <c r="C43" s="2" t="s">
        <v>1577</v>
      </c>
      <c r="D43" s="2" t="s">
        <v>2762</v>
      </c>
      <c r="E43" s="4" t="s">
        <v>313</v>
      </c>
      <c r="F43" s="2" t="s">
        <v>953</v>
      </c>
      <c r="G43" s="2" t="s">
        <v>73</v>
      </c>
      <c r="H43" s="2" t="s">
        <v>136</v>
      </c>
      <c r="I43" s="2" t="s">
        <v>1175</v>
      </c>
      <c r="J43" s="2" t="s">
        <v>412</v>
      </c>
      <c r="K43" s="2" t="s">
        <v>1178</v>
      </c>
      <c r="L43" s="153">
        <v>69.094999999999999</v>
      </c>
      <c r="M43" s="153">
        <v>3.9790000000000001</v>
      </c>
      <c r="N43" s="164"/>
      <c r="O43" s="153">
        <v>274.935</v>
      </c>
      <c r="P43" s="167">
        <v>5.4030217723232903E-2</v>
      </c>
      <c r="Q43" s="167">
        <v>7.9255724715490607E-3</v>
      </c>
    </row>
    <row r="44" spans="1:17">
      <c r="A44" s="2" t="s">
        <v>26</v>
      </c>
      <c r="B44" s="2">
        <v>9964</v>
      </c>
      <c r="C44" s="2" t="s">
        <v>1577</v>
      </c>
      <c r="D44" s="2" t="s">
        <v>2762</v>
      </c>
      <c r="E44" s="4" t="s">
        <v>313</v>
      </c>
      <c r="F44" s="2" t="s">
        <v>953</v>
      </c>
      <c r="G44" s="2" t="s">
        <v>73</v>
      </c>
      <c r="H44" s="2" t="s">
        <v>136</v>
      </c>
      <c r="I44" s="2" t="s">
        <v>1175</v>
      </c>
      <c r="J44" s="2" t="s">
        <v>412</v>
      </c>
      <c r="K44" s="2" t="s">
        <v>1181</v>
      </c>
      <c r="L44" s="153">
        <v>15.502000000000001</v>
      </c>
      <c r="M44" s="153">
        <v>2.4329999999999998</v>
      </c>
      <c r="N44" s="165"/>
      <c r="O44" s="153">
        <v>0.377</v>
      </c>
      <c r="P44" s="167">
        <v>7.4134120003635303E-5</v>
      </c>
      <c r="Q44" s="167">
        <v>1.08745691848411E-5</v>
      </c>
    </row>
    <row r="45" spans="1:17">
      <c r="A45" s="2" t="s">
        <v>26</v>
      </c>
      <c r="B45" s="2">
        <v>9964</v>
      </c>
      <c r="C45" s="2" t="s">
        <v>1577</v>
      </c>
      <c r="D45" s="2" t="s">
        <v>2762</v>
      </c>
      <c r="E45" s="4" t="s">
        <v>313</v>
      </c>
      <c r="F45" s="2" t="s">
        <v>953</v>
      </c>
      <c r="G45" s="2" t="s">
        <v>73</v>
      </c>
      <c r="H45" s="2" t="s">
        <v>136</v>
      </c>
      <c r="I45" s="2" t="s">
        <v>1175</v>
      </c>
      <c r="J45" s="2" t="s">
        <v>412</v>
      </c>
      <c r="K45" s="2" t="s">
        <v>1182</v>
      </c>
      <c r="L45" s="153">
        <v>0.93400000000000005</v>
      </c>
      <c r="M45" s="153">
        <v>4.6539999999999999</v>
      </c>
      <c r="N45" s="164"/>
      <c r="O45" s="153">
        <v>4.3449999999999998</v>
      </c>
      <c r="P45" s="167">
        <v>8.5390967981121104E-4</v>
      </c>
      <c r="Q45" s="167">
        <v>1.2525811178789499E-4</v>
      </c>
    </row>
    <row r="46" spans="1:17">
      <c r="A46" s="2" t="s">
        <v>26</v>
      </c>
      <c r="B46" s="2">
        <v>9964</v>
      </c>
      <c r="C46" s="2" t="s">
        <v>1577</v>
      </c>
      <c r="D46" s="2" t="s">
        <v>2762</v>
      </c>
      <c r="E46" s="4" t="s">
        <v>313</v>
      </c>
      <c r="F46" s="2" t="s">
        <v>951</v>
      </c>
      <c r="G46" s="2" t="s">
        <v>31</v>
      </c>
      <c r="H46" s="2" t="s">
        <v>136</v>
      </c>
      <c r="I46" s="2" t="s">
        <v>1175</v>
      </c>
      <c r="J46" s="2" t="s">
        <v>412</v>
      </c>
      <c r="K46" s="2" t="s">
        <v>35</v>
      </c>
      <c r="L46" s="153">
        <v>2.5489999999999999</v>
      </c>
      <c r="M46" s="153">
        <v>1</v>
      </c>
      <c r="N46" s="163"/>
      <c r="O46" s="153">
        <v>2.5489999999999999</v>
      </c>
      <c r="P46" s="167">
        <v>5.0089942446429603E-4</v>
      </c>
      <c r="Q46" s="167">
        <v>7.3475822545907306E-5</v>
      </c>
    </row>
  </sheetData>
  <sheetProtection formatColumns="0"/>
  <autoFilter ref="A1:S46" xr:uid="{C9C2546E-6546-478E-8F02-B3158952FF32}">
    <filterColumn colId="2">
      <filters>
        <filter val="פועלים"/>
      </filters>
    </filterColumn>
  </autoFilter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59"/>
  <sheetViews>
    <sheetView rightToLeft="1" topLeftCell="K1" zoomScale="70" zoomScaleNormal="70" workbookViewId="0">
      <selection activeCell="AA2" sqref="AA2"/>
    </sheetView>
  </sheetViews>
  <sheetFormatPr defaultColWidth="9" defaultRowHeight="14.25"/>
  <cols>
    <col min="1" max="2" width="11.625" style="4" customWidth="1"/>
    <col min="3" max="3" width="25.5" style="4" customWidth="1"/>
    <col min="4" max="4" width="26.25" style="4" customWidth="1"/>
    <col min="5" max="5" width="22.875" style="4" customWidth="1"/>
    <col min="6" max="14" width="11.625" style="4" customWidth="1"/>
    <col min="15" max="15" width="11.625" style="149" customWidth="1"/>
    <col min="16" max="17" width="11.625" style="4" customWidth="1"/>
    <col min="18" max="18" width="14.875" style="4" customWidth="1"/>
    <col min="19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2" t="s">
        <v>14</v>
      </c>
      <c r="P1" s="166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6" t="s">
        <v>23</v>
      </c>
      <c r="Y1" s="166" t="s">
        <v>24</v>
      </c>
      <c r="Z1" s="166" t="s">
        <v>25</v>
      </c>
    </row>
    <row r="2" spans="1:26">
      <c r="A2" s="21" t="s">
        <v>26</v>
      </c>
      <c r="B2" s="21">
        <v>1405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4">
        <v>0.94</v>
      </c>
      <c r="N2" s="4" t="s">
        <v>36</v>
      </c>
      <c r="O2" s="164">
        <v>0</v>
      </c>
      <c r="P2" s="169">
        <v>4.0960000000000003E-2</v>
      </c>
      <c r="R2" s="154">
        <v>238762</v>
      </c>
      <c r="S2" s="154">
        <v>1</v>
      </c>
      <c r="T2" s="154">
        <v>96.38</v>
      </c>
      <c r="U2" s="154">
        <v>230.119</v>
      </c>
      <c r="W2" s="21" t="s">
        <v>37</v>
      </c>
      <c r="X2" s="169">
        <v>0</v>
      </c>
      <c r="Y2" s="169">
        <v>4.4967376228977701E-2</v>
      </c>
      <c r="Z2" s="169">
        <v>2.1764182414603199E-2</v>
      </c>
    </row>
    <row r="3" spans="1:26">
      <c r="A3" s="21" t="s">
        <v>26</v>
      </c>
      <c r="B3" s="21">
        <v>1405</v>
      </c>
      <c r="C3" s="21" t="s">
        <v>27</v>
      </c>
      <c r="D3" s="21" t="s">
        <v>38</v>
      </c>
      <c r="E3" s="21" t="s">
        <v>39</v>
      </c>
      <c r="F3" s="21" t="s">
        <v>30</v>
      </c>
      <c r="G3" s="21" t="s">
        <v>31</v>
      </c>
      <c r="H3" s="21" t="s">
        <v>31</v>
      </c>
      <c r="I3" s="21" t="s">
        <v>40</v>
      </c>
      <c r="J3" s="21" t="s">
        <v>33</v>
      </c>
      <c r="K3" s="21" t="s">
        <v>34</v>
      </c>
      <c r="L3" s="4" t="s">
        <v>35</v>
      </c>
      <c r="M3" s="154">
        <v>0.67700000000000005</v>
      </c>
      <c r="N3" s="4" t="s">
        <v>41</v>
      </c>
      <c r="O3" s="164">
        <v>0</v>
      </c>
      <c r="P3" s="169">
        <v>4.2380000000000001E-2</v>
      </c>
      <c r="R3" s="154">
        <v>1064000</v>
      </c>
      <c r="S3" s="154">
        <v>1</v>
      </c>
      <c r="T3" s="154">
        <v>97.22</v>
      </c>
      <c r="U3" s="154">
        <v>1034.421</v>
      </c>
      <c r="W3" s="21" t="s">
        <v>37</v>
      </c>
      <c r="X3" s="169">
        <v>7.6000000000000004E-5</v>
      </c>
      <c r="Y3" s="169">
        <v>0.20213553233966899</v>
      </c>
      <c r="Z3" s="169">
        <v>9.7833473225384604E-2</v>
      </c>
    </row>
    <row r="4" spans="1:26">
      <c r="A4" s="21" t="s">
        <v>26</v>
      </c>
      <c r="B4" s="21">
        <v>1405</v>
      </c>
      <c r="C4" s="21" t="s">
        <v>42</v>
      </c>
      <c r="D4" s="21" t="s">
        <v>43</v>
      </c>
      <c r="E4" s="21" t="s">
        <v>44</v>
      </c>
      <c r="F4" s="21" t="s">
        <v>45</v>
      </c>
      <c r="G4" s="21" t="s">
        <v>31</v>
      </c>
      <c r="H4" s="21" t="s">
        <v>31</v>
      </c>
      <c r="I4" s="21" t="s">
        <v>40</v>
      </c>
      <c r="J4" s="21" t="s">
        <v>33</v>
      </c>
      <c r="K4" s="21" t="s">
        <v>34</v>
      </c>
      <c r="L4" s="4" t="s">
        <v>35</v>
      </c>
      <c r="M4" s="154">
        <v>14.135</v>
      </c>
      <c r="N4" s="4" t="s">
        <v>46</v>
      </c>
      <c r="O4" s="164">
        <v>2.75E-2</v>
      </c>
      <c r="P4" s="169">
        <v>1.7819999999999999E-2</v>
      </c>
      <c r="R4" s="154">
        <v>230000</v>
      </c>
      <c r="S4" s="154">
        <v>1</v>
      </c>
      <c r="T4" s="154">
        <v>138.12</v>
      </c>
      <c r="U4" s="154">
        <v>317.67599999999999</v>
      </c>
      <c r="W4" s="21" t="s">
        <v>37</v>
      </c>
      <c r="X4" s="169">
        <v>1.2999999999999999E-5</v>
      </c>
      <c r="Y4" s="169">
        <v>6.2076871783259498E-2</v>
      </c>
      <c r="Z4" s="169">
        <v>3.0045167730915E-2</v>
      </c>
    </row>
    <row r="5" spans="1:26">
      <c r="A5" s="21" t="s">
        <v>26</v>
      </c>
      <c r="B5" s="21">
        <v>1405</v>
      </c>
      <c r="C5" s="21" t="s">
        <v>47</v>
      </c>
      <c r="D5" s="21" t="s">
        <v>48</v>
      </c>
      <c r="E5" s="21" t="s">
        <v>49</v>
      </c>
      <c r="F5" s="21" t="s">
        <v>50</v>
      </c>
      <c r="G5" s="21" t="s">
        <v>31</v>
      </c>
      <c r="H5" s="21" t="s">
        <v>31</v>
      </c>
      <c r="I5" s="21" t="s">
        <v>40</v>
      </c>
      <c r="J5" s="21" t="s">
        <v>33</v>
      </c>
      <c r="K5" s="21" t="s">
        <v>34</v>
      </c>
      <c r="L5" s="4" t="s">
        <v>35</v>
      </c>
      <c r="M5" s="154">
        <v>11.997999999999999</v>
      </c>
      <c r="N5" s="4" t="s">
        <v>51</v>
      </c>
      <c r="O5" s="164">
        <v>5.5E-2</v>
      </c>
      <c r="P5" s="169">
        <v>4.7149999999999997E-2</v>
      </c>
      <c r="R5" s="154">
        <v>531206</v>
      </c>
      <c r="S5" s="154">
        <v>1</v>
      </c>
      <c r="T5" s="154">
        <v>110.25</v>
      </c>
      <c r="U5" s="154">
        <v>585.65499999999997</v>
      </c>
      <c r="W5" s="21" t="s">
        <v>37</v>
      </c>
      <c r="X5" s="169">
        <v>2.8E-5</v>
      </c>
      <c r="Y5" s="169">
        <v>0.114442408128499</v>
      </c>
      <c r="Z5" s="169">
        <v>5.5390055087760598E-2</v>
      </c>
    </row>
    <row r="6" spans="1:26">
      <c r="A6" s="21" t="s">
        <v>26</v>
      </c>
      <c r="B6" s="21">
        <v>1405</v>
      </c>
      <c r="C6" s="21" t="s">
        <v>52</v>
      </c>
      <c r="D6" s="21" t="s">
        <v>53</v>
      </c>
      <c r="E6" s="21" t="s">
        <v>54</v>
      </c>
      <c r="F6" s="21" t="s">
        <v>55</v>
      </c>
      <c r="G6" s="21" t="s">
        <v>31</v>
      </c>
      <c r="H6" s="21" t="s">
        <v>31</v>
      </c>
      <c r="I6" s="21" t="s">
        <v>40</v>
      </c>
      <c r="J6" s="21" t="s">
        <v>33</v>
      </c>
      <c r="K6" s="21" t="s">
        <v>34</v>
      </c>
      <c r="L6" s="4" t="s">
        <v>35</v>
      </c>
      <c r="M6" s="154">
        <v>2.0720000000000001</v>
      </c>
      <c r="N6" s="4" t="s">
        <v>56</v>
      </c>
      <c r="O6" s="164">
        <v>3.9399999999999998E-2</v>
      </c>
      <c r="P6" s="169">
        <v>4.743E-2</v>
      </c>
      <c r="R6" s="154">
        <v>31000</v>
      </c>
      <c r="S6" s="154">
        <v>1</v>
      </c>
      <c r="T6" s="154">
        <v>99.22</v>
      </c>
      <c r="U6" s="154">
        <v>30.757999999999999</v>
      </c>
      <c r="W6" s="21" t="s">
        <v>37</v>
      </c>
      <c r="X6" s="169">
        <v>9.9999999999999995E-7</v>
      </c>
      <c r="Y6" s="169">
        <v>6.0104409451260197E-3</v>
      </c>
      <c r="Z6" s="169">
        <v>2.9090497176400801E-3</v>
      </c>
    </row>
    <row r="7" spans="1:26">
      <c r="A7" s="21" t="s">
        <v>26</v>
      </c>
      <c r="B7" s="21">
        <v>1405</v>
      </c>
      <c r="C7" s="21" t="s">
        <v>42</v>
      </c>
      <c r="D7" s="21" t="s">
        <v>57</v>
      </c>
      <c r="E7" s="21" t="s">
        <v>58</v>
      </c>
      <c r="F7" s="21" t="s">
        <v>45</v>
      </c>
      <c r="G7" s="21" t="s">
        <v>31</v>
      </c>
      <c r="H7" s="21" t="s">
        <v>31</v>
      </c>
      <c r="I7" s="21" t="s">
        <v>40</v>
      </c>
      <c r="J7" s="21" t="s">
        <v>33</v>
      </c>
      <c r="K7" s="21" t="s">
        <v>34</v>
      </c>
      <c r="L7" s="4" t="s">
        <v>35</v>
      </c>
      <c r="M7" s="154">
        <v>2.3279999999999998</v>
      </c>
      <c r="N7" s="4" t="s">
        <v>59</v>
      </c>
      <c r="O7" s="164">
        <v>1E-3</v>
      </c>
      <c r="P7" s="169">
        <v>1.0410000000000001E-2</v>
      </c>
      <c r="R7" s="154">
        <v>1593000</v>
      </c>
      <c r="S7" s="154">
        <v>1</v>
      </c>
      <c r="T7" s="154">
        <v>109.23</v>
      </c>
      <c r="U7" s="154">
        <v>1740.0340000000001</v>
      </c>
      <c r="W7" s="21" t="s">
        <v>37</v>
      </c>
      <c r="X7" s="169">
        <v>7.8999999999999996E-5</v>
      </c>
      <c r="Y7" s="169">
        <v>0.340018954245284</v>
      </c>
      <c r="Z7" s="169">
        <v>0.16456896455186501</v>
      </c>
    </row>
    <row r="8" spans="1:26">
      <c r="A8" s="21" t="s">
        <v>26</v>
      </c>
      <c r="B8" s="21">
        <v>1405</v>
      </c>
      <c r="C8" s="21" t="s">
        <v>47</v>
      </c>
      <c r="D8" s="21" t="s">
        <v>60</v>
      </c>
      <c r="E8" s="21" t="s">
        <v>61</v>
      </c>
      <c r="F8" s="21" t="s">
        <v>50</v>
      </c>
      <c r="G8" s="21" t="s">
        <v>31</v>
      </c>
      <c r="H8" s="21" t="s">
        <v>31</v>
      </c>
      <c r="I8" s="21" t="s">
        <v>40</v>
      </c>
      <c r="J8" s="21" t="s">
        <v>33</v>
      </c>
      <c r="K8" s="21" t="s">
        <v>34</v>
      </c>
      <c r="L8" s="4" t="s">
        <v>35</v>
      </c>
      <c r="M8" s="154">
        <v>5.8360000000000003</v>
      </c>
      <c r="N8" s="4" t="s">
        <v>62</v>
      </c>
      <c r="O8" s="164">
        <v>0.01</v>
      </c>
      <c r="P8" s="169">
        <v>4.1730000000000003E-2</v>
      </c>
      <c r="R8" s="154">
        <v>450000</v>
      </c>
      <c r="S8" s="154">
        <v>1</v>
      </c>
      <c r="T8" s="154">
        <v>83.47</v>
      </c>
      <c r="U8" s="154">
        <v>375.61500000000001</v>
      </c>
      <c r="W8" s="21" t="s">
        <v>37</v>
      </c>
      <c r="X8" s="169">
        <v>1.2E-5</v>
      </c>
      <c r="Y8" s="169">
        <v>7.33986961396801E-2</v>
      </c>
      <c r="Z8" s="169">
        <v>3.5524923750134198E-2</v>
      </c>
    </row>
    <row r="9" spans="1:26">
      <c r="A9" s="21" t="s">
        <v>26</v>
      </c>
      <c r="B9" s="21">
        <v>1405</v>
      </c>
      <c r="C9" s="21" t="s">
        <v>27</v>
      </c>
      <c r="D9" s="21" t="s">
        <v>63</v>
      </c>
      <c r="E9" s="21" t="s">
        <v>64</v>
      </c>
      <c r="F9" s="21" t="s">
        <v>30</v>
      </c>
      <c r="G9" s="21" t="s">
        <v>31</v>
      </c>
      <c r="H9" s="21" t="s">
        <v>31</v>
      </c>
      <c r="I9" s="21" t="s">
        <v>40</v>
      </c>
      <c r="J9" s="21" t="s">
        <v>33</v>
      </c>
      <c r="K9" s="21" t="s">
        <v>34</v>
      </c>
      <c r="L9" s="4" t="s">
        <v>35</v>
      </c>
      <c r="M9" s="154">
        <v>0.10100000000000001</v>
      </c>
      <c r="N9" s="4" t="s">
        <v>65</v>
      </c>
      <c r="O9" s="164">
        <v>0</v>
      </c>
      <c r="P9" s="169">
        <v>4.3430000000000003E-2</v>
      </c>
      <c r="R9" s="154">
        <v>400000</v>
      </c>
      <c r="S9" s="154">
        <v>1</v>
      </c>
      <c r="T9" s="154">
        <v>99.58</v>
      </c>
      <c r="U9" s="154">
        <v>398.32</v>
      </c>
      <c r="W9" s="21" t="s">
        <v>37</v>
      </c>
      <c r="X9" s="169">
        <v>2.1999999999999999E-5</v>
      </c>
      <c r="Y9" s="169">
        <v>7.7835466225676206E-2</v>
      </c>
      <c r="Z9" s="169">
        <v>3.7672317740647901E-2</v>
      </c>
    </row>
    <row r="10" spans="1:26">
      <c r="A10" s="21" t="s">
        <v>26</v>
      </c>
      <c r="B10" s="21">
        <v>1405</v>
      </c>
      <c r="C10" s="21" t="s">
        <v>27</v>
      </c>
      <c r="D10" s="21" t="s">
        <v>66</v>
      </c>
      <c r="E10" s="21" t="s">
        <v>67</v>
      </c>
      <c r="F10" s="21" t="s">
        <v>30</v>
      </c>
      <c r="G10" s="21" t="s">
        <v>31</v>
      </c>
      <c r="H10" s="21" t="s">
        <v>31</v>
      </c>
      <c r="I10" s="21" t="s">
        <v>40</v>
      </c>
      <c r="J10" s="21" t="s">
        <v>33</v>
      </c>
      <c r="K10" s="21" t="s">
        <v>34</v>
      </c>
      <c r="L10" s="4" t="s">
        <v>35</v>
      </c>
      <c r="M10" s="154">
        <v>0.17799999999999999</v>
      </c>
      <c r="N10" s="4" t="s">
        <v>68</v>
      </c>
      <c r="O10" s="164">
        <v>0</v>
      </c>
      <c r="P10" s="169">
        <v>4.3180000000000003E-2</v>
      </c>
      <c r="R10" s="154">
        <v>245800</v>
      </c>
      <c r="S10" s="154">
        <v>1</v>
      </c>
      <c r="T10" s="154">
        <v>99.26</v>
      </c>
      <c r="U10" s="154">
        <v>243.98099999999999</v>
      </c>
      <c r="W10" s="21" t="s">
        <v>37</v>
      </c>
      <c r="X10" s="169">
        <v>1.4E-5</v>
      </c>
      <c r="Y10" s="169">
        <v>4.76761927898273E-2</v>
      </c>
      <c r="Z10" s="169">
        <v>2.3075247962609E-2</v>
      </c>
    </row>
    <row r="11" spans="1:26">
      <c r="A11" s="21" t="s">
        <v>26</v>
      </c>
      <c r="B11" s="21">
        <v>1405</v>
      </c>
      <c r="C11" s="21" t="s">
        <v>69</v>
      </c>
      <c r="D11" s="21" t="s">
        <v>70</v>
      </c>
      <c r="E11" s="21" t="s">
        <v>71</v>
      </c>
      <c r="F11" s="21" t="s">
        <v>72</v>
      </c>
      <c r="G11" s="21" t="s">
        <v>73</v>
      </c>
      <c r="H11" s="21" t="s">
        <v>74</v>
      </c>
      <c r="I11" s="21" t="s">
        <v>75</v>
      </c>
      <c r="J11" s="21" t="s">
        <v>76</v>
      </c>
      <c r="K11" s="21" t="s">
        <v>77</v>
      </c>
      <c r="L11" s="4" t="s">
        <v>78</v>
      </c>
      <c r="M11" s="154">
        <v>7.57</v>
      </c>
      <c r="N11" s="4" t="s">
        <v>79</v>
      </c>
      <c r="O11" s="164">
        <v>3.3750000000000002E-2</v>
      </c>
      <c r="P11" s="169">
        <v>4.4089999999999997E-2</v>
      </c>
      <c r="R11" s="154">
        <v>46000</v>
      </c>
      <c r="S11" s="154">
        <v>3.681</v>
      </c>
      <c r="T11" s="154">
        <v>95.013999999999996</v>
      </c>
      <c r="U11" s="154">
        <v>160.88300000000001</v>
      </c>
      <c r="W11" s="21" t="s">
        <v>37</v>
      </c>
      <c r="X11" s="169">
        <v>0</v>
      </c>
      <c r="Y11" s="169">
        <v>3.1438061173999998E-2</v>
      </c>
      <c r="Z11" s="169">
        <v>1.5216002256130399E-2</v>
      </c>
    </row>
    <row r="12" spans="1:26">
      <c r="A12" s="21" t="s">
        <v>26</v>
      </c>
      <c r="B12" s="21">
        <v>1477</v>
      </c>
      <c r="C12" s="21" t="s">
        <v>27</v>
      </c>
      <c r="D12" s="21" t="s">
        <v>28</v>
      </c>
      <c r="E12" s="21" t="s">
        <v>29</v>
      </c>
      <c r="F12" s="21" t="s">
        <v>30</v>
      </c>
      <c r="G12" s="21" t="s">
        <v>31</v>
      </c>
      <c r="H12" s="21" t="s">
        <v>31</v>
      </c>
      <c r="I12" s="21" t="s">
        <v>32</v>
      </c>
      <c r="J12" s="21" t="s">
        <v>33</v>
      </c>
      <c r="K12" s="21" t="s">
        <v>34</v>
      </c>
      <c r="L12" s="4" t="s">
        <v>35</v>
      </c>
      <c r="M12" s="154">
        <v>0.94</v>
      </c>
      <c r="N12" s="4" t="s">
        <v>36</v>
      </c>
      <c r="O12" s="164">
        <v>0</v>
      </c>
      <c r="P12" s="169">
        <v>4.0960000000000003E-2</v>
      </c>
      <c r="R12" s="154">
        <v>376476</v>
      </c>
      <c r="S12" s="154">
        <v>1</v>
      </c>
      <c r="T12" s="154">
        <v>96.38</v>
      </c>
      <c r="U12" s="154">
        <v>362.84800000000001</v>
      </c>
      <c r="W12" s="21" t="s">
        <v>37</v>
      </c>
      <c r="X12" s="169">
        <v>0</v>
      </c>
      <c r="Y12" s="169">
        <v>9.8787297125352794E-2</v>
      </c>
      <c r="Z12" s="169">
        <v>3.63794993353527E-2</v>
      </c>
    </row>
    <row r="13" spans="1:26">
      <c r="A13" s="21" t="s">
        <v>26</v>
      </c>
      <c r="B13" s="21">
        <v>1477</v>
      </c>
      <c r="C13" s="21" t="s">
        <v>27</v>
      </c>
      <c r="D13" s="21" t="s">
        <v>38</v>
      </c>
      <c r="E13" s="21" t="s">
        <v>39</v>
      </c>
      <c r="F13" s="21" t="s">
        <v>30</v>
      </c>
      <c r="G13" s="21" t="s">
        <v>31</v>
      </c>
      <c r="H13" s="21" t="s">
        <v>31</v>
      </c>
      <c r="I13" s="21" t="s">
        <v>40</v>
      </c>
      <c r="J13" s="21" t="s">
        <v>33</v>
      </c>
      <c r="K13" s="21" t="s">
        <v>34</v>
      </c>
      <c r="L13" s="4" t="s">
        <v>35</v>
      </c>
      <c r="M13" s="154">
        <v>0.67700000000000005</v>
      </c>
      <c r="N13" s="4" t="s">
        <v>41</v>
      </c>
      <c r="O13" s="164">
        <v>0</v>
      </c>
      <c r="P13" s="169">
        <v>4.2380000000000001E-2</v>
      </c>
      <c r="R13" s="154">
        <v>2606000</v>
      </c>
      <c r="S13" s="154">
        <v>1</v>
      </c>
      <c r="T13" s="154">
        <v>97.22</v>
      </c>
      <c r="U13" s="154">
        <v>2533.5529999999999</v>
      </c>
      <c r="W13" s="21" t="s">
        <v>37</v>
      </c>
      <c r="X13" s="169">
        <v>1.8599999999999999E-4</v>
      </c>
      <c r="Y13" s="169">
        <v>0.68977414835385997</v>
      </c>
      <c r="Z13" s="169">
        <v>0.254016851374534</v>
      </c>
    </row>
    <row r="14" spans="1:26">
      <c r="A14" s="21" t="s">
        <v>26</v>
      </c>
      <c r="B14" s="21">
        <v>1477</v>
      </c>
      <c r="C14" s="21" t="s">
        <v>27</v>
      </c>
      <c r="D14" s="21" t="s">
        <v>80</v>
      </c>
      <c r="E14" s="21" t="s">
        <v>81</v>
      </c>
      <c r="F14" s="21" t="s">
        <v>30</v>
      </c>
      <c r="G14" s="21" t="s">
        <v>31</v>
      </c>
      <c r="H14" s="21" t="s">
        <v>31</v>
      </c>
      <c r="I14" s="21" t="s">
        <v>40</v>
      </c>
      <c r="J14" s="21" t="s">
        <v>33</v>
      </c>
      <c r="K14" s="21" t="s">
        <v>34</v>
      </c>
      <c r="L14" s="4" t="s">
        <v>35</v>
      </c>
      <c r="M14" s="154">
        <v>0.255</v>
      </c>
      <c r="N14" s="4" t="s">
        <v>82</v>
      </c>
      <c r="O14" s="164">
        <v>0</v>
      </c>
      <c r="P14" s="169">
        <v>4.3119999999999999E-2</v>
      </c>
      <c r="R14" s="154">
        <v>140000</v>
      </c>
      <c r="S14" s="154">
        <v>1</v>
      </c>
      <c r="T14" s="154">
        <v>98.95</v>
      </c>
      <c r="U14" s="154">
        <v>138.53</v>
      </c>
      <c r="W14" s="21" t="s">
        <v>37</v>
      </c>
      <c r="X14" s="169">
        <v>7.9999999999999996E-6</v>
      </c>
      <c r="Y14" s="169">
        <v>3.7715573831826402E-2</v>
      </c>
      <c r="Z14" s="169">
        <v>1.3889171311229701E-2</v>
      </c>
    </row>
    <row r="15" spans="1:26">
      <c r="A15" s="21" t="s">
        <v>26</v>
      </c>
      <c r="B15" s="21">
        <v>1477</v>
      </c>
      <c r="C15" s="21" t="s">
        <v>27</v>
      </c>
      <c r="D15" s="21" t="s">
        <v>63</v>
      </c>
      <c r="E15" s="21" t="s">
        <v>64</v>
      </c>
      <c r="F15" s="21" t="s">
        <v>30</v>
      </c>
      <c r="G15" s="21" t="s">
        <v>31</v>
      </c>
      <c r="H15" s="21" t="s">
        <v>31</v>
      </c>
      <c r="I15" s="21" t="s">
        <v>40</v>
      </c>
      <c r="J15" s="21" t="s">
        <v>33</v>
      </c>
      <c r="K15" s="21" t="s">
        <v>34</v>
      </c>
      <c r="L15" s="4" t="s">
        <v>35</v>
      </c>
      <c r="M15" s="154">
        <v>0.10100000000000001</v>
      </c>
      <c r="N15" s="4" t="s">
        <v>65</v>
      </c>
      <c r="O15" s="164">
        <v>0</v>
      </c>
      <c r="P15" s="169">
        <v>4.3430000000000003E-2</v>
      </c>
      <c r="R15" s="154">
        <v>200000</v>
      </c>
      <c r="S15" s="154">
        <v>1</v>
      </c>
      <c r="T15" s="154">
        <v>99.58</v>
      </c>
      <c r="U15" s="154">
        <v>199.16</v>
      </c>
      <c r="W15" s="21" t="s">
        <v>37</v>
      </c>
      <c r="X15" s="169">
        <v>1.1E-5</v>
      </c>
      <c r="Y15" s="169">
        <v>5.4222433294929297E-2</v>
      </c>
      <c r="Z15" s="169">
        <v>1.9968002298018601E-2</v>
      </c>
    </row>
    <row r="16" spans="1:26">
      <c r="A16" s="21" t="s">
        <v>26</v>
      </c>
      <c r="B16" s="21">
        <v>1477</v>
      </c>
      <c r="C16" s="21" t="s">
        <v>27</v>
      </c>
      <c r="D16" s="21" t="s">
        <v>66</v>
      </c>
      <c r="E16" s="21" t="s">
        <v>67</v>
      </c>
      <c r="F16" s="21" t="s">
        <v>30</v>
      </c>
      <c r="G16" s="21" t="s">
        <v>31</v>
      </c>
      <c r="H16" s="21" t="s">
        <v>31</v>
      </c>
      <c r="I16" s="21" t="s">
        <v>40</v>
      </c>
      <c r="J16" s="21" t="s">
        <v>33</v>
      </c>
      <c r="K16" s="21" t="s">
        <v>34</v>
      </c>
      <c r="L16" s="4" t="s">
        <v>35</v>
      </c>
      <c r="M16" s="154">
        <v>0.17799999999999999</v>
      </c>
      <c r="N16" s="4" t="s">
        <v>68</v>
      </c>
      <c r="O16" s="164">
        <v>0</v>
      </c>
      <c r="P16" s="169">
        <v>4.3180000000000003E-2</v>
      </c>
      <c r="R16" s="154">
        <v>442200</v>
      </c>
      <c r="S16" s="154">
        <v>1</v>
      </c>
      <c r="T16" s="154">
        <v>99.26</v>
      </c>
      <c r="U16" s="154">
        <v>438.928</v>
      </c>
      <c r="W16" s="21" t="s">
        <v>37</v>
      </c>
      <c r="X16" s="169">
        <v>2.5000000000000001E-5</v>
      </c>
      <c r="Y16" s="169">
        <v>0.119500547394032</v>
      </c>
      <c r="Z16" s="169">
        <v>4.4007379602450498E-2</v>
      </c>
    </row>
    <row r="17" spans="1:26">
      <c r="A17" s="21" t="s">
        <v>26</v>
      </c>
      <c r="B17" s="21">
        <v>9962</v>
      </c>
      <c r="C17" s="21" t="s">
        <v>27</v>
      </c>
      <c r="D17" s="21" t="s">
        <v>38</v>
      </c>
      <c r="E17" s="21" t="s">
        <v>39</v>
      </c>
      <c r="F17" s="21" t="s">
        <v>30</v>
      </c>
      <c r="G17" s="21" t="s">
        <v>31</v>
      </c>
      <c r="H17" s="21" t="s">
        <v>31</v>
      </c>
      <c r="I17" s="21" t="s">
        <v>40</v>
      </c>
      <c r="J17" s="21" t="s">
        <v>33</v>
      </c>
      <c r="K17" s="21" t="s">
        <v>34</v>
      </c>
      <c r="L17" s="4" t="s">
        <v>35</v>
      </c>
      <c r="M17" s="154">
        <v>0.67700000000000005</v>
      </c>
      <c r="N17" s="4" t="s">
        <v>41</v>
      </c>
      <c r="O17" s="164">
        <v>0</v>
      </c>
      <c r="P17" s="169">
        <v>4.2380000000000001E-2</v>
      </c>
      <c r="R17" s="154">
        <v>652000</v>
      </c>
      <c r="S17" s="154">
        <v>1</v>
      </c>
      <c r="T17" s="154">
        <v>97.22</v>
      </c>
      <c r="U17" s="154">
        <v>633.87400000000002</v>
      </c>
      <c r="W17" s="21" t="s">
        <v>37</v>
      </c>
      <c r="X17" s="169">
        <v>4.6999999999999997E-5</v>
      </c>
      <c r="Y17" s="169">
        <v>6.1463159389659398E-2</v>
      </c>
      <c r="Z17" s="169">
        <v>2.0535433546646099E-2</v>
      </c>
    </row>
    <row r="18" spans="1:26">
      <c r="A18" s="21" t="s">
        <v>26</v>
      </c>
      <c r="B18" s="21">
        <v>9962</v>
      </c>
      <c r="C18" s="21" t="s">
        <v>27</v>
      </c>
      <c r="D18" s="21" t="s">
        <v>83</v>
      </c>
      <c r="E18" s="21" t="s">
        <v>84</v>
      </c>
      <c r="F18" s="21" t="s">
        <v>30</v>
      </c>
      <c r="G18" s="21" t="s">
        <v>31</v>
      </c>
      <c r="H18" s="21" t="s">
        <v>31</v>
      </c>
      <c r="I18" s="21" t="s">
        <v>40</v>
      </c>
      <c r="J18" s="21" t="s">
        <v>33</v>
      </c>
      <c r="K18" s="21" t="s">
        <v>34</v>
      </c>
      <c r="L18" s="4" t="s">
        <v>35</v>
      </c>
      <c r="M18" s="154">
        <v>0.86</v>
      </c>
      <c r="N18" s="4" t="s">
        <v>85</v>
      </c>
      <c r="O18" s="164">
        <v>0</v>
      </c>
      <c r="P18" s="169">
        <v>4.1309999999999999E-2</v>
      </c>
      <c r="R18" s="154">
        <v>965000</v>
      </c>
      <c r="S18" s="154">
        <v>1</v>
      </c>
      <c r="T18" s="154">
        <v>96.63</v>
      </c>
      <c r="U18" s="154">
        <v>932.48</v>
      </c>
      <c r="W18" s="21" t="s">
        <v>37</v>
      </c>
      <c r="X18" s="169">
        <v>0</v>
      </c>
      <c r="Y18" s="169">
        <v>9.0417180652965098E-2</v>
      </c>
      <c r="Z18" s="169">
        <v>3.02092509270919E-2</v>
      </c>
    </row>
    <row r="19" spans="1:26">
      <c r="A19" s="21" t="s">
        <v>26</v>
      </c>
      <c r="B19" s="21">
        <v>9962</v>
      </c>
      <c r="C19" s="21" t="s">
        <v>27</v>
      </c>
      <c r="D19" s="21" t="s">
        <v>80</v>
      </c>
      <c r="E19" s="21" t="s">
        <v>81</v>
      </c>
      <c r="F19" s="21" t="s">
        <v>30</v>
      </c>
      <c r="G19" s="21" t="s">
        <v>31</v>
      </c>
      <c r="H19" s="21" t="s">
        <v>31</v>
      </c>
      <c r="I19" s="21" t="s">
        <v>40</v>
      </c>
      <c r="J19" s="21" t="s">
        <v>33</v>
      </c>
      <c r="K19" s="21" t="s">
        <v>34</v>
      </c>
      <c r="L19" s="4" t="s">
        <v>35</v>
      </c>
      <c r="M19" s="154">
        <v>0.255</v>
      </c>
      <c r="N19" s="4" t="s">
        <v>82</v>
      </c>
      <c r="O19" s="164">
        <v>0</v>
      </c>
      <c r="P19" s="169">
        <v>4.3119999999999999E-2</v>
      </c>
      <c r="R19" s="154">
        <v>164000</v>
      </c>
      <c r="S19" s="154">
        <v>1</v>
      </c>
      <c r="T19" s="154">
        <v>98.95</v>
      </c>
      <c r="U19" s="154">
        <v>162.27799999999999</v>
      </c>
      <c r="W19" s="21" t="s">
        <v>37</v>
      </c>
      <c r="X19" s="169">
        <v>9.0000000000000002E-6</v>
      </c>
      <c r="Y19" s="169">
        <v>1.5735165482996499E-2</v>
      </c>
      <c r="Z19" s="169">
        <v>5.2572703442237802E-3</v>
      </c>
    </row>
    <row r="20" spans="1:26">
      <c r="A20" s="4" t="s">
        <v>26</v>
      </c>
      <c r="B20" s="4">
        <v>9962</v>
      </c>
      <c r="C20" s="4" t="s">
        <v>27</v>
      </c>
      <c r="D20" s="4" t="s">
        <v>86</v>
      </c>
      <c r="E20" s="4" t="s">
        <v>87</v>
      </c>
      <c r="F20" s="21" t="s">
        <v>30</v>
      </c>
      <c r="G20" s="21" t="s">
        <v>31</v>
      </c>
      <c r="H20" s="21" t="s">
        <v>31</v>
      </c>
      <c r="I20" s="21" t="s">
        <v>40</v>
      </c>
      <c r="J20" s="4" t="s">
        <v>33</v>
      </c>
      <c r="K20" s="21" t="s">
        <v>34</v>
      </c>
      <c r="L20" s="4" t="s">
        <v>35</v>
      </c>
      <c r="M20" s="154">
        <v>0.35099999999999998</v>
      </c>
      <c r="N20" s="4" t="s">
        <v>88</v>
      </c>
      <c r="O20" s="164">
        <v>0</v>
      </c>
      <c r="P20" s="169">
        <v>4.283E-2</v>
      </c>
      <c r="R20" s="154">
        <v>1140000</v>
      </c>
      <c r="S20" s="154">
        <v>1</v>
      </c>
      <c r="T20" s="154">
        <v>98.55</v>
      </c>
      <c r="U20" s="154">
        <v>1123.47</v>
      </c>
      <c r="W20" s="21" t="s">
        <v>37</v>
      </c>
      <c r="X20" s="169">
        <v>6.3E-5</v>
      </c>
      <c r="Y20" s="169">
        <v>0.108936432327131</v>
      </c>
      <c r="Z20" s="169">
        <v>3.6396711283261399E-2</v>
      </c>
    </row>
    <row r="21" spans="1:26">
      <c r="A21" s="4" t="s">
        <v>26</v>
      </c>
      <c r="B21" s="4">
        <v>9962</v>
      </c>
      <c r="C21" s="4" t="s">
        <v>42</v>
      </c>
      <c r="D21" s="4" t="s">
        <v>89</v>
      </c>
      <c r="E21" s="4" t="s">
        <v>90</v>
      </c>
      <c r="F21" s="4" t="s">
        <v>45</v>
      </c>
      <c r="G21" s="4" t="s">
        <v>31</v>
      </c>
      <c r="H21" s="4" t="s">
        <v>31</v>
      </c>
      <c r="I21" s="4" t="s">
        <v>40</v>
      </c>
      <c r="J21" s="4" t="s">
        <v>33</v>
      </c>
      <c r="K21" s="4" t="s">
        <v>34</v>
      </c>
      <c r="L21" s="21" t="s">
        <v>35</v>
      </c>
      <c r="M21" s="154">
        <v>3.1190000000000002</v>
      </c>
      <c r="N21" s="4" t="s">
        <v>91</v>
      </c>
      <c r="O21" s="168">
        <v>7.4999999999999997E-3</v>
      </c>
      <c r="P21" s="169">
        <v>1.1520000000000001E-2</v>
      </c>
      <c r="R21" s="154">
        <v>411103</v>
      </c>
      <c r="S21" s="154">
        <v>1</v>
      </c>
      <c r="T21" s="154">
        <v>111.88</v>
      </c>
      <c r="U21" s="154">
        <v>459.94200000000001</v>
      </c>
      <c r="W21" s="4" t="s">
        <v>37</v>
      </c>
      <c r="X21" s="169">
        <v>2.0000000000000002E-5</v>
      </c>
      <c r="Y21" s="169">
        <v>4.4597937214782203E-2</v>
      </c>
      <c r="Z21" s="169">
        <v>1.49006003773008E-2</v>
      </c>
    </row>
    <row r="22" spans="1:26">
      <c r="A22" s="4" t="s">
        <v>26</v>
      </c>
      <c r="B22" s="4">
        <v>9962</v>
      </c>
      <c r="C22" s="4" t="s">
        <v>42</v>
      </c>
      <c r="D22" s="4" t="s">
        <v>92</v>
      </c>
      <c r="E22" s="4" t="s">
        <v>93</v>
      </c>
      <c r="F22" s="4" t="s">
        <v>45</v>
      </c>
      <c r="G22" s="4" t="s">
        <v>31</v>
      </c>
      <c r="H22" s="4" t="s">
        <v>31</v>
      </c>
      <c r="I22" s="4" t="s">
        <v>40</v>
      </c>
      <c r="J22" s="4" t="s">
        <v>33</v>
      </c>
      <c r="K22" s="4" t="s">
        <v>34</v>
      </c>
      <c r="L22" s="21" t="s">
        <v>35</v>
      </c>
      <c r="M22" s="154">
        <v>1.5760000000000001</v>
      </c>
      <c r="N22" s="4" t="s">
        <v>94</v>
      </c>
      <c r="O22" s="168">
        <v>7.4999999999999997E-3</v>
      </c>
      <c r="P22" s="169">
        <v>7.9699999999999997E-3</v>
      </c>
      <c r="R22" s="154">
        <v>796036</v>
      </c>
      <c r="S22" s="154">
        <v>1</v>
      </c>
      <c r="T22" s="154">
        <v>112.14</v>
      </c>
      <c r="U22" s="154">
        <v>892.67499999999995</v>
      </c>
      <c r="W22" s="4" t="s">
        <v>37</v>
      </c>
      <c r="X22" s="169">
        <v>3.6999999999999998E-5</v>
      </c>
      <c r="Y22" s="169">
        <v>8.6557544674816994E-2</v>
      </c>
      <c r="Z22" s="169">
        <v>2.8919709371946201E-2</v>
      </c>
    </row>
    <row r="23" spans="1:26">
      <c r="A23" s="4" t="s">
        <v>26</v>
      </c>
      <c r="B23" s="4">
        <v>9962</v>
      </c>
      <c r="C23" s="4" t="s">
        <v>47</v>
      </c>
      <c r="D23" s="4" t="s">
        <v>95</v>
      </c>
      <c r="E23" s="4" t="s">
        <v>96</v>
      </c>
      <c r="F23" s="4" t="s">
        <v>50</v>
      </c>
      <c r="G23" s="4" t="s">
        <v>31</v>
      </c>
      <c r="H23" s="4" t="s">
        <v>31</v>
      </c>
      <c r="I23" s="4" t="s">
        <v>40</v>
      </c>
      <c r="J23" s="4" t="s">
        <v>33</v>
      </c>
      <c r="K23" s="4" t="s">
        <v>34</v>
      </c>
      <c r="L23" s="21" t="s">
        <v>35</v>
      </c>
      <c r="M23" s="154">
        <v>4.2690000000000001</v>
      </c>
      <c r="N23" s="4" t="s">
        <v>97</v>
      </c>
      <c r="O23" s="168">
        <v>2.2499999999999999E-2</v>
      </c>
      <c r="P23" s="169">
        <v>4.0719999999999999E-2</v>
      </c>
      <c r="R23" s="154">
        <v>30000</v>
      </c>
      <c r="S23" s="154">
        <v>1</v>
      </c>
      <c r="T23" s="154">
        <v>93.79</v>
      </c>
      <c r="U23" s="154">
        <v>28.137</v>
      </c>
      <c r="W23" s="4" t="s">
        <v>37</v>
      </c>
      <c r="X23" s="169">
        <v>9.9999999999999995E-7</v>
      </c>
      <c r="Y23" s="169">
        <v>2.7282832620261202E-3</v>
      </c>
      <c r="Z23" s="169">
        <v>9.1154571584210102E-4</v>
      </c>
    </row>
    <row r="24" spans="1:26">
      <c r="A24" s="4" t="s">
        <v>26</v>
      </c>
      <c r="B24" s="4">
        <v>9962</v>
      </c>
      <c r="C24" s="4" t="s">
        <v>47</v>
      </c>
      <c r="D24" s="4" t="s">
        <v>48</v>
      </c>
      <c r="E24" s="4" t="s">
        <v>49</v>
      </c>
      <c r="F24" s="4" t="s">
        <v>50</v>
      </c>
      <c r="G24" s="4" t="s">
        <v>31</v>
      </c>
      <c r="H24" s="4" t="s">
        <v>31</v>
      </c>
      <c r="I24" s="4" t="s">
        <v>40</v>
      </c>
      <c r="J24" s="4" t="s">
        <v>33</v>
      </c>
      <c r="K24" s="4" t="s">
        <v>34</v>
      </c>
      <c r="L24" s="21" t="s">
        <v>35</v>
      </c>
      <c r="M24" s="154">
        <v>11.997999999999999</v>
      </c>
      <c r="N24" s="4" t="s">
        <v>51</v>
      </c>
      <c r="O24" s="168">
        <v>5.5E-2</v>
      </c>
      <c r="P24" s="169">
        <v>4.7149999999999997E-2</v>
      </c>
      <c r="R24" s="154">
        <v>836605</v>
      </c>
      <c r="S24" s="154">
        <v>1</v>
      </c>
      <c r="T24" s="154">
        <v>110.25</v>
      </c>
      <c r="U24" s="154">
        <v>922.35699999999997</v>
      </c>
      <c r="W24" s="4" t="s">
        <v>37</v>
      </c>
      <c r="X24" s="169">
        <v>4.3999999999999999E-5</v>
      </c>
      <c r="Y24" s="169">
        <v>8.9435661186912693E-2</v>
      </c>
      <c r="Z24" s="169">
        <v>2.9881315819785099E-2</v>
      </c>
    </row>
    <row r="25" spans="1:26">
      <c r="A25" s="4" t="s">
        <v>26</v>
      </c>
      <c r="B25" s="4">
        <v>9962</v>
      </c>
      <c r="C25" s="4" t="s">
        <v>52</v>
      </c>
      <c r="D25" s="4" t="s">
        <v>53</v>
      </c>
      <c r="E25" s="4" t="s">
        <v>54</v>
      </c>
      <c r="F25" s="4" t="s">
        <v>55</v>
      </c>
      <c r="G25" s="4" t="s">
        <v>31</v>
      </c>
      <c r="H25" s="4" t="s">
        <v>31</v>
      </c>
      <c r="I25" s="4" t="s">
        <v>40</v>
      </c>
      <c r="J25" s="4" t="s">
        <v>33</v>
      </c>
      <c r="K25" s="4" t="s">
        <v>34</v>
      </c>
      <c r="L25" s="21" t="s">
        <v>35</v>
      </c>
      <c r="M25" s="154">
        <v>2.0720000000000001</v>
      </c>
      <c r="N25" s="4" t="s">
        <v>56</v>
      </c>
      <c r="O25" s="168">
        <v>3.9399999999999998E-2</v>
      </c>
      <c r="P25" s="169">
        <v>4.743E-2</v>
      </c>
      <c r="R25" s="154">
        <v>78000</v>
      </c>
      <c r="S25" s="154">
        <v>1</v>
      </c>
      <c r="T25" s="154">
        <v>99.22</v>
      </c>
      <c r="U25" s="154">
        <v>77.391999999999996</v>
      </c>
      <c r="W25" s="4" t="s">
        <v>37</v>
      </c>
      <c r="X25" s="169">
        <v>3.9999999999999998E-6</v>
      </c>
      <c r="Y25" s="169">
        <v>7.5042188897686398E-3</v>
      </c>
      <c r="Z25" s="169">
        <v>2.5072318094383002E-3</v>
      </c>
    </row>
    <row r="26" spans="1:26">
      <c r="A26" s="4" t="s">
        <v>26</v>
      </c>
      <c r="B26" s="4">
        <v>9962</v>
      </c>
      <c r="C26" s="4" t="s">
        <v>42</v>
      </c>
      <c r="D26" s="4" t="s">
        <v>57</v>
      </c>
      <c r="E26" s="4" t="s">
        <v>58</v>
      </c>
      <c r="F26" s="4" t="s">
        <v>45</v>
      </c>
      <c r="G26" s="4" t="s">
        <v>31</v>
      </c>
      <c r="H26" s="4" t="s">
        <v>31</v>
      </c>
      <c r="I26" s="4" t="s">
        <v>40</v>
      </c>
      <c r="J26" s="4" t="s">
        <v>33</v>
      </c>
      <c r="K26" s="4" t="s">
        <v>34</v>
      </c>
      <c r="L26" s="21" t="s">
        <v>35</v>
      </c>
      <c r="M26" s="154">
        <v>2.3279999999999998</v>
      </c>
      <c r="N26" s="4" t="s">
        <v>59</v>
      </c>
      <c r="O26" s="168">
        <v>1E-3</v>
      </c>
      <c r="P26" s="169">
        <v>1.0410000000000001E-2</v>
      </c>
      <c r="R26" s="154">
        <v>991000</v>
      </c>
      <c r="S26" s="154">
        <v>1</v>
      </c>
      <c r="T26" s="154">
        <v>109.23</v>
      </c>
      <c r="U26" s="154">
        <v>1082.4690000000001</v>
      </c>
      <c r="W26" s="4" t="s">
        <v>37</v>
      </c>
      <c r="X26" s="169">
        <v>4.8999999999999998E-5</v>
      </c>
      <c r="Y26" s="169">
        <v>0.10496082996933299</v>
      </c>
      <c r="Z26" s="169">
        <v>3.5068424243721703E-2</v>
      </c>
    </row>
    <row r="27" spans="1:26">
      <c r="A27" s="4" t="s">
        <v>26</v>
      </c>
      <c r="B27" s="4">
        <v>9962</v>
      </c>
      <c r="C27" s="4" t="s">
        <v>42</v>
      </c>
      <c r="D27" s="4" t="s">
        <v>98</v>
      </c>
      <c r="E27" s="4" t="s">
        <v>99</v>
      </c>
      <c r="F27" s="4" t="s">
        <v>45</v>
      </c>
      <c r="G27" s="4" t="s">
        <v>31</v>
      </c>
      <c r="H27" s="4" t="s">
        <v>31</v>
      </c>
      <c r="I27" s="4" t="s">
        <v>40</v>
      </c>
      <c r="J27" s="4" t="s">
        <v>33</v>
      </c>
      <c r="K27" s="4" t="s">
        <v>34</v>
      </c>
      <c r="L27" s="4" t="s">
        <v>35</v>
      </c>
      <c r="M27" s="154">
        <v>4.4779999999999998</v>
      </c>
      <c r="N27" s="4" t="s">
        <v>100</v>
      </c>
      <c r="O27" s="168">
        <v>1.0999999999999999E-2</v>
      </c>
      <c r="P27" s="169">
        <v>1.302E-2</v>
      </c>
      <c r="R27" s="154">
        <v>30000</v>
      </c>
      <c r="S27" s="154">
        <v>1</v>
      </c>
      <c r="T27" s="154">
        <v>100.29</v>
      </c>
      <c r="U27" s="154">
        <v>30.087</v>
      </c>
      <c r="W27" s="4" t="s">
        <v>37</v>
      </c>
      <c r="X27" s="169">
        <v>0</v>
      </c>
      <c r="Y27" s="169">
        <v>2.9173635605991999E-3</v>
      </c>
      <c r="Z27" s="169">
        <v>9.7471926475961601E-4</v>
      </c>
    </row>
    <row r="28" spans="1:26">
      <c r="A28" s="4" t="s">
        <v>26</v>
      </c>
      <c r="B28" s="4">
        <v>9962</v>
      </c>
      <c r="C28" s="4" t="s">
        <v>47</v>
      </c>
      <c r="D28" s="4" t="s">
        <v>60</v>
      </c>
      <c r="E28" s="4" t="s">
        <v>61</v>
      </c>
      <c r="F28" s="4" t="s">
        <v>50</v>
      </c>
      <c r="G28" s="4" t="s">
        <v>31</v>
      </c>
      <c r="H28" s="4" t="s">
        <v>31</v>
      </c>
      <c r="I28" s="4" t="s">
        <v>40</v>
      </c>
      <c r="J28" s="4" t="s">
        <v>33</v>
      </c>
      <c r="K28" s="4" t="s">
        <v>34</v>
      </c>
      <c r="L28" s="4" t="s">
        <v>35</v>
      </c>
      <c r="M28" s="154">
        <v>5.8360000000000003</v>
      </c>
      <c r="N28" s="4" t="s">
        <v>62</v>
      </c>
      <c r="O28" s="168">
        <v>0.01</v>
      </c>
      <c r="P28" s="169">
        <v>4.1730000000000003E-2</v>
      </c>
      <c r="R28" s="154">
        <v>1207500</v>
      </c>
      <c r="S28" s="154">
        <v>1</v>
      </c>
      <c r="T28" s="154">
        <v>83.47</v>
      </c>
      <c r="U28" s="154">
        <v>1007.9</v>
      </c>
      <c r="W28" s="4" t="s">
        <v>37</v>
      </c>
      <c r="X28" s="169">
        <v>3.1999999999999999E-5</v>
      </c>
      <c r="Y28" s="169">
        <v>9.77302975394298E-2</v>
      </c>
      <c r="Z28" s="169">
        <v>3.2652633716589601E-2</v>
      </c>
    </row>
    <row r="29" spans="1:26">
      <c r="A29" s="4" t="s">
        <v>26</v>
      </c>
      <c r="B29" s="4">
        <v>9962</v>
      </c>
      <c r="C29" s="4" t="s">
        <v>27</v>
      </c>
      <c r="D29" s="4" t="s">
        <v>63</v>
      </c>
      <c r="E29" s="4" t="s">
        <v>64</v>
      </c>
      <c r="F29" s="4" t="s">
        <v>30</v>
      </c>
      <c r="G29" s="4" t="s">
        <v>31</v>
      </c>
      <c r="H29" s="4" t="s">
        <v>31</v>
      </c>
      <c r="I29" s="4" t="s">
        <v>40</v>
      </c>
      <c r="J29" s="4" t="s">
        <v>33</v>
      </c>
      <c r="K29" s="4" t="s">
        <v>34</v>
      </c>
      <c r="L29" s="4" t="s">
        <v>35</v>
      </c>
      <c r="M29" s="154">
        <v>0.10100000000000001</v>
      </c>
      <c r="N29" s="4" t="s">
        <v>65</v>
      </c>
      <c r="O29" s="168">
        <v>0</v>
      </c>
      <c r="P29" s="169">
        <v>4.3430000000000003E-2</v>
      </c>
      <c r="R29" s="154">
        <v>700000</v>
      </c>
      <c r="S29" s="154">
        <v>1</v>
      </c>
      <c r="T29" s="154">
        <v>99.58</v>
      </c>
      <c r="U29" s="154">
        <v>697.06</v>
      </c>
      <c r="W29" s="4" t="s">
        <v>37</v>
      </c>
      <c r="X29" s="169">
        <v>3.8999999999999999E-5</v>
      </c>
      <c r="Y29" s="169">
        <v>6.7589904063259196E-2</v>
      </c>
      <c r="Z29" s="169">
        <v>2.2582437953047398E-2</v>
      </c>
    </row>
    <row r="30" spans="1:26">
      <c r="A30" s="4" t="s">
        <v>26</v>
      </c>
      <c r="B30" s="4">
        <v>9962</v>
      </c>
      <c r="C30" s="4" t="s">
        <v>27</v>
      </c>
      <c r="D30" s="4" t="s">
        <v>66</v>
      </c>
      <c r="E30" s="4" t="s">
        <v>67</v>
      </c>
      <c r="F30" s="4" t="s">
        <v>30</v>
      </c>
      <c r="G30" s="4" t="s">
        <v>31</v>
      </c>
      <c r="H30" s="4" t="s">
        <v>31</v>
      </c>
      <c r="I30" s="4" t="s">
        <v>40</v>
      </c>
      <c r="J30" s="4" t="s">
        <v>33</v>
      </c>
      <c r="K30" s="4" t="s">
        <v>34</v>
      </c>
      <c r="L30" s="4" t="s">
        <v>35</v>
      </c>
      <c r="M30" s="154">
        <v>0.17799999999999999</v>
      </c>
      <c r="N30" s="4" t="s">
        <v>68</v>
      </c>
      <c r="O30" s="168">
        <v>0</v>
      </c>
      <c r="P30" s="169">
        <v>4.3180000000000003E-2</v>
      </c>
      <c r="R30" s="154">
        <v>1263600</v>
      </c>
      <c r="S30" s="154">
        <v>1</v>
      </c>
      <c r="T30" s="154">
        <v>99.26</v>
      </c>
      <c r="U30" s="154">
        <v>1254.249</v>
      </c>
      <c r="W30" s="4" t="s">
        <v>37</v>
      </c>
      <c r="X30" s="169">
        <v>6.9999999999999994E-5</v>
      </c>
      <c r="Y30" s="169">
        <v>0.121617355627642</v>
      </c>
      <c r="Z30" s="169">
        <v>4.0633529896779902E-2</v>
      </c>
    </row>
    <row r="31" spans="1:26">
      <c r="A31" s="4" t="s">
        <v>26</v>
      </c>
      <c r="B31" s="4">
        <v>9962</v>
      </c>
      <c r="C31" s="4" t="s">
        <v>101</v>
      </c>
      <c r="D31" s="4" t="s">
        <v>102</v>
      </c>
      <c r="E31" s="4" t="s">
        <v>103</v>
      </c>
      <c r="F31" s="4" t="s">
        <v>72</v>
      </c>
      <c r="G31" s="4" t="s">
        <v>73</v>
      </c>
      <c r="H31" s="4" t="s">
        <v>74</v>
      </c>
      <c r="I31" s="4" t="s">
        <v>75</v>
      </c>
      <c r="J31" s="4" t="s">
        <v>76</v>
      </c>
      <c r="K31" s="4" t="s">
        <v>104</v>
      </c>
      <c r="L31" s="4" t="s">
        <v>78</v>
      </c>
      <c r="M31" s="154">
        <v>0.55000000000000004</v>
      </c>
      <c r="N31" s="4" t="s">
        <v>105</v>
      </c>
      <c r="O31" s="168">
        <v>0</v>
      </c>
      <c r="P31" s="169">
        <v>5.1659999999999998E-2</v>
      </c>
      <c r="R31" s="154">
        <v>110000</v>
      </c>
      <c r="S31" s="154">
        <v>3.681</v>
      </c>
      <c r="T31" s="154">
        <v>97.096999999999994</v>
      </c>
      <c r="U31" s="154">
        <v>393.15600000000001</v>
      </c>
      <c r="W31" s="4" t="s">
        <v>37</v>
      </c>
      <c r="X31" s="169">
        <v>0</v>
      </c>
      <c r="Y31" s="169">
        <v>3.8122066068440798E-2</v>
      </c>
      <c r="Z31" s="169">
        <v>1.27369494536759E-2</v>
      </c>
    </row>
    <row r="32" spans="1:26">
      <c r="A32" s="4" t="s">
        <v>26</v>
      </c>
      <c r="B32" s="4">
        <v>9962</v>
      </c>
      <c r="C32" s="4" t="s">
        <v>69</v>
      </c>
      <c r="D32" s="4" t="s">
        <v>70</v>
      </c>
      <c r="E32" s="4" t="s">
        <v>71</v>
      </c>
      <c r="F32" s="4" t="s">
        <v>72</v>
      </c>
      <c r="G32" s="4" t="s">
        <v>73</v>
      </c>
      <c r="H32" s="4" t="s">
        <v>74</v>
      </c>
      <c r="I32" s="4" t="s">
        <v>75</v>
      </c>
      <c r="J32" s="4" t="s">
        <v>76</v>
      </c>
      <c r="K32" s="4" t="s">
        <v>77</v>
      </c>
      <c r="L32" s="4" t="s">
        <v>78</v>
      </c>
      <c r="M32" s="154">
        <v>7.57</v>
      </c>
      <c r="N32" s="4" t="s">
        <v>79</v>
      </c>
      <c r="O32" s="168">
        <v>3.3750000000000002E-2</v>
      </c>
      <c r="P32" s="169">
        <v>4.4089999999999997E-2</v>
      </c>
      <c r="R32" s="154">
        <v>176000</v>
      </c>
      <c r="S32" s="154">
        <v>3.681</v>
      </c>
      <c r="T32" s="154">
        <v>95.013999999999996</v>
      </c>
      <c r="U32" s="154">
        <v>615.553</v>
      </c>
      <c r="W32" s="4" t="s">
        <v>37</v>
      </c>
      <c r="X32" s="169">
        <v>1.9999999999999999E-6</v>
      </c>
      <c r="Y32" s="169">
        <v>5.96866000902374E-2</v>
      </c>
      <c r="Z32" s="169">
        <v>1.99418679734274E-2</v>
      </c>
    </row>
    <row r="33" spans="1:26">
      <c r="A33" s="4" t="s">
        <v>26</v>
      </c>
      <c r="B33" s="4">
        <v>9963</v>
      </c>
      <c r="C33" s="4" t="s">
        <v>27</v>
      </c>
      <c r="D33" s="4" t="s">
        <v>28</v>
      </c>
      <c r="E33" s="4" t="s">
        <v>29</v>
      </c>
      <c r="F33" s="4" t="s">
        <v>30</v>
      </c>
      <c r="G33" s="4" t="s">
        <v>31</v>
      </c>
      <c r="H33" s="4" t="s">
        <v>31</v>
      </c>
      <c r="I33" s="4" t="s">
        <v>32</v>
      </c>
      <c r="J33" s="4" t="s">
        <v>33</v>
      </c>
      <c r="K33" s="4" t="s">
        <v>34</v>
      </c>
      <c r="L33" s="4" t="s">
        <v>35</v>
      </c>
      <c r="M33" s="154">
        <v>0.94</v>
      </c>
      <c r="N33" s="4" t="s">
        <v>36</v>
      </c>
      <c r="O33" s="168">
        <v>0</v>
      </c>
      <c r="P33" s="169">
        <v>4.0960000000000003E-2</v>
      </c>
      <c r="R33" s="154">
        <v>20938440</v>
      </c>
      <c r="S33" s="154">
        <v>1</v>
      </c>
      <c r="T33" s="154">
        <v>96.38</v>
      </c>
      <c r="U33" s="154">
        <v>20180.468000000001</v>
      </c>
      <c r="W33" s="4" t="s">
        <v>37</v>
      </c>
      <c r="X33" s="169">
        <v>0</v>
      </c>
      <c r="Y33" s="169">
        <v>8.2128206682860194E-2</v>
      </c>
      <c r="Z33" s="169">
        <v>1.9641126972286298E-2</v>
      </c>
    </row>
    <row r="34" spans="1:26">
      <c r="A34" s="4" t="s">
        <v>26</v>
      </c>
      <c r="B34" s="4">
        <v>9963</v>
      </c>
      <c r="C34" s="4" t="s">
        <v>27</v>
      </c>
      <c r="D34" s="4" t="s">
        <v>38</v>
      </c>
      <c r="E34" s="4" t="s">
        <v>39</v>
      </c>
      <c r="F34" s="4" t="s">
        <v>30</v>
      </c>
      <c r="G34" s="4" t="s">
        <v>31</v>
      </c>
      <c r="H34" s="4" t="s">
        <v>31</v>
      </c>
      <c r="I34" s="4" t="s">
        <v>40</v>
      </c>
      <c r="J34" s="4" t="s">
        <v>33</v>
      </c>
      <c r="K34" s="4" t="s">
        <v>34</v>
      </c>
      <c r="L34" s="4" t="s">
        <v>35</v>
      </c>
      <c r="M34" s="154">
        <v>0.67700000000000005</v>
      </c>
      <c r="N34" s="4" t="s">
        <v>41</v>
      </c>
      <c r="O34" s="168">
        <v>0</v>
      </c>
      <c r="P34" s="169">
        <v>4.2380000000000001E-2</v>
      </c>
      <c r="R34" s="154">
        <v>2071000</v>
      </c>
      <c r="S34" s="154">
        <v>1</v>
      </c>
      <c r="T34" s="154">
        <v>97.22</v>
      </c>
      <c r="U34" s="154">
        <v>2013.4259999999999</v>
      </c>
      <c r="W34" s="4" t="s">
        <v>37</v>
      </c>
      <c r="X34" s="169">
        <v>1.4799999999999999E-4</v>
      </c>
      <c r="Y34" s="169">
        <v>8.1940160766692995E-3</v>
      </c>
      <c r="Z34" s="169">
        <v>1.9596155410563101E-3</v>
      </c>
    </row>
    <row r="35" spans="1:26">
      <c r="A35" s="4" t="s">
        <v>26</v>
      </c>
      <c r="B35" s="4">
        <v>9963</v>
      </c>
      <c r="C35" s="4" t="s">
        <v>27</v>
      </c>
      <c r="D35" s="4" t="s">
        <v>83</v>
      </c>
      <c r="E35" s="4" t="s">
        <v>84</v>
      </c>
      <c r="F35" s="4" t="s">
        <v>30</v>
      </c>
      <c r="G35" s="4" t="s">
        <v>31</v>
      </c>
      <c r="H35" s="4" t="s">
        <v>31</v>
      </c>
      <c r="I35" s="4" t="s">
        <v>40</v>
      </c>
      <c r="J35" s="4" t="s">
        <v>33</v>
      </c>
      <c r="K35" s="4" t="s">
        <v>34</v>
      </c>
      <c r="L35" s="4" t="s">
        <v>35</v>
      </c>
      <c r="M35" s="154">
        <v>0.86</v>
      </c>
      <c r="N35" s="4" t="s">
        <v>85</v>
      </c>
      <c r="O35" s="168">
        <v>0</v>
      </c>
      <c r="P35" s="169">
        <v>4.1309999999999999E-2</v>
      </c>
      <c r="R35" s="154">
        <v>8900000</v>
      </c>
      <c r="S35" s="154">
        <v>1</v>
      </c>
      <c r="T35" s="154">
        <v>96.63</v>
      </c>
      <c r="U35" s="154">
        <v>8600.07</v>
      </c>
      <c r="W35" s="4" t="s">
        <v>37</v>
      </c>
      <c r="X35" s="169">
        <v>0</v>
      </c>
      <c r="Y35" s="169">
        <v>3.4999600104777297E-2</v>
      </c>
      <c r="Z35" s="169">
        <v>8.3702252539338707E-3</v>
      </c>
    </row>
    <row r="36" spans="1:26">
      <c r="A36" s="4" t="s">
        <v>26</v>
      </c>
      <c r="B36" s="4">
        <v>9963</v>
      </c>
      <c r="C36" s="4" t="s">
        <v>27</v>
      </c>
      <c r="D36" s="4" t="s">
        <v>86</v>
      </c>
      <c r="E36" s="4" t="s">
        <v>87</v>
      </c>
      <c r="F36" s="4" t="s">
        <v>30</v>
      </c>
      <c r="G36" s="4" t="s">
        <v>31</v>
      </c>
      <c r="H36" s="4" t="s">
        <v>31</v>
      </c>
      <c r="I36" s="4" t="s">
        <v>40</v>
      </c>
      <c r="J36" s="4" t="s">
        <v>33</v>
      </c>
      <c r="K36" s="4" t="s">
        <v>34</v>
      </c>
      <c r="L36" s="4" t="s">
        <v>35</v>
      </c>
      <c r="M36" s="154">
        <v>0.35099999999999998</v>
      </c>
      <c r="N36" s="4" t="s">
        <v>88</v>
      </c>
      <c r="O36" s="168">
        <v>0</v>
      </c>
      <c r="P36" s="169">
        <v>4.283E-2</v>
      </c>
      <c r="R36" s="154">
        <v>22888000</v>
      </c>
      <c r="S36" s="154">
        <v>1</v>
      </c>
      <c r="T36" s="154">
        <v>98.55</v>
      </c>
      <c r="U36" s="154">
        <v>22556.124</v>
      </c>
      <c r="W36" s="4" t="s">
        <v>37</v>
      </c>
      <c r="X36" s="169">
        <v>1.2719999999999999E-3</v>
      </c>
      <c r="Y36" s="169">
        <v>9.1796383042669294E-2</v>
      </c>
      <c r="Z36" s="169">
        <v>2.1953290930848701E-2</v>
      </c>
    </row>
    <row r="37" spans="1:26">
      <c r="A37" s="4" t="s">
        <v>26</v>
      </c>
      <c r="B37" s="4">
        <v>9963</v>
      </c>
      <c r="C37" s="4" t="s">
        <v>42</v>
      </c>
      <c r="D37" s="4" t="s">
        <v>89</v>
      </c>
      <c r="E37" s="4" t="s">
        <v>90</v>
      </c>
      <c r="F37" s="4" t="s">
        <v>45</v>
      </c>
      <c r="G37" s="4" t="s">
        <v>31</v>
      </c>
      <c r="H37" s="4" t="s">
        <v>31</v>
      </c>
      <c r="I37" s="4" t="s">
        <v>40</v>
      </c>
      <c r="J37" s="4" t="s">
        <v>33</v>
      </c>
      <c r="K37" s="4" t="s">
        <v>34</v>
      </c>
      <c r="L37" s="4" t="s">
        <v>35</v>
      </c>
      <c r="M37" s="154">
        <v>3.1190000000000002</v>
      </c>
      <c r="N37" s="4" t="s">
        <v>91</v>
      </c>
      <c r="O37" s="168">
        <v>7.4999999999999997E-3</v>
      </c>
      <c r="P37" s="169">
        <v>1.1520000000000001E-2</v>
      </c>
      <c r="R37" s="154">
        <v>29000000</v>
      </c>
      <c r="S37" s="154">
        <v>1</v>
      </c>
      <c r="T37" s="154">
        <v>111.88</v>
      </c>
      <c r="U37" s="154">
        <v>32445.200000000001</v>
      </c>
      <c r="W37" s="4" t="s">
        <v>37</v>
      </c>
      <c r="X37" s="169">
        <v>1.3849999999999999E-3</v>
      </c>
      <c r="Y37" s="169">
        <v>0.132041835161751</v>
      </c>
      <c r="Z37" s="169">
        <v>3.1578072319055003E-2</v>
      </c>
    </row>
    <row r="38" spans="1:26">
      <c r="A38" s="4" t="s">
        <v>26</v>
      </c>
      <c r="B38" s="4">
        <v>9963</v>
      </c>
      <c r="C38" s="4" t="s">
        <v>42</v>
      </c>
      <c r="D38" s="4" t="s">
        <v>92</v>
      </c>
      <c r="E38" s="4" t="s">
        <v>93</v>
      </c>
      <c r="F38" s="4" t="s">
        <v>45</v>
      </c>
      <c r="G38" s="4" t="s">
        <v>31</v>
      </c>
      <c r="H38" s="4" t="s">
        <v>31</v>
      </c>
      <c r="I38" s="4" t="s">
        <v>40</v>
      </c>
      <c r="J38" s="4" t="s">
        <v>33</v>
      </c>
      <c r="K38" s="4" t="s">
        <v>34</v>
      </c>
      <c r="L38" s="4" t="s">
        <v>35</v>
      </c>
      <c r="M38" s="154">
        <v>1.5760000000000001</v>
      </c>
      <c r="N38" s="4" t="s">
        <v>94</v>
      </c>
      <c r="O38" s="168">
        <v>7.4999999999999997E-3</v>
      </c>
      <c r="P38" s="169">
        <v>7.9699999999999997E-3</v>
      </c>
      <c r="R38" s="154">
        <v>28513674</v>
      </c>
      <c r="S38" s="154">
        <v>1</v>
      </c>
      <c r="T38" s="154">
        <v>112.14</v>
      </c>
      <c r="U38" s="154">
        <v>31975.234</v>
      </c>
      <c r="W38" s="4" t="s">
        <v>37</v>
      </c>
      <c r="X38" s="169">
        <v>1.3140000000000001E-3</v>
      </c>
      <c r="Y38" s="169">
        <v>0.13012922035316801</v>
      </c>
      <c r="Z38" s="169">
        <v>3.1120666613734801E-2</v>
      </c>
    </row>
    <row r="39" spans="1:26">
      <c r="A39" s="4" t="s">
        <v>26</v>
      </c>
      <c r="B39" s="4">
        <v>9963</v>
      </c>
      <c r="C39" s="4" t="s">
        <v>42</v>
      </c>
      <c r="D39" s="4" t="s">
        <v>106</v>
      </c>
      <c r="E39" s="4" t="s">
        <v>107</v>
      </c>
      <c r="F39" s="4" t="s">
        <v>45</v>
      </c>
      <c r="G39" s="4" t="s">
        <v>31</v>
      </c>
      <c r="H39" s="4" t="s">
        <v>31</v>
      </c>
      <c r="I39" s="4" t="s">
        <v>40</v>
      </c>
      <c r="J39" s="4" t="s">
        <v>33</v>
      </c>
      <c r="K39" s="4" t="s">
        <v>34</v>
      </c>
      <c r="L39" s="4" t="s">
        <v>35</v>
      </c>
      <c r="M39" s="154">
        <v>7.6379999999999999</v>
      </c>
      <c r="N39" s="4" t="s">
        <v>108</v>
      </c>
      <c r="O39" s="168">
        <v>1E-3</v>
      </c>
      <c r="P39" s="169">
        <v>1.5559999999999999E-2</v>
      </c>
      <c r="R39" s="154">
        <v>500000</v>
      </c>
      <c r="S39" s="154">
        <v>1</v>
      </c>
      <c r="T39" s="154">
        <v>99.81</v>
      </c>
      <c r="U39" s="154">
        <v>499.05</v>
      </c>
      <c r="W39" s="4" t="s">
        <v>37</v>
      </c>
      <c r="X39" s="169">
        <v>1.9000000000000001E-5</v>
      </c>
      <c r="Y39" s="169">
        <v>2.0309777050988099E-3</v>
      </c>
      <c r="Z39" s="169">
        <v>4.8571243175645E-4</v>
      </c>
    </row>
    <row r="40" spans="1:26">
      <c r="A40" s="4" t="s">
        <v>26</v>
      </c>
      <c r="B40" s="4">
        <v>9963</v>
      </c>
      <c r="C40" s="4" t="s">
        <v>47</v>
      </c>
      <c r="D40" s="4" t="s">
        <v>95</v>
      </c>
      <c r="E40" s="4" t="s">
        <v>96</v>
      </c>
      <c r="F40" s="4" t="s">
        <v>50</v>
      </c>
      <c r="G40" s="4" t="s">
        <v>31</v>
      </c>
      <c r="H40" s="4" t="s">
        <v>31</v>
      </c>
      <c r="I40" s="4" t="s">
        <v>40</v>
      </c>
      <c r="J40" s="4" t="s">
        <v>33</v>
      </c>
      <c r="K40" s="4" t="s">
        <v>34</v>
      </c>
      <c r="L40" s="4" t="s">
        <v>35</v>
      </c>
      <c r="M40" s="154">
        <v>4.2690000000000001</v>
      </c>
      <c r="N40" s="4" t="s">
        <v>97</v>
      </c>
      <c r="O40" s="168">
        <v>2.2499999999999999E-2</v>
      </c>
      <c r="P40" s="169">
        <v>4.0719999999999999E-2</v>
      </c>
      <c r="R40" s="154">
        <v>761922</v>
      </c>
      <c r="S40" s="154">
        <v>1</v>
      </c>
      <c r="T40" s="154">
        <v>93.79</v>
      </c>
      <c r="U40" s="154">
        <v>714.60699999999997</v>
      </c>
      <c r="W40" s="4" t="s">
        <v>37</v>
      </c>
      <c r="X40" s="169">
        <v>2.8E-5</v>
      </c>
      <c r="Y40" s="169">
        <v>2.9082259522558601E-3</v>
      </c>
      <c r="Z40" s="169">
        <v>6.95508126859861E-4</v>
      </c>
    </row>
    <row r="41" spans="1:26">
      <c r="A41" s="4" t="s">
        <v>26</v>
      </c>
      <c r="B41" s="4">
        <v>9963</v>
      </c>
      <c r="C41" s="4" t="s">
        <v>47</v>
      </c>
      <c r="D41" s="4" t="s">
        <v>109</v>
      </c>
      <c r="E41" s="4" t="s">
        <v>110</v>
      </c>
      <c r="F41" s="4" t="s">
        <v>50</v>
      </c>
      <c r="G41" s="4" t="s">
        <v>31</v>
      </c>
      <c r="H41" s="4" t="s">
        <v>31</v>
      </c>
      <c r="I41" s="4" t="s">
        <v>40</v>
      </c>
      <c r="J41" s="4" t="s">
        <v>33</v>
      </c>
      <c r="K41" s="4" t="s">
        <v>34</v>
      </c>
      <c r="L41" s="4" t="s">
        <v>35</v>
      </c>
      <c r="M41" s="154">
        <v>9.08</v>
      </c>
      <c r="N41" s="4" t="s">
        <v>111</v>
      </c>
      <c r="O41" s="168">
        <v>0.04</v>
      </c>
      <c r="P41" s="169">
        <v>4.4549999999999999E-2</v>
      </c>
      <c r="R41" s="154">
        <v>5084000</v>
      </c>
      <c r="S41" s="154">
        <v>1</v>
      </c>
      <c r="T41" s="154">
        <v>96.13</v>
      </c>
      <c r="U41" s="154">
        <v>4887.2489999999998</v>
      </c>
      <c r="W41" s="4" t="s">
        <v>37</v>
      </c>
      <c r="X41" s="169">
        <v>9.2440000000000005E-3</v>
      </c>
      <c r="Y41" s="169">
        <v>1.9889578528127401E-2</v>
      </c>
      <c r="Z41" s="169">
        <v>4.75663298974405E-3</v>
      </c>
    </row>
    <row r="42" spans="1:26">
      <c r="A42" s="4" t="s">
        <v>26</v>
      </c>
      <c r="B42" s="4">
        <v>9963</v>
      </c>
      <c r="C42" s="4" t="s">
        <v>47</v>
      </c>
      <c r="D42" s="4" t="s">
        <v>48</v>
      </c>
      <c r="E42" s="4" t="s">
        <v>49</v>
      </c>
      <c r="F42" s="4" t="s">
        <v>50</v>
      </c>
      <c r="G42" s="4" t="s">
        <v>31</v>
      </c>
      <c r="H42" s="4" t="s">
        <v>31</v>
      </c>
      <c r="I42" s="4" t="s">
        <v>40</v>
      </c>
      <c r="J42" s="4" t="s">
        <v>33</v>
      </c>
      <c r="K42" s="4" t="s">
        <v>34</v>
      </c>
      <c r="L42" s="4" t="s">
        <v>35</v>
      </c>
      <c r="M42" s="154">
        <v>11.997999999999999</v>
      </c>
      <c r="N42" s="4" t="s">
        <v>51</v>
      </c>
      <c r="O42" s="168">
        <v>5.5E-2</v>
      </c>
      <c r="P42" s="169">
        <v>4.7149999999999997E-2</v>
      </c>
      <c r="R42" s="154">
        <v>29507877</v>
      </c>
      <c r="S42" s="154">
        <v>1</v>
      </c>
      <c r="T42" s="154">
        <v>110.25</v>
      </c>
      <c r="U42" s="154">
        <v>32532.434000000001</v>
      </c>
      <c r="W42" s="4" t="s">
        <v>37</v>
      </c>
      <c r="X42" s="169">
        <v>1.5560000000000001E-3</v>
      </c>
      <c r="Y42" s="169">
        <v>0.13239685190613601</v>
      </c>
      <c r="Z42" s="169">
        <v>3.1662975292532501E-2</v>
      </c>
    </row>
    <row r="43" spans="1:26">
      <c r="A43" s="4" t="s">
        <v>26</v>
      </c>
      <c r="B43" s="4">
        <v>9963</v>
      </c>
      <c r="C43" s="4" t="s">
        <v>52</v>
      </c>
      <c r="D43" s="4" t="s">
        <v>53</v>
      </c>
      <c r="E43" s="4" t="s">
        <v>54</v>
      </c>
      <c r="F43" s="4" t="s">
        <v>55</v>
      </c>
      <c r="G43" s="4" t="s">
        <v>31</v>
      </c>
      <c r="H43" s="4" t="s">
        <v>31</v>
      </c>
      <c r="I43" s="4" t="s">
        <v>40</v>
      </c>
      <c r="J43" s="4" t="s">
        <v>33</v>
      </c>
      <c r="K43" s="4" t="s">
        <v>34</v>
      </c>
      <c r="L43" s="4" t="s">
        <v>35</v>
      </c>
      <c r="M43" s="154">
        <v>2.0720000000000001</v>
      </c>
      <c r="N43" s="4" t="s">
        <v>56</v>
      </c>
      <c r="O43" s="168">
        <v>3.9399999999999998E-2</v>
      </c>
      <c r="P43" s="169">
        <v>4.743E-2</v>
      </c>
      <c r="R43" s="154">
        <v>2974000</v>
      </c>
      <c r="S43" s="154">
        <v>1</v>
      </c>
      <c r="T43" s="154">
        <v>99.22</v>
      </c>
      <c r="U43" s="154">
        <v>2950.8029999999999</v>
      </c>
      <c r="W43" s="4" t="s">
        <v>37</v>
      </c>
      <c r="X43" s="169">
        <v>1.3999999999999999E-4</v>
      </c>
      <c r="Y43" s="169">
        <v>1.20088462056771E-2</v>
      </c>
      <c r="Z43" s="169">
        <v>2.8719398930402598E-3</v>
      </c>
    </row>
    <row r="44" spans="1:26">
      <c r="A44" s="4" t="s">
        <v>26</v>
      </c>
      <c r="B44" s="4">
        <v>9963</v>
      </c>
      <c r="C44" s="4" t="s">
        <v>42</v>
      </c>
      <c r="D44" s="4" t="s">
        <v>112</v>
      </c>
      <c r="E44" s="4" t="s">
        <v>113</v>
      </c>
      <c r="F44" s="4" t="s">
        <v>45</v>
      </c>
      <c r="G44" s="4" t="s">
        <v>31</v>
      </c>
      <c r="H44" s="4" t="s">
        <v>31</v>
      </c>
      <c r="I44" s="4" t="s">
        <v>40</v>
      </c>
      <c r="J44" s="4" t="s">
        <v>33</v>
      </c>
      <c r="K44" s="4" t="s">
        <v>34</v>
      </c>
      <c r="L44" s="4" t="s">
        <v>35</v>
      </c>
      <c r="M44" s="154">
        <v>5.0910000000000002</v>
      </c>
      <c r="N44" s="4" t="s">
        <v>114</v>
      </c>
      <c r="O44" s="168">
        <v>5.0000000000000001E-3</v>
      </c>
      <c r="P44" s="169">
        <v>1.34E-2</v>
      </c>
      <c r="R44" s="154">
        <v>8172213</v>
      </c>
      <c r="S44" s="154">
        <v>1</v>
      </c>
      <c r="T44" s="154">
        <v>107.2</v>
      </c>
      <c r="U44" s="154">
        <v>8760.6119999999992</v>
      </c>
      <c r="W44" s="4" t="s">
        <v>37</v>
      </c>
      <c r="X44" s="169">
        <v>4.0200000000000001E-4</v>
      </c>
      <c r="Y44" s="169">
        <v>3.5652957293717202E-2</v>
      </c>
      <c r="Z44" s="169">
        <v>8.5264769489913194E-3</v>
      </c>
    </row>
    <row r="45" spans="1:26">
      <c r="A45" s="4" t="s">
        <v>26</v>
      </c>
      <c r="B45" s="4">
        <v>9963</v>
      </c>
      <c r="C45" s="4" t="s">
        <v>47</v>
      </c>
      <c r="D45" s="4" t="s">
        <v>60</v>
      </c>
      <c r="E45" s="4" t="s">
        <v>61</v>
      </c>
      <c r="F45" s="4" t="s">
        <v>50</v>
      </c>
      <c r="G45" s="4" t="s">
        <v>31</v>
      </c>
      <c r="H45" s="4" t="s">
        <v>31</v>
      </c>
      <c r="I45" s="4" t="s">
        <v>40</v>
      </c>
      <c r="J45" s="4" t="s">
        <v>33</v>
      </c>
      <c r="K45" s="4" t="s">
        <v>34</v>
      </c>
      <c r="L45" s="4" t="s">
        <v>35</v>
      </c>
      <c r="M45" s="154">
        <v>5.8360000000000003</v>
      </c>
      <c r="N45" s="4" t="s">
        <v>62</v>
      </c>
      <c r="O45" s="168">
        <v>0.01</v>
      </c>
      <c r="P45" s="169">
        <v>4.1730000000000003E-2</v>
      </c>
      <c r="R45" s="154">
        <v>22834018</v>
      </c>
      <c r="S45" s="154">
        <v>1</v>
      </c>
      <c r="T45" s="154">
        <v>83.47</v>
      </c>
      <c r="U45" s="154">
        <v>19059.555</v>
      </c>
      <c r="W45" s="4" t="s">
        <v>37</v>
      </c>
      <c r="X45" s="169">
        <v>6.0499999999999996E-4</v>
      </c>
      <c r="Y45" s="169">
        <v>7.7566438068071397E-2</v>
      </c>
      <c r="Z45" s="169">
        <v>1.8550170768563998E-2</v>
      </c>
    </row>
    <row r="46" spans="1:26">
      <c r="A46" s="4" t="s">
        <v>26</v>
      </c>
      <c r="B46" s="4">
        <v>9963</v>
      </c>
      <c r="C46" s="4" t="s">
        <v>27</v>
      </c>
      <c r="D46" s="4" t="s">
        <v>63</v>
      </c>
      <c r="E46" s="4" t="s">
        <v>64</v>
      </c>
      <c r="F46" s="4" t="s">
        <v>30</v>
      </c>
      <c r="G46" s="4" t="s">
        <v>31</v>
      </c>
      <c r="H46" s="4" t="s">
        <v>31</v>
      </c>
      <c r="I46" s="4" t="s">
        <v>40</v>
      </c>
      <c r="J46" s="4" t="s">
        <v>33</v>
      </c>
      <c r="K46" s="4" t="s">
        <v>34</v>
      </c>
      <c r="L46" s="4" t="s">
        <v>35</v>
      </c>
      <c r="M46" s="154">
        <v>0.10100000000000001</v>
      </c>
      <c r="N46" s="4" t="s">
        <v>65</v>
      </c>
      <c r="O46" s="168">
        <v>0</v>
      </c>
      <c r="P46" s="169">
        <v>4.3430000000000003E-2</v>
      </c>
      <c r="R46" s="154">
        <v>25200000</v>
      </c>
      <c r="S46" s="154">
        <v>1</v>
      </c>
      <c r="T46" s="154">
        <v>99.58</v>
      </c>
      <c r="U46" s="154">
        <v>25094.16</v>
      </c>
      <c r="W46" s="4" t="s">
        <v>37</v>
      </c>
      <c r="X46" s="169">
        <v>1.4E-3</v>
      </c>
      <c r="Y46" s="169">
        <v>0.102125397231104</v>
      </c>
      <c r="Z46" s="169">
        <v>2.4423495594600601E-2</v>
      </c>
    </row>
    <row r="47" spans="1:26">
      <c r="A47" s="4" t="s">
        <v>26</v>
      </c>
      <c r="B47" s="4">
        <v>9963</v>
      </c>
      <c r="C47" s="4" t="s">
        <v>27</v>
      </c>
      <c r="D47" s="4" t="s">
        <v>66</v>
      </c>
      <c r="E47" s="4" t="s">
        <v>67</v>
      </c>
      <c r="F47" s="4" t="s">
        <v>30</v>
      </c>
      <c r="G47" s="4" t="s">
        <v>31</v>
      </c>
      <c r="H47" s="4" t="s">
        <v>31</v>
      </c>
      <c r="I47" s="4" t="s">
        <v>40</v>
      </c>
      <c r="J47" s="4" t="s">
        <v>33</v>
      </c>
      <c r="K47" s="4" t="s">
        <v>34</v>
      </c>
      <c r="L47" s="4" t="s">
        <v>35</v>
      </c>
      <c r="M47" s="154">
        <v>0.17799999999999999</v>
      </c>
      <c r="N47" s="4" t="s">
        <v>68</v>
      </c>
      <c r="O47" s="168">
        <v>0</v>
      </c>
      <c r="P47" s="169">
        <v>4.3180000000000003E-2</v>
      </c>
      <c r="R47" s="154">
        <v>17856000</v>
      </c>
      <c r="S47" s="154">
        <v>1</v>
      </c>
      <c r="T47" s="154">
        <v>99.26</v>
      </c>
      <c r="U47" s="154">
        <v>17723.866000000002</v>
      </c>
      <c r="W47" s="4" t="s">
        <v>37</v>
      </c>
      <c r="X47" s="169">
        <v>9.9200000000000004E-4</v>
      </c>
      <c r="Y47" s="169">
        <v>7.21305999033518E-2</v>
      </c>
      <c r="Z47" s="169">
        <v>1.72501790616181E-2</v>
      </c>
    </row>
    <row r="48" spans="1:26">
      <c r="A48" s="4" t="s">
        <v>26</v>
      </c>
      <c r="B48" s="4">
        <v>9963</v>
      </c>
      <c r="C48" s="4" t="s">
        <v>101</v>
      </c>
      <c r="D48" s="4" t="s">
        <v>102</v>
      </c>
      <c r="E48" s="4" t="s">
        <v>103</v>
      </c>
      <c r="F48" s="4" t="s">
        <v>72</v>
      </c>
      <c r="G48" s="4" t="s">
        <v>73</v>
      </c>
      <c r="H48" s="4" t="s">
        <v>74</v>
      </c>
      <c r="I48" s="4" t="s">
        <v>75</v>
      </c>
      <c r="J48" s="4" t="s">
        <v>76</v>
      </c>
      <c r="K48" s="4" t="s">
        <v>104</v>
      </c>
      <c r="L48" s="4" t="s">
        <v>78</v>
      </c>
      <c r="M48" s="154">
        <v>0.55000000000000004</v>
      </c>
      <c r="N48" s="4" t="s">
        <v>105</v>
      </c>
      <c r="O48" s="168">
        <v>0</v>
      </c>
      <c r="P48" s="169">
        <v>5.1659999999999998E-2</v>
      </c>
      <c r="R48" s="154">
        <v>4400000</v>
      </c>
      <c r="S48" s="154">
        <v>3.681</v>
      </c>
      <c r="T48" s="154">
        <v>97.096999999999994</v>
      </c>
      <c r="U48" s="154">
        <v>15726.235000000001</v>
      </c>
      <c r="W48" s="4" t="s">
        <v>37</v>
      </c>
      <c r="X48" s="169">
        <v>0</v>
      </c>
      <c r="Y48" s="169">
        <v>6.4000865784565694E-2</v>
      </c>
      <c r="Z48" s="169">
        <v>1.53059366809875E-2</v>
      </c>
    </row>
    <row r="49" spans="1:26">
      <c r="A49" s="4" t="s">
        <v>26</v>
      </c>
      <c r="B49" s="4">
        <v>9964</v>
      </c>
      <c r="C49" s="4" t="s">
        <v>27</v>
      </c>
      <c r="D49" s="4" t="s">
        <v>38</v>
      </c>
      <c r="E49" s="4" t="s">
        <v>39</v>
      </c>
      <c r="F49" s="4" t="s">
        <v>30</v>
      </c>
      <c r="G49" s="4" t="s">
        <v>31</v>
      </c>
      <c r="H49" s="4" t="s">
        <v>31</v>
      </c>
      <c r="I49" s="4" t="s">
        <v>40</v>
      </c>
      <c r="J49" s="4" t="s">
        <v>33</v>
      </c>
      <c r="K49" s="4" t="s">
        <v>34</v>
      </c>
      <c r="L49" s="4" t="s">
        <v>35</v>
      </c>
      <c r="M49" s="154">
        <v>0.67700000000000005</v>
      </c>
      <c r="N49" s="4" t="s">
        <v>41</v>
      </c>
      <c r="O49" s="168">
        <v>0</v>
      </c>
      <c r="P49" s="169">
        <v>4.2380000000000001E-2</v>
      </c>
      <c r="R49" s="154">
        <v>4044000</v>
      </c>
      <c r="S49" s="154">
        <v>1</v>
      </c>
      <c r="T49" s="154">
        <v>97.22</v>
      </c>
      <c r="U49" s="154">
        <v>3931.5770000000002</v>
      </c>
      <c r="W49" s="4" t="s">
        <v>37</v>
      </c>
      <c r="X49" s="169">
        <v>2.8899999999999998E-4</v>
      </c>
      <c r="Y49" s="169">
        <v>0.28239795111541299</v>
      </c>
      <c r="Z49" s="169">
        <v>0.11333575505910699</v>
      </c>
    </row>
    <row r="50" spans="1:26">
      <c r="A50" s="4" t="s">
        <v>26</v>
      </c>
      <c r="B50" s="4">
        <v>9964</v>
      </c>
      <c r="C50" s="4" t="s">
        <v>27</v>
      </c>
      <c r="D50" s="4" t="s">
        <v>115</v>
      </c>
      <c r="E50" s="4" t="s">
        <v>116</v>
      </c>
      <c r="F50" s="4" t="s">
        <v>30</v>
      </c>
      <c r="G50" s="4" t="s">
        <v>31</v>
      </c>
      <c r="H50" s="4" t="s">
        <v>31</v>
      </c>
      <c r="I50" s="4" t="s">
        <v>40</v>
      </c>
      <c r="J50" s="4" t="s">
        <v>33</v>
      </c>
      <c r="K50" s="4" t="s">
        <v>34</v>
      </c>
      <c r="L50" s="4" t="s">
        <v>35</v>
      </c>
      <c r="M50" s="154">
        <v>0.42699999999999999</v>
      </c>
      <c r="N50" s="4" t="s">
        <v>117</v>
      </c>
      <c r="O50" s="168">
        <v>0</v>
      </c>
      <c r="P50" s="169">
        <v>4.317E-2</v>
      </c>
      <c r="R50" s="154">
        <v>680000</v>
      </c>
      <c r="S50" s="154">
        <v>1</v>
      </c>
      <c r="T50" s="154">
        <v>98.21</v>
      </c>
      <c r="U50" s="154">
        <v>667.82799999999997</v>
      </c>
      <c r="W50" s="4" t="s">
        <v>37</v>
      </c>
      <c r="X50" s="169">
        <v>3.8000000000000002E-5</v>
      </c>
      <c r="Y50" s="169">
        <v>4.7968860457591501E-2</v>
      </c>
      <c r="Z50" s="169">
        <v>1.9251510139548501E-2</v>
      </c>
    </row>
    <row r="51" spans="1:26">
      <c r="A51" s="4" t="s">
        <v>26</v>
      </c>
      <c r="B51" s="4">
        <v>9964</v>
      </c>
      <c r="C51" s="4" t="s">
        <v>42</v>
      </c>
      <c r="D51" s="4" t="s">
        <v>89</v>
      </c>
      <c r="E51" s="4" t="s">
        <v>90</v>
      </c>
      <c r="F51" s="4" t="s">
        <v>45</v>
      </c>
      <c r="G51" s="4" t="s">
        <v>31</v>
      </c>
      <c r="H51" s="4" t="s">
        <v>31</v>
      </c>
      <c r="I51" s="4" t="s">
        <v>40</v>
      </c>
      <c r="J51" s="4" t="s">
        <v>33</v>
      </c>
      <c r="K51" s="4" t="s">
        <v>34</v>
      </c>
      <c r="L51" s="4" t="s">
        <v>35</v>
      </c>
      <c r="M51" s="154">
        <v>3.1190000000000002</v>
      </c>
      <c r="N51" s="4" t="s">
        <v>91</v>
      </c>
      <c r="O51" s="168">
        <v>7.4999999999999997E-3</v>
      </c>
      <c r="P51" s="169">
        <v>1.1520000000000001E-2</v>
      </c>
      <c r="R51" s="154">
        <v>638200</v>
      </c>
      <c r="S51" s="154">
        <v>1</v>
      </c>
      <c r="T51" s="154">
        <v>111.88</v>
      </c>
      <c r="U51" s="154">
        <v>714.01800000000003</v>
      </c>
      <c r="W51" s="4" t="s">
        <v>37</v>
      </c>
      <c r="X51" s="169">
        <v>3.0000000000000001E-5</v>
      </c>
      <c r="Y51" s="169">
        <v>5.1286614938616297E-2</v>
      </c>
      <c r="Z51" s="169">
        <v>2.0583036121668698E-2</v>
      </c>
    </row>
    <row r="52" spans="1:26">
      <c r="A52" s="4" t="s">
        <v>26</v>
      </c>
      <c r="B52" s="4">
        <v>9964</v>
      </c>
      <c r="C52" s="4" t="s">
        <v>42</v>
      </c>
      <c r="D52" s="4" t="s">
        <v>92</v>
      </c>
      <c r="E52" s="4" t="s">
        <v>93</v>
      </c>
      <c r="F52" s="4" t="s">
        <v>45</v>
      </c>
      <c r="G52" s="4" t="s">
        <v>31</v>
      </c>
      <c r="H52" s="4" t="s">
        <v>31</v>
      </c>
      <c r="I52" s="4" t="s">
        <v>40</v>
      </c>
      <c r="J52" s="4" t="s">
        <v>33</v>
      </c>
      <c r="K52" s="4" t="s">
        <v>34</v>
      </c>
      <c r="L52" s="4" t="s">
        <v>35</v>
      </c>
      <c r="M52" s="154">
        <v>1.5760000000000001</v>
      </c>
      <c r="N52" s="4" t="s">
        <v>94</v>
      </c>
      <c r="O52" s="168">
        <v>7.4999999999999997E-3</v>
      </c>
      <c r="P52" s="169">
        <v>7.9699999999999997E-3</v>
      </c>
      <c r="R52" s="154">
        <v>2545195</v>
      </c>
      <c r="S52" s="154">
        <v>1</v>
      </c>
      <c r="T52" s="154">
        <v>112.14</v>
      </c>
      <c r="U52" s="154">
        <v>2854.1819999999998</v>
      </c>
      <c r="W52" s="4" t="s">
        <v>37</v>
      </c>
      <c r="X52" s="169">
        <v>1.17E-4</v>
      </c>
      <c r="Y52" s="169">
        <v>0.205010635062849</v>
      </c>
      <c r="Z52" s="169">
        <v>8.2277633489271196E-2</v>
      </c>
    </row>
    <row r="53" spans="1:26">
      <c r="A53" s="4" t="s">
        <v>26</v>
      </c>
      <c r="B53" s="4">
        <v>9964</v>
      </c>
      <c r="C53" s="4" t="s">
        <v>47</v>
      </c>
      <c r="D53" s="4" t="s">
        <v>48</v>
      </c>
      <c r="E53" s="4" t="s">
        <v>49</v>
      </c>
      <c r="F53" s="4" t="s">
        <v>50</v>
      </c>
      <c r="G53" s="4" t="s">
        <v>31</v>
      </c>
      <c r="H53" s="4" t="s">
        <v>31</v>
      </c>
      <c r="I53" s="4" t="s">
        <v>40</v>
      </c>
      <c r="J53" s="4" t="s">
        <v>33</v>
      </c>
      <c r="K53" s="4" t="s">
        <v>34</v>
      </c>
      <c r="L53" s="4" t="s">
        <v>35</v>
      </c>
      <c r="M53" s="154">
        <v>11.997999999999999</v>
      </c>
      <c r="N53" s="4" t="s">
        <v>51</v>
      </c>
      <c r="O53" s="168">
        <v>5.5E-2</v>
      </c>
      <c r="P53" s="169">
        <v>4.7149999999999997E-2</v>
      </c>
      <c r="R53" s="154">
        <v>708654</v>
      </c>
      <c r="S53" s="154">
        <v>1</v>
      </c>
      <c r="T53" s="154">
        <v>110.25</v>
      </c>
      <c r="U53" s="154">
        <v>781.29100000000005</v>
      </c>
      <c r="W53" s="4" t="s">
        <v>37</v>
      </c>
      <c r="X53" s="169">
        <v>3.6999999999999998E-5</v>
      </c>
      <c r="Y53" s="169">
        <v>5.6118702172838299E-2</v>
      </c>
      <c r="Z53" s="169">
        <v>2.2522314551412698E-2</v>
      </c>
    </row>
    <row r="54" spans="1:26">
      <c r="A54" s="4" t="s">
        <v>26</v>
      </c>
      <c r="B54" s="4">
        <v>9964</v>
      </c>
      <c r="C54" s="4" t="s">
        <v>52</v>
      </c>
      <c r="D54" s="4" t="s">
        <v>53</v>
      </c>
      <c r="E54" s="4" t="s">
        <v>54</v>
      </c>
      <c r="F54" s="4" t="s">
        <v>55</v>
      </c>
      <c r="G54" s="4" t="s">
        <v>31</v>
      </c>
      <c r="H54" s="4" t="s">
        <v>31</v>
      </c>
      <c r="I54" s="4" t="s">
        <v>40</v>
      </c>
      <c r="J54" s="4" t="s">
        <v>33</v>
      </c>
      <c r="K54" s="4" t="s">
        <v>34</v>
      </c>
      <c r="L54" s="4" t="s">
        <v>35</v>
      </c>
      <c r="M54" s="154">
        <v>2.0720000000000001</v>
      </c>
      <c r="N54" s="4" t="s">
        <v>56</v>
      </c>
      <c r="O54" s="168">
        <v>3.9399999999999998E-2</v>
      </c>
      <c r="P54" s="169">
        <v>4.743E-2</v>
      </c>
      <c r="R54" s="154">
        <v>94000</v>
      </c>
      <c r="S54" s="154">
        <v>1</v>
      </c>
      <c r="T54" s="154">
        <v>99.22</v>
      </c>
      <c r="U54" s="154">
        <v>93.266999999999996</v>
      </c>
      <c r="W54" s="4" t="s">
        <v>37</v>
      </c>
      <c r="X54" s="169">
        <v>3.9999999999999998E-6</v>
      </c>
      <c r="Y54" s="169">
        <v>6.6991831946640401E-3</v>
      </c>
      <c r="Z54" s="169">
        <v>2.6886065661865699E-3</v>
      </c>
    </row>
    <row r="55" spans="1:26">
      <c r="A55" s="4" t="s">
        <v>26</v>
      </c>
      <c r="B55" s="4">
        <v>9964</v>
      </c>
      <c r="C55" s="4" t="s">
        <v>42</v>
      </c>
      <c r="D55" s="4" t="s">
        <v>57</v>
      </c>
      <c r="E55" s="4" t="s">
        <v>58</v>
      </c>
      <c r="F55" s="4" t="s">
        <v>45</v>
      </c>
      <c r="G55" s="4" t="s">
        <v>31</v>
      </c>
      <c r="H55" s="4" t="s">
        <v>31</v>
      </c>
      <c r="I55" s="4" t="s">
        <v>40</v>
      </c>
      <c r="J55" s="4" t="s">
        <v>33</v>
      </c>
      <c r="K55" s="4" t="s">
        <v>34</v>
      </c>
      <c r="L55" s="4" t="s">
        <v>35</v>
      </c>
      <c r="M55" s="154">
        <v>2.3279999999999998</v>
      </c>
      <c r="N55" s="4" t="s">
        <v>59</v>
      </c>
      <c r="O55" s="168">
        <v>1E-3</v>
      </c>
      <c r="P55" s="169">
        <v>1.0410000000000001E-2</v>
      </c>
      <c r="R55" s="154">
        <v>1320000</v>
      </c>
      <c r="S55" s="154">
        <v>1</v>
      </c>
      <c r="T55" s="154">
        <v>109.23</v>
      </c>
      <c r="U55" s="154">
        <v>1441.836</v>
      </c>
      <c r="W55" s="4" t="s">
        <v>37</v>
      </c>
      <c r="X55" s="169">
        <v>6.6000000000000005E-5</v>
      </c>
      <c r="Y55" s="169">
        <v>0.10356443558331201</v>
      </c>
      <c r="Z55" s="169">
        <v>4.15638762878556E-2</v>
      </c>
    </row>
    <row r="56" spans="1:26">
      <c r="A56" s="4" t="s">
        <v>26</v>
      </c>
      <c r="B56" s="4">
        <v>9964</v>
      </c>
      <c r="C56" s="4" t="s">
        <v>47</v>
      </c>
      <c r="D56" s="4" t="s">
        <v>60</v>
      </c>
      <c r="E56" s="4" t="s">
        <v>61</v>
      </c>
      <c r="F56" s="4" t="s">
        <v>50</v>
      </c>
      <c r="G56" s="4" t="s">
        <v>31</v>
      </c>
      <c r="H56" s="4" t="s">
        <v>31</v>
      </c>
      <c r="I56" s="4" t="s">
        <v>40</v>
      </c>
      <c r="J56" s="4" t="s">
        <v>33</v>
      </c>
      <c r="K56" s="4" t="s">
        <v>34</v>
      </c>
      <c r="L56" s="4" t="s">
        <v>35</v>
      </c>
      <c r="M56" s="154">
        <v>5.8360000000000003</v>
      </c>
      <c r="N56" s="4" t="s">
        <v>62</v>
      </c>
      <c r="O56" s="168">
        <v>0.01</v>
      </c>
      <c r="P56" s="169">
        <v>4.1730000000000003E-2</v>
      </c>
      <c r="R56" s="154">
        <v>2150000</v>
      </c>
      <c r="S56" s="154">
        <v>1</v>
      </c>
      <c r="T56" s="154">
        <v>83.47</v>
      </c>
      <c r="U56" s="154">
        <v>1794.605</v>
      </c>
      <c r="W56" s="4" t="s">
        <v>37</v>
      </c>
      <c r="X56" s="169">
        <v>5.7000000000000003E-5</v>
      </c>
      <c r="Y56" s="169">
        <v>0.12890318588243699</v>
      </c>
      <c r="Z56" s="169">
        <v>5.1733165356924897E-2</v>
      </c>
    </row>
    <row r="57" spans="1:26">
      <c r="A57" s="4" t="s">
        <v>26</v>
      </c>
      <c r="B57" s="4">
        <v>9964</v>
      </c>
      <c r="C57" s="4" t="s">
        <v>27</v>
      </c>
      <c r="D57" s="4" t="s">
        <v>63</v>
      </c>
      <c r="E57" s="4" t="s">
        <v>64</v>
      </c>
      <c r="F57" s="4" t="s">
        <v>30</v>
      </c>
      <c r="G57" s="4" t="s">
        <v>31</v>
      </c>
      <c r="H57" s="4" t="s">
        <v>31</v>
      </c>
      <c r="I57" s="4" t="s">
        <v>40</v>
      </c>
      <c r="J57" s="4" t="s">
        <v>33</v>
      </c>
      <c r="K57" s="4" t="s">
        <v>34</v>
      </c>
      <c r="L57" s="4" t="s">
        <v>35</v>
      </c>
      <c r="M57" s="154">
        <v>0.10100000000000001</v>
      </c>
      <c r="N57" s="4" t="s">
        <v>65</v>
      </c>
      <c r="O57" s="168">
        <v>0</v>
      </c>
      <c r="P57" s="169">
        <v>4.3430000000000003E-2</v>
      </c>
      <c r="R57" s="154">
        <v>600000</v>
      </c>
      <c r="S57" s="154">
        <v>1</v>
      </c>
      <c r="T57" s="154">
        <v>99.58</v>
      </c>
      <c r="U57" s="154">
        <v>597.48</v>
      </c>
      <c r="W57" s="4" t="s">
        <v>37</v>
      </c>
      <c r="X57" s="169">
        <v>3.3000000000000003E-5</v>
      </c>
      <c r="Y57" s="169">
        <v>4.2915892634333701E-2</v>
      </c>
      <c r="Z57" s="169">
        <v>1.7223584932314101E-2</v>
      </c>
    </row>
    <row r="58" spans="1:26">
      <c r="A58" s="4" t="s">
        <v>26</v>
      </c>
      <c r="B58" s="4">
        <v>9964</v>
      </c>
      <c r="C58" s="4" t="s">
        <v>27</v>
      </c>
      <c r="D58" s="4" t="s">
        <v>66</v>
      </c>
      <c r="E58" s="4" t="s">
        <v>67</v>
      </c>
      <c r="F58" s="4" t="s">
        <v>30</v>
      </c>
      <c r="G58" s="4" t="s">
        <v>31</v>
      </c>
      <c r="H58" s="4" t="s">
        <v>31</v>
      </c>
      <c r="I58" s="4" t="s">
        <v>40</v>
      </c>
      <c r="J58" s="4" t="s">
        <v>33</v>
      </c>
      <c r="K58" s="4" t="s">
        <v>34</v>
      </c>
      <c r="L58" s="4" t="s">
        <v>35</v>
      </c>
      <c r="M58" s="154">
        <v>0.17799999999999999</v>
      </c>
      <c r="N58" s="4" t="s">
        <v>68</v>
      </c>
      <c r="O58" s="168">
        <v>0</v>
      </c>
      <c r="P58" s="169">
        <v>4.3180000000000003E-2</v>
      </c>
      <c r="R58" s="154">
        <v>225800</v>
      </c>
      <c r="S58" s="154">
        <v>1</v>
      </c>
      <c r="T58" s="154">
        <v>99.26</v>
      </c>
      <c r="U58" s="154">
        <v>224.12899999999999</v>
      </c>
      <c r="W58" s="4" t="s">
        <v>37</v>
      </c>
      <c r="X58" s="169">
        <v>1.2999999999999999E-5</v>
      </c>
      <c r="Y58" s="169">
        <v>1.6098780768413999E-2</v>
      </c>
      <c r="Z58" s="169">
        <v>6.4609798573699801E-3</v>
      </c>
    </row>
    <row r="59" spans="1:26">
      <c r="A59" s="4" t="s">
        <v>26</v>
      </c>
      <c r="B59" s="4">
        <v>9964</v>
      </c>
      <c r="C59" s="4" t="s">
        <v>69</v>
      </c>
      <c r="D59" s="4" t="s">
        <v>70</v>
      </c>
      <c r="E59" s="4" t="s">
        <v>71</v>
      </c>
      <c r="F59" s="4" t="s">
        <v>72</v>
      </c>
      <c r="G59" s="4" t="s">
        <v>73</v>
      </c>
      <c r="H59" s="4" t="s">
        <v>74</v>
      </c>
      <c r="I59" s="4" t="s">
        <v>75</v>
      </c>
      <c r="J59" s="4" t="s">
        <v>76</v>
      </c>
      <c r="K59" s="4" t="s">
        <v>77</v>
      </c>
      <c r="L59" s="4" t="s">
        <v>78</v>
      </c>
      <c r="M59" s="154">
        <v>7.57</v>
      </c>
      <c r="N59" s="4" t="s">
        <v>79</v>
      </c>
      <c r="O59" s="168">
        <v>3.3750000000000002E-2</v>
      </c>
      <c r="P59" s="169">
        <v>4.4089999999999997E-2</v>
      </c>
      <c r="R59" s="154">
        <v>235000</v>
      </c>
      <c r="S59" s="154">
        <v>3.681</v>
      </c>
      <c r="T59" s="154">
        <v>95.013999999999996</v>
      </c>
      <c r="U59" s="154">
        <v>821.90300000000002</v>
      </c>
      <c r="W59" s="4" t="s">
        <v>37</v>
      </c>
      <c r="X59" s="169">
        <v>1.9999999999999999E-6</v>
      </c>
      <c r="Y59" s="169">
        <v>5.9035758189531502E-2</v>
      </c>
      <c r="Z59" s="169">
        <v>2.36930268207327E-2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U1" zoomScale="70" zoomScaleNormal="70" workbookViewId="0">
      <selection activeCell="AK2" sqref="AK2"/>
    </sheetView>
  </sheetViews>
  <sheetFormatPr defaultColWidth="11.625" defaultRowHeight="14.25"/>
  <cols>
    <col min="1" max="19" width="11.625" style="4" customWidth="1"/>
    <col min="20" max="20" width="22.875" style="4" customWidth="1"/>
    <col min="2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141</v>
      </c>
      <c r="E1" s="22" t="s">
        <v>142</v>
      </c>
      <c r="F1" s="22" t="s">
        <v>3</v>
      </c>
      <c r="G1" s="22" t="s">
        <v>4</v>
      </c>
      <c r="H1" s="22" t="s">
        <v>143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144</v>
      </c>
      <c r="N1" s="22" t="s">
        <v>123</v>
      </c>
      <c r="O1" s="22" t="s">
        <v>9</v>
      </c>
      <c r="P1" s="22" t="s">
        <v>10</v>
      </c>
      <c r="Q1" s="22" t="s">
        <v>173</v>
      </c>
      <c r="R1" s="22" t="s">
        <v>11</v>
      </c>
      <c r="S1" s="22" t="s">
        <v>12</v>
      </c>
      <c r="T1" s="22" t="s">
        <v>909</v>
      </c>
      <c r="U1" s="22" t="s">
        <v>13</v>
      </c>
      <c r="V1" s="162" t="s">
        <v>14</v>
      </c>
      <c r="W1" s="166" t="s">
        <v>15</v>
      </c>
      <c r="X1" s="22" t="s">
        <v>409</v>
      </c>
      <c r="Y1" s="22" t="s">
        <v>830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160</v>
      </c>
      <c r="AG1" s="22" t="s">
        <v>22</v>
      </c>
      <c r="AH1" s="166" t="s">
        <v>23</v>
      </c>
      <c r="AI1" s="166" t="s">
        <v>24</v>
      </c>
      <c r="AJ1" s="166" t="s">
        <v>25</v>
      </c>
    </row>
    <row r="2" spans="1:36">
      <c r="A2" s="21" t="s">
        <v>26</v>
      </c>
      <c r="B2" s="21">
        <v>1405</v>
      </c>
      <c r="C2" s="21" t="s">
        <v>2026</v>
      </c>
      <c r="D2" s="21" t="s">
        <v>2027</v>
      </c>
      <c r="E2" s="21" t="s">
        <v>1305</v>
      </c>
      <c r="F2" s="21" t="s">
        <v>2436</v>
      </c>
      <c r="G2" s="21" t="s">
        <v>2437</v>
      </c>
      <c r="H2" s="21" t="s">
        <v>319</v>
      </c>
      <c r="I2" s="21" t="s">
        <v>50</v>
      </c>
      <c r="J2" s="21" t="s">
        <v>31</v>
      </c>
      <c r="K2" s="21" t="s">
        <v>31</v>
      </c>
      <c r="L2" s="21" t="s">
        <v>40</v>
      </c>
      <c r="M2" s="21" t="s">
        <v>461</v>
      </c>
      <c r="N2" s="21" t="s">
        <v>136</v>
      </c>
      <c r="O2" s="4" t="s">
        <v>1758</v>
      </c>
      <c r="P2" s="21" t="s">
        <v>412</v>
      </c>
      <c r="Q2" s="21" t="s">
        <v>405</v>
      </c>
      <c r="R2" s="21" t="s">
        <v>35</v>
      </c>
      <c r="S2" s="155">
        <v>0.214</v>
      </c>
      <c r="T2" s="23" t="s">
        <v>910</v>
      </c>
      <c r="U2" s="21" t="s">
        <v>2438</v>
      </c>
      <c r="V2" s="170">
        <v>0.10199999999999999</v>
      </c>
      <c r="W2" s="169">
        <v>6.6839999999999997E-2</v>
      </c>
      <c r="X2" s="21" t="s">
        <v>411</v>
      </c>
      <c r="Y2" s="21" t="s">
        <v>136</v>
      </c>
      <c r="Z2" s="155">
        <v>2300</v>
      </c>
      <c r="AA2" s="155">
        <v>1</v>
      </c>
      <c r="AB2" s="155">
        <v>1044.33</v>
      </c>
      <c r="AC2" s="21"/>
      <c r="AD2" s="155">
        <v>24.02</v>
      </c>
      <c r="AE2" s="21"/>
      <c r="AG2" s="21" t="s">
        <v>37</v>
      </c>
      <c r="AH2" s="169">
        <v>1.5300000000000001E-4</v>
      </c>
      <c r="AI2" s="169">
        <v>1</v>
      </c>
      <c r="AJ2" s="169">
        <v>2.27172531251278E-3</v>
      </c>
    </row>
    <row r="3" spans="1:36">
      <c r="A3" s="21" t="s">
        <v>26</v>
      </c>
      <c r="B3" s="21">
        <v>9962</v>
      </c>
      <c r="C3" s="21" t="s">
        <v>2026</v>
      </c>
      <c r="D3" s="21" t="s">
        <v>2027</v>
      </c>
      <c r="E3" s="21" t="s">
        <v>1305</v>
      </c>
      <c r="F3" s="21" t="s">
        <v>2436</v>
      </c>
      <c r="G3" s="21" t="s">
        <v>2437</v>
      </c>
      <c r="H3" s="21" t="s">
        <v>319</v>
      </c>
      <c r="I3" s="21" t="s">
        <v>50</v>
      </c>
      <c r="J3" s="21" t="s">
        <v>31</v>
      </c>
      <c r="K3" s="21" t="s">
        <v>31</v>
      </c>
      <c r="L3" s="21" t="s">
        <v>40</v>
      </c>
      <c r="M3" s="21" t="s">
        <v>461</v>
      </c>
      <c r="N3" s="21" t="s">
        <v>136</v>
      </c>
      <c r="O3" s="4" t="s">
        <v>1758</v>
      </c>
      <c r="P3" s="21" t="s">
        <v>412</v>
      </c>
      <c r="Q3" s="21" t="s">
        <v>405</v>
      </c>
      <c r="R3" s="21" t="s">
        <v>35</v>
      </c>
      <c r="S3" s="155">
        <v>0.214</v>
      </c>
      <c r="T3" s="23" t="s">
        <v>910</v>
      </c>
      <c r="U3" s="21" t="s">
        <v>2438</v>
      </c>
      <c r="V3" s="170">
        <v>0.10199999999999999</v>
      </c>
      <c r="W3" s="171">
        <v>6.6839999999999997E-2</v>
      </c>
      <c r="X3" s="21" t="s">
        <v>411</v>
      </c>
      <c r="Y3" s="21" t="s">
        <v>136</v>
      </c>
      <c r="Z3" s="155">
        <v>4700</v>
      </c>
      <c r="AA3" s="155">
        <v>1</v>
      </c>
      <c r="AB3" s="155">
        <v>1044.33</v>
      </c>
      <c r="AC3" s="21"/>
      <c r="AD3" s="155">
        <v>49.084000000000003</v>
      </c>
      <c r="AE3" s="21"/>
      <c r="AG3" s="21" t="s">
        <v>37</v>
      </c>
      <c r="AH3" s="169">
        <v>3.1300000000000002E-4</v>
      </c>
      <c r="AI3" s="169">
        <v>1</v>
      </c>
      <c r="AJ3" s="169">
        <v>1.5901433436042601E-3</v>
      </c>
    </row>
    <row r="4" spans="1:36">
      <c r="A4" s="21" t="s">
        <v>26</v>
      </c>
      <c r="B4" s="21">
        <v>9963</v>
      </c>
      <c r="C4" s="21" t="s">
        <v>2026</v>
      </c>
      <c r="D4" s="21" t="s">
        <v>2027</v>
      </c>
      <c r="E4" s="21" t="s">
        <v>1305</v>
      </c>
      <c r="F4" s="21" t="s">
        <v>2436</v>
      </c>
      <c r="G4" s="21" t="s">
        <v>2437</v>
      </c>
      <c r="H4" s="21" t="s">
        <v>319</v>
      </c>
      <c r="I4" s="21" t="s">
        <v>50</v>
      </c>
      <c r="J4" s="21" t="s">
        <v>31</v>
      </c>
      <c r="K4" s="21" t="s">
        <v>31</v>
      </c>
      <c r="L4" s="21" t="s">
        <v>40</v>
      </c>
      <c r="M4" s="21" t="s">
        <v>461</v>
      </c>
      <c r="N4" s="21" t="s">
        <v>136</v>
      </c>
      <c r="O4" s="4" t="s">
        <v>1758</v>
      </c>
      <c r="P4" s="21" t="s">
        <v>412</v>
      </c>
      <c r="Q4" s="21" t="s">
        <v>405</v>
      </c>
      <c r="R4" s="21" t="s">
        <v>35</v>
      </c>
      <c r="S4" s="155">
        <v>0.214</v>
      </c>
      <c r="T4" s="23" t="s">
        <v>910</v>
      </c>
      <c r="U4" s="21" t="s">
        <v>2438</v>
      </c>
      <c r="V4" s="170">
        <v>0.10199999999999999</v>
      </c>
      <c r="W4" s="171">
        <v>6.6839999999999997E-2</v>
      </c>
      <c r="X4" s="21" t="s">
        <v>411</v>
      </c>
      <c r="Y4" s="21" t="s">
        <v>136</v>
      </c>
      <c r="Z4" s="155">
        <v>194100</v>
      </c>
      <c r="AA4" s="155">
        <v>1</v>
      </c>
      <c r="AB4" s="155">
        <v>1044.33</v>
      </c>
      <c r="AC4" s="21"/>
      <c r="AD4" s="155">
        <v>2027.0450000000001</v>
      </c>
      <c r="AE4" s="21"/>
      <c r="AG4" s="21" t="s">
        <v>37</v>
      </c>
      <c r="AH4" s="169">
        <v>1.294E-2</v>
      </c>
      <c r="AI4" s="169">
        <v>1</v>
      </c>
      <c r="AJ4" s="169">
        <v>1.9728699087163798E-3</v>
      </c>
    </row>
    <row r="5" spans="1:36">
      <c r="A5" s="21" t="s">
        <v>26</v>
      </c>
      <c r="B5" s="21">
        <v>9964</v>
      </c>
      <c r="C5" s="21" t="s">
        <v>2026</v>
      </c>
      <c r="D5" s="21" t="s">
        <v>2027</v>
      </c>
      <c r="E5" s="21" t="s">
        <v>1305</v>
      </c>
      <c r="F5" s="21" t="s">
        <v>2436</v>
      </c>
      <c r="G5" s="21" t="s">
        <v>2437</v>
      </c>
      <c r="H5" s="21" t="s">
        <v>319</v>
      </c>
      <c r="I5" s="21" t="s">
        <v>50</v>
      </c>
      <c r="J5" s="21" t="s">
        <v>31</v>
      </c>
      <c r="K5" s="21" t="s">
        <v>31</v>
      </c>
      <c r="L5" s="21" t="s">
        <v>40</v>
      </c>
      <c r="M5" s="21" t="s">
        <v>461</v>
      </c>
      <c r="N5" s="21" t="s">
        <v>136</v>
      </c>
      <c r="O5" s="4" t="s">
        <v>1758</v>
      </c>
      <c r="P5" s="21" t="s">
        <v>412</v>
      </c>
      <c r="Q5" s="21" t="s">
        <v>405</v>
      </c>
      <c r="R5" s="21" t="s">
        <v>35</v>
      </c>
      <c r="S5" s="155">
        <v>0.214</v>
      </c>
      <c r="T5" s="23" t="s">
        <v>910</v>
      </c>
      <c r="U5" s="21" t="s">
        <v>2438</v>
      </c>
      <c r="V5" s="170">
        <v>0.10199999999999999</v>
      </c>
      <c r="W5" s="171">
        <v>6.6839999999999997E-2</v>
      </c>
      <c r="X5" s="21" t="s">
        <v>411</v>
      </c>
      <c r="Y5" s="21" t="s">
        <v>136</v>
      </c>
      <c r="Z5" s="155">
        <v>6000</v>
      </c>
      <c r="AA5" s="155">
        <v>1</v>
      </c>
      <c r="AB5" s="155">
        <v>1044.33</v>
      </c>
      <c r="AC5" s="21"/>
      <c r="AD5" s="155">
        <v>62.66</v>
      </c>
      <c r="AE5" s="21"/>
      <c r="AG5" s="21" t="s">
        <v>37</v>
      </c>
      <c r="AH5" s="169">
        <v>4.0000000000000002E-4</v>
      </c>
      <c r="AI5" s="169">
        <v>1</v>
      </c>
      <c r="AJ5" s="169">
        <v>1.8062970930270701E-3</v>
      </c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684"/>
  <sheetViews>
    <sheetView rightToLeft="1" topLeftCell="U1" zoomScale="70" zoomScaleNormal="70" workbookViewId="0">
      <selection activeCell="H1" sqref="A1:XFD1"/>
    </sheetView>
  </sheetViews>
  <sheetFormatPr defaultColWidth="11.625" defaultRowHeight="14.25"/>
  <cols>
    <col min="1" max="4" width="11.625" style="2" customWidth="1"/>
    <col min="5" max="5" width="11.625" style="4" customWidth="1"/>
    <col min="6" max="6" width="29.625" style="2" customWidth="1"/>
    <col min="7" max="7" width="17.75" style="2" customWidth="1"/>
    <col min="8" max="13" width="11.625" style="2" customWidth="1"/>
    <col min="14" max="14" width="26.5" style="2" customWidth="1"/>
    <col min="15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6.625" style="2" customWidth="1"/>
    <col min="27" max="36" width="11.625" style="2"/>
    <col min="37" max="37" width="11.625" style="11"/>
    <col min="38" max="16384" width="11.625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141</v>
      </c>
      <c r="E1" s="22" t="s">
        <v>142</v>
      </c>
      <c r="F1" s="22" t="s">
        <v>3</v>
      </c>
      <c r="G1" s="22" t="s">
        <v>4</v>
      </c>
      <c r="H1" s="22" t="s">
        <v>143</v>
      </c>
      <c r="I1" s="22" t="s">
        <v>5</v>
      </c>
      <c r="J1" s="22" t="s">
        <v>6</v>
      </c>
      <c r="K1" s="22" t="s">
        <v>7</v>
      </c>
      <c r="L1" s="22" t="s">
        <v>324</v>
      </c>
      <c r="M1" s="22" t="s">
        <v>8</v>
      </c>
      <c r="N1" s="22" t="s">
        <v>144</v>
      </c>
      <c r="O1" s="22" t="s">
        <v>123</v>
      </c>
      <c r="P1" s="22" t="s">
        <v>9</v>
      </c>
      <c r="Q1" s="22" t="s">
        <v>10</v>
      </c>
      <c r="R1" s="22" t="s">
        <v>173</v>
      </c>
      <c r="S1" s="22" t="s">
        <v>11</v>
      </c>
      <c r="T1" s="22" t="s">
        <v>12</v>
      </c>
      <c r="U1" s="22" t="s">
        <v>13</v>
      </c>
      <c r="V1" s="162" t="s">
        <v>14</v>
      </c>
      <c r="W1" s="166" t="s">
        <v>15</v>
      </c>
      <c r="X1" s="22" t="s">
        <v>409</v>
      </c>
      <c r="Y1" s="22" t="s">
        <v>830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160</v>
      </c>
      <c r="AG1" s="22" t="s">
        <v>22</v>
      </c>
      <c r="AH1" s="166" t="s">
        <v>23</v>
      </c>
      <c r="AI1" s="166" t="s">
        <v>24</v>
      </c>
      <c r="AJ1" s="166" t="s">
        <v>25</v>
      </c>
      <c r="AK1" s="22"/>
    </row>
    <row r="2" spans="1:38">
      <c r="A2" s="2" t="s">
        <v>26</v>
      </c>
      <c r="B2" s="23">
        <v>1405</v>
      </c>
      <c r="C2" s="23" t="s">
        <v>1710</v>
      </c>
      <c r="D2" s="23" t="s">
        <v>1711</v>
      </c>
      <c r="E2" s="21" t="s">
        <v>1305</v>
      </c>
      <c r="F2" s="23" t="s">
        <v>1712</v>
      </c>
      <c r="G2" s="23" t="s">
        <v>1713</v>
      </c>
      <c r="H2" s="21" t="s">
        <v>319</v>
      </c>
      <c r="I2" s="30" t="s">
        <v>755</v>
      </c>
      <c r="J2" s="21" t="s">
        <v>31</v>
      </c>
      <c r="K2" s="21" t="s">
        <v>31</v>
      </c>
      <c r="L2" s="23" t="s">
        <v>325</v>
      </c>
      <c r="M2" s="21" t="s">
        <v>164</v>
      </c>
      <c r="N2" s="23" t="s">
        <v>484</v>
      </c>
      <c r="O2" s="23" t="s">
        <v>136</v>
      </c>
      <c r="P2" s="23" t="s">
        <v>1714</v>
      </c>
      <c r="Q2" s="23" t="s">
        <v>77</v>
      </c>
      <c r="R2" s="23" t="s">
        <v>405</v>
      </c>
      <c r="S2" s="21" t="s">
        <v>78</v>
      </c>
      <c r="T2" s="156">
        <v>1.1399999999999999</v>
      </c>
      <c r="U2" s="23" t="s">
        <v>1715</v>
      </c>
      <c r="V2" s="172">
        <v>6.1249999999999999E-2</v>
      </c>
      <c r="W2" s="173">
        <v>7.5679999999999997E-2</v>
      </c>
      <c r="X2" s="21" t="s">
        <v>411</v>
      </c>
      <c r="Y2" s="21" t="s">
        <v>136</v>
      </c>
      <c r="Z2" s="156">
        <v>6000</v>
      </c>
      <c r="AA2" s="156">
        <v>3.681</v>
      </c>
      <c r="AB2" s="156">
        <v>98.581000000000003</v>
      </c>
      <c r="AC2" s="30"/>
      <c r="AD2" s="156">
        <v>22.111000000000001</v>
      </c>
      <c r="AE2" s="23"/>
      <c r="AF2" s="30"/>
      <c r="AG2" s="21" t="s">
        <v>37</v>
      </c>
      <c r="AH2" s="167">
        <v>1.0000000000000001E-5</v>
      </c>
      <c r="AI2" s="167">
        <v>5.3760932603210401E-3</v>
      </c>
      <c r="AJ2" s="167">
        <v>2.0911949292120599E-3</v>
      </c>
      <c r="AK2" s="159"/>
      <c r="AL2" s="153"/>
    </row>
    <row r="3" spans="1:38">
      <c r="A3" s="23" t="s">
        <v>26</v>
      </c>
      <c r="B3" s="23">
        <v>1405</v>
      </c>
      <c r="C3" s="23" t="s">
        <v>1716</v>
      </c>
      <c r="D3" s="23" t="s">
        <v>1717</v>
      </c>
      <c r="E3" s="21" t="s">
        <v>1305</v>
      </c>
      <c r="F3" s="23" t="s">
        <v>1718</v>
      </c>
      <c r="G3" s="23" t="s">
        <v>1719</v>
      </c>
      <c r="H3" s="21" t="s">
        <v>319</v>
      </c>
      <c r="I3" s="23" t="s">
        <v>966</v>
      </c>
      <c r="J3" s="21" t="s">
        <v>31</v>
      </c>
      <c r="K3" s="21" t="s">
        <v>31</v>
      </c>
      <c r="L3" s="23" t="s">
        <v>325</v>
      </c>
      <c r="M3" s="21" t="s">
        <v>40</v>
      </c>
      <c r="N3" s="23" t="s">
        <v>444</v>
      </c>
      <c r="O3" s="23" t="s">
        <v>136</v>
      </c>
      <c r="P3" s="23" t="s">
        <v>1720</v>
      </c>
      <c r="Q3" s="23" t="s">
        <v>104</v>
      </c>
      <c r="R3" s="23" t="s">
        <v>405</v>
      </c>
      <c r="S3" s="21" t="s">
        <v>35</v>
      </c>
      <c r="T3" s="156">
        <v>1.9119999999999999</v>
      </c>
      <c r="U3" s="23" t="s">
        <v>1721</v>
      </c>
      <c r="V3" s="172">
        <v>3.5000000000000003E-2</v>
      </c>
      <c r="W3" s="173">
        <v>5.6559999999999999E-2</v>
      </c>
      <c r="X3" s="21" t="s">
        <v>411</v>
      </c>
      <c r="Y3" s="21" t="s">
        <v>136</v>
      </c>
      <c r="Z3" s="156">
        <v>40456</v>
      </c>
      <c r="AA3" s="156">
        <v>1</v>
      </c>
      <c r="AB3" s="156">
        <v>96.19</v>
      </c>
      <c r="AC3" s="30"/>
      <c r="AD3" s="156">
        <v>38.914999999999999</v>
      </c>
      <c r="AE3" s="23"/>
      <c r="AG3" s="21" t="s">
        <v>37</v>
      </c>
      <c r="AH3" s="167">
        <v>1.6200000000000001E-4</v>
      </c>
      <c r="AI3" s="167">
        <v>9.4618349770874202E-3</v>
      </c>
      <c r="AJ3" s="167">
        <v>3.68046839350122E-3</v>
      </c>
      <c r="AK3" s="159"/>
      <c r="AL3" s="153"/>
    </row>
    <row r="4" spans="1:38">
      <c r="A4" s="23" t="s">
        <v>26</v>
      </c>
      <c r="B4" s="23">
        <v>1405</v>
      </c>
      <c r="C4" s="23" t="s">
        <v>1716</v>
      </c>
      <c r="D4" s="23" t="s">
        <v>1717</v>
      </c>
      <c r="E4" s="21" t="s">
        <v>1305</v>
      </c>
      <c r="F4" s="23" t="s">
        <v>1722</v>
      </c>
      <c r="G4" s="23" t="s">
        <v>1723</v>
      </c>
      <c r="H4" s="21" t="s">
        <v>319</v>
      </c>
      <c r="I4" s="23" t="s">
        <v>754</v>
      </c>
      <c r="J4" s="21" t="s">
        <v>31</v>
      </c>
      <c r="K4" s="21" t="s">
        <v>31</v>
      </c>
      <c r="L4" s="23" t="s">
        <v>325</v>
      </c>
      <c r="M4" s="21" t="s">
        <v>40</v>
      </c>
      <c r="N4" s="23" t="s">
        <v>444</v>
      </c>
      <c r="O4" s="23" t="s">
        <v>136</v>
      </c>
      <c r="P4" s="23" t="s">
        <v>1724</v>
      </c>
      <c r="Q4" s="23" t="s">
        <v>412</v>
      </c>
      <c r="R4" s="23" t="s">
        <v>405</v>
      </c>
      <c r="S4" s="21" t="s">
        <v>35</v>
      </c>
      <c r="T4" s="156">
        <v>3.2690000000000001</v>
      </c>
      <c r="U4" s="23" t="s">
        <v>1725</v>
      </c>
      <c r="V4" s="172">
        <v>3.85E-2</v>
      </c>
      <c r="W4" s="173">
        <v>3.1759999999999997E-2</v>
      </c>
      <c r="X4" s="21" t="s">
        <v>411</v>
      </c>
      <c r="Y4" s="21" t="s">
        <v>136</v>
      </c>
      <c r="Z4" s="156">
        <v>9000</v>
      </c>
      <c r="AA4" s="156">
        <v>1</v>
      </c>
      <c r="AB4" s="156">
        <v>106.03</v>
      </c>
      <c r="AC4" s="30"/>
      <c r="AD4" s="156">
        <v>9.5429999999999993</v>
      </c>
      <c r="AE4" s="23"/>
      <c r="AG4" s="21" t="s">
        <v>37</v>
      </c>
      <c r="AH4" s="167">
        <v>5.1E-5</v>
      </c>
      <c r="AI4" s="167">
        <v>2.3202446223626601E-3</v>
      </c>
      <c r="AJ4" s="167">
        <v>9.0252969096123897E-4</v>
      </c>
      <c r="AK4" s="159"/>
      <c r="AL4" s="153"/>
    </row>
    <row r="5" spans="1:38">
      <c r="A5" s="23" t="s">
        <v>26</v>
      </c>
      <c r="B5" s="23">
        <v>1405</v>
      </c>
      <c r="C5" s="23" t="s">
        <v>1716</v>
      </c>
      <c r="D5" s="23" t="s">
        <v>1717</v>
      </c>
      <c r="E5" s="21" t="s">
        <v>1305</v>
      </c>
      <c r="F5" s="23" t="s">
        <v>1726</v>
      </c>
      <c r="G5" s="23" t="s">
        <v>1723</v>
      </c>
      <c r="H5" s="21" t="s">
        <v>319</v>
      </c>
      <c r="I5" s="23" t="s">
        <v>754</v>
      </c>
      <c r="J5" s="21" t="s">
        <v>31</v>
      </c>
      <c r="K5" s="21" t="s">
        <v>31</v>
      </c>
      <c r="L5" s="23" t="s">
        <v>327</v>
      </c>
      <c r="M5" s="2" t="s">
        <v>40</v>
      </c>
      <c r="N5" s="23" t="s">
        <v>444</v>
      </c>
      <c r="O5" s="23" t="s">
        <v>136</v>
      </c>
      <c r="P5" s="23" t="s">
        <v>1724</v>
      </c>
      <c r="Q5" s="23" t="s">
        <v>412</v>
      </c>
      <c r="R5" s="23" t="s">
        <v>405</v>
      </c>
      <c r="S5" s="21" t="s">
        <v>35</v>
      </c>
      <c r="T5" s="156">
        <v>3.45</v>
      </c>
      <c r="U5" s="23" t="s">
        <v>1725</v>
      </c>
      <c r="V5" s="172">
        <v>3.85E-2</v>
      </c>
      <c r="W5" s="173">
        <v>2.9700000000000001E-2</v>
      </c>
      <c r="X5" s="21" t="s">
        <v>411</v>
      </c>
      <c r="Y5" s="21" t="s">
        <v>136</v>
      </c>
      <c r="Z5" s="156">
        <v>10000</v>
      </c>
      <c r="AA5" s="156">
        <v>1</v>
      </c>
      <c r="AB5" s="156">
        <v>105.578</v>
      </c>
      <c r="AC5" s="30"/>
      <c r="AD5" s="156">
        <v>10.558</v>
      </c>
      <c r="AE5" s="23"/>
      <c r="AG5" s="21" t="s">
        <v>37</v>
      </c>
      <c r="AH5" s="167">
        <v>5.5999999999999999E-5</v>
      </c>
      <c r="AI5" s="167">
        <v>2.56705706681906E-3</v>
      </c>
      <c r="AJ5" s="167">
        <v>9.9853489535809206E-4</v>
      </c>
      <c r="AK5" s="159"/>
      <c r="AL5" s="153"/>
    </row>
    <row r="6" spans="1:38">
      <c r="A6" s="23" t="s">
        <v>26</v>
      </c>
      <c r="B6" s="23">
        <v>1405</v>
      </c>
      <c r="C6" s="23" t="s">
        <v>1727</v>
      </c>
      <c r="D6" s="23" t="s">
        <v>1728</v>
      </c>
      <c r="E6" s="21" t="s">
        <v>1305</v>
      </c>
      <c r="F6" s="23" t="s">
        <v>1729</v>
      </c>
      <c r="G6" s="23" t="s">
        <v>1730</v>
      </c>
      <c r="H6" s="21" t="s">
        <v>319</v>
      </c>
      <c r="I6" s="23" t="s">
        <v>754</v>
      </c>
      <c r="J6" s="21" t="s">
        <v>31</v>
      </c>
      <c r="K6" s="21" t="s">
        <v>31</v>
      </c>
      <c r="L6" s="23" t="s">
        <v>325</v>
      </c>
      <c r="M6" s="21" t="s">
        <v>40</v>
      </c>
      <c r="N6" s="23" t="s">
        <v>462</v>
      </c>
      <c r="O6" s="23" t="s">
        <v>136</v>
      </c>
      <c r="P6" s="23" t="s">
        <v>1731</v>
      </c>
      <c r="Q6" s="23" t="s">
        <v>104</v>
      </c>
      <c r="R6" s="23" t="s">
        <v>405</v>
      </c>
      <c r="S6" s="21" t="s">
        <v>35</v>
      </c>
      <c r="T6" s="156">
        <v>1.863</v>
      </c>
      <c r="U6" s="23" t="s">
        <v>1732</v>
      </c>
      <c r="V6" s="172">
        <v>2.8500000000000001E-2</v>
      </c>
      <c r="W6" s="173">
        <v>2.861E-2</v>
      </c>
      <c r="X6" s="21" t="s">
        <v>411</v>
      </c>
      <c r="Y6" s="21" t="s">
        <v>136</v>
      </c>
      <c r="Z6" s="153">
        <v>24000</v>
      </c>
      <c r="AA6" s="153">
        <v>1</v>
      </c>
      <c r="AB6" s="153">
        <v>113.36</v>
      </c>
      <c r="AC6" s="30"/>
      <c r="AD6" s="153">
        <v>27.206</v>
      </c>
      <c r="AG6" s="2" t="s">
        <v>37</v>
      </c>
      <c r="AH6" s="167">
        <v>3.4999999999999997E-5</v>
      </c>
      <c r="AI6" s="167">
        <v>6.6150568805314596E-3</v>
      </c>
      <c r="AJ6" s="167">
        <v>2.57312749894347E-3</v>
      </c>
      <c r="AK6" s="161"/>
      <c r="AL6" s="153"/>
    </row>
    <row r="7" spans="1:38">
      <c r="A7" s="23" t="s">
        <v>26</v>
      </c>
      <c r="B7" s="23">
        <v>1405</v>
      </c>
      <c r="C7" s="23" t="s">
        <v>1727</v>
      </c>
      <c r="D7" s="23" t="s">
        <v>1728</v>
      </c>
      <c r="E7" s="21" t="s">
        <v>1305</v>
      </c>
      <c r="F7" s="23" t="s">
        <v>1733</v>
      </c>
      <c r="G7" s="23" t="s">
        <v>1734</v>
      </c>
      <c r="H7" s="21" t="s">
        <v>319</v>
      </c>
      <c r="I7" s="23" t="s">
        <v>754</v>
      </c>
      <c r="J7" s="21" t="s">
        <v>31</v>
      </c>
      <c r="K7" s="21" t="s">
        <v>31</v>
      </c>
      <c r="L7" s="23" t="s">
        <v>325</v>
      </c>
      <c r="M7" s="21" t="s">
        <v>40</v>
      </c>
      <c r="N7" s="23" t="s">
        <v>462</v>
      </c>
      <c r="O7" s="23" t="s">
        <v>136</v>
      </c>
      <c r="P7" s="23" t="s">
        <v>1731</v>
      </c>
      <c r="Q7" s="23" t="s">
        <v>104</v>
      </c>
      <c r="R7" s="23" t="s">
        <v>405</v>
      </c>
      <c r="S7" s="21" t="s">
        <v>35</v>
      </c>
      <c r="T7" s="156">
        <v>3.66</v>
      </c>
      <c r="U7" s="23" t="s">
        <v>62</v>
      </c>
      <c r="V7" s="172">
        <v>2.4500000000000001E-2</v>
      </c>
      <c r="W7" s="173">
        <v>3.526E-2</v>
      </c>
      <c r="X7" s="21" t="s">
        <v>411</v>
      </c>
      <c r="Y7" s="21" t="s">
        <v>136</v>
      </c>
      <c r="Z7" s="153">
        <v>4782.6099999999997</v>
      </c>
      <c r="AA7" s="153">
        <v>1</v>
      </c>
      <c r="AB7" s="153">
        <v>107.38</v>
      </c>
      <c r="AC7" s="30"/>
      <c r="AD7" s="153">
        <v>5.1360000000000001</v>
      </c>
      <c r="AG7" s="2" t="s">
        <v>37</v>
      </c>
      <c r="AH7" s="167">
        <v>9.0000000000000002E-6</v>
      </c>
      <c r="AI7" s="167">
        <v>1.2486791818038601E-3</v>
      </c>
      <c r="AJ7" s="167">
        <v>4.8571173280668903E-4</v>
      </c>
      <c r="AK7" s="161"/>
      <c r="AL7" s="153"/>
    </row>
    <row r="8" spans="1:38">
      <c r="A8" s="23" t="s">
        <v>26</v>
      </c>
      <c r="B8" s="23">
        <v>1405</v>
      </c>
      <c r="C8" s="23" t="s">
        <v>1735</v>
      </c>
      <c r="D8" s="23" t="s">
        <v>1736</v>
      </c>
      <c r="E8" s="21" t="s">
        <v>1305</v>
      </c>
      <c r="F8" s="23" t="s">
        <v>1737</v>
      </c>
      <c r="G8" s="23" t="s">
        <v>1738</v>
      </c>
      <c r="H8" s="21" t="s">
        <v>319</v>
      </c>
      <c r="I8" s="23" t="s">
        <v>754</v>
      </c>
      <c r="J8" s="21" t="s">
        <v>31</v>
      </c>
      <c r="K8" s="21" t="s">
        <v>31</v>
      </c>
      <c r="L8" s="23" t="s">
        <v>325</v>
      </c>
      <c r="M8" s="21" t="s">
        <v>40</v>
      </c>
      <c r="N8" s="23" t="s">
        <v>453</v>
      </c>
      <c r="O8" s="23" t="s">
        <v>136</v>
      </c>
      <c r="P8" s="23" t="s">
        <v>1739</v>
      </c>
      <c r="Q8" s="23" t="s">
        <v>412</v>
      </c>
      <c r="R8" s="23" t="s">
        <v>405</v>
      </c>
      <c r="S8" s="21" t="s">
        <v>35</v>
      </c>
      <c r="T8" s="156">
        <v>5.6740000000000004</v>
      </c>
      <c r="U8" s="23" t="s">
        <v>1740</v>
      </c>
      <c r="V8" s="172">
        <v>5.1499999999999997E-2</v>
      </c>
      <c r="W8" s="173">
        <v>2.9309999999999999E-2</v>
      </c>
      <c r="X8" s="21" t="s">
        <v>411</v>
      </c>
      <c r="Y8" s="21" t="s">
        <v>136</v>
      </c>
      <c r="Z8" s="156">
        <v>20312.5</v>
      </c>
      <c r="AA8" s="156">
        <v>1</v>
      </c>
      <c r="AB8" s="156">
        <v>154.27000000000001</v>
      </c>
      <c r="AC8" s="30"/>
      <c r="AD8" s="156">
        <v>31.335999999999999</v>
      </c>
      <c r="AE8" s="23"/>
      <c r="AG8" s="21" t="s">
        <v>37</v>
      </c>
      <c r="AH8" s="167">
        <v>6.0000000000000002E-6</v>
      </c>
      <c r="AI8" s="167">
        <v>7.6191647027874397E-3</v>
      </c>
      <c r="AJ8" s="167">
        <v>2.9637057654667899E-3</v>
      </c>
      <c r="AK8" s="159"/>
      <c r="AL8" s="153"/>
    </row>
    <row r="9" spans="1:38">
      <c r="A9" s="23" t="s">
        <v>26</v>
      </c>
      <c r="B9" s="23">
        <v>1405</v>
      </c>
      <c r="C9" s="23" t="s">
        <v>1391</v>
      </c>
      <c r="D9" s="23" t="s">
        <v>1392</v>
      </c>
      <c r="E9" s="21" t="s">
        <v>1305</v>
      </c>
      <c r="F9" s="23" t="s">
        <v>1741</v>
      </c>
      <c r="G9" s="23" t="s">
        <v>1742</v>
      </c>
      <c r="H9" s="21" t="s">
        <v>319</v>
      </c>
      <c r="I9" s="23" t="s">
        <v>754</v>
      </c>
      <c r="J9" s="21" t="s">
        <v>31</v>
      </c>
      <c r="K9" s="21" t="s">
        <v>31</v>
      </c>
      <c r="L9" s="23" t="s">
        <v>325</v>
      </c>
      <c r="M9" s="21" t="s">
        <v>40</v>
      </c>
      <c r="N9" s="23" t="s">
        <v>437</v>
      </c>
      <c r="O9" s="23" t="s">
        <v>136</v>
      </c>
      <c r="P9" s="23" t="s">
        <v>1724</v>
      </c>
      <c r="Q9" s="23" t="s">
        <v>412</v>
      </c>
      <c r="R9" s="23" t="s">
        <v>407</v>
      </c>
      <c r="S9" s="21" t="s">
        <v>35</v>
      </c>
      <c r="T9" s="156">
        <v>3.3180000000000001</v>
      </c>
      <c r="U9" s="23" t="s">
        <v>1743</v>
      </c>
      <c r="V9" s="172">
        <v>2.75E-2</v>
      </c>
      <c r="W9" s="173">
        <v>2.7689999999999999E-2</v>
      </c>
      <c r="X9" s="21" t="s">
        <v>411</v>
      </c>
      <c r="Y9" s="21" t="s">
        <v>136</v>
      </c>
      <c r="Z9" s="156">
        <v>36188.86</v>
      </c>
      <c r="AA9" s="156">
        <v>1</v>
      </c>
      <c r="AB9" s="156">
        <v>110.77</v>
      </c>
      <c r="AC9" s="30"/>
      <c r="AD9" s="156">
        <v>40.085999999999999</v>
      </c>
      <c r="AE9" s="23"/>
      <c r="AG9" s="21" t="s">
        <v>37</v>
      </c>
      <c r="AH9" s="167">
        <v>4.0000000000000003E-5</v>
      </c>
      <c r="AI9" s="167">
        <v>9.7467440603784001E-3</v>
      </c>
      <c r="AJ9" s="167">
        <v>3.7912924438691601E-3</v>
      </c>
      <c r="AK9" s="159"/>
      <c r="AL9" s="153"/>
    </row>
    <row r="10" spans="1:38">
      <c r="A10" s="23" t="s">
        <v>26</v>
      </c>
      <c r="B10" s="23">
        <v>1405</v>
      </c>
      <c r="C10" s="23" t="s">
        <v>1744</v>
      </c>
      <c r="D10" s="23" t="s">
        <v>1745</v>
      </c>
      <c r="E10" s="21" t="s">
        <v>1305</v>
      </c>
      <c r="F10" s="23" t="s">
        <v>1746</v>
      </c>
      <c r="G10" s="23" t="s">
        <v>1747</v>
      </c>
      <c r="H10" s="21" t="s">
        <v>319</v>
      </c>
      <c r="I10" s="23" t="s">
        <v>754</v>
      </c>
      <c r="J10" s="21" t="s">
        <v>31</v>
      </c>
      <c r="K10" s="21" t="s">
        <v>31</v>
      </c>
      <c r="L10" s="23" t="s">
        <v>325</v>
      </c>
      <c r="M10" s="21" t="s">
        <v>40</v>
      </c>
      <c r="N10" s="23" t="s">
        <v>461</v>
      </c>
      <c r="O10" s="23" t="s">
        <v>136</v>
      </c>
      <c r="P10" s="23" t="s">
        <v>1748</v>
      </c>
      <c r="Q10" s="23" t="s">
        <v>412</v>
      </c>
      <c r="R10" s="23" t="s">
        <v>405</v>
      </c>
      <c r="S10" s="21" t="s">
        <v>35</v>
      </c>
      <c r="T10" s="156">
        <v>2.698</v>
      </c>
      <c r="U10" s="23" t="s">
        <v>1749</v>
      </c>
      <c r="V10" s="172">
        <v>2.3400000000000001E-2</v>
      </c>
      <c r="W10" s="173">
        <v>2.1569999999999999E-2</v>
      </c>
      <c r="X10" s="21" t="s">
        <v>411</v>
      </c>
      <c r="Y10" s="21" t="s">
        <v>136</v>
      </c>
      <c r="Z10" s="156">
        <v>58021.99</v>
      </c>
      <c r="AA10" s="156">
        <v>1</v>
      </c>
      <c r="AB10" s="156">
        <v>111.84</v>
      </c>
      <c r="AC10" s="30"/>
      <c r="AD10" s="156">
        <v>64.891999999999996</v>
      </c>
      <c r="AE10" s="23"/>
      <c r="AG10" s="21" t="s">
        <v>37</v>
      </c>
      <c r="AH10" s="167">
        <v>2.1999999999999999E-5</v>
      </c>
      <c r="AI10" s="167">
        <v>1.5778012006349498E-2</v>
      </c>
      <c r="AJ10" s="167">
        <v>6.1373374871020797E-3</v>
      </c>
      <c r="AK10" s="159"/>
      <c r="AL10" s="153"/>
    </row>
    <row r="11" spans="1:38">
      <c r="A11" s="23" t="s">
        <v>26</v>
      </c>
      <c r="B11" s="23">
        <v>1405</v>
      </c>
      <c r="C11" s="23" t="s">
        <v>1411</v>
      </c>
      <c r="D11" s="23" t="s">
        <v>1412</v>
      </c>
      <c r="E11" s="21" t="s">
        <v>1305</v>
      </c>
      <c r="F11" s="23" t="s">
        <v>1750</v>
      </c>
      <c r="G11" s="23" t="s">
        <v>1751</v>
      </c>
      <c r="H11" s="21" t="s">
        <v>319</v>
      </c>
      <c r="I11" s="23" t="s">
        <v>967</v>
      </c>
      <c r="J11" s="21" t="s">
        <v>31</v>
      </c>
      <c r="K11" s="21" t="s">
        <v>31</v>
      </c>
      <c r="L11" s="23" t="s">
        <v>325</v>
      </c>
      <c r="M11" s="21" t="s">
        <v>40</v>
      </c>
      <c r="N11" s="23" t="s">
        <v>458</v>
      </c>
      <c r="O11" s="23" t="s">
        <v>136</v>
      </c>
      <c r="P11" s="23" t="s">
        <v>1752</v>
      </c>
      <c r="Q11" s="23" t="s">
        <v>1752</v>
      </c>
      <c r="R11" s="23" t="s">
        <v>1752</v>
      </c>
      <c r="S11" s="21" t="s">
        <v>35</v>
      </c>
      <c r="T11" s="156">
        <v>3.847</v>
      </c>
      <c r="U11" s="23" t="s">
        <v>1753</v>
      </c>
      <c r="V11" s="172">
        <v>4.8500000000000001E-2</v>
      </c>
      <c r="W11" s="173">
        <v>4.8070000000000002E-2</v>
      </c>
      <c r="X11" s="21" t="s">
        <v>411</v>
      </c>
      <c r="Y11" s="21" t="s">
        <v>136</v>
      </c>
      <c r="Z11" s="156">
        <v>13000</v>
      </c>
      <c r="AA11" s="156">
        <v>1</v>
      </c>
      <c r="AB11" s="156">
        <v>101.6</v>
      </c>
      <c r="AC11" s="30"/>
      <c r="AD11" s="156">
        <v>13.208</v>
      </c>
      <c r="AE11" s="23"/>
      <c r="AG11" s="21" t="s">
        <v>37</v>
      </c>
      <c r="AH11" s="167">
        <v>5.3000000000000001E-5</v>
      </c>
      <c r="AI11" s="167">
        <v>3.2114381644781898E-3</v>
      </c>
      <c r="AJ11" s="167">
        <v>1.2491865151598601E-3</v>
      </c>
      <c r="AK11" s="159"/>
      <c r="AL11" s="153"/>
    </row>
    <row r="12" spans="1:38">
      <c r="A12" s="23" t="s">
        <v>26</v>
      </c>
      <c r="B12" s="23">
        <v>1405</v>
      </c>
      <c r="C12" s="23" t="s">
        <v>1754</v>
      </c>
      <c r="D12" s="23" t="s">
        <v>1755</v>
      </c>
      <c r="E12" s="21" t="s">
        <v>1305</v>
      </c>
      <c r="F12" s="23" t="s">
        <v>1756</v>
      </c>
      <c r="G12" s="23" t="s">
        <v>1757</v>
      </c>
      <c r="H12" s="21" t="s">
        <v>319</v>
      </c>
      <c r="I12" s="23" t="s">
        <v>754</v>
      </c>
      <c r="J12" s="21" t="s">
        <v>31</v>
      </c>
      <c r="K12" s="21" t="s">
        <v>31</v>
      </c>
      <c r="L12" s="23" t="s">
        <v>325</v>
      </c>
      <c r="M12" s="21" t="s">
        <v>40</v>
      </c>
      <c r="N12" s="23" t="s">
        <v>475</v>
      </c>
      <c r="O12" s="23" t="s">
        <v>136</v>
      </c>
      <c r="P12" s="23" t="s">
        <v>1758</v>
      </c>
      <c r="Q12" s="23" t="s">
        <v>412</v>
      </c>
      <c r="R12" s="23" t="s">
        <v>405</v>
      </c>
      <c r="S12" s="21" t="s">
        <v>35</v>
      </c>
      <c r="T12" s="156">
        <v>2.036</v>
      </c>
      <c r="U12" s="23" t="s">
        <v>1759</v>
      </c>
      <c r="V12" s="172">
        <v>3.2000000000000001E-2</v>
      </c>
      <c r="W12" s="173">
        <v>2.9739999999999999E-2</v>
      </c>
      <c r="X12" s="21" t="s">
        <v>411</v>
      </c>
      <c r="Y12" s="21" t="s">
        <v>136</v>
      </c>
      <c r="Z12" s="156">
        <v>8500</v>
      </c>
      <c r="AA12" s="156">
        <v>1</v>
      </c>
      <c r="AB12" s="156">
        <v>104.3</v>
      </c>
      <c r="AC12" s="30"/>
      <c r="AD12" s="156">
        <v>8.8659999999999997</v>
      </c>
      <c r="AE12" s="23"/>
      <c r="AG12" s="21" t="s">
        <v>37</v>
      </c>
      <c r="AH12" s="167">
        <v>2.3E-5</v>
      </c>
      <c r="AI12" s="167">
        <v>2.1555879048441402E-3</v>
      </c>
      <c r="AJ12" s="167">
        <v>8.3848145443290295E-4</v>
      </c>
      <c r="AK12" s="159"/>
      <c r="AL12" s="153"/>
    </row>
    <row r="13" spans="1:38">
      <c r="A13" s="23" t="s">
        <v>26</v>
      </c>
      <c r="B13" s="23">
        <v>1405</v>
      </c>
      <c r="C13" s="23" t="s">
        <v>1754</v>
      </c>
      <c r="D13" s="23" t="s">
        <v>1755</v>
      </c>
      <c r="E13" s="21" t="s">
        <v>1305</v>
      </c>
      <c r="F13" s="23" t="s">
        <v>1760</v>
      </c>
      <c r="G13" s="23" t="s">
        <v>1761</v>
      </c>
      <c r="H13" s="21" t="s">
        <v>319</v>
      </c>
      <c r="I13" s="23" t="s">
        <v>966</v>
      </c>
      <c r="J13" s="21" t="s">
        <v>31</v>
      </c>
      <c r="K13" s="21" t="s">
        <v>31</v>
      </c>
      <c r="L13" s="23" t="s">
        <v>325</v>
      </c>
      <c r="M13" s="21" t="s">
        <v>40</v>
      </c>
      <c r="N13" s="23" t="s">
        <v>475</v>
      </c>
      <c r="O13" s="23" t="s">
        <v>136</v>
      </c>
      <c r="P13" s="23" t="s">
        <v>1758</v>
      </c>
      <c r="Q13" s="23" t="s">
        <v>412</v>
      </c>
      <c r="R13" s="23" t="s">
        <v>405</v>
      </c>
      <c r="S13" s="21" t="s">
        <v>35</v>
      </c>
      <c r="T13" s="156">
        <v>2.0590000000000002</v>
      </c>
      <c r="U13" s="23" t="s">
        <v>1762</v>
      </c>
      <c r="V13" s="172">
        <v>5.7000000000000002E-2</v>
      </c>
      <c r="W13" s="173">
        <v>5.9130000000000002E-2</v>
      </c>
      <c r="X13" s="21" t="s">
        <v>411</v>
      </c>
      <c r="Y13" s="21" t="s">
        <v>136</v>
      </c>
      <c r="Z13" s="156">
        <v>10200</v>
      </c>
      <c r="AA13" s="156">
        <v>1</v>
      </c>
      <c r="AB13" s="156">
        <v>100.07</v>
      </c>
      <c r="AC13" s="30"/>
      <c r="AD13" s="156">
        <v>10.207000000000001</v>
      </c>
      <c r="AE13" s="23"/>
      <c r="AG13" s="21" t="s">
        <v>37</v>
      </c>
      <c r="AH13" s="167">
        <v>2.5999999999999998E-5</v>
      </c>
      <c r="AI13" s="167">
        <v>2.4817988299645601E-3</v>
      </c>
      <c r="AJ13" s="167">
        <v>9.6537111192829099E-4</v>
      </c>
      <c r="AK13" s="159"/>
      <c r="AL13" s="153"/>
    </row>
    <row r="14" spans="1:38">
      <c r="A14" s="23" t="s">
        <v>26</v>
      </c>
      <c r="B14" s="23">
        <v>1405</v>
      </c>
      <c r="C14" s="23" t="s">
        <v>1763</v>
      </c>
      <c r="D14" s="23" t="s">
        <v>1764</v>
      </c>
      <c r="E14" s="21" t="s">
        <v>1305</v>
      </c>
      <c r="F14" s="23" t="s">
        <v>1765</v>
      </c>
      <c r="G14" s="23" t="s">
        <v>1766</v>
      </c>
      <c r="H14" s="21" t="s">
        <v>319</v>
      </c>
      <c r="I14" s="23" t="s">
        <v>754</v>
      </c>
      <c r="J14" s="21" t="s">
        <v>31</v>
      </c>
      <c r="K14" s="21" t="s">
        <v>31</v>
      </c>
      <c r="L14" s="23" t="s">
        <v>325</v>
      </c>
      <c r="M14" s="21" t="s">
        <v>40</v>
      </c>
      <c r="N14" s="23" t="s">
        <v>475</v>
      </c>
      <c r="O14" s="23" t="s">
        <v>136</v>
      </c>
      <c r="P14" s="23" t="s">
        <v>1758</v>
      </c>
      <c r="Q14" s="23" t="s">
        <v>412</v>
      </c>
      <c r="R14" s="23" t="s">
        <v>405</v>
      </c>
      <c r="S14" s="21" t="s">
        <v>35</v>
      </c>
      <c r="T14" s="156">
        <v>2.9870000000000001</v>
      </c>
      <c r="U14" s="23" t="s">
        <v>1767</v>
      </c>
      <c r="V14" s="172">
        <v>3.2300000000000002E-2</v>
      </c>
      <c r="W14" s="173">
        <v>2.8750000000000001E-2</v>
      </c>
      <c r="X14" s="21" t="s">
        <v>411</v>
      </c>
      <c r="Y14" s="21" t="s">
        <v>136</v>
      </c>
      <c r="Z14" s="156">
        <v>11520</v>
      </c>
      <c r="AA14" s="156">
        <v>1</v>
      </c>
      <c r="AB14" s="156">
        <v>104.51</v>
      </c>
      <c r="AC14" s="30"/>
      <c r="AD14" s="156">
        <v>12.04</v>
      </c>
      <c r="AE14" s="23"/>
      <c r="AG14" s="21" t="s">
        <v>37</v>
      </c>
      <c r="AH14" s="167">
        <v>2.5000000000000001E-5</v>
      </c>
      <c r="AI14" s="167">
        <v>2.92733773289065E-3</v>
      </c>
      <c r="AJ14" s="167">
        <v>1.1386770144583599E-3</v>
      </c>
      <c r="AK14" s="159"/>
      <c r="AL14" s="153"/>
    </row>
    <row r="15" spans="1:38">
      <c r="A15" s="23" t="s">
        <v>26</v>
      </c>
      <c r="B15" s="23">
        <v>1405</v>
      </c>
      <c r="C15" s="23" t="s">
        <v>1768</v>
      </c>
      <c r="D15" s="23" t="s">
        <v>1769</v>
      </c>
      <c r="E15" s="21" t="s">
        <v>1305</v>
      </c>
      <c r="F15" s="23" t="s">
        <v>1770</v>
      </c>
      <c r="G15" s="23" t="s">
        <v>1771</v>
      </c>
      <c r="H15" s="21" t="s">
        <v>319</v>
      </c>
      <c r="I15" s="23" t="s">
        <v>754</v>
      </c>
      <c r="J15" s="21" t="s">
        <v>31</v>
      </c>
      <c r="K15" s="21" t="s">
        <v>31</v>
      </c>
      <c r="L15" s="23" t="s">
        <v>325</v>
      </c>
      <c r="M15" s="21" t="s">
        <v>40</v>
      </c>
      <c r="N15" s="23" t="s">
        <v>461</v>
      </c>
      <c r="O15" s="23" t="s">
        <v>136</v>
      </c>
      <c r="P15" s="23" t="s">
        <v>1772</v>
      </c>
      <c r="Q15" s="23" t="s">
        <v>412</v>
      </c>
      <c r="R15" s="23" t="s">
        <v>405</v>
      </c>
      <c r="S15" s="21" t="s">
        <v>35</v>
      </c>
      <c r="T15" s="156">
        <v>2.855</v>
      </c>
      <c r="U15" s="23" t="s">
        <v>1773</v>
      </c>
      <c r="V15" s="172">
        <v>2.4899999999999999E-2</v>
      </c>
      <c r="W15" s="173">
        <v>3.2489999999999998E-2</v>
      </c>
      <c r="X15" s="21" t="s">
        <v>411</v>
      </c>
      <c r="Y15" s="21" t="s">
        <v>136</v>
      </c>
      <c r="Z15" s="156">
        <v>23000</v>
      </c>
      <c r="AA15" s="156">
        <v>1</v>
      </c>
      <c r="AB15" s="156">
        <v>103.02</v>
      </c>
      <c r="AC15" s="30"/>
      <c r="AD15" s="156">
        <v>23.695</v>
      </c>
      <c r="AE15" s="23"/>
      <c r="AG15" s="21" t="s">
        <v>37</v>
      </c>
      <c r="AH15" s="167">
        <v>1.2300000000000001E-4</v>
      </c>
      <c r="AI15" s="167">
        <v>5.7611858519113403E-3</v>
      </c>
      <c r="AJ15" s="167">
        <v>2.2409884011286301E-3</v>
      </c>
      <c r="AK15" s="159"/>
      <c r="AL15" s="153"/>
    </row>
    <row r="16" spans="1:38">
      <c r="A16" s="23" t="s">
        <v>26</v>
      </c>
      <c r="B16" s="23">
        <v>1405</v>
      </c>
      <c r="C16" s="23" t="s">
        <v>1774</v>
      </c>
      <c r="D16" s="23" t="s">
        <v>1775</v>
      </c>
      <c r="E16" s="21" t="s">
        <v>1305</v>
      </c>
      <c r="F16" s="23" t="s">
        <v>1776</v>
      </c>
      <c r="G16" s="23" t="s">
        <v>1777</v>
      </c>
      <c r="H16" s="21" t="s">
        <v>319</v>
      </c>
      <c r="I16" s="23" t="s">
        <v>966</v>
      </c>
      <c r="J16" s="21" t="s">
        <v>31</v>
      </c>
      <c r="K16" s="21" t="s">
        <v>31</v>
      </c>
      <c r="L16" s="23" t="s">
        <v>325</v>
      </c>
      <c r="M16" s="21" t="s">
        <v>40</v>
      </c>
      <c r="N16" s="23" t="s">
        <v>448</v>
      </c>
      <c r="O16" s="23" t="s">
        <v>136</v>
      </c>
      <c r="P16" s="23" t="s">
        <v>1739</v>
      </c>
      <c r="Q16" s="23" t="s">
        <v>412</v>
      </c>
      <c r="R16" s="23" t="s">
        <v>405</v>
      </c>
      <c r="S16" s="21" t="s">
        <v>35</v>
      </c>
      <c r="T16" s="156">
        <v>2.7770000000000001</v>
      </c>
      <c r="U16" s="23" t="s">
        <v>1778</v>
      </c>
      <c r="V16" s="172">
        <v>2.0400000000000001E-2</v>
      </c>
      <c r="W16" s="173">
        <v>4.8500000000000001E-2</v>
      </c>
      <c r="X16" s="21" t="s">
        <v>411</v>
      </c>
      <c r="Y16" s="21" t="s">
        <v>136</v>
      </c>
      <c r="Z16" s="156">
        <v>22500</v>
      </c>
      <c r="AA16" s="156">
        <v>1</v>
      </c>
      <c r="AB16" s="156">
        <v>92.75</v>
      </c>
      <c r="AC16" s="30"/>
      <c r="AD16" s="156">
        <v>20.869</v>
      </c>
      <c r="AE16" s="23"/>
      <c r="AG16" s="21" t="s">
        <v>37</v>
      </c>
      <c r="AH16" s="167">
        <v>7.1000000000000005E-5</v>
      </c>
      <c r="AI16" s="167">
        <v>5.0740990456506901E-3</v>
      </c>
      <c r="AJ16" s="167">
        <v>1.97372509753501E-3</v>
      </c>
      <c r="AK16" s="159"/>
      <c r="AL16" s="153"/>
    </row>
    <row r="17" spans="1:38">
      <c r="A17" s="23" t="s">
        <v>26</v>
      </c>
      <c r="B17" s="23">
        <v>1405</v>
      </c>
      <c r="C17" s="23" t="s">
        <v>1779</v>
      </c>
      <c r="D17" s="23" t="s">
        <v>1780</v>
      </c>
      <c r="E17" s="21" t="s">
        <v>1305</v>
      </c>
      <c r="F17" s="23" t="s">
        <v>1781</v>
      </c>
      <c r="G17" s="23" t="s">
        <v>1782</v>
      </c>
      <c r="H17" s="21" t="s">
        <v>319</v>
      </c>
      <c r="I17" s="23" t="s">
        <v>966</v>
      </c>
      <c r="J17" s="21" t="s">
        <v>31</v>
      </c>
      <c r="K17" s="21" t="s">
        <v>31</v>
      </c>
      <c r="L17" s="23" t="s">
        <v>325</v>
      </c>
      <c r="M17" s="21" t="s">
        <v>40</v>
      </c>
      <c r="N17" s="23" t="s">
        <v>448</v>
      </c>
      <c r="O17" s="23" t="s">
        <v>136</v>
      </c>
      <c r="P17" s="23" t="s">
        <v>1758</v>
      </c>
      <c r="Q17" s="23" t="s">
        <v>412</v>
      </c>
      <c r="R17" s="23" t="s">
        <v>405</v>
      </c>
      <c r="S17" s="21" t="s">
        <v>35</v>
      </c>
      <c r="T17" s="156">
        <v>3.41</v>
      </c>
      <c r="U17" s="23" t="s">
        <v>1783</v>
      </c>
      <c r="V17" s="172">
        <v>0.04</v>
      </c>
      <c r="W17" s="173">
        <v>5.0200000000000002E-2</v>
      </c>
      <c r="X17" s="21" t="s">
        <v>411</v>
      </c>
      <c r="Y17" s="21" t="s">
        <v>136</v>
      </c>
      <c r="Z17" s="156">
        <v>11375</v>
      </c>
      <c r="AA17" s="156">
        <v>1</v>
      </c>
      <c r="AB17" s="156">
        <v>97.7</v>
      </c>
      <c r="AC17" s="30"/>
      <c r="AD17" s="156">
        <v>11.113</v>
      </c>
      <c r="AE17" s="23"/>
      <c r="AG17" s="21" t="s">
        <v>37</v>
      </c>
      <c r="AH17" s="167">
        <v>1.5E-5</v>
      </c>
      <c r="AI17" s="167">
        <v>2.7021438984825702E-3</v>
      </c>
      <c r="AJ17" s="167">
        <v>1.05108102573552E-3</v>
      </c>
      <c r="AK17" s="159"/>
      <c r="AL17" s="153"/>
    </row>
    <row r="18" spans="1:38">
      <c r="A18" s="23" t="s">
        <v>26</v>
      </c>
      <c r="B18" s="23">
        <v>1405</v>
      </c>
      <c r="C18" s="23" t="s">
        <v>1784</v>
      </c>
      <c r="D18" s="23" t="s">
        <v>1785</v>
      </c>
      <c r="E18" s="21" t="s">
        <v>34</v>
      </c>
      <c r="F18" s="23" t="s">
        <v>1786</v>
      </c>
      <c r="G18" s="23" t="s">
        <v>1787</v>
      </c>
      <c r="H18" s="21" t="s">
        <v>319</v>
      </c>
      <c r="I18" s="23" t="s">
        <v>966</v>
      </c>
      <c r="J18" s="21" t="s">
        <v>31</v>
      </c>
      <c r="K18" s="21" t="s">
        <v>74</v>
      </c>
      <c r="L18" s="23" t="s">
        <v>325</v>
      </c>
      <c r="M18" s="21" t="s">
        <v>40</v>
      </c>
      <c r="N18" s="23" t="s">
        <v>462</v>
      </c>
      <c r="O18" s="23" t="s">
        <v>136</v>
      </c>
      <c r="P18" s="23" t="s">
        <v>1752</v>
      </c>
      <c r="Q18" s="23" t="s">
        <v>1752</v>
      </c>
      <c r="R18" s="23" t="s">
        <v>1752</v>
      </c>
      <c r="S18" s="21" t="s">
        <v>35</v>
      </c>
      <c r="T18" s="156">
        <v>2.1360000000000001</v>
      </c>
      <c r="U18" s="23" t="s">
        <v>1788</v>
      </c>
      <c r="V18" s="172">
        <v>4.4999999999999998E-2</v>
      </c>
      <c r="W18" s="173">
        <v>6.9360000000000005E-2</v>
      </c>
      <c r="X18" s="21" t="s">
        <v>411</v>
      </c>
      <c r="Y18" s="21" t="s">
        <v>136</v>
      </c>
      <c r="Z18" s="156">
        <v>36000</v>
      </c>
      <c r="AA18" s="156">
        <v>1</v>
      </c>
      <c r="AB18" s="156">
        <v>96.39</v>
      </c>
      <c r="AC18" s="30"/>
      <c r="AD18" s="156">
        <v>34.700000000000003</v>
      </c>
      <c r="AE18" s="23"/>
      <c r="AG18" s="21" t="s">
        <v>37</v>
      </c>
      <c r="AH18" s="167">
        <v>1E-4</v>
      </c>
      <c r="AI18" s="167">
        <v>8.4371735980208196E-3</v>
      </c>
      <c r="AJ18" s="167">
        <v>3.28189519614275E-3</v>
      </c>
      <c r="AK18" s="159"/>
      <c r="AL18" s="153"/>
    </row>
    <row r="19" spans="1:38">
      <c r="A19" s="23" t="s">
        <v>26</v>
      </c>
      <c r="B19" s="23">
        <v>1405</v>
      </c>
      <c r="C19" s="23" t="s">
        <v>1789</v>
      </c>
      <c r="D19" s="23" t="s">
        <v>1790</v>
      </c>
      <c r="E19" s="21" t="s">
        <v>1305</v>
      </c>
      <c r="F19" s="23" t="s">
        <v>1791</v>
      </c>
      <c r="G19" s="23" t="s">
        <v>1792</v>
      </c>
      <c r="H19" s="21" t="s">
        <v>319</v>
      </c>
      <c r="I19" s="23" t="s">
        <v>966</v>
      </c>
      <c r="J19" s="21" t="s">
        <v>31</v>
      </c>
      <c r="K19" s="21" t="s">
        <v>296</v>
      </c>
      <c r="L19" s="23" t="s">
        <v>325</v>
      </c>
      <c r="M19" s="21" t="s">
        <v>40</v>
      </c>
      <c r="N19" s="23" t="s">
        <v>462</v>
      </c>
      <c r="O19" s="23" t="s">
        <v>136</v>
      </c>
      <c r="P19" s="23" t="s">
        <v>1752</v>
      </c>
      <c r="Q19" s="23" t="s">
        <v>1752</v>
      </c>
      <c r="R19" s="23" t="s">
        <v>1752</v>
      </c>
      <c r="S19" s="21" t="s">
        <v>35</v>
      </c>
      <c r="T19" s="156">
        <v>0.93400000000000005</v>
      </c>
      <c r="U19" s="23" t="s">
        <v>1793</v>
      </c>
      <c r="V19" s="172">
        <v>7.2499999999999995E-2</v>
      </c>
      <c r="W19" s="173">
        <v>6.3920000000000005E-2</v>
      </c>
      <c r="X19" s="21" t="s">
        <v>411</v>
      </c>
      <c r="Y19" s="21" t="s">
        <v>136</v>
      </c>
      <c r="Z19" s="156">
        <v>10670</v>
      </c>
      <c r="AA19" s="156">
        <v>1</v>
      </c>
      <c r="AB19" s="156">
        <v>101.2</v>
      </c>
      <c r="AC19" s="30"/>
      <c r="AD19" s="156">
        <v>10.798</v>
      </c>
      <c r="AE19" s="23"/>
      <c r="AG19" s="21" t="s">
        <v>37</v>
      </c>
      <c r="AH19" s="167">
        <v>6.9999999999999994E-5</v>
      </c>
      <c r="AI19" s="167">
        <v>2.6254722711661202E-3</v>
      </c>
      <c r="AJ19" s="167">
        <v>1.02125726515421E-3</v>
      </c>
      <c r="AK19" s="159"/>
      <c r="AL19" s="153"/>
    </row>
    <row r="20" spans="1:38">
      <c r="A20" s="2" t="s">
        <v>26</v>
      </c>
      <c r="B20" s="2">
        <v>1405</v>
      </c>
      <c r="C20" s="2" t="s">
        <v>1794</v>
      </c>
      <c r="D20" s="2" t="s">
        <v>1795</v>
      </c>
      <c r="E20" s="21" t="s">
        <v>34</v>
      </c>
      <c r="F20" s="2" t="s">
        <v>1796</v>
      </c>
      <c r="G20" s="2" t="s">
        <v>1797</v>
      </c>
      <c r="H20" s="21" t="s">
        <v>319</v>
      </c>
      <c r="I20" s="23" t="s">
        <v>966</v>
      </c>
      <c r="J20" s="21" t="s">
        <v>31</v>
      </c>
      <c r="K20" s="21" t="s">
        <v>74</v>
      </c>
      <c r="L20" s="23" t="s">
        <v>325</v>
      </c>
      <c r="M20" s="21" t="s">
        <v>40</v>
      </c>
      <c r="N20" s="23" t="s">
        <v>440</v>
      </c>
      <c r="O20" s="23" t="s">
        <v>136</v>
      </c>
      <c r="P20" s="2" t="s">
        <v>1758</v>
      </c>
      <c r="Q20" s="23" t="s">
        <v>412</v>
      </c>
      <c r="R20" s="23" t="s">
        <v>405</v>
      </c>
      <c r="S20" s="2" t="s">
        <v>35</v>
      </c>
      <c r="T20" s="153">
        <v>1.206</v>
      </c>
      <c r="U20" s="2" t="s">
        <v>1798</v>
      </c>
      <c r="V20" s="165">
        <v>4.7500000000000001E-2</v>
      </c>
      <c r="W20" s="167">
        <v>6.3960000000000003E-2</v>
      </c>
      <c r="X20" s="21" t="s">
        <v>411</v>
      </c>
      <c r="Y20" s="21" t="s">
        <v>136</v>
      </c>
      <c r="Z20" s="153">
        <v>55000.01</v>
      </c>
      <c r="AA20" s="153">
        <v>1</v>
      </c>
      <c r="AB20" s="153">
        <v>98.34</v>
      </c>
      <c r="AC20" s="11"/>
      <c r="AD20" s="153">
        <v>54.087000000000003</v>
      </c>
      <c r="AG20" s="2" t="s">
        <v>37</v>
      </c>
      <c r="AH20" s="167">
        <v>1E-4</v>
      </c>
      <c r="AI20" s="167">
        <v>1.3150900029029E-2</v>
      </c>
      <c r="AJ20" s="167">
        <v>5.1154424083852098E-3</v>
      </c>
      <c r="AK20" s="161"/>
      <c r="AL20" s="153"/>
    </row>
    <row r="21" spans="1:38">
      <c r="A21" s="2" t="s">
        <v>26</v>
      </c>
      <c r="B21" s="2">
        <v>1405</v>
      </c>
      <c r="C21" s="2" t="s">
        <v>1799</v>
      </c>
      <c r="D21" s="2" t="s">
        <v>1800</v>
      </c>
      <c r="E21" s="4" t="s">
        <v>1305</v>
      </c>
      <c r="F21" s="2" t="s">
        <v>1801</v>
      </c>
      <c r="G21" s="2" t="s">
        <v>1802</v>
      </c>
      <c r="H21" s="4" t="s">
        <v>319</v>
      </c>
      <c r="I21" s="2" t="s">
        <v>966</v>
      </c>
      <c r="J21" s="2" t="s">
        <v>31</v>
      </c>
      <c r="K21" s="2" t="s">
        <v>31</v>
      </c>
      <c r="L21" s="23" t="s">
        <v>327</v>
      </c>
      <c r="M21" s="2" t="s">
        <v>40</v>
      </c>
      <c r="N21" s="2" t="s">
        <v>1803</v>
      </c>
      <c r="O21" s="2" t="s">
        <v>136</v>
      </c>
      <c r="P21" s="2" t="s">
        <v>1752</v>
      </c>
      <c r="Q21" s="23" t="s">
        <v>1752</v>
      </c>
      <c r="R21" s="23" t="s">
        <v>1752</v>
      </c>
      <c r="S21" s="2" t="s">
        <v>35</v>
      </c>
      <c r="T21" s="153">
        <v>1.62</v>
      </c>
      <c r="U21" s="2" t="s">
        <v>1804</v>
      </c>
      <c r="V21" s="165">
        <v>6.5000000000000002E-2</v>
      </c>
      <c r="W21" s="167">
        <v>7.7499999999999999E-2</v>
      </c>
      <c r="X21" s="4" t="s">
        <v>411</v>
      </c>
      <c r="Y21" s="4" t="s">
        <v>136</v>
      </c>
      <c r="Z21" s="153">
        <v>9063</v>
      </c>
      <c r="AA21" s="153">
        <v>1</v>
      </c>
      <c r="AB21" s="153">
        <v>99.29</v>
      </c>
      <c r="AC21" s="11"/>
      <c r="AD21" s="153">
        <v>8.9990000000000006</v>
      </c>
      <c r="AG21" s="2" t="s">
        <v>37</v>
      </c>
      <c r="AH21" s="167">
        <v>8.2000000000000001E-5</v>
      </c>
      <c r="AI21" s="167">
        <v>2.1879631064252499E-3</v>
      </c>
      <c r="AJ21" s="167">
        <v>8.5107477342874895E-4</v>
      </c>
      <c r="AK21" s="161"/>
      <c r="AL21" s="153"/>
    </row>
    <row r="22" spans="1:38">
      <c r="A22" s="2" t="s">
        <v>26</v>
      </c>
      <c r="B22" s="2">
        <v>1405</v>
      </c>
      <c r="C22" s="2" t="s">
        <v>1799</v>
      </c>
      <c r="D22" s="2" t="s">
        <v>1800</v>
      </c>
      <c r="E22" s="4" t="s">
        <v>1305</v>
      </c>
      <c r="F22" s="2" t="s">
        <v>1805</v>
      </c>
      <c r="G22" s="2" t="s">
        <v>1802</v>
      </c>
      <c r="H22" s="4" t="s">
        <v>319</v>
      </c>
      <c r="I22" s="2" t="s">
        <v>966</v>
      </c>
      <c r="J22" s="2" t="s">
        <v>31</v>
      </c>
      <c r="K22" s="2" t="s">
        <v>31</v>
      </c>
      <c r="L22" s="2" t="s">
        <v>325</v>
      </c>
      <c r="M22" s="4" t="s">
        <v>40</v>
      </c>
      <c r="N22" s="2" t="s">
        <v>461</v>
      </c>
      <c r="O22" s="2" t="s">
        <v>136</v>
      </c>
      <c r="P22" s="2" t="s">
        <v>1752</v>
      </c>
      <c r="Q22" s="23" t="s">
        <v>1752</v>
      </c>
      <c r="R22" s="23" t="s">
        <v>1752</v>
      </c>
      <c r="S22" s="2" t="s">
        <v>35</v>
      </c>
      <c r="T22" s="153">
        <v>1.3859999999999999</v>
      </c>
      <c r="U22" s="2" t="s">
        <v>1804</v>
      </c>
      <c r="V22" s="165">
        <v>6.5000000000000002E-2</v>
      </c>
      <c r="W22" s="167">
        <v>6.9199999999999998E-2</v>
      </c>
      <c r="X22" s="4" t="s">
        <v>411</v>
      </c>
      <c r="Y22" s="4" t="s">
        <v>136</v>
      </c>
      <c r="Z22" s="153">
        <v>12000</v>
      </c>
      <c r="AA22" s="153">
        <v>1</v>
      </c>
      <c r="AB22" s="153">
        <v>101.5</v>
      </c>
      <c r="AC22" s="11"/>
      <c r="AD22" s="153">
        <v>12.18</v>
      </c>
      <c r="AG22" s="2" t="s">
        <v>37</v>
      </c>
      <c r="AH22" s="167">
        <v>1.0900000000000001E-4</v>
      </c>
      <c r="AI22" s="167">
        <v>2.96148673859361E-3</v>
      </c>
      <c r="AJ22" s="167">
        <v>1.15196030849842E-3</v>
      </c>
      <c r="AK22" s="161"/>
      <c r="AL22" s="153"/>
    </row>
    <row r="23" spans="1:38">
      <c r="A23" s="2" t="s">
        <v>26</v>
      </c>
      <c r="B23" s="2">
        <v>1405</v>
      </c>
      <c r="C23" s="2" t="s">
        <v>1423</v>
      </c>
      <c r="D23" s="2" t="s">
        <v>1424</v>
      </c>
      <c r="E23" s="4" t="s">
        <v>1305</v>
      </c>
      <c r="F23" s="2" t="s">
        <v>1806</v>
      </c>
      <c r="G23" s="2" t="s">
        <v>1807</v>
      </c>
      <c r="H23" s="4" t="s">
        <v>319</v>
      </c>
      <c r="I23" s="2" t="s">
        <v>966</v>
      </c>
      <c r="J23" s="2" t="s">
        <v>31</v>
      </c>
      <c r="K23" s="2" t="s">
        <v>31</v>
      </c>
      <c r="L23" s="2" t="s">
        <v>325</v>
      </c>
      <c r="M23" s="2" t="s">
        <v>40</v>
      </c>
      <c r="N23" s="2" t="s">
        <v>438</v>
      </c>
      <c r="O23" s="2" t="s">
        <v>136</v>
      </c>
      <c r="P23" s="2" t="s">
        <v>1731</v>
      </c>
      <c r="Q23" s="2" t="s">
        <v>104</v>
      </c>
      <c r="R23" s="2" t="s">
        <v>405</v>
      </c>
      <c r="S23" s="2" t="s">
        <v>35</v>
      </c>
      <c r="T23" s="153">
        <v>1.9910000000000001</v>
      </c>
      <c r="U23" s="2" t="s">
        <v>1808</v>
      </c>
      <c r="V23" s="165">
        <v>3.4500000000000003E-2</v>
      </c>
      <c r="W23" s="167">
        <v>5.0560000000000001E-2</v>
      </c>
      <c r="X23" s="4" t="s">
        <v>411</v>
      </c>
      <c r="Y23" s="4" t="s">
        <v>136</v>
      </c>
      <c r="Z23" s="153">
        <v>11000</v>
      </c>
      <c r="AA23" s="153">
        <v>1</v>
      </c>
      <c r="AB23" s="153">
        <v>97.31</v>
      </c>
      <c r="AC23" s="11"/>
      <c r="AD23" s="153">
        <v>10.704000000000001</v>
      </c>
      <c r="AG23" s="2" t="s">
        <v>37</v>
      </c>
      <c r="AH23" s="167">
        <v>2.5000000000000001E-5</v>
      </c>
      <c r="AI23" s="167">
        <v>2.60263137919375E-3</v>
      </c>
      <c r="AJ23" s="167">
        <v>1.0123726057633801E-3</v>
      </c>
      <c r="AK23" s="161"/>
      <c r="AL23" s="153"/>
    </row>
    <row r="24" spans="1:38">
      <c r="A24" s="2" t="s">
        <v>26</v>
      </c>
      <c r="B24" s="2">
        <v>1405</v>
      </c>
      <c r="C24" s="2" t="s">
        <v>1423</v>
      </c>
      <c r="D24" s="2" t="s">
        <v>1424</v>
      </c>
      <c r="E24" s="4" t="s">
        <v>1305</v>
      </c>
      <c r="F24" s="2" t="s">
        <v>1809</v>
      </c>
      <c r="G24" s="2" t="s">
        <v>1810</v>
      </c>
      <c r="H24" s="2" t="s">
        <v>319</v>
      </c>
      <c r="I24" s="2" t="s">
        <v>966</v>
      </c>
      <c r="J24" s="2" t="s">
        <v>31</v>
      </c>
      <c r="K24" s="2" t="s">
        <v>31</v>
      </c>
      <c r="L24" s="2" t="s">
        <v>325</v>
      </c>
      <c r="M24" s="2" t="s">
        <v>40</v>
      </c>
      <c r="N24" s="2" t="s">
        <v>438</v>
      </c>
      <c r="O24" s="2" t="s">
        <v>136</v>
      </c>
      <c r="P24" s="2" t="s">
        <v>1731</v>
      </c>
      <c r="Q24" s="2" t="s">
        <v>104</v>
      </c>
      <c r="R24" s="2" t="s">
        <v>405</v>
      </c>
      <c r="S24" s="2" t="s">
        <v>35</v>
      </c>
      <c r="T24" s="153">
        <v>4.2329999999999997</v>
      </c>
      <c r="U24" s="2" t="s">
        <v>1811</v>
      </c>
      <c r="V24" s="165">
        <v>1.4999999999999999E-2</v>
      </c>
      <c r="W24" s="167">
        <v>5.4089999999999999E-2</v>
      </c>
      <c r="X24" s="4" t="s">
        <v>411</v>
      </c>
      <c r="Y24" s="4" t="s">
        <v>136</v>
      </c>
      <c r="Z24" s="153">
        <v>12000</v>
      </c>
      <c r="AA24" s="153">
        <v>1</v>
      </c>
      <c r="AB24" s="153">
        <v>85.27</v>
      </c>
      <c r="AC24" s="11"/>
      <c r="AD24" s="153">
        <v>10.231999999999999</v>
      </c>
      <c r="AG24" s="2" t="s">
        <v>37</v>
      </c>
      <c r="AH24" s="167">
        <v>3.1000000000000001E-5</v>
      </c>
      <c r="AI24" s="167">
        <v>2.4879406325111E-3</v>
      </c>
      <c r="AJ24" s="167">
        <v>9.6776015276512804E-4</v>
      </c>
      <c r="AK24" s="161"/>
      <c r="AL24" s="153"/>
    </row>
    <row r="25" spans="1:38">
      <c r="A25" s="2" t="s">
        <v>26</v>
      </c>
      <c r="B25" s="2">
        <v>1405</v>
      </c>
      <c r="C25" s="2" t="s">
        <v>1427</v>
      </c>
      <c r="D25" s="2" t="s">
        <v>1428</v>
      </c>
      <c r="E25" s="4" t="s">
        <v>1305</v>
      </c>
      <c r="F25" s="2" t="s">
        <v>1812</v>
      </c>
      <c r="G25" s="2" t="s">
        <v>1813</v>
      </c>
      <c r="H25" s="2" t="s">
        <v>319</v>
      </c>
      <c r="I25" s="2" t="s">
        <v>967</v>
      </c>
      <c r="J25" s="2" t="s">
        <v>31</v>
      </c>
      <c r="K25" s="2" t="s">
        <v>31</v>
      </c>
      <c r="L25" s="2" t="s">
        <v>325</v>
      </c>
      <c r="M25" s="2" t="s">
        <v>40</v>
      </c>
      <c r="N25" s="2" t="s">
        <v>438</v>
      </c>
      <c r="O25" s="2" t="s">
        <v>136</v>
      </c>
      <c r="P25" s="2" t="s">
        <v>1731</v>
      </c>
      <c r="Q25" s="2" t="s">
        <v>104</v>
      </c>
      <c r="R25" s="2" t="s">
        <v>405</v>
      </c>
      <c r="S25" s="2" t="s">
        <v>35</v>
      </c>
      <c r="T25" s="153">
        <v>3.32</v>
      </c>
      <c r="U25" s="2" t="s">
        <v>1814</v>
      </c>
      <c r="V25" s="165">
        <v>1.25E-3</v>
      </c>
      <c r="W25" s="167">
        <v>5.484E-2</v>
      </c>
      <c r="X25" s="4" t="s">
        <v>411</v>
      </c>
      <c r="Y25" s="4" t="s">
        <v>136</v>
      </c>
      <c r="Z25" s="153">
        <v>7000</v>
      </c>
      <c r="AA25" s="153">
        <v>1</v>
      </c>
      <c r="AB25" s="153">
        <v>84.5</v>
      </c>
      <c r="AC25" s="11"/>
      <c r="AD25" s="153">
        <v>5.915</v>
      </c>
      <c r="AG25" s="2" t="s">
        <v>37</v>
      </c>
      <c r="AH25" s="167">
        <v>1.2E-5</v>
      </c>
      <c r="AI25" s="167">
        <v>1.4381932724779299E-3</v>
      </c>
      <c r="AJ25" s="167">
        <v>5.5942900039147501E-4</v>
      </c>
      <c r="AK25" s="161"/>
      <c r="AL25" s="153"/>
    </row>
    <row r="26" spans="1:38">
      <c r="A26" s="2" t="s">
        <v>26</v>
      </c>
      <c r="B26" s="2">
        <v>1405</v>
      </c>
      <c r="C26" s="2" t="s">
        <v>1815</v>
      </c>
      <c r="D26" s="2" t="s">
        <v>1816</v>
      </c>
      <c r="E26" s="4" t="s">
        <v>1305</v>
      </c>
      <c r="F26" s="2" t="s">
        <v>1817</v>
      </c>
      <c r="G26" s="2" t="s">
        <v>1818</v>
      </c>
      <c r="H26" s="2" t="s">
        <v>319</v>
      </c>
      <c r="I26" s="2" t="s">
        <v>966</v>
      </c>
      <c r="J26" s="2" t="s">
        <v>31</v>
      </c>
      <c r="K26" s="2" t="s">
        <v>31</v>
      </c>
      <c r="L26" s="2" t="s">
        <v>325</v>
      </c>
      <c r="M26" s="2" t="s">
        <v>40</v>
      </c>
      <c r="N26" s="2" t="s">
        <v>440</v>
      </c>
      <c r="O26" s="2" t="s">
        <v>136</v>
      </c>
      <c r="P26" s="2" t="s">
        <v>1720</v>
      </c>
      <c r="Q26" s="2" t="s">
        <v>104</v>
      </c>
      <c r="R26" s="2" t="s">
        <v>405</v>
      </c>
      <c r="S26" s="2" t="s">
        <v>35</v>
      </c>
      <c r="T26" s="153">
        <v>0.37</v>
      </c>
      <c r="U26" s="2" t="s">
        <v>1819</v>
      </c>
      <c r="V26" s="165">
        <v>3.2399999999999998E-2</v>
      </c>
      <c r="W26" s="167">
        <v>8.9459999999999998E-2</v>
      </c>
      <c r="X26" s="4" t="s">
        <v>411</v>
      </c>
      <c r="Y26" s="4" t="s">
        <v>136</v>
      </c>
      <c r="Z26" s="153">
        <v>7678.48</v>
      </c>
      <c r="AA26" s="153">
        <v>1</v>
      </c>
      <c r="AB26" s="153">
        <v>98.07</v>
      </c>
      <c r="AC26" s="11"/>
      <c r="AD26" s="153">
        <v>7.53</v>
      </c>
      <c r="AG26" s="2" t="s">
        <v>37</v>
      </c>
      <c r="AH26" s="167">
        <v>2.9E-5</v>
      </c>
      <c r="AI26" s="167">
        <v>1.83093925783168E-3</v>
      </c>
      <c r="AJ26" s="167">
        <v>7.1219949250736503E-4</v>
      </c>
      <c r="AK26" s="161"/>
      <c r="AL26" s="153"/>
    </row>
    <row r="27" spans="1:38">
      <c r="A27" s="2" t="s">
        <v>26</v>
      </c>
      <c r="B27" s="2">
        <v>1405</v>
      </c>
      <c r="C27" s="2" t="s">
        <v>1815</v>
      </c>
      <c r="D27" s="2" t="s">
        <v>1816</v>
      </c>
      <c r="E27" s="4" t="s">
        <v>1305</v>
      </c>
      <c r="F27" s="2" t="s">
        <v>1820</v>
      </c>
      <c r="G27" s="2" t="s">
        <v>1821</v>
      </c>
      <c r="H27" s="2" t="s">
        <v>319</v>
      </c>
      <c r="I27" s="2" t="s">
        <v>754</v>
      </c>
      <c r="J27" s="2" t="s">
        <v>31</v>
      </c>
      <c r="K27" s="2" t="s">
        <v>31</v>
      </c>
      <c r="L27" s="2" t="s">
        <v>325</v>
      </c>
      <c r="M27" s="2" t="s">
        <v>40</v>
      </c>
      <c r="N27" s="2" t="s">
        <v>440</v>
      </c>
      <c r="O27" s="2" t="s">
        <v>136</v>
      </c>
      <c r="P27" s="2" t="s">
        <v>1720</v>
      </c>
      <c r="Q27" s="2" t="s">
        <v>104</v>
      </c>
      <c r="R27" s="2" t="s">
        <v>405</v>
      </c>
      <c r="S27" s="2" t="s">
        <v>35</v>
      </c>
      <c r="T27" s="153">
        <v>1.694</v>
      </c>
      <c r="U27" s="2" t="s">
        <v>1822</v>
      </c>
      <c r="V27" s="165">
        <v>1.2500000000000001E-2</v>
      </c>
      <c r="W27" s="167">
        <v>4.546E-2</v>
      </c>
      <c r="X27" s="4" t="s">
        <v>411</v>
      </c>
      <c r="Y27" s="4" t="s">
        <v>136</v>
      </c>
      <c r="Z27" s="153">
        <v>10111.11</v>
      </c>
      <c r="AA27" s="153">
        <v>1</v>
      </c>
      <c r="AB27" s="153">
        <v>100.5</v>
      </c>
      <c r="AC27" s="11"/>
      <c r="AD27" s="153">
        <v>10.162000000000001</v>
      </c>
      <c r="AG27" s="2" t="s">
        <v>37</v>
      </c>
      <c r="AH27" s="167">
        <v>6.0999999999999999E-5</v>
      </c>
      <c r="AI27" s="167">
        <v>2.47074201710579E-3</v>
      </c>
      <c r="AJ27" s="167">
        <v>9.61070228393743E-4</v>
      </c>
      <c r="AK27" s="161"/>
      <c r="AL27" s="153"/>
    </row>
    <row r="28" spans="1:38">
      <c r="A28" s="2" t="s">
        <v>26</v>
      </c>
      <c r="B28" s="2">
        <v>1405</v>
      </c>
      <c r="C28" s="2" t="s">
        <v>1823</v>
      </c>
      <c r="D28" s="2" t="s">
        <v>1824</v>
      </c>
      <c r="E28" s="4" t="s">
        <v>1305</v>
      </c>
      <c r="F28" s="2" t="s">
        <v>1825</v>
      </c>
      <c r="G28" s="2" t="s">
        <v>1826</v>
      </c>
      <c r="H28" s="2" t="s">
        <v>319</v>
      </c>
      <c r="I28" s="2" t="s">
        <v>966</v>
      </c>
      <c r="J28" s="2" t="s">
        <v>31</v>
      </c>
      <c r="K28" s="2" t="s">
        <v>31</v>
      </c>
      <c r="L28" s="2" t="s">
        <v>325</v>
      </c>
      <c r="M28" s="2" t="s">
        <v>40</v>
      </c>
      <c r="N28" s="2" t="s">
        <v>462</v>
      </c>
      <c r="O28" s="2" t="s">
        <v>136</v>
      </c>
      <c r="P28" s="2" t="s">
        <v>1731</v>
      </c>
      <c r="Q28" s="2" t="s">
        <v>104</v>
      </c>
      <c r="R28" s="2" t="s">
        <v>405</v>
      </c>
      <c r="S28" s="2" t="s">
        <v>35</v>
      </c>
      <c r="T28" s="153">
        <v>3.3340000000000001</v>
      </c>
      <c r="U28" s="2" t="s">
        <v>1827</v>
      </c>
      <c r="V28" s="165">
        <v>3.2500000000000001E-2</v>
      </c>
      <c r="W28" s="167">
        <v>5.5239999999999997E-2</v>
      </c>
      <c r="X28" s="4" t="s">
        <v>411</v>
      </c>
      <c r="Y28" s="4" t="s">
        <v>136</v>
      </c>
      <c r="Z28" s="153">
        <v>25500</v>
      </c>
      <c r="AA28" s="153">
        <v>1</v>
      </c>
      <c r="AB28" s="153">
        <v>93.05</v>
      </c>
      <c r="AC28" s="11"/>
      <c r="AD28" s="153">
        <v>23.728000000000002</v>
      </c>
      <c r="AG28" s="2" t="s">
        <v>37</v>
      </c>
      <c r="AH28" s="167">
        <v>7.3999999999999996E-5</v>
      </c>
      <c r="AI28" s="167">
        <v>5.7692460559658799E-3</v>
      </c>
      <c r="AJ28" s="167">
        <v>2.2441236625593999E-3</v>
      </c>
      <c r="AK28" s="161"/>
      <c r="AL28" s="153"/>
    </row>
    <row r="29" spans="1:38">
      <c r="A29" s="2" t="s">
        <v>26</v>
      </c>
      <c r="B29" s="2">
        <v>1405</v>
      </c>
      <c r="C29" s="2" t="s">
        <v>1823</v>
      </c>
      <c r="D29" s="2" t="s">
        <v>1824</v>
      </c>
      <c r="E29" s="4" t="s">
        <v>1305</v>
      </c>
      <c r="F29" s="2" t="s">
        <v>1828</v>
      </c>
      <c r="G29" s="2" t="s">
        <v>1829</v>
      </c>
      <c r="H29" s="2" t="s">
        <v>319</v>
      </c>
      <c r="I29" s="2" t="s">
        <v>754</v>
      </c>
      <c r="J29" s="2" t="s">
        <v>31</v>
      </c>
      <c r="K29" s="2" t="s">
        <v>31</v>
      </c>
      <c r="L29" s="2" t="s">
        <v>325</v>
      </c>
      <c r="M29" s="2" t="s">
        <v>40</v>
      </c>
      <c r="N29" s="2" t="s">
        <v>462</v>
      </c>
      <c r="O29" s="2" t="s">
        <v>136</v>
      </c>
      <c r="P29" s="2" t="s">
        <v>1731</v>
      </c>
      <c r="Q29" s="2" t="s">
        <v>104</v>
      </c>
      <c r="R29" s="2" t="s">
        <v>405</v>
      </c>
      <c r="S29" s="2" t="s">
        <v>35</v>
      </c>
      <c r="T29" s="153">
        <v>0.73899999999999999</v>
      </c>
      <c r="U29" s="2" t="s">
        <v>1715</v>
      </c>
      <c r="V29" s="165">
        <v>1.2200000000000001E-2</v>
      </c>
      <c r="W29" s="167">
        <v>2.298E-2</v>
      </c>
      <c r="X29" s="4" t="s">
        <v>411</v>
      </c>
      <c r="Y29" s="4" t="s">
        <v>136</v>
      </c>
      <c r="Z29" s="153">
        <v>25000</v>
      </c>
      <c r="AA29" s="153">
        <v>1</v>
      </c>
      <c r="AB29" s="153">
        <v>110.94</v>
      </c>
      <c r="AC29" s="11"/>
      <c r="AD29" s="153">
        <v>27.734999999999999</v>
      </c>
      <c r="AG29" s="2" t="s">
        <v>37</v>
      </c>
      <c r="AH29" s="167">
        <v>5.3999999999999998E-5</v>
      </c>
      <c r="AI29" s="167">
        <v>6.7435824872654898E-3</v>
      </c>
      <c r="AJ29" s="167">
        <v>2.6231214413960399E-3</v>
      </c>
      <c r="AK29" s="161"/>
      <c r="AL29" s="153"/>
    </row>
    <row r="30" spans="1:38">
      <c r="A30" s="2" t="s">
        <v>26</v>
      </c>
      <c r="B30" s="2">
        <v>1405</v>
      </c>
      <c r="C30" s="2" t="s">
        <v>1823</v>
      </c>
      <c r="D30" s="2" t="s">
        <v>1824</v>
      </c>
      <c r="E30" s="4" t="s">
        <v>1305</v>
      </c>
      <c r="F30" s="2" t="s">
        <v>1830</v>
      </c>
      <c r="G30" s="2" t="s">
        <v>1831</v>
      </c>
      <c r="H30" s="2" t="s">
        <v>319</v>
      </c>
      <c r="I30" s="2" t="s">
        <v>966</v>
      </c>
      <c r="J30" s="2" t="s">
        <v>31</v>
      </c>
      <c r="K30" s="2" t="s">
        <v>31</v>
      </c>
      <c r="L30" s="2" t="s">
        <v>325</v>
      </c>
      <c r="M30" s="2" t="s">
        <v>40</v>
      </c>
      <c r="N30" s="2" t="s">
        <v>462</v>
      </c>
      <c r="O30" s="2" t="s">
        <v>136</v>
      </c>
      <c r="P30" s="2" t="s">
        <v>1731</v>
      </c>
      <c r="Q30" s="2" t="s">
        <v>104</v>
      </c>
      <c r="R30" s="2" t="s">
        <v>405</v>
      </c>
      <c r="S30" s="2" t="s">
        <v>35</v>
      </c>
      <c r="T30" s="153">
        <v>3.0419999999999998</v>
      </c>
      <c r="U30" s="2" t="s">
        <v>1832</v>
      </c>
      <c r="V30" s="165">
        <v>2.3E-2</v>
      </c>
      <c r="W30" s="167">
        <v>5.1999999999999998E-2</v>
      </c>
      <c r="X30" s="4" t="s">
        <v>411</v>
      </c>
      <c r="Y30" s="4" t="s">
        <v>136</v>
      </c>
      <c r="Z30" s="153">
        <v>79200</v>
      </c>
      <c r="AA30" s="153">
        <v>1</v>
      </c>
      <c r="AB30" s="153">
        <v>91.96</v>
      </c>
      <c r="AC30" s="11"/>
      <c r="AD30" s="153">
        <v>72.831999999999994</v>
      </c>
      <c r="AG30" s="2" t="s">
        <v>37</v>
      </c>
      <c r="AH30" s="167">
        <v>1.3799999999999999E-4</v>
      </c>
      <c r="AI30" s="167">
        <v>1.7708698671675401E-2</v>
      </c>
      <c r="AJ30" s="167">
        <v>6.8883367664906202E-3</v>
      </c>
      <c r="AK30" s="161"/>
      <c r="AL30" s="153"/>
    </row>
    <row r="31" spans="1:38">
      <c r="A31" s="2" t="s">
        <v>26</v>
      </c>
      <c r="B31" s="2">
        <v>1405</v>
      </c>
      <c r="C31" s="2" t="s">
        <v>1833</v>
      </c>
      <c r="D31" s="2" t="s">
        <v>1834</v>
      </c>
      <c r="E31" s="4" t="s">
        <v>1305</v>
      </c>
      <c r="F31" s="2" t="s">
        <v>1835</v>
      </c>
      <c r="G31" s="2" t="s">
        <v>1836</v>
      </c>
      <c r="H31" s="2" t="s">
        <v>319</v>
      </c>
      <c r="I31" s="2" t="s">
        <v>966</v>
      </c>
      <c r="J31" s="2" t="s">
        <v>31</v>
      </c>
      <c r="K31" s="2" t="s">
        <v>31</v>
      </c>
      <c r="L31" s="2" t="s">
        <v>325</v>
      </c>
      <c r="M31" s="2" t="s">
        <v>40</v>
      </c>
      <c r="N31" s="2" t="s">
        <v>444</v>
      </c>
      <c r="O31" s="2" t="s">
        <v>136</v>
      </c>
      <c r="P31" s="2" t="s">
        <v>1752</v>
      </c>
      <c r="Q31" s="23" t="s">
        <v>1752</v>
      </c>
      <c r="R31" s="23" t="s">
        <v>1752</v>
      </c>
      <c r="S31" s="2" t="s">
        <v>35</v>
      </c>
      <c r="T31" s="153">
        <v>2.4129999999999998</v>
      </c>
      <c r="U31" s="2" t="s">
        <v>1822</v>
      </c>
      <c r="V31" s="165">
        <v>8.5000000000000006E-2</v>
      </c>
      <c r="W31" s="167">
        <v>7.0470000000000005E-2</v>
      </c>
      <c r="X31" s="4" t="s">
        <v>411</v>
      </c>
      <c r="Y31" s="4" t="s">
        <v>136</v>
      </c>
      <c r="Z31" s="153">
        <v>10000</v>
      </c>
      <c r="AA31" s="153">
        <v>1</v>
      </c>
      <c r="AB31" s="153">
        <v>108.4</v>
      </c>
      <c r="AC31" s="11"/>
      <c r="AD31" s="153">
        <v>10.84</v>
      </c>
      <c r="AG31" s="2" t="s">
        <v>37</v>
      </c>
      <c r="AH31" s="167">
        <v>1.0399999999999999E-4</v>
      </c>
      <c r="AI31" s="167">
        <v>2.6356745686662302E-3</v>
      </c>
      <c r="AJ31" s="167">
        <v>1.02522575895919E-3</v>
      </c>
      <c r="AK31" s="161"/>
      <c r="AL31" s="153"/>
    </row>
    <row r="32" spans="1:38">
      <c r="A32" s="2" t="s">
        <v>26</v>
      </c>
      <c r="B32" s="2">
        <v>1405</v>
      </c>
      <c r="C32" s="2" t="s">
        <v>1837</v>
      </c>
      <c r="D32" s="2" t="s">
        <v>1838</v>
      </c>
      <c r="E32" s="4" t="s">
        <v>1305</v>
      </c>
      <c r="F32" s="2" t="s">
        <v>1839</v>
      </c>
      <c r="G32" s="2" t="s">
        <v>1840</v>
      </c>
      <c r="H32" s="2" t="s">
        <v>319</v>
      </c>
      <c r="I32" s="2" t="s">
        <v>754</v>
      </c>
      <c r="J32" s="2" t="s">
        <v>31</v>
      </c>
      <c r="K32" s="2" t="s">
        <v>31</v>
      </c>
      <c r="L32" s="2" t="s">
        <v>325</v>
      </c>
      <c r="M32" s="2" t="s">
        <v>40</v>
      </c>
      <c r="N32" s="2" t="s">
        <v>448</v>
      </c>
      <c r="O32" s="2" t="s">
        <v>136</v>
      </c>
      <c r="P32" s="2" t="s">
        <v>1724</v>
      </c>
      <c r="Q32" s="2" t="s">
        <v>412</v>
      </c>
      <c r="R32" s="2" t="s">
        <v>407</v>
      </c>
      <c r="S32" s="2" t="s">
        <v>35</v>
      </c>
      <c r="T32" s="153">
        <v>3.0790000000000002</v>
      </c>
      <c r="U32" s="2" t="s">
        <v>1841</v>
      </c>
      <c r="V32" s="165">
        <v>2.8799999999999999E-2</v>
      </c>
      <c r="W32" s="167">
        <v>3.0550000000000001E-2</v>
      </c>
      <c r="X32" s="4" t="s">
        <v>411</v>
      </c>
      <c r="Y32" s="4" t="s">
        <v>136</v>
      </c>
      <c r="Z32" s="153">
        <v>16888.89</v>
      </c>
      <c r="AA32" s="153">
        <v>1</v>
      </c>
      <c r="AB32" s="153">
        <v>111.23</v>
      </c>
      <c r="AC32" s="11"/>
      <c r="AD32" s="153">
        <v>18.786000000000001</v>
      </c>
      <c r="AG32" s="2" t="s">
        <v>37</v>
      </c>
      <c r="AH32" s="167">
        <v>8.2999999999999998E-5</v>
      </c>
      <c r="AI32" s="167">
        <v>4.5675735380399799E-3</v>
      </c>
      <c r="AJ32" s="167">
        <v>1.7766966008662601E-3</v>
      </c>
      <c r="AK32" s="161"/>
      <c r="AL32" s="153"/>
    </row>
    <row r="33" spans="1:38">
      <c r="A33" s="2" t="s">
        <v>26</v>
      </c>
      <c r="B33" s="2">
        <v>1405</v>
      </c>
      <c r="C33" s="2" t="s">
        <v>1842</v>
      </c>
      <c r="D33" s="2" t="s">
        <v>1843</v>
      </c>
      <c r="E33" s="4" t="s">
        <v>34</v>
      </c>
      <c r="F33" s="2" t="s">
        <v>1844</v>
      </c>
      <c r="G33" s="2" t="s">
        <v>1845</v>
      </c>
      <c r="H33" s="2" t="s">
        <v>319</v>
      </c>
      <c r="I33" s="2" t="s">
        <v>966</v>
      </c>
      <c r="J33" s="2" t="s">
        <v>31</v>
      </c>
      <c r="K33" s="2" t="s">
        <v>31</v>
      </c>
      <c r="L33" s="2" t="s">
        <v>325</v>
      </c>
      <c r="M33" s="2" t="s">
        <v>40</v>
      </c>
      <c r="N33" s="2" t="s">
        <v>462</v>
      </c>
      <c r="O33" s="2" t="s">
        <v>136</v>
      </c>
      <c r="P33" s="2" t="s">
        <v>1720</v>
      </c>
      <c r="Q33" s="2" t="s">
        <v>104</v>
      </c>
      <c r="R33" s="2" t="s">
        <v>405</v>
      </c>
      <c r="S33" s="2" t="s">
        <v>35</v>
      </c>
      <c r="T33" s="153">
        <v>1.44</v>
      </c>
      <c r="U33" s="2" t="s">
        <v>1846</v>
      </c>
      <c r="V33" s="165">
        <v>7.0000000000000007E-2</v>
      </c>
      <c r="W33" s="167">
        <v>6.7129999999999995E-2</v>
      </c>
      <c r="X33" s="4" t="s">
        <v>411</v>
      </c>
      <c r="Y33" s="4" t="s">
        <v>136</v>
      </c>
      <c r="Z33" s="153">
        <v>62295.78</v>
      </c>
      <c r="AA33" s="153">
        <v>1</v>
      </c>
      <c r="AB33" s="153">
        <v>100.59</v>
      </c>
      <c r="AC33" s="11"/>
      <c r="AD33" s="153">
        <v>62.662999999999997</v>
      </c>
      <c r="AG33" s="2" t="s">
        <v>37</v>
      </c>
      <c r="AH33" s="167">
        <v>1.0399999999999999E-4</v>
      </c>
      <c r="AI33" s="167">
        <v>1.52361745719009E-2</v>
      </c>
      <c r="AJ33" s="167">
        <v>5.92657334286017E-3</v>
      </c>
      <c r="AK33" s="161"/>
      <c r="AL33" s="153"/>
    </row>
    <row r="34" spans="1:38">
      <c r="A34" s="2" t="s">
        <v>26</v>
      </c>
      <c r="B34" s="2">
        <v>1405</v>
      </c>
      <c r="C34" s="2" t="s">
        <v>1842</v>
      </c>
      <c r="D34" s="2" t="s">
        <v>1843</v>
      </c>
      <c r="E34" s="4" t="s">
        <v>34</v>
      </c>
      <c r="F34" s="2" t="s">
        <v>1847</v>
      </c>
      <c r="G34" s="2" t="s">
        <v>1848</v>
      </c>
      <c r="H34" s="2" t="s">
        <v>319</v>
      </c>
      <c r="I34" s="2" t="s">
        <v>966</v>
      </c>
      <c r="J34" s="2" t="s">
        <v>31</v>
      </c>
      <c r="K34" s="2" t="s">
        <v>31</v>
      </c>
      <c r="L34" s="23" t="s">
        <v>327</v>
      </c>
      <c r="M34" s="2" t="s">
        <v>40</v>
      </c>
      <c r="N34" s="2" t="s">
        <v>444</v>
      </c>
      <c r="O34" s="2" t="s">
        <v>136</v>
      </c>
      <c r="P34" s="2" t="s">
        <v>1720</v>
      </c>
      <c r="Q34" s="2" t="s">
        <v>104</v>
      </c>
      <c r="R34" s="2" t="s">
        <v>405</v>
      </c>
      <c r="S34" s="2" t="s">
        <v>35</v>
      </c>
      <c r="T34" s="153">
        <v>3.15</v>
      </c>
      <c r="U34" s="2" t="s">
        <v>1849</v>
      </c>
      <c r="V34" s="165">
        <v>6.5000000000000002E-2</v>
      </c>
      <c r="W34" s="167">
        <v>8.9200000000000002E-2</v>
      </c>
      <c r="X34" s="4" t="s">
        <v>411</v>
      </c>
      <c r="Y34" s="4" t="s">
        <v>136</v>
      </c>
      <c r="Z34" s="153">
        <v>34000</v>
      </c>
      <c r="AA34" s="153">
        <v>1</v>
      </c>
      <c r="AB34" s="153">
        <v>98.662999999999997</v>
      </c>
      <c r="AC34" s="11"/>
      <c r="AD34" s="153">
        <v>33.545000000000002</v>
      </c>
      <c r="AG34" s="2" t="s">
        <v>37</v>
      </c>
      <c r="AH34" s="167">
        <v>0</v>
      </c>
      <c r="AI34" s="167">
        <v>8.1563478218844594E-3</v>
      </c>
      <c r="AJ34" s="167">
        <v>3.1726594722421299E-3</v>
      </c>
      <c r="AK34" s="161"/>
      <c r="AL34" s="153"/>
    </row>
    <row r="35" spans="1:38">
      <c r="A35" s="2" t="s">
        <v>26</v>
      </c>
      <c r="B35" s="2">
        <v>1405</v>
      </c>
      <c r="C35" s="2" t="s">
        <v>1850</v>
      </c>
      <c r="D35" s="2" t="s">
        <v>1851</v>
      </c>
      <c r="E35" s="4" t="s">
        <v>1305</v>
      </c>
      <c r="F35" s="2" t="s">
        <v>1852</v>
      </c>
      <c r="G35" s="2" t="s">
        <v>1853</v>
      </c>
      <c r="H35" s="2" t="s">
        <v>319</v>
      </c>
      <c r="I35" s="2" t="s">
        <v>754</v>
      </c>
      <c r="J35" s="2" t="s">
        <v>31</v>
      </c>
      <c r="K35" s="2" t="s">
        <v>31</v>
      </c>
      <c r="L35" s="2" t="s">
        <v>325</v>
      </c>
      <c r="M35" s="2" t="s">
        <v>40</v>
      </c>
      <c r="N35" s="2" t="s">
        <v>461</v>
      </c>
      <c r="O35" s="2" t="s">
        <v>136</v>
      </c>
      <c r="P35" s="2" t="s">
        <v>1752</v>
      </c>
      <c r="Q35" s="23" t="s">
        <v>1752</v>
      </c>
      <c r="R35" s="23" t="s">
        <v>1752</v>
      </c>
      <c r="S35" s="2" t="s">
        <v>35</v>
      </c>
      <c r="T35" s="153">
        <v>2.8159999999999998</v>
      </c>
      <c r="U35" s="2" t="s">
        <v>1854</v>
      </c>
      <c r="V35" s="165">
        <v>1.9E-2</v>
      </c>
      <c r="W35" s="167">
        <v>2.894E-2</v>
      </c>
      <c r="X35" s="4" t="s">
        <v>411</v>
      </c>
      <c r="Y35" s="4" t="s">
        <v>136</v>
      </c>
      <c r="Z35" s="153">
        <v>11820</v>
      </c>
      <c r="AA35" s="153">
        <v>1</v>
      </c>
      <c r="AB35" s="153">
        <v>103.96</v>
      </c>
      <c r="AC35" s="11"/>
      <c r="AD35" s="153">
        <v>12.414</v>
      </c>
      <c r="AG35" s="2" t="s">
        <v>37</v>
      </c>
      <c r="AH35" s="167">
        <v>2.0000000000000002E-5</v>
      </c>
      <c r="AI35" s="167">
        <v>3.01846593795888E-3</v>
      </c>
      <c r="AJ35" s="167">
        <v>1.1741241004963501E-3</v>
      </c>
      <c r="AK35" s="161"/>
      <c r="AL35" s="153"/>
    </row>
    <row r="36" spans="1:38">
      <c r="A36" s="2" t="s">
        <v>26</v>
      </c>
      <c r="B36" s="2">
        <v>1405</v>
      </c>
      <c r="C36" s="2" t="s">
        <v>1744</v>
      </c>
      <c r="D36" s="2" t="s">
        <v>1745</v>
      </c>
      <c r="E36" s="4" t="s">
        <v>1305</v>
      </c>
      <c r="F36" s="2" t="s">
        <v>1855</v>
      </c>
      <c r="G36" s="2" t="s">
        <v>1856</v>
      </c>
      <c r="H36" s="2" t="s">
        <v>319</v>
      </c>
      <c r="I36" s="2" t="s">
        <v>754</v>
      </c>
      <c r="J36" s="2" t="s">
        <v>31</v>
      </c>
      <c r="K36" s="2" t="s">
        <v>31</v>
      </c>
      <c r="L36" s="2" t="s">
        <v>325</v>
      </c>
      <c r="M36" s="2" t="s">
        <v>40</v>
      </c>
      <c r="N36" s="2" t="s">
        <v>461</v>
      </c>
      <c r="O36" s="2" t="s">
        <v>136</v>
      </c>
      <c r="P36" s="2" t="s">
        <v>1748</v>
      </c>
      <c r="Q36" s="2" t="s">
        <v>412</v>
      </c>
      <c r="R36" s="2" t="s">
        <v>405</v>
      </c>
      <c r="S36" s="2" t="s">
        <v>35</v>
      </c>
      <c r="T36" s="153">
        <v>5.4580000000000002</v>
      </c>
      <c r="U36" s="2" t="s">
        <v>1857</v>
      </c>
      <c r="V36" s="165">
        <v>6.4999999999999997E-3</v>
      </c>
      <c r="W36" s="167">
        <v>2.6950000000000002E-2</v>
      </c>
      <c r="X36" s="4" t="s">
        <v>411</v>
      </c>
      <c r="Y36" s="4" t="s">
        <v>136</v>
      </c>
      <c r="Z36" s="153">
        <v>11000</v>
      </c>
      <c r="AA36" s="153">
        <v>1</v>
      </c>
      <c r="AB36" s="153">
        <v>99.03</v>
      </c>
      <c r="AC36" s="11"/>
      <c r="AD36" s="153">
        <v>10.893000000000001</v>
      </c>
      <c r="AG36" s="2" t="s">
        <v>37</v>
      </c>
      <c r="AH36" s="167">
        <v>5.0000000000000004E-6</v>
      </c>
      <c r="AI36" s="167">
        <v>2.6486341124402099E-3</v>
      </c>
      <c r="AJ36" s="167">
        <v>1.0302667675341399E-3</v>
      </c>
      <c r="AK36" s="161"/>
      <c r="AL36" s="153"/>
    </row>
    <row r="37" spans="1:38">
      <c r="A37" s="2" t="s">
        <v>26</v>
      </c>
      <c r="B37" s="2">
        <v>1405</v>
      </c>
      <c r="C37" s="2" t="s">
        <v>1858</v>
      </c>
      <c r="D37" s="2" t="s">
        <v>1859</v>
      </c>
      <c r="E37" s="4" t="s">
        <v>1305</v>
      </c>
      <c r="F37" s="2" t="s">
        <v>1860</v>
      </c>
      <c r="G37" s="2" t="s">
        <v>1861</v>
      </c>
      <c r="H37" s="2" t="s">
        <v>319</v>
      </c>
      <c r="I37" s="2" t="s">
        <v>966</v>
      </c>
      <c r="J37" s="2" t="s">
        <v>31</v>
      </c>
      <c r="K37" s="2" t="s">
        <v>31</v>
      </c>
      <c r="L37" s="2" t="s">
        <v>325</v>
      </c>
      <c r="M37" s="2" t="s">
        <v>40</v>
      </c>
      <c r="N37" s="2" t="s">
        <v>437</v>
      </c>
      <c r="O37" s="2" t="s">
        <v>136</v>
      </c>
      <c r="P37" s="2" t="s">
        <v>1758</v>
      </c>
      <c r="Q37" s="2" t="s">
        <v>412</v>
      </c>
      <c r="R37" s="2" t="s">
        <v>405</v>
      </c>
      <c r="S37" s="2" t="s">
        <v>35</v>
      </c>
      <c r="T37" s="153">
        <v>3.6160000000000001</v>
      </c>
      <c r="U37" s="2" t="s">
        <v>1862</v>
      </c>
      <c r="V37" s="165">
        <v>0.05</v>
      </c>
      <c r="W37" s="167">
        <v>5.287E-2</v>
      </c>
      <c r="X37" s="4" t="s">
        <v>411</v>
      </c>
      <c r="Y37" s="4" t="s">
        <v>136</v>
      </c>
      <c r="Z37" s="153">
        <v>22880.87</v>
      </c>
      <c r="AA37" s="153">
        <v>1</v>
      </c>
      <c r="AB37" s="153">
        <v>99.32</v>
      </c>
      <c r="AC37" s="11"/>
      <c r="AD37" s="153">
        <v>22.725000000000001</v>
      </c>
      <c r="AG37" s="2" t="s">
        <v>37</v>
      </c>
      <c r="AH37" s="167">
        <v>2.1999999999999999E-5</v>
      </c>
      <c r="AI37" s="167">
        <v>5.5255021017727004E-3</v>
      </c>
      <c r="AJ37" s="167">
        <v>2.14931204074529E-3</v>
      </c>
      <c r="AK37" s="161"/>
      <c r="AL37" s="153"/>
    </row>
    <row r="38" spans="1:38">
      <c r="A38" s="2" t="s">
        <v>26</v>
      </c>
      <c r="B38" s="2">
        <v>1405</v>
      </c>
      <c r="C38" s="2" t="s">
        <v>1863</v>
      </c>
      <c r="D38" s="2" t="s">
        <v>1864</v>
      </c>
      <c r="E38" s="4" t="s">
        <v>1305</v>
      </c>
      <c r="F38" s="2" t="s">
        <v>1865</v>
      </c>
      <c r="G38" s="2" t="s">
        <v>1866</v>
      </c>
      <c r="H38" s="2" t="s">
        <v>319</v>
      </c>
      <c r="I38" s="2" t="s">
        <v>754</v>
      </c>
      <c r="J38" s="2" t="s">
        <v>31</v>
      </c>
      <c r="K38" s="2" t="s">
        <v>31</v>
      </c>
      <c r="L38" s="2" t="s">
        <v>325</v>
      </c>
      <c r="M38" s="2" t="s">
        <v>40</v>
      </c>
      <c r="N38" s="2" t="s">
        <v>445</v>
      </c>
      <c r="O38" s="2" t="s">
        <v>136</v>
      </c>
      <c r="P38" s="2" t="s">
        <v>1867</v>
      </c>
      <c r="Q38" s="2" t="s">
        <v>104</v>
      </c>
      <c r="R38" s="2" t="s">
        <v>405</v>
      </c>
      <c r="S38" s="2" t="s">
        <v>35</v>
      </c>
      <c r="T38" s="153">
        <v>3.9329999999999998</v>
      </c>
      <c r="U38" s="2" t="s">
        <v>1868</v>
      </c>
      <c r="V38" s="165">
        <v>1.09E-2</v>
      </c>
      <c r="W38" s="167">
        <v>2.5860000000000001E-2</v>
      </c>
      <c r="X38" s="4" t="s">
        <v>411</v>
      </c>
      <c r="Y38" s="4" t="s">
        <v>136</v>
      </c>
      <c r="Z38" s="153">
        <v>50000</v>
      </c>
      <c r="AA38" s="153">
        <v>1</v>
      </c>
      <c r="AB38" s="153">
        <v>102.9</v>
      </c>
      <c r="AC38" s="11"/>
      <c r="AD38" s="153">
        <v>51.45</v>
      </c>
      <c r="AG38" s="2" t="s">
        <v>37</v>
      </c>
      <c r="AH38" s="167">
        <v>5.5000000000000002E-5</v>
      </c>
      <c r="AI38" s="167">
        <v>1.25097284647489E-2</v>
      </c>
      <c r="AJ38" s="167">
        <v>4.86603923417437E-3</v>
      </c>
      <c r="AK38" s="161"/>
      <c r="AL38" s="153"/>
    </row>
    <row r="39" spans="1:38">
      <c r="A39" s="2" t="s">
        <v>26</v>
      </c>
      <c r="B39" s="2">
        <v>1405</v>
      </c>
      <c r="C39" s="2" t="s">
        <v>1583</v>
      </c>
      <c r="D39" s="2" t="s">
        <v>1584</v>
      </c>
      <c r="E39" s="4" t="s">
        <v>1305</v>
      </c>
      <c r="F39" s="2" t="s">
        <v>1869</v>
      </c>
      <c r="G39" s="2" t="s">
        <v>1870</v>
      </c>
      <c r="H39" s="2" t="s">
        <v>319</v>
      </c>
      <c r="I39" s="2" t="s">
        <v>966</v>
      </c>
      <c r="J39" s="2" t="s">
        <v>31</v>
      </c>
      <c r="K39" s="2" t="s">
        <v>31</v>
      </c>
      <c r="L39" s="2" t="s">
        <v>325</v>
      </c>
      <c r="M39" s="2" t="s">
        <v>40</v>
      </c>
      <c r="N39" s="2" t="s">
        <v>437</v>
      </c>
      <c r="O39" s="2" t="s">
        <v>136</v>
      </c>
      <c r="P39" s="2" t="s">
        <v>1720</v>
      </c>
      <c r="Q39" s="2" t="s">
        <v>104</v>
      </c>
      <c r="R39" s="2" t="s">
        <v>405</v>
      </c>
      <c r="S39" s="2" t="s">
        <v>35</v>
      </c>
      <c r="T39" s="153">
        <v>3.07</v>
      </c>
      <c r="U39" s="2" t="s">
        <v>1871</v>
      </c>
      <c r="V39" s="165">
        <v>7.2499999999999995E-2</v>
      </c>
      <c r="W39" s="167">
        <v>6.232E-2</v>
      </c>
      <c r="X39" s="4" t="s">
        <v>411</v>
      </c>
      <c r="Y39" s="4" t="s">
        <v>136</v>
      </c>
      <c r="Z39" s="153">
        <v>60000</v>
      </c>
      <c r="AA39" s="153">
        <v>1</v>
      </c>
      <c r="AB39" s="153">
        <v>108.29</v>
      </c>
      <c r="AC39" s="11"/>
      <c r="AD39" s="153">
        <v>64.974000000000004</v>
      </c>
      <c r="AG39" s="2" t="s">
        <v>37</v>
      </c>
      <c r="AH39" s="167">
        <v>1.03E-4</v>
      </c>
      <c r="AI39" s="167">
        <v>1.57979999469114E-2</v>
      </c>
      <c r="AJ39" s="167">
        <v>6.1451124043002004E-3</v>
      </c>
      <c r="AK39" s="161"/>
      <c r="AL39" s="153"/>
    </row>
    <row r="40" spans="1:38">
      <c r="A40" s="2" t="s">
        <v>26</v>
      </c>
      <c r="B40" s="2">
        <v>1405</v>
      </c>
      <c r="C40" s="2" t="s">
        <v>1458</v>
      </c>
      <c r="D40" s="2" t="s">
        <v>1459</v>
      </c>
      <c r="E40" s="4" t="s">
        <v>1305</v>
      </c>
      <c r="F40" s="2" t="s">
        <v>1872</v>
      </c>
      <c r="G40" s="2" t="s">
        <v>1873</v>
      </c>
      <c r="H40" s="2" t="s">
        <v>319</v>
      </c>
      <c r="I40" s="2" t="s">
        <v>754</v>
      </c>
      <c r="J40" s="2" t="s">
        <v>31</v>
      </c>
      <c r="K40" s="2" t="s">
        <v>31</v>
      </c>
      <c r="L40" s="2" t="s">
        <v>325</v>
      </c>
      <c r="M40" s="2" t="s">
        <v>40</v>
      </c>
      <c r="N40" s="2" t="s">
        <v>461</v>
      </c>
      <c r="O40" s="2" t="s">
        <v>136</v>
      </c>
      <c r="P40" s="2" t="s">
        <v>1748</v>
      </c>
      <c r="Q40" s="2" t="s">
        <v>412</v>
      </c>
      <c r="R40" s="2" t="s">
        <v>405</v>
      </c>
      <c r="S40" s="2" t="s">
        <v>35</v>
      </c>
      <c r="T40" s="153">
        <v>3.839</v>
      </c>
      <c r="U40" s="2" t="s">
        <v>1874</v>
      </c>
      <c r="V40" s="165">
        <v>5.0000000000000001E-3</v>
      </c>
      <c r="W40" s="167">
        <v>2.52E-2</v>
      </c>
      <c r="X40" s="4" t="s">
        <v>411</v>
      </c>
      <c r="Y40" s="4" t="s">
        <v>136</v>
      </c>
      <c r="Z40" s="153">
        <v>24319.279999999999</v>
      </c>
      <c r="AA40" s="153">
        <v>1</v>
      </c>
      <c r="AB40" s="153">
        <v>103.12</v>
      </c>
      <c r="AC40" s="11"/>
      <c r="AD40" s="153">
        <v>25.077999999999999</v>
      </c>
      <c r="AG40" s="2" t="s">
        <v>37</v>
      </c>
      <c r="AH40" s="167">
        <v>1.4E-5</v>
      </c>
      <c r="AI40" s="167">
        <v>6.0975605450544904E-3</v>
      </c>
      <c r="AJ40" s="167">
        <v>2.37183156521731E-3</v>
      </c>
      <c r="AK40" s="161"/>
      <c r="AL40" s="153"/>
    </row>
    <row r="41" spans="1:38">
      <c r="A41" s="2" t="s">
        <v>26</v>
      </c>
      <c r="B41" s="2">
        <v>1405</v>
      </c>
      <c r="C41" s="2" t="s">
        <v>1458</v>
      </c>
      <c r="D41" s="2" t="s">
        <v>1459</v>
      </c>
      <c r="E41" s="4" t="s">
        <v>1305</v>
      </c>
      <c r="F41" s="2" t="s">
        <v>1875</v>
      </c>
      <c r="G41" s="2" t="s">
        <v>1876</v>
      </c>
      <c r="H41" s="2" t="s">
        <v>319</v>
      </c>
      <c r="I41" s="2" t="s">
        <v>754</v>
      </c>
      <c r="J41" s="2" t="s">
        <v>31</v>
      </c>
      <c r="K41" s="2" t="s">
        <v>31</v>
      </c>
      <c r="L41" s="2" t="s">
        <v>325</v>
      </c>
      <c r="M41" s="2" t="s">
        <v>40</v>
      </c>
      <c r="N41" s="2" t="s">
        <v>461</v>
      </c>
      <c r="O41" s="2" t="s">
        <v>136</v>
      </c>
      <c r="P41" s="2" t="s">
        <v>1748</v>
      </c>
      <c r="Q41" s="2" t="s">
        <v>412</v>
      </c>
      <c r="R41" s="2" t="s">
        <v>405</v>
      </c>
      <c r="S41" s="2" t="s">
        <v>35</v>
      </c>
      <c r="T41" s="153">
        <v>1.466</v>
      </c>
      <c r="U41" s="2" t="s">
        <v>1846</v>
      </c>
      <c r="V41" s="165">
        <v>4.7500000000000001E-2</v>
      </c>
      <c r="W41" s="167">
        <v>1.567E-2</v>
      </c>
      <c r="X41" s="4" t="s">
        <v>411</v>
      </c>
      <c r="Y41" s="4" t="s">
        <v>136</v>
      </c>
      <c r="Z41" s="153">
        <v>48666.7</v>
      </c>
      <c r="AA41" s="153">
        <v>1</v>
      </c>
      <c r="AB41" s="153">
        <v>141.47999999999999</v>
      </c>
      <c r="AC41" s="11"/>
      <c r="AD41" s="153">
        <v>68.853999999999999</v>
      </c>
      <c r="AG41" s="2" t="s">
        <v>37</v>
      </c>
      <c r="AH41" s="167">
        <v>3.8000000000000002E-5</v>
      </c>
      <c r="AI41" s="167">
        <v>1.6741310588517501E-2</v>
      </c>
      <c r="AJ41" s="167">
        <v>6.5120417589224202E-3</v>
      </c>
      <c r="AK41" s="161"/>
      <c r="AL41" s="153"/>
    </row>
    <row r="42" spans="1:38">
      <c r="A42" s="2" t="s">
        <v>26</v>
      </c>
      <c r="B42" s="2">
        <v>1405</v>
      </c>
      <c r="C42" s="2" t="s">
        <v>1877</v>
      </c>
      <c r="D42" s="2" t="s">
        <v>1878</v>
      </c>
      <c r="E42" s="4" t="s">
        <v>1305</v>
      </c>
      <c r="F42" s="2" t="s">
        <v>1879</v>
      </c>
      <c r="G42" s="2" t="s">
        <v>1880</v>
      </c>
      <c r="H42" s="2" t="s">
        <v>319</v>
      </c>
      <c r="I42" s="2" t="s">
        <v>966</v>
      </c>
      <c r="J42" s="2" t="s">
        <v>31</v>
      </c>
      <c r="K42" s="2" t="s">
        <v>31</v>
      </c>
      <c r="L42" s="23" t="s">
        <v>327</v>
      </c>
      <c r="M42" s="2" t="s">
        <v>40</v>
      </c>
      <c r="N42" s="2" t="s">
        <v>444</v>
      </c>
      <c r="O42" s="2" t="s">
        <v>136</v>
      </c>
      <c r="P42" s="2" t="s">
        <v>1752</v>
      </c>
      <c r="Q42" s="23" t="s">
        <v>1752</v>
      </c>
      <c r="R42" s="23" t="s">
        <v>1752</v>
      </c>
      <c r="S42" s="2" t="s">
        <v>35</v>
      </c>
      <c r="T42" s="153">
        <v>1.61</v>
      </c>
      <c r="U42" s="2" t="s">
        <v>1822</v>
      </c>
      <c r="V42" s="165">
        <v>6.25E-2</v>
      </c>
      <c r="W42" s="167">
        <v>6.4699999999999994E-2</v>
      </c>
      <c r="X42" s="4" t="s">
        <v>411</v>
      </c>
      <c r="Y42" s="4" t="s">
        <v>136</v>
      </c>
      <c r="Z42" s="153">
        <v>3981</v>
      </c>
      <c r="AA42" s="153">
        <v>1</v>
      </c>
      <c r="AB42" s="153">
        <v>100.23</v>
      </c>
      <c r="AC42" s="11"/>
      <c r="AD42" s="153">
        <v>3.99</v>
      </c>
      <c r="AG42" s="2" t="s">
        <v>37</v>
      </c>
      <c r="AH42" s="167">
        <v>0</v>
      </c>
      <c r="AI42" s="167">
        <v>9.7018021078536395E-4</v>
      </c>
      <c r="AJ42" s="167">
        <v>3.7738109050122499E-4</v>
      </c>
      <c r="AK42" s="161"/>
      <c r="AL42" s="153"/>
    </row>
    <row r="43" spans="1:38">
      <c r="A43" s="2" t="s">
        <v>26</v>
      </c>
      <c r="B43" s="2">
        <v>1405</v>
      </c>
      <c r="C43" s="2" t="s">
        <v>1877</v>
      </c>
      <c r="D43" s="2" t="s">
        <v>1878</v>
      </c>
      <c r="E43" s="4" t="s">
        <v>1305</v>
      </c>
      <c r="F43" s="2" t="s">
        <v>1881</v>
      </c>
      <c r="G43" s="2" t="s">
        <v>1882</v>
      </c>
      <c r="H43" s="2" t="s">
        <v>319</v>
      </c>
      <c r="I43" s="2" t="s">
        <v>966</v>
      </c>
      <c r="J43" s="2" t="s">
        <v>31</v>
      </c>
      <c r="K43" s="2" t="s">
        <v>31</v>
      </c>
      <c r="L43" s="2" t="s">
        <v>325</v>
      </c>
      <c r="M43" s="2" t="s">
        <v>40</v>
      </c>
      <c r="N43" s="2" t="s">
        <v>444</v>
      </c>
      <c r="O43" s="2" t="s">
        <v>136</v>
      </c>
      <c r="P43" s="2" t="s">
        <v>1752</v>
      </c>
      <c r="Q43" s="23" t="s">
        <v>1752</v>
      </c>
      <c r="R43" s="23" t="s">
        <v>1752</v>
      </c>
      <c r="S43" s="2" t="s">
        <v>35</v>
      </c>
      <c r="T43" s="153">
        <v>2.0339999999999998</v>
      </c>
      <c r="U43" s="2" t="s">
        <v>1788</v>
      </c>
      <c r="V43" s="165">
        <v>3.8699999999999998E-2</v>
      </c>
      <c r="W43" s="167">
        <v>5.9580000000000001E-2</v>
      </c>
      <c r="X43" s="4" t="s">
        <v>411</v>
      </c>
      <c r="Y43" s="4" t="s">
        <v>136</v>
      </c>
      <c r="Z43" s="153">
        <v>3846.15</v>
      </c>
      <c r="AA43" s="153">
        <v>1</v>
      </c>
      <c r="AB43" s="153">
        <v>97.05</v>
      </c>
      <c r="AC43" s="11"/>
      <c r="AD43" s="153">
        <v>3.7330000000000001</v>
      </c>
      <c r="AG43" s="2" t="s">
        <v>37</v>
      </c>
      <c r="AH43" s="167">
        <v>1.2E-5</v>
      </c>
      <c r="AI43" s="167">
        <v>9.0757863006259197E-4</v>
      </c>
      <c r="AJ43" s="167">
        <v>3.53030302330504E-4</v>
      </c>
      <c r="AK43" s="161"/>
      <c r="AL43" s="153"/>
    </row>
    <row r="44" spans="1:38">
      <c r="A44" s="2" t="s">
        <v>26</v>
      </c>
      <c r="B44" s="2">
        <v>1405</v>
      </c>
      <c r="C44" s="2" t="s">
        <v>1877</v>
      </c>
      <c r="D44" s="2" t="s">
        <v>1878</v>
      </c>
      <c r="E44" s="4" t="s">
        <v>1305</v>
      </c>
      <c r="F44" s="2" t="s">
        <v>1883</v>
      </c>
      <c r="G44" s="2" t="s">
        <v>1882</v>
      </c>
      <c r="H44" s="2" t="s">
        <v>319</v>
      </c>
      <c r="I44" s="2" t="s">
        <v>966</v>
      </c>
      <c r="J44" s="2" t="s">
        <v>31</v>
      </c>
      <c r="K44" s="2" t="s">
        <v>31</v>
      </c>
      <c r="L44" s="23" t="s">
        <v>327</v>
      </c>
      <c r="M44" s="2" t="s">
        <v>40</v>
      </c>
      <c r="N44" s="2" t="s">
        <v>444</v>
      </c>
      <c r="O44" s="2" t="s">
        <v>136</v>
      </c>
      <c r="P44" s="2" t="s">
        <v>1752</v>
      </c>
      <c r="Q44" s="23" t="s">
        <v>1752</v>
      </c>
      <c r="R44" s="23" t="s">
        <v>1752</v>
      </c>
      <c r="S44" s="2" t="s">
        <v>35</v>
      </c>
      <c r="T44" s="153">
        <v>2.2799999999999998</v>
      </c>
      <c r="U44" s="2" t="s">
        <v>1788</v>
      </c>
      <c r="V44" s="165">
        <v>3.8699999999999998E-2</v>
      </c>
      <c r="W44" s="167">
        <v>5.8299999999999998E-2</v>
      </c>
      <c r="X44" s="4" t="s">
        <v>411</v>
      </c>
      <c r="Y44" s="4" t="s">
        <v>136</v>
      </c>
      <c r="Z44" s="153">
        <v>7000</v>
      </c>
      <c r="AA44" s="153">
        <v>1</v>
      </c>
      <c r="AB44" s="153">
        <v>96.995000000000005</v>
      </c>
      <c r="AC44" s="11"/>
      <c r="AD44" s="153">
        <v>6.79</v>
      </c>
      <c r="AG44" s="2" t="s">
        <v>37</v>
      </c>
      <c r="AH44" s="167">
        <v>2.1999999999999999E-5</v>
      </c>
      <c r="AI44" s="167">
        <v>1.6508654643941499E-3</v>
      </c>
      <c r="AJ44" s="167">
        <v>6.4215431555705599E-4</v>
      </c>
      <c r="AK44" s="161"/>
      <c r="AL44" s="153"/>
    </row>
    <row r="45" spans="1:38">
      <c r="A45" s="2" t="s">
        <v>26</v>
      </c>
      <c r="B45" s="2">
        <v>1405</v>
      </c>
      <c r="C45" s="2" t="s">
        <v>1877</v>
      </c>
      <c r="D45" s="2" t="s">
        <v>1878</v>
      </c>
      <c r="E45" s="4" t="s">
        <v>1305</v>
      </c>
      <c r="F45" s="2" t="s">
        <v>1884</v>
      </c>
      <c r="G45" s="2" t="s">
        <v>1885</v>
      </c>
      <c r="H45" s="2" t="s">
        <v>319</v>
      </c>
      <c r="I45" s="2" t="s">
        <v>966</v>
      </c>
      <c r="J45" s="2" t="s">
        <v>31</v>
      </c>
      <c r="K45" s="2" t="s">
        <v>31</v>
      </c>
      <c r="L45" s="23" t="s">
        <v>327</v>
      </c>
      <c r="M45" s="2" t="s">
        <v>40</v>
      </c>
      <c r="N45" s="2" t="s">
        <v>444</v>
      </c>
      <c r="O45" s="2" t="s">
        <v>136</v>
      </c>
      <c r="P45" s="2" t="s">
        <v>1752</v>
      </c>
      <c r="Q45" s="23" t="s">
        <v>1752</v>
      </c>
      <c r="R45" s="23" t="s">
        <v>1752</v>
      </c>
      <c r="S45" s="2" t="s">
        <v>35</v>
      </c>
      <c r="T45" s="153">
        <v>2.12</v>
      </c>
      <c r="U45" s="2" t="s">
        <v>1822</v>
      </c>
      <c r="V45" s="165">
        <v>4.19E-2</v>
      </c>
      <c r="W45" s="167">
        <v>7.4999999999999997E-2</v>
      </c>
      <c r="X45" s="4" t="s">
        <v>411</v>
      </c>
      <c r="Y45" s="4" t="s">
        <v>136</v>
      </c>
      <c r="Z45" s="153">
        <v>6474</v>
      </c>
      <c r="AA45" s="153">
        <v>1</v>
      </c>
      <c r="AB45" s="153">
        <v>92.72</v>
      </c>
      <c r="AC45" s="11"/>
      <c r="AD45" s="153">
        <v>6.0030000000000001</v>
      </c>
      <c r="AG45" s="2" t="s">
        <v>37</v>
      </c>
      <c r="AH45" s="167">
        <v>0</v>
      </c>
      <c r="AI45" s="167">
        <v>1.45951519893689E-3</v>
      </c>
      <c r="AJ45" s="167">
        <v>5.6772281196299304E-4</v>
      </c>
      <c r="AK45" s="161"/>
      <c r="AL45" s="153"/>
    </row>
    <row r="46" spans="1:38">
      <c r="A46" s="2" t="s">
        <v>26</v>
      </c>
      <c r="B46" s="2">
        <v>1405</v>
      </c>
      <c r="C46" s="2" t="s">
        <v>1886</v>
      </c>
      <c r="D46" s="2" t="s">
        <v>1887</v>
      </c>
      <c r="E46" s="4" t="s">
        <v>34</v>
      </c>
      <c r="F46" s="2" t="s">
        <v>1888</v>
      </c>
      <c r="G46" s="2" t="s">
        <v>1889</v>
      </c>
      <c r="H46" s="2" t="s">
        <v>319</v>
      </c>
      <c r="I46" s="2" t="s">
        <v>966</v>
      </c>
      <c r="J46" s="2" t="s">
        <v>31</v>
      </c>
      <c r="K46" s="2" t="s">
        <v>74</v>
      </c>
      <c r="L46" s="2" t="s">
        <v>325</v>
      </c>
      <c r="M46" s="2" t="s">
        <v>40</v>
      </c>
      <c r="N46" s="2" t="s">
        <v>462</v>
      </c>
      <c r="O46" s="2" t="s">
        <v>136</v>
      </c>
      <c r="P46" s="2" t="s">
        <v>1890</v>
      </c>
      <c r="Q46" s="2" t="s">
        <v>412</v>
      </c>
      <c r="R46" s="2" t="s">
        <v>405</v>
      </c>
      <c r="S46" s="2" t="s">
        <v>35</v>
      </c>
      <c r="T46" s="153">
        <v>2.42</v>
      </c>
      <c r="U46" s="2" t="s">
        <v>1891</v>
      </c>
      <c r="V46" s="165">
        <v>7.1915999999999994E-2</v>
      </c>
      <c r="W46" s="167">
        <v>0.10178</v>
      </c>
      <c r="X46" s="4" t="s">
        <v>411</v>
      </c>
      <c r="Y46" s="4" t="s">
        <v>136</v>
      </c>
      <c r="Z46" s="153">
        <v>21000</v>
      </c>
      <c r="AA46" s="153">
        <v>1</v>
      </c>
      <c r="AB46" s="153">
        <v>111.01</v>
      </c>
      <c r="AC46" s="11"/>
      <c r="AD46" s="153">
        <v>23.312000000000001</v>
      </c>
      <c r="AG46" s="2" t="s">
        <v>37</v>
      </c>
      <c r="AH46" s="167">
        <v>1.45E-4</v>
      </c>
      <c r="AI46" s="167">
        <v>5.6681834974358003E-3</v>
      </c>
      <c r="AJ46" s="167">
        <v>2.2048123076967201E-3</v>
      </c>
      <c r="AK46" s="161"/>
      <c r="AL46" s="153"/>
    </row>
    <row r="47" spans="1:38">
      <c r="A47" s="2" t="s">
        <v>26</v>
      </c>
      <c r="B47" s="2">
        <v>1405</v>
      </c>
      <c r="C47" s="2" t="s">
        <v>1892</v>
      </c>
      <c r="D47" s="2" t="s">
        <v>1893</v>
      </c>
      <c r="E47" s="4" t="s">
        <v>1305</v>
      </c>
      <c r="F47" s="2" t="s">
        <v>1894</v>
      </c>
      <c r="G47" s="2" t="s">
        <v>1895</v>
      </c>
      <c r="H47" s="2" t="s">
        <v>319</v>
      </c>
      <c r="I47" s="2" t="s">
        <v>754</v>
      </c>
      <c r="J47" s="2" t="s">
        <v>31</v>
      </c>
      <c r="K47" s="2" t="s">
        <v>31</v>
      </c>
      <c r="L47" s="2" t="s">
        <v>325</v>
      </c>
      <c r="M47" s="2" t="s">
        <v>40</v>
      </c>
      <c r="N47" s="2" t="s">
        <v>461</v>
      </c>
      <c r="O47" s="2" t="s">
        <v>136</v>
      </c>
      <c r="P47" s="2" t="s">
        <v>1896</v>
      </c>
      <c r="Q47" s="2" t="s">
        <v>104</v>
      </c>
      <c r="R47" s="2" t="s">
        <v>405</v>
      </c>
      <c r="S47" s="2" t="s">
        <v>35</v>
      </c>
      <c r="T47" s="153">
        <v>1.64</v>
      </c>
      <c r="U47" s="2" t="s">
        <v>1897</v>
      </c>
      <c r="V47" s="165">
        <v>2.5000000000000001E-2</v>
      </c>
      <c r="W47" s="167">
        <v>2.281E-2</v>
      </c>
      <c r="X47" s="4" t="s">
        <v>411</v>
      </c>
      <c r="Y47" s="4" t="s">
        <v>136</v>
      </c>
      <c r="Z47" s="153">
        <v>12909</v>
      </c>
      <c r="AA47" s="153">
        <v>1</v>
      </c>
      <c r="AB47" s="153">
        <v>113.86</v>
      </c>
      <c r="AC47" s="11"/>
      <c r="AD47" s="153">
        <v>14.698</v>
      </c>
      <c r="AG47" s="2" t="s">
        <v>37</v>
      </c>
      <c r="AH47" s="167">
        <v>3.6000000000000001E-5</v>
      </c>
      <c r="AI47" s="167">
        <v>3.5737674110397099E-3</v>
      </c>
      <c r="AJ47" s="167">
        <v>1.3901254919270599E-3</v>
      </c>
      <c r="AK47" s="161"/>
      <c r="AL47" s="153"/>
    </row>
    <row r="48" spans="1:38">
      <c r="A48" s="2" t="s">
        <v>26</v>
      </c>
      <c r="B48" s="2">
        <v>1405</v>
      </c>
      <c r="C48" s="2" t="s">
        <v>1898</v>
      </c>
      <c r="D48" s="2" t="s">
        <v>1899</v>
      </c>
      <c r="E48" s="4" t="s">
        <v>1305</v>
      </c>
      <c r="F48" s="2" t="s">
        <v>1900</v>
      </c>
      <c r="G48" s="2" t="s">
        <v>1901</v>
      </c>
      <c r="H48" s="2" t="s">
        <v>319</v>
      </c>
      <c r="I48" s="2" t="s">
        <v>967</v>
      </c>
      <c r="J48" s="2" t="s">
        <v>31</v>
      </c>
      <c r="K48" s="2" t="s">
        <v>31</v>
      </c>
      <c r="L48" s="2" t="s">
        <v>325</v>
      </c>
      <c r="M48" s="2" t="s">
        <v>40</v>
      </c>
      <c r="N48" s="2" t="s">
        <v>444</v>
      </c>
      <c r="O48" s="2" t="s">
        <v>136</v>
      </c>
      <c r="P48" s="2" t="s">
        <v>1752</v>
      </c>
      <c r="Q48" s="23" t="s">
        <v>1752</v>
      </c>
      <c r="R48" s="23" t="s">
        <v>1752</v>
      </c>
      <c r="S48" s="2" t="s">
        <v>35</v>
      </c>
      <c r="T48" s="153">
        <v>3.9950000000000001</v>
      </c>
      <c r="U48" s="2" t="s">
        <v>1743</v>
      </c>
      <c r="V48" s="165">
        <v>7.0000000000000007E-2</v>
      </c>
      <c r="W48" s="167">
        <v>2.546E-2</v>
      </c>
      <c r="X48" s="4" t="s">
        <v>411</v>
      </c>
      <c r="Y48" s="4" t="s">
        <v>136</v>
      </c>
      <c r="Z48" s="153">
        <v>10000</v>
      </c>
      <c r="AA48" s="153">
        <v>1</v>
      </c>
      <c r="AB48" s="153">
        <v>118.9</v>
      </c>
      <c r="AC48" s="11"/>
      <c r="AD48" s="153">
        <v>11.89</v>
      </c>
      <c r="AG48" s="2" t="s">
        <v>37</v>
      </c>
      <c r="AH48" s="167">
        <v>0</v>
      </c>
      <c r="AI48" s="167">
        <v>2.8909751495794799E-3</v>
      </c>
      <c r="AJ48" s="167">
        <v>1.1245326821056E-3</v>
      </c>
      <c r="AK48" s="161"/>
      <c r="AL48" s="153"/>
    </row>
    <row r="49" spans="1:38">
      <c r="A49" s="2" t="s">
        <v>26</v>
      </c>
      <c r="B49" s="2">
        <v>1405</v>
      </c>
      <c r="C49" s="2" t="s">
        <v>1902</v>
      </c>
      <c r="D49" s="2" t="s">
        <v>1903</v>
      </c>
      <c r="E49" s="4" t="s">
        <v>34</v>
      </c>
      <c r="F49" s="2" t="s">
        <v>1904</v>
      </c>
      <c r="G49" s="2" t="s">
        <v>1905</v>
      </c>
      <c r="H49" s="2" t="s">
        <v>319</v>
      </c>
      <c r="I49" s="2" t="s">
        <v>966</v>
      </c>
      <c r="J49" s="2" t="s">
        <v>31</v>
      </c>
      <c r="K49" s="2" t="s">
        <v>74</v>
      </c>
      <c r="L49" s="2" t="s">
        <v>325</v>
      </c>
      <c r="M49" s="2" t="s">
        <v>40</v>
      </c>
      <c r="N49" s="2" t="s">
        <v>462</v>
      </c>
      <c r="O49" s="2" t="s">
        <v>136</v>
      </c>
      <c r="P49" s="2" t="s">
        <v>1724</v>
      </c>
      <c r="Q49" s="2" t="s">
        <v>412</v>
      </c>
      <c r="R49" s="2" t="s">
        <v>405</v>
      </c>
      <c r="S49" s="2" t="s">
        <v>35</v>
      </c>
      <c r="T49" s="153">
        <v>2.0030000000000001</v>
      </c>
      <c r="U49" s="2" t="s">
        <v>1753</v>
      </c>
      <c r="V49" s="165">
        <v>7.7499999999999999E-2</v>
      </c>
      <c r="W49" s="167">
        <v>7.9750000000000001E-2</v>
      </c>
      <c r="X49" s="4" t="s">
        <v>411</v>
      </c>
      <c r="Y49" s="4" t="s">
        <v>136</v>
      </c>
      <c r="Z49" s="153">
        <v>27000</v>
      </c>
      <c r="AA49" s="153">
        <v>1</v>
      </c>
      <c r="AB49" s="153">
        <v>101.82</v>
      </c>
      <c r="AC49" s="11"/>
      <c r="AD49" s="153">
        <v>27.491</v>
      </c>
      <c r="AG49" s="2" t="s">
        <v>37</v>
      </c>
      <c r="AH49" s="167">
        <v>6.8999999999999997E-5</v>
      </c>
      <c r="AI49" s="167">
        <v>6.6843527524936197E-3</v>
      </c>
      <c r="AJ49" s="167">
        <v>2.60008223522607E-3</v>
      </c>
      <c r="AK49" s="161"/>
      <c r="AL49" s="153"/>
    </row>
    <row r="50" spans="1:38">
      <c r="A50" s="2" t="s">
        <v>26</v>
      </c>
      <c r="B50" s="2">
        <v>1405</v>
      </c>
      <c r="C50" s="2" t="s">
        <v>1902</v>
      </c>
      <c r="D50" s="2" t="s">
        <v>1903</v>
      </c>
      <c r="E50" s="4" t="s">
        <v>34</v>
      </c>
      <c r="F50" s="2" t="s">
        <v>1906</v>
      </c>
      <c r="G50" s="2" t="s">
        <v>1907</v>
      </c>
      <c r="H50" s="2" t="s">
        <v>319</v>
      </c>
      <c r="I50" s="2" t="s">
        <v>966</v>
      </c>
      <c r="J50" s="2" t="s">
        <v>31</v>
      </c>
      <c r="K50" s="2" t="s">
        <v>31</v>
      </c>
      <c r="L50" s="2" t="s">
        <v>325</v>
      </c>
      <c r="M50" s="2" t="s">
        <v>40</v>
      </c>
      <c r="N50" s="2" t="s">
        <v>462</v>
      </c>
      <c r="O50" s="2" t="s">
        <v>136</v>
      </c>
      <c r="P50" s="2" t="s">
        <v>1772</v>
      </c>
      <c r="Q50" s="2" t="s">
        <v>412</v>
      </c>
      <c r="R50" s="2" t="s">
        <v>405</v>
      </c>
      <c r="S50" s="2" t="s">
        <v>35</v>
      </c>
      <c r="T50" s="153">
        <v>2.4140000000000001</v>
      </c>
      <c r="U50" s="2" t="s">
        <v>1908</v>
      </c>
      <c r="V50" s="165">
        <v>6.8000000000000005E-2</v>
      </c>
      <c r="W50" s="167">
        <v>6.3850000000000004E-2</v>
      </c>
      <c r="X50" s="4" t="s">
        <v>411</v>
      </c>
      <c r="Y50" s="4" t="s">
        <v>136</v>
      </c>
      <c r="Z50" s="153">
        <v>17730</v>
      </c>
      <c r="AA50" s="153">
        <v>1</v>
      </c>
      <c r="AB50" s="153">
        <v>102.93</v>
      </c>
      <c r="AC50" s="11"/>
      <c r="AD50" s="153">
        <v>18.248999999999999</v>
      </c>
      <c r="AG50" s="2" t="s">
        <v>37</v>
      </c>
      <c r="AH50" s="167">
        <v>5.7000000000000003E-5</v>
      </c>
      <c r="AI50" s="167">
        <v>4.4372429933998304E-3</v>
      </c>
      <c r="AJ50" s="167">
        <v>1.7260005729374799E-3</v>
      </c>
      <c r="AK50" s="161"/>
      <c r="AL50" s="153"/>
    </row>
    <row r="51" spans="1:38">
      <c r="A51" s="2" t="s">
        <v>26</v>
      </c>
      <c r="B51" s="2">
        <v>1405</v>
      </c>
      <c r="C51" s="2" t="s">
        <v>1909</v>
      </c>
      <c r="D51" s="2" t="s">
        <v>1910</v>
      </c>
      <c r="E51" s="4" t="s">
        <v>1305</v>
      </c>
      <c r="F51" s="2" t="s">
        <v>1911</v>
      </c>
      <c r="G51" s="2" t="s">
        <v>1912</v>
      </c>
      <c r="H51" s="2" t="s">
        <v>319</v>
      </c>
      <c r="I51" s="2" t="s">
        <v>754</v>
      </c>
      <c r="J51" s="2" t="s">
        <v>31</v>
      </c>
      <c r="K51" s="2" t="s">
        <v>31</v>
      </c>
      <c r="L51" s="2" t="s">
        <v>325</v>
      </c>
      <c r="M51" s="2" t="s">
        <v>40</v>
      </c>
      <c r="N51" s="2" t="s">
        <v>445</v>
      </c>
      <c r="O51" s="2" t="s">
        <v>136</v>
      </c>
      <c r="P51" s="2" t="s">
        <v>76</v>
      </c>
      <c r="Q51" s="2" t="s">
        <v>104</v>
      </c>
      <c r="R51" s="2" t="s">
        <v>405</v>
      </c>
      <c r="S51" s="2" t="s">
        <v>35</v>
      </c>
      <c r="T51" s="153">
        <v>4.2549999999999999</v>
      </c>
      <c r="U51" s="2" t="s">
        <v>1913</v>
      </c>
      <c r="V51" s="165">
        <v>2E-3</v>
      </c>
      <c r="W51" s="167">
        <v>1.9359999999999999E-2</v>
      </c>
      <c r="X51" s="4" t="s">
        <v>411</v>
      </c>
      <c r="Y51" s="4" t="s">
        <v>136</v>
      </c>
      <c r="Z51" s="153">
        <v>20531.39</v>
      </c>
      <c r="AA51" s="153">
        <v>1</v>
      </c>
      <c r="AB51" s="153">
        <v>101.27</v>
      </c>
      <c r="AC51" s="11"/>
      <c r="AD51" s="153">
        <v>20.792000000000002</v>
      </c>
      <c r="AG51" s="2" t="s">
        <v>37</v>
      </c>
      <c r="AH51" s="167">
        <v>5.0000000000000004E-6</v>
      </c>
      <c r="AI51" s="167">
        <v>5.0554715014662598E-3</v>
      </c>
      <c r="AJ51" s="167">
        <v>1.96647934786961E-3</v>
      </c>
      <c r="AK51" s="161"/>
      <c r="AL51" s="153"/>
    </row>
    <row r="52" spans="1:38">
      <c r="A52" s="2" t="s">
        <v>26</v>
      </c>
      <c r="B52" s="2">
        <v>1405</v>
      </c>
      <c r="C52" s="2" t="s">
        <v>1909</v>
      </c>
      <c r="D52" s="2" t="s">
        <v>1910</v>
      </c>
      <c r="E52" s="4" t="s">
        <v>1305</v>
      </c>
      <c r="F52" s="2" t="s">
        <v>1914</v>
      </c>
      <c r="G52" s="2" t="s">
        <v>1915</v>
      </c>
      <c r="H52" s="2" t="s">
        <v>319</v>
      </c>
      <c r="I52" s="2" t="s">
        <v>966</v>
      </c>
      <c r="J52" s="2" t="s">
        <v>31</v>
      </c>
      <c r="K52" s="2" t="s">
        <v>31</v>
      </c>
      <c r="L52" s="2" t="s">
        <v>325</v>
      </c>
      <c r="M52" s="2" t="s">
        <v>40</v>
      </c>
      <c r="N52" s="2" t="s">
        <v>445</v>
      </c>
      <c r="O52" s="2" t="s">
        <v>136</v>
      </c>
      <c r="P52" s="2" t="s">
        <v>76</v>
      </c>
      <c r="Q52" s="2" t="s">
        <v>104</v>
      </c>
      <c r="R52" s="2" t="s">
        <v>405</v>
      </c>
      <c r="S52" s="2" t="s">
        <v>35</v>
      </c>
      <c r="T52" s="153">
        <v>3.411</v>
      </c>
      <c r="U52" s="2" t="s">
        <v>1916</v>
      </c>
      <c r="V52" s="165">
        <v>2.6800000000000001E-2</v>
      </c>
      <c r="W52" s="167">
        <v>4.4720000000000003E-2</v>
      </c>
      <c r="X52" s="4" t="s">
        <v>411</v>
      </c>
      <c r="Y52" s="4" t="s">
        <v>136</v>
      </c>
      <c r="Z52" s="153">
        <v>66121.179999999993</v>
      </c>
      <c r="AA52" s="153">
        <v>1</v>
      </c>
      <c r="AB52" s="153">
        <v>95.02</v>
      </c>
      <c r="AC52" s="11"/>
      <c r="AD52" s="153">
        <v>62.828000000000003</v>
      </c>
      <c r="AG52" s="2" t="s">
        <v>37</v>
      </c>
      <c r="AH52" s="167">
        <v>2.9E-5</v>
      </c>
      <c r="AI52" s="167">
        <v>1.5276298130065299E-2</v>
      </c>
      <c r="AJ52" s="167">
        <v>5.9421806207313596E-3</v>
      </c>
      <c r="AK52" s="161"/>
      <c r="AL52" s="153"/>
    </row>
    <row r="53" spans="1:38">
      <c r="A53" s="2" t="s">
        <v>26</v>
      </c>
      <c r="B53" s="2">
        <v>1405</v>
      </c>
      <c r="C53" s="2" t="s">
        <v>1917</v>
      </c>
      <c r="D53" s="2" t="s">
        <v>1918</v>
      </c>
      <c r="E53" s="4" t="s">
        <v>1305</v>
      </c>
      <c r="F53" s="2" t="s">
        <v>1919</v>
      </c>
      <c r="G53" s="2" t="s">
        <v>1920</v>
      </c>
      <c r="H53" s="2" t="s">
        <v>319</v>
      </c>
      <c r="I53" s="2" t="s">
        <v>754</v>
      </c>
      <c r="J53" s="2" t="s">
        <v>31</v>
      </c>
      <c r="K53" s="2" t="s">
        <v>31</v>
      </c>
      <c r="L53" s="2" t="s">
        <v>325</v>
      </c>
      <c r="M53" s="2" t="s">
        <v>40</v>
      </c>
      <c r="N53" s="2" t="s">
        <v>437</v>
      </c>
      <c r="O53" s="2" t="s">
        <v>136</v>
      </c>
      <c r="P53" s="2" t="s">
        <v>1720</v>
      </c>
      <c r="Q53" s="2" t="s">
        <v>104</v>
      </c>
      <c r="R53" s="2" t="s">
        <v>405</v>
      </c>
      <c r="S53" s="2" t="s">
        <v>35</v>
      </c>
      <c r="T53" s="153">
        <v>3.9649999999999999</v>
      </c>
      <c r="U53" s="2" t="s">
        <v>1921</v>
      </c>
      <c r="V53" s="165">
        <v>1.7999999999999999E-2</v>
      </c>
      <c r="W53" s="167">
        <v>3.1009999999999999E-2</v>
      </c>
      <c r="X53" s="4" t="s">
        <v>411</v>
      </c>
      <c r="Y53" s="4" t="s">
        <v>136</v>
      </c>
      <c r="Z53" s="153">
        <v>16038.7</v>
      </c>
      <c r="AA53" s="153">
        <v>1</v>
      </c>
      <c r="AB53" s="153">
        <v>106.25</v>
      </c>
      <c r="AC53" s="11"/>
      <c r="AD53" s="153">
        <v>17.041</v>
      </c>
      <c r="AG53" s="2" t="s">
        <v>37</v>
      </c>
      <c r="AH53" s="167">
        <v>1.5E-5</v>
      </c>
      <c r="AI53" s="167">
        <v>4.14343572979671E-3</v>
      </c>
      <c r="AJ53" s="167">
        <v>1.6117153047954199E-3</v>
      </c>
      <c r="AK53" s="161"/>
      <c r="AL53" s="153"/>
    </row>
    <row r="54" spans="1:38">
      <c r="A54" s="2" t="s">
        <v>26</v>
      </c>
      <c r="B54" s="2">
        <v>1405</v>
      </c>
      <c r="C54" s="2" t="s">
        <v>1922</v>
      </c>
      <c r="D54" s="2" t="s">
        <v>1923</v>
      </c>
      <c r="E54" s="4" t="s">
        <v>1305</v>
      </c>
      <c r="F54" s="2" t="s">
        <v>1924</v>
      </c>
      <c r="G54" s="2" t="s">
        <v>1925</v>
      </c>
      <c r="H54" s="2" t="s">
        <v>319</v>
      </c>
      <c r="I54" s="2" t="s">
        <v>754</v>
      </c>
      <c r="J54" s="2" t="s">
        <v>31</v>
      </c>
      <c r="K54" s="2" t="s">
        <v>31</v>
      </c>
      <c r="L54" s="2" t="s">
        <v>325</v>
      </c>
      <c r="M54" s="2" t="s">
        <v>40</v>
      </c>
      <c r="N54" s="2" t="s">
        <v>461</v>
      </c>
      <c r="O54" s="2" t="s">
        <v>136</v>
      </c>
      <c r="P54" s="2" t="s">
        <v>1772</v>
      </c>
      <c r="Q54" s="2" t="s">
        <v>412</v>
      </c>
      <c r="R54" s="2" t="s">
        <v>405</v>
      </c>
      <c r="S54" s="2" t="s">
        <v>35</v>
      </c>
      <c r="T54" s="153">
        <v>3.665</v>
      </c>
      <c r="U54" s="2" t="s">
        <v>1926</v>
      </c>
      <c r="V54" s="165">
        <v>2.7E-2</v>
      </c>
      <c r="W54" s="167">
        <v>2.8670000000000001E-2</v>
      </c>
      <c r="X54" s="4" t="s">
        <v>411</v>
      </c>
      <c r="Y54" s="4" t="s">
        <v>136</v>
      </c>
      <c r="Z54" s="153">
        <v>7000</v>
      </c>
      <c r="AA54" s="153">
        <v>1</v>
      </c>
      <c r="AB54" s="153">
        <v>103.46</v>
      </c>
      <c r="AC54" s="11"/>
      <c r="AD54" s="153">
        <v>7.242</v>
      </c>
      <c r="AG54" s="2" t="s">
        <v>37</v>
      </c>
      <c r="AH54" s="167">
        <v>1.9000000000000001E-5</v>
      </c>
      <c r="AI54" s="167">
        <v>1.76089320675227E-3</v>
      </c>
      <c r="AJ54" s="167">
        <v>6.8495295124854398E-4</v>
      </c>
      <c r="AK54" s="161"/>
      <c r="AL54" s="153"/>
    </row>
    <row r="55" spans="1:38">
      <c r="A55" s="2" t="s">
        <v>26</v>
      </c>
      <c r="B55" s="2">
        <v>1405</v>
      </c>
      <c r="C55" s="2" t="s">
        <v>1922</v>
      </c>
      <c r="D55" s="2" t="s">
        <v>1923</v>
      </c>
      <c r="E55" s="4" t="s">
        <v>1305</v>
      </c>
      <c r="F55" s="2" t="s">
        <v>1927</v>
      </c>
      <c r="G55" s="2" t="s">
        <v>1928</v>
      </c>
      <c r="H55" s="2" t="s">
        <v>319</v>
      </c>
      <c r="I55" s="2" t="s">
        <v>754</v>
      </c>
      <c r="J55" s="2" t="s">
        <v>31</v>
      </c>
      <c r="K55" s="2" t="s">
        <v>31</v>
      </c>
      <c r="L55" s="2" t="s">
        <v>325</v>
      </c>
      <c r="M55" s="2" t="s">
        <v>40</v>
      </c>
      <c r="N55" s="2" t="s">
        <v>461</v>
      </c>
      <c r="O55" s="2" t="s">
        <v>136</v>
      </c>
      <c r="P55" s="2" t="s">
        <v>1772</v>
      </c>
      <c r="Q55" s="2" t="s">
        <v>412</v>
      </c>
      <c r="R55" s="2" t="s">
        <v>405</v>
      </c>
      <c r="S55" s="2" t="s">
        <v>35</v>
      </c>
      <c r="T55" s="153">
        <v>3.2709999999999999</v>
      </c>
      <c r="U55" s="2" t="s">
        <v>1849</v>
      </c>
      <c r="V55" s="165">
        <v>1.7999999999999999E-2</v>
      </c>
      <c r="W55" s="167">
        <v>2.4129999999999999E-2</v>
      </c>
      <c r="X55" s="4" t="s">
        <v>411</v>
      </c>
      <c r="Y55" s="4" t="s">
        <v>136</v>
      </c>
      <c r="Z55" s="153">
        <v>47485.37</v>
      </c>
      <c r="AA55" s="153">
        <v>1</v>
      </c>
      <c r="AB55" s="153">
        <v>110.59</v>
      </c>
      <c r="AC55" s="11"/>
      <c r="AD55" s="153">
        <v>52.514000000000003</v>
      </c>
      <c r="AG55" s="2" t="s">
        <v>37</v>
      </c>
      <c r="AH55" s="167">
        <v>5.7000000000000003E-5</v>
      </c>
      <c r="AI55" s="167">
        <v>1.27684502395133E-2</v>
      </c>
      <c r="AJ55" s="167">
        <v>4.9666769346877401E-3</v>
      </c>
      <c r="AK55" s="161"/>
      <c r="AL55" s="153"/>
    </row>
    <row r="56" spans="1:38">
      <c r="A56" s="2" t="s">
        <v>26</v>
      </c>
      <c r="B56" s="2">
        <v>1405</v>
      </c>
      <c r="C56" s="2" t="s">
        <v>1929</v>
      </c>
      <c r="D56" s="2" t="s">
        <v>1930</v>
      </c>
      <c r="E56" s="4" t="s">
        <v>1305</v>
      </c>
      <c r="F56" s="2" t="s">
        <v>1931</v>
      </c>
      <c r="G56" s="2" t="s">
        <v>1932</v>
      </c>
      <c r="H56" s="2" t="s">
        <v>319</v>
      </c>
      <c r="I56" s="2" t="s">
        <v>966</v>
      </c>
      <c r="J56" s="2" t="s">
        <v>31</v>
      </c>
      <c r="K56" s="2" t="s">
        <v>31</v>
      </c>
      <c r="L56" s="2" t="s">
        <v>325</v>
      </c>
      <c r="M56" s="2" t="s">
        <v>40</v>
      </c>
      <c r="N56" s="2" t="s">
        <v>444</v>
      </c>
      <c r="O56" s="2" t="s">
        <v>136</v>
      </c>
      <c r="P56" s="2" t="s">
        <v>1752</v>
      </c>
      <c r="Q56" s="23" t="s">
        <v>1752</v>
      </c>
      <c r="R56" s="23" t="s">
        <v>1752</v>
      </c>
      <c r="S56" s="2" t="s">
        <v>35</v>
      </c>
      <c r="T56" s="153">
        <v>0.73899999999999999</v>
      </c>
      <c r="U56" s="2" t="s">
        <v>1933</v>
      </c>
      <c r="V56" s="165">
        <v>4.8399999999999999E-2</v>
      </c>
      <c r="W56" s="167">
        <v>6.7040000000000002E-2</v>
      </c>
      <c r="X56" s="4" t="s">
        <v>411</v>
      </c>
      <c r="Y56" s="4" t="s">
        <v>136</v>
      </c>
      <c r="Z56" s="153">
        <v>7700</v>
      </c>
      <c r="AA56" s="153">
        <v>1</v>
      </c>
      <c r="AB56" s="153">
        <v>99.95</v>
      </c>
      <c r="AC56" s="11"/>
      <c r="AD56" s="153">
        <v>7.6959999999999997</v>
      </c>
      <c r="AG56" s="2" t="s">
        <v>37</v>
      </c>
      <c r="AH56" s="167">
        <v>1.2799999999999999E-4</v>
      </c>
      <c r="AI56" s="167">
        <v>1.8712681579004301E-3</v>
      </c>
      <c r="AJ56" s="167">
        <v>7.2788664435551205E-4</v>
      </c>
      <c r="AK56" s="161"/>
      <c r="AL56" s="153"/>
    </row>
    <row r="57" spans="1:38">
      <c r="A57" s="2" t="s">
        <v>26</v>
      </c>
      <c r="B57" s="2">
        <v>1405</v>
      </c>
      <c r="C57" s="2" t="s">
        <v>1482</v>
      </c>
      <c r="D57" s="2" t="s">
        <v>1483</v>
      </c>
      <c r="E57" s="4" t="s">
        <v>1305</v>
      </c>
      <c r="F57" s="2" t="s">
        <v>1934</v>
      </c>
      <c r="G57" s="2" t="s">
        <v>1935</v>
      </c>
      <c r="H57" s="2" t="s">
        <v>319</v>
      </c>
      <c r="I57" s="2" t="s">
        <v>966</v>
      </c>
      <c r="J57" s="2" t="s">
        <v>31</v>
      </c>
      <c r="K57" s="2" t="s">
        <v>31</v>
      </c>
      <c r="L57" s="2" t="s">
        <v>325</v>
      </c>
      <c r="M57" s="2" t="s">
        <v>40</v>
      </c>
      <c r="N57" s="2" t="s">
        <v>461</v>
      </c>
      <c r="O57" s="2" t="s">
        <v>136</v>
      </c>
      <c r="P57" s="2" t="s">
        <v>1752</v>
      </c>
      <c r="Q57" s="23" t="s">
        <v>1752</v>
      </c>
      <c r="R57" s="23" t="s">
        <v>1752</v>
      </c>
      <c r="S57" s="2" t="s">
        <v>35</v>
      </c>
      <c r="T57" s="153">
        <v>2.0259999999999998</v>
      </c>
      <c r="U57" s="2" t="s">
        <v>1936</v>
      </c>
      <c r="V57" s="165">
        <v>2.9000000000000001E-2</v>
      </c>
      <c r="W57" s="167">
        <v>6.9419999999999996E-2</v>
      </c>
      <c r="X57" s="4" t="s">
        <v>411</v>
      </c>
      <c r="Y57" s="4" t="s">
        <v>136</v>
      </c>
      <c r="Z57" s="153">
        <v>54000</v>
      </c>
      <c r="AA57" s="153">
        <v>1</v>
      </c>
      <c r="AB57" s="153">
        <v>93.16</v>
      </c>
      <c r="AC57" s="11"/>
      <c r="AD57" s="153">
        <v>50.305999999999997</v>
      </c>
      <c r="AG57" s="2" t="s">
        <v>37</v>
      </c>
      <c r="AH57" s="167">
        <v>3.6000000000000002E-4</v>
      </c>
      <c r="AI57" s="167">
        <v>1.22316696606228E-2</v>
      </c>
      <c r="AJ57" s="167">
        <v>4.7578798081646199E-3</v>
      </c>
      <c r="AK57" s="161"/>
      <c r="AL57" s="153"/>
    </row>
    <row r="58" spans="1:38">
      <c r="A58" s="2" t="s">
        <v>26</v>
      </c>
      <c r="B58" s="2">
        <v>1405</v>
      </c>
      <c r="C58" s="2" t="s">
        <v>1482</v>
      </c>
      <c r="D58" s="2" t="s">
        <v>1483</v>
      </c>
      <c r="E58" s="4" t="s">
        <v>1305</v>
      </c>
      <c r="F58" s="2" t="s">
        <v>1937</v>
      </c>
      <c r="G58" s="2" t="s">
        <v>1938</v>
      </c>
      <c r="H58" s="2" t="s">
        <v>319</v>
      </c>
      <c r="I58" s="2" t="s">
        <v>754</v>
      </c>
      <c r="J58" s="2" t="s">
        <v>31</v>
      </c>
      <c r="K58" s="2" t="s">
        <v>31</v>
      </c>
      <c r="L58" s="2" t="s">
        <v>325</v>
      </c>
      <c r="M58" s="2" t="s">
        <v>40</v>
      </c>
      <c r="N58" s="2" t="s">
        <v>444</v>
      </c>
      <c r="O58" s="2" t="s">
        <v>136</v>
      </c>
      <c r="P58" s="2" t="s">
        <v>1752</v>
      </c>
      <c r="Q58" s="23" t="s">
        <v>1752</v>
      </c>
      <c r="R58" s="23" t="s">
        <v>1752</v>
      </c>
      <c r="S58" s="2" t="s">
        <v>35</v>
      </c>
      <c r="T58" s="153">
        <v>2.1030000000000002</v>
      </c>
      <c r="U58" s="2" t="s">
        <v>1908</v>
      </c>
      <c r="V58" s="165">
        <v>3.5000000000000003E-2</v>
      </c>
      <c r="W58" s="167">
        <v>4.3380000000000002E-2</v>
      </c>
      <c r="X58" s="4" t="s">
        <v>411</v>
      </c>
      <c r="Y58" s="4" t="s">
        <v>136</v>
      </c>
      <c r="Z58" s="153">
        <v>13500</v>
      </c>
      <c r="AA58" s="153">
        <v>1</v>
      </c>
      <c r="AB58" s="153">
        <v>105</v>
      </c>
      <c r="AC58" s="11"/>
      <c r="AD58" s="153">
        <v>14.175000000000001</v>
      </c>
      <c r="AG58" s="2" t="s">
        <v>37</v>
      </c>
      <c r="AH58" s="167">
        <v>7.1000000000000005E-5</v>
      </c>
      <c r="AI58" s="167">
        <v>3.4465578423287699E-3</v>
      </c>
      <c r="AJ58" s="167">
        <v>1.34064346247661E-3</v>
      </c>
      <c r="AK58" s="161"/>
      <c r="AL58" s="153"/>
    </row>
    <row r="59" spans="1:38">
      <c r="A59" s="2" t="s">
        <v>26</v>
      </c>
      <c r="B59" s="2">
        <v>1405</v>
      </c>
      <c r="C59" s="2" t="s">
        <v>1482</v>
      </c>
      <c r="D59" s="2" t="s">
        <v>1483</v>
      </c>
      <c r="E59" s="4" t="s">
        <v>1305</v>
      </c>
      <c r="F59" s="2" t="s">
        <v>1939</v>
      </c>
      <c r="G59" s="2" t="s">
        <v>1940</v>
      </c>
      <c r="H59" s="2" t="s">
        <v>319</v>
      </c>
      <c r="I59" s="2" t="s">
        <v>966</v>
      </c>
      <c r="J59" s="2" t="s">
        <v>31</v>
      </c>
      <c r="K59" s="2" t="s">
        <v>31</v>
      </c>
      <c r="L59" s="2" t="s">
        <v>325</v>
      </c>
      <c r="M59" s="2" t="s">
        <v>40</v>
      </c>
      <c r="N59" s="2" t="s">
        <v>444</v>
      </c>
      <c r="O59" s="2" t="s">
        <v>136</v>
      </c>
      <c r="P59" s="2" t="s">
        <v>1752</v>
      </c>
      <c r="Q59" s="23" t="s">
        <v>1752</v>
      </c>
      <c r="R59" s="23" t="s">
        <v>1752</v>
      </c>
      <c r="S59" s="2" t="s">
        <v>35</v>
      </c>
      <c r="T59" s="153">
        <v>0.86399999999999999</v>
      </c>
      <c r="U59" s="2" t="s">
        <v>1941</v>
      </c>
      <c r="V59" s="165">
        <v>5.62E-2</v>
      </c>
      <c r="W59" s="167">
        <v>6.4380000000000007E-2</v>
      </c>
      <c r="X59" s="4" t="s">
        <v>411</v>
      </c>
      <c r="Y59" s="4" t="s">
        <v>136</v>
      </c>
      <c r="Z59" s="153">
        <v>16000</v>
      </c>
      <c r="AA59" s="153">
        <v>1</v>
      </c>
      <c r="AB59" s="153">
        <v>100.8</v>
      </c>
      <c r="AC59" s="11"/>
      <c r="AD59" s="153">
        <v>16.128</v>
      </c>
      <c r="AG59" s="2" t="s">
        <v>37</v>
      </c>
      <c r="AH59" s="167">
        <v>7.7999999999999999E-5</v>
      </c>
      <c r="AI59" s="167">
        <v>3.9214169228274001E-3</v>
      </c>
      <c r="AJ59" s="167">
        <v>1.5253543395289399E-3</v>
      </c>
      <c r="AK59" s="161"/>
      <c r="AL59" s="153"/>
    </row>
    <row r="60" spans="1:38">
      <c r="A60" s="2" t="s">
        <v>26</v>
      </c>
      <c r="B60" s="2">
        <v>1405</v>
      </c>
      <c r="C60" s="2" t="s">
        <v>1482</v>
      </c>
      <c r="D60" s="2" t="s">
        <v>1483</v>
      </c>
      <c r="E60" s="4" t="s">
        <v>1305</v>
      </c>
      <c r="F60" s="2" t="s">
        <v>1942</v>
      </c>
      <c r="G60" s="2" t="s">
        <v>1943</v>
      </c>
      <c r="H60" s="2" t="s">
        <v>319</v>
      </c>
      <c r="I60" s="2" t="s">
        <v>967</v>
      </c>
      <c r="J60" s="2" t="s">
        <v>31</v>
      </c>
      <c r="K60" s="2" t="s">
        <v>31</v>
      </c>
      <c r="L60" s="2" t="s">
        <v>325</v>
      </c>
      <c r="M60" s="2" t="s">
        <v>40</v>
      </c>
      <c r="N60" s="2" t="s">
        <v>444</v>
      </c>
      <c r="O60" s="2" t="s">
        <v>136</v>
      </c>
      <c r="P60" s="2" t="s">
        <v>1890</v>
      </c>
      <c r="Q60" s="2" t="s">
        <v>412</v>
      </c>
      <c r="R60" s="2" t="s">
        <v>405</v>
      </c>
      <c r="S60" s="2" t="s">
        <v>35</v>
      </c>
      <c r="T60" s="153">
        <v>0.747</v>
      </c>
      <c r="U60" s="2" t="s">
        <v>1933</v>
      </c>
      <c r="V60" s="165">
        <v>1.4999999999999999E-2</v>
      </c>
      <c r="W60" s="167">
        <v>4.972E-2</v>
      </c>
      <c r="X60" s="4" t="s">
        <v>411</v>
      </c>
      <c r="Y60" s="4" t="s">
        <v>136</v>
      </c>
      <c r="Z60" s="153">
        <v>2.72</v>
      </c>
      <c r="AA60" s="153">
        <v>1</v>
      </c>
      <c r="AB60" s="153">
        <v>97.9</v>
      </c>
      <c r="AC60" s="11"/>
      <c r="AD60" s="153">
        <v>3.0000000000000001E-3</v>
      </c>
      <c r="AG60" s="2" t="s">
        <v>37</v>
      </c>
      <c r="AH60" s="167">
        <v>0</v>
      </c>
      <c r="AI60" s="167">
        <v>6.4746172466881299E-7</v>
      </c>
      <c r="AJ60" s="167">
        <v>2.5184992334107402E-7</v>
      </c>
      <c r="AK60" s="161"/>
      <c r="AL60" s="153"/>
    </row>
    <row r="61" spans="1:38">
      <c r="A61" s="2" t="s">
        <v>26</v>
      </c>
      <c r="B61" s="2">
        <v>1405</v>
      </c>
      <c r="C61" s="2" t="s">
        <v>1944</v>
      </c>
      <c r="D61" s="2" t="s">
        <v>1945</v>
      </c>
      <c r="E61" s="4" t="s">
        <v>34</v>
      </c>
      <c r="F61" s="2" t="s">
        <v>1946</v>
      </c>
      <c r="G61" s="2" t="s">
        <v>1947</v>
      </c>
      <c r="H61" s="2" t="s">
        <v>319</v>
      </c>
      <c r="I61" s="2" t="s">
        <v>755</v>
      </c>
      <c r="J61" s="2" t="s">
        <v>31</v>
      </c>
      <c r="K61" s="2" t="s">
        <v>74</v>
      </c>
      <c r="L61" s="2" t="s">
        <v>325</v>
      </c>
      <c r="M61" s="2" t="s">
        <v>40</v>
      </c>
      <c r="N61" s="2" t="s">
        <v>462</v>
      </c>
      <c r="O61" s="2" t="s">
        <v>136</v>
      </c>
      <c r="P61" s="2" t="s">
        <v>1739</v>
      </c>
      <c r="Q61" s="2" t="s">
        <v>412</v>
      </c>
      <c r="R61" s="2" t="s">
        <v>405</v>
      </c>
      <c r="S61" s="2" t="s">
        <v>78</v>
      </c>
      <c r="T61" s="153">
        <v>3.04</v>
      </c>
      <c r="U61" s="2" t="s">
        <v>1948</v>
      </c>
      <c r="V61" s="165">
        <v>4.7199999999999999E-2</v>
      </c>
      <c r="W61" s="167">
        <v>7.2169999999999998E-2</v>
      </c>
      <c r="X61" s="4" t="s">
        <v>411</v>
      </c>
      <c r="Y61" s="4" t="s">
        <v>136</v>
      </c>
      <c r="Z61" s="153">
        <v>18000</v>
      </c>
      <c r="AA61" s="153">
        <v>3.681</v>
      </c>
      <c r="AB61" s="153">
        <v>108.5</v>
      </c>
      <c r="AC61" s="11"/>
      <c r="AD61" s="153">
        <v>19.53</v>
      </c>
      <c r="AG61" s="2" t="s">
        <v>37</v>
      </c>
      <c r="AH61" s="167">
        <v>5.5000000000000002E-5</v>
      </c>
      <c r="AI61" s="167">
        <v>4.7485908049863003E-3</v>
      </c>
      <c r="AJ61" s="167">
        <v>1.8471087705233299E-3</v>
      </c>
      <c r="AK61" s="161"/>
      <c r="AL61" s="153"/>
    </row>
    <row r="62" spans="1:38">
      <c r="A62" s="2" t="s">
        <v>26</v>
      </c>
      <c r="B62" s="2">
        <v>1405</v>
      </c>
      <c r="C62" s="2" t="s">
        <v>1949</v>
      </c>
      <c r="D62" s="2" t="s">
        <v>1950</v>
      </c>
      <c r="E62" s="4" t="s">
        <v>1305</v>
      </c>
      <c r="F62" s="2" t="s">
        <v>1951</v>
      </c>
      <c r="G62" s="2" t="s">
        <v>1952</v>
      </c>
      <c r="H62" s="2" t="s">
        <v>319</v>
      </c>
      <c r="I62" s="2" t="s">
        <v>966</v>
      </c>
      <c r="J62" s="2" t="s">
        <v>31</v>
      </c>
      <c r="K62" s="2" t="s">
        <v>31</v>
      </c>
      <c r="L62" s="2" t="s">
        <v>325</v>
      </c>
      <c r="M62" s="2" t="s">
        <v>40</v>
      </c>
      <c r="N62" s="2" t="s">
        <v>444</v>
      </c>
      <c r="O62" s="2" t="s">
        <v>136</v>
      </c>
      <c r="P62" s="2" t="s">
        <v>1752</v>
      </c>
      <c r="Q62" s="23" t="s">
        <v>1752</v>
      </c>
      <c r="R62" s="23" t="s">
        <v>1752</v>
      </c>
      <c r="S62" s="2" t="s">
        <v>35</v>
      </c>
      <c r="T62" s="153">
        <v>1.944</v>
      </c>
      <c r="U62" s="2" t="s">
        <v>1953</v>
      </c>
      <c r="V62" s="165">
        <v>5.6000000000000001E-2</v>
      </c>
      <c r="W62" s="167">
        <v>6.8479999999999999E-2</v>
      </c>
      <c r="X62" s="4" t="s">
        <v>411</v>
      </c>
      <c r="Y62" s="4" t="s">
        <v>136</v>
      </c>
      <c r="Z62" s="153">
        <v>17000</v>
      </c>
      <c r="AA62" s="153">
        <v>1</v>
      </c>
      <c r="AB62" s="153">
        <v>99.2</v>
      </c>
      <c r="AC62" s="11"/>
      <c r="AD62" s="153">
        <v>16.864000000000001</v>
      </c>
      <c r="AG62" s="2" t="s">
        <v>37</v>
      </c>
      <c r="AH62" s="167">
        <v>1E-4</v>
      </c>
      <c r="AI62" s="167">
        <v>4.1003704728770603E-3</v>
      </c>
      <c r="AJ62" s="167">
        <v>1.59496376375348E-3</v>
      </c>
      <c r="AK62" s="161"/>
      <c r="AL62" s="153"/>
    </row>
    <row r="63" spans="1:38">
      <c r="A63" s="2" t="s">
        <v>26</v>
      </c>
      <c r="B63" s="2">
        <v>1405</v>
      </c>
      <c r="C63" s="2" t="s">
        <v>1949</v>
      </c>
      <c r="D63" s="2" t="s">
        <v>1950</v>
      </c>
      <c r="E63" s="4" t="s">
        <v>1305</v>
      </c>
      <c r="F63" s="2" t="s">
        <v>1954</v>
      </c>
      <c r="G63" s="2" t="s">
        <v>1955</v>
      </c>
      <c r="H63" s="2" t="s">
        <v>319</v>
      </c>
      <c r="I63" s="2" t="s">
        <v>966</v>
      </c>
      <c r="J63" s="2" t="s">
        <v>31</v>
      </c>
      <c r="K63" s="2" t="s">
        <v>31</v>
      </c>
      <c r="L63" s="2" t="s">
        <v>325</v>
      </c>
      <c r="M63" s="2" t="s">
        <v>40</v>
      </c>
      <c r="N63" s="2" t="s">
        <v>444</v>
      </c>
      <c r="O63" s="2" t="s">
        <v>136</v>
      </c>
      <c r="P63" s="2" t="s">
        <v>1752</v>
      </c>
      <c r="Q63" s="23" t="s">
        <v>1752</v>
      </c>
      <c r="R63" s="23" t="s">
        <v>1752</v>
      </c>
      <c r="S63" s="2" t="s">
        <v>35</v>
      </c>
      <c r="T63" s="153">
        <v>1.9790000000000001</v>
      </c>
      <c r="U63" s="2" t="s">
        <v>1953</v>
      </c>
      <c r="V63" s="165">
        <v>8.8900000000000007E-2</v>
      </c>
      <c r="W63" s="167">
        <v>6.7559999999999995E-2</v>
      </c>
      <c r="X63" s="4" t="s">
        <v>411</v>
      </c>
      <c r="Y63" s="4" t="s">
        <v>136</v>
      </c>
      <c r="Z63" s="153">
        <v>8725</v>
      </c>
      <c r="AA63" s="153">
        <v>1</v>
      </c>
      <c r="AB63" s="153">
        <v>106.57</v>
      </c>
      <c r="AC63" s="11"/>
      <c r="AD63" s="153">
        <v>9.298</v>
      </c>
      <c r="AG63" s="2" t="s">
        <v>37</v>
      </c>
      <c r="AH63" s="167">
        <v>0</v>
      </c>
      <c r="AI63" s="167">
        <v>2.2608039606822699E-3</v>
      </c>
      <c r="AJ63" s="167">
        <v>8.7940843835714695E-4</v>
      </c>
      <c r="AK63" s="161"/>
      <c r="AL63" s="153"/>
    </row>
    <row r="64" spans="1:38">
      <c r="A64" s="2" t="s">
        <v>26</v>
      </c>
      <c r="B64" s="2">
        <v>1405</v>
      </c>
      <c r="C64" s="2" t="s">
        <v>1514</v>
      </c>
      <c r="D64" s="2" t="s">
        <v>1515</v>
      </c>
      <c r="E64" s="4" t="s">
        <v>1305</v>
      </c>
      <c r="F64" s="2" t="s">
        <v>1956</v>
      </c>
      <c r="G64" s="2" t="s">
        <v>1957</v>
      </c>
      <c r="H64" s="2" t="s">
        <v>319</v>
      </c>
      <c r="I64" s="2" t="s">
        <v>966</v>
      </c>
      <c r="J64" s="2" t="s">
        <v>31</v>
      </c>
      <c r="K64" s="2" t="s">
        <v>31</v>
      </c>
      <c r="L64" s="2" t="s">
        <v>325</v>
      </c>
      <c r="M64" s="2" t="s">
        <v>40</v>
      </c>
      <c r="N64" s="2" t="s">
        <v>473</v>
      </c>
      <c r="O64" s="2" t="s">
        <v>136</v>
      </c>
      <c r="P64" s="2" t="s">
        <v>1896</v>
      </c>
      <c r="Q64" s="2" t="s">
        <v>104</v>
      </c>
      <c r="R64" s="2" t="s">
        <v>405</v>
      </c>
      <c r="S64" s="2" t="s">
        <v>35</v>
      </c>
      <c r="T64" s="153">
        <v>3.7559999999999998</v>
      </c>
      <c r="U64" s="2" t="s">
        <v>1958</v>
      </c>
      <c r="V64" s="165">
        <v>3.9399999999999998E-2</v>
      </c>
      <c r="W64" s="167">
        <v>5.126E-2</v>
      </c>
      <c r="X64" s="4" t="s">
        <v>411</v>
      </c>
      <c r="Y64" s="4" t="s">
        <v>136</v>
      </c>
      <c r="Z64" s="153">
        <v>1535.1</v>
      </c>
      <c r="AA64" s="153">
        <v>1</v>
      </c>
      <c r="AB64" s="153">
        <v>96.87</v>
      </c>
      <c r="AC64" s="11"/>
      <c r="AD64" s="153">
        <v>1.4870000000000001</v>
      </c>
      <c r="AG64" s="2" t="s">
        <v>37</v>
      </c>
      <c r="AH64" s="167">
        <v>7.9999999999999996E-6</v>
      </c>
      <c r="AI64" s="167">
        <v>3.61566741532221E-4</v>
      </c>
      <c r="AJ64" s="167">
        <v>1.4064237725272601E-4</v>
      </c>
      <c r="AK64" s="161"/>
      <c r="AL64" s="153"/>
    </row>
    <row r="65" spans="1:38">
      <c r="A65" s="2" t="s">
        <v>26</v>
      </c>
      <c r="B65" s="2">
        <v>1405</v>
      </c>
      <c r="C65" s="2" t="s">
        <v>1959</v>
      </c>
      <c r="D65" s="2" t="s">
        <v>1960</v>
      </c>
      <c r="E65" s="4" t="s">
        <v>1305</v>
      </c>
      <c r="F65" s="2" t="s">
        <v>1961</v>
      </c>
      <c r="G65" s="2" t="s">
        <v>1962</v>
      </c>
      <c r="H65" s="2" t="s">
        <v>319</v>
      </c>
      <c r="I65" s="2" t="s">
        <v>754</v>
      </c>
      <c r="J65" s="2" t="s">
        <v>31</v>
      </c>
      <c r="K65" s="2" t="s">
        <v>31</v>
      </c>
      <c r="L65" s="2" t="s">
        <v>325</v>
      </c>
      <c r="M65" s="2" t="s">
        <v>40</v>
      </c>
      <c r="N65" s="2" t="s">
        <v>459</v>
      </c>
      <c r="O65" s="2" t="s">
        <v>136</v>
      </c>
      <c r="P65" s="2" t="s">
        <v>1739</v>
      </c>
      <c r="Q65" s="2" t="s">
        <v>412</v>
      </c>
      <c r="R65" s="2" t="s">
        <v>405</v>
      </c>
      <c r="S65" s="2" t="s">
        <v>35</v>
      </c>
      <c r="T65" s="153">
        <v>3.3039999999999998</v>
      </c>
      <c r="U65" s="2" t="s">
        <v>1963</v>
      </c>
      <c r="V65" s="165">
        <v>2.1999999999999999E-2</v>
      </c>
      <c r="W65" s="167">
        <v>2.6200000000000001E-2</v>
      </c>
      <c r="X65" s="4" t="s">
        <v>411</v>
      </c>
      <c r="Y65" s="4" t="s">
        <v>136</v>
      </c>
      <c r="Z65" s="153">
        <v>20275.86</v>
      </c>
      <c r="AA65" s="153">
        <v>1</v>
      </c>
      <c r="AB65" s="153">
        <v>102.62</v>
      </c>
      <c r="AC65" s="11"/>
      <c r="AD65" s="153">
        <v>20.806999999999999</v>
      </c>
      <c r="AG65" s="2" t="s">
        <v>37</v>
      </c>
      <c r="AH65" s="167">
        <v>1.01E-4</v>
      </c>
      <c r="AI65" s="167">
        <v>5.0591062228878799E-3</v>
      </c>
      <c r="AJ65" s="167">
        <v>1.9678931832772099E-3</v>
      </c>
      <c r="AK65" s="161"/>
      <c r="AL65" s="153"/>
    </row>
    <row r="66" spans="1:38">
      <c r="A66" s="2" t="s">
        <v>26</v>
      </c>
      <c r="B66" s="2">
        <v>1405</v>
      </c>
      <c r="C66" s="2" t="s">
        <v>1964</v>
      </c>
      <c r="D66" s="2" t="s">
        <v>1965</v>
      </c>
      <c r="E66" s="4" t="s">
        <v>1305</v>
      </c>
      <c r="F66" s="2" t="s">
        <v>1966</v>
      </c>
      <c r="G66" s="2" t="s">
        <v>1967</v>
      </c>
      <c r="H66" s="2" t="s">
        <v>319</v>
      </c>
      <c r="I66" s="2" t="s">
        <v>754</v>
      </c>
      <c r="J66" s="2" t="s">
        <v>31</v>
      </c>
      <c r="K66" s="2" t="s">
        <v>31</v>
      </c>
      <c r="L66" s="2" t="s">
        <v>325</v>
      </c>
      <c r="M66" s="2" t="s">
        <v>40</v>
      </c>
      <c r="N66" s="2" t="s">
        <v>445</v>
      </c>
      <c r="O66" s="2" t="s">
        <v>136</v>
      </c>
      <c r="P66" s="2" t="s">
        <v>1739</v>
      </c>
      <c r="Q66" s="2" t="s">
        <v>104</v>
      </c>
      <c r="R66" s="2" t="s">
        <v>405</v>
      </c>
      <c r="S66" s="2" t="s">
        <v>35</v>
      </c>
      <c r="T66" s="153">
        <v>0.16400000000000001</v>
      </c>
      <c r="U66" s="2" t="s">
        <v>1968</v>
      </c>
      <c r="V66" s="165">
        <v>6.7999999999999996E-3</v>
      </c>
      <c r="W66" s="167">
        <v>1.25E-3</v>
      </c>
      <c r="X66" s="4" t="s">
        <v>411</v>
      </c>
      <c r="Y66" s="4" t="s">
        <v>136</v>
      </c>
      <c r="Z66" s="153">
        <v>10152.67</v>
      </c>
      <c r="AA66" s="153">
        <v>1</v>
      </c>
      <c r="AB66" s="153">
        <v>113.14</v>
      </c>
      <c r="AC66" s="11"/>
      <c r="AD66" s="153">
        <v>11.487</v>
      </c>
      <c r="AG66" s="2" t="s">
        <v>37</v>
      </c>
      <c r="AH66" s="167">
        <v>4.5000000000000003E-5</v>
      </c>
      <c r="AI66" s="167">
        <v>2.7929229102242399E-3</v>
      </c>
      <c r="AJ66" s="167">
        <v>1.08639228241222E-3</v>
      </c>
      <c r="AK66" s="161"/>
      <c r="AL66" s="153"/>
    </row>
    <row r="67" spans="1:38">
      <c r="A67" s="2" t="s">
        <v>26</v>
      </c>
      <c r="B67" s="2">
        <v>1405</v>
      </c>
      <c r="C67" s="2" t="s">
        <v>1964</v>
      </c>
      <c r="D67" s="2" t="s">
        <v>1965</v>
      </c>
      <c r="E67" s="4" t="s">
        <v>1305</v>
      </c>
      <c r="F67" s="2" t="s">
        <v>1969</v>
      </c>
      <c r="G67" s="2" t="s">
        <v>1970</v>
      </c>
      <c r="H67" s="2" t="s">
        <v>319</v>
      </c>
      <c r="I67" s="2" t="s">
        <v>754</v>
      </c>
      <c r="J67" s="2" t="s">
        <v>31</v>
      </c>
      <c r="K67" s="2" t="s">
        <v>31</v>
      </c>
      <c r="L67" s="2" t="s">
        <v>325</v>
      </c>
      <c r="M67" s="2" t="s">
        <v>40</v>
      </c>
      <c r="N67" s="2" t="s">
        <v>445</v>
      </c>
      <c r="O67" s="2" t="s">
        <v>136</v>
      </c>
      <c r="P67" s="2" t="s">
        <v>1739</v>
      </c>
      <c r="Q67" s="2" t="s">
        <v>412</v>
      </c>
      <c r="R67" s="2" t="s">
        <v>405</v>
      </c>
      <c r="S67" s="2" t="s">
        <v>35</v>
      </c>
      <c r="T67" s="153">
        <v>5.0140000000000002</v>
      </c>
      <c r="U67" s="2" t="s">
        <v>1971</v>
      </c>
      <c r="V67" s="165">
        <v>2.5899999999999999E-2</v>
      </c>
      <c r="W67" s="167">
        <v>2.1850000000000001E-2</v>
      </c>
      <c r="X67" s="4" t="s">
        <v>411</v>
      </c>
      <c r="Y67" s="4" t="s">
        <v>136</v>
      </c>
      <c r="Z67" s="153">
        <v>10000</v>
      </c>
      <c r="AA67" s="153">
        <v>1</v>
      </c>
      <c r="AB67" s="153">
        <v>102.82</v>
      </c>
      <c r="AC67" s="11"/>
      <c r="AD67" s="153">
        <v>10.282</v>
      </c>
      <c r="AG67" s="2" t="s">
        <v>37</v>
      </c>
      <c r="AH67" s="167">
        <v>0</v>
      </c>
      <c r="AI67" s="167">
        <v>2.50000054566662E-3</v>
      </c>
      <c r="AJ67" s="167">
        <v>9.7245122265852003E-4</v>
      </c>
      <c r="AK67" s="161"/>
      <c r="AL67" s="153"/>
    </row>
    <row r="68" spans="1:38">
      <c r="A68" s="2" t="s">
        <v>26</v>
      </c>
      <c r="B68" s="2">
        <v>1405</v>
      </c>
      <c r="C68" s="2" t="s">
        <v>1972</v>
      </c>
      <c r="D68" s="2" t="s">
        <v>1973</v>
      </c>
      <c r="E68" s="4" t="s">
        <v>1305</v>
      </c>
      <c r="F68" s="2" t="s">
        <v>1974</v>
      </c>
      <c r="G68" s="2" t="s">
        <v>1975</v>
      </c>
      <c r="H68" s="2" t="s">
        <v>319</v>
      </c>
      <c r="I68" s="2" t="s">
        <v>754</v>
      </c>
      <c r="J68" s="2" t="s">
        <v>31</v>
      </c>
      <c r="K68" s="2" t="s">
        <v>31</v>
      </c>
      <c r="L68" s="2" t="s">
        <v>325</v>
      </c>
      <c r="M68" s="2" t="s">
        <v>40</v>
      </c>
      <c r="N68" s="2" t="s">
        <v>461</v>
      </c>
      <c r="O68" s="2" t="s">
        <v>136</v>
      </c>
      <c r="P68" s="2" t="s">
        <v>1752</v>
      </c>
      <c r="Q68" s="23" t="s">
        <v>1752</v>
      </c>
      <c r="R68" s="23" t="s">
        <v>1752</v>
      </c>
      <c r="S68" s="2" t="s">
        <v>35</v>
      </c>
      <c r="T68" s="153">
        <v>3.4340000000000002</v>
      </c>
      <c r="U68" s="2" t="s">
        <v>1849</v>
      </c>
      <c r="V68" s="165">
        <v>4.4999999999999998E-2</v>
      </c>
      <c r="W68" s="167">
        <v>3.8449999999999998E-2</v>
      </c>
      <c r="X68" s="4" t="s">
        <v>411</v>
      </c>
      <c r="Y68" s="4" t="s">
        <v>136</v>
      </c>
      <c r="Z68" s="153">
        <v>16000</v>
      </c>
      <c r="AA68" s="153">
        <v>1</v>
      </c>
      <c r="AB68" s="153">
        <v>104.19</v>
      </c>
      <c r="AC68" s="11"/>
      <c r="AD68" s="153">
        <v>16.670000000000002</v>
      </c>
      <c r="AG68" s="2" t="s">
        <v>37</v>
      </c>
      <c r="AH68" s="167">
        <v>0</v>
      </c>
      <c r="AI68" s="167">
        <v>4.0532979086248698E-3</v>
      </c>
      <c r="AJ68" s="167">
        <v>1.57665345868572E-3</v>
      </c>
      <c r="AK68" s="161"/>
      <c r="AL68" s="153"/>
    </row>
    <row r="69" spans="1:38">
      <c r="A69" s="2" t="s">
        <v>26</v>
      </c>
      <c r="B69" s="2">
        <v>1405</v>
      </c>
      <c r="C69" s="2" t="s">
        <v>1976</v>
      </c>
      <c r="D69" s="2" t="s">
        <v>1977</v>
      </c>
      <c r="E69" s="4" t="s">
        <v>1305</v>
      </c>
      <c r="F69" s="2" t="s">
        <v>1978</v>
      </c>
      <c r="G69" s="2" t="s">
        <v>1979</v>
      </c>
      <c r="H69" s="2" t="s">
        <v>319</v>
      </c>
      <c r="I69" s="2" t="s">
        <v>966</v>
      </c>
      <c r="J69" s="2" t="s">
        <v>31</v>
      </c>
      <c r="K69" s="2" t="s">
        <v>31</v>
      </c>
      <c r="L69" s="2" t="s">
        <v>325</v>
      </c>
      <c r="M69" s="2" t="s">
        <v>40</v>
      </c>
      <c r="N69" s="2" t="s">
        <v>444</v>
      </c>
      <c r="O69" s="2" t="s">
        <v>136</v>
      </c>
      <c r="P69" s="2" t="s">
        <v>1752</v>
      </c>
      <c r="Q69" s="23" t="s">
        <v>1752</v>
      </c>
      <c r="R69" s="23" t="s">
        <v>1752</v>
      </c>
      <c r="S69" s="2" t="s">
        <v>35</v>
      </c>
      <c r="T69" s="153">
        <v>2.1629999999999998</v>
      </c>
      <c r="U69" s="2" t="s">
        <v>1822</v>
      </c>
      <c r="V69" s="165">
        <v>3.95E-2</v>
      </c>
      <c r="W69" s="167">
        <v>7.1110000000000007E-2</v>
      </c>
      <c r="X69" s="4" t="s">
        <v>411</v>
      </c>
      <c r="Y69" s="4" t="s">
        <v>136</v>
      </c>
      <c r="Z69" s="153">
        <v>29000</v>
      </c>
      <c r="AA69" s="153">
        <v>1</v>
      </c>
      <c r="AB69" s="153">
        <v>94.72</v>
      </c>
      <c r="AC69" s="11"/>
      <c r="AD69" s="153">
        <v>27.469000000000001</v>
      </c>
      <c r="AG69" s="2" t="s">
        <v>37</v>
      </c>
      <c r="AH69" s="167">
        <v>3.4999999999999997E-5</v>
      </c>
      <c r="AI69" s="167">
        <v>6.6788577114187302E-3</v>
      </c>
      <c r="AJ69" s="167">
        <v>2.5979447719278702E-3</v>
      </c>
      <c r="AK69" s="161"/>
      <c r="AL69" s="153"/>
    </row>
    <row r="70" spans="1:38">
      <c r="A70" s="2" t="s">
        <v>26</v>
      </c>
      <c r="B70" s="2">
        <v>1405</v>
      </c>
      <c r="C70" s="2" t="s">
        <v>1980</v>
      </c>
      <c r="D70" s="2" t="s">
        <v>1981</v>
      </c>
      <c r="E70" s="4" t="s">
        <v>1305</v>
      </c>
      <c r="F70" s="2" t="s">
        <v>1982</v>
      </c>
      <c r="G70" s="2" t="s">
        <v>1983</v>
      </c>
      <c r="H70" s="2" t="s">
        <v>319</v>
      </c>
      <c r="I70" s="2" t="s">
        <v>754</v>
      </c>
      <c r="J70" s="2" t="s">
        <v>31</v>
      </c>
      <c r="K70" s="2" t="s">
        <v>31</v>
      </c>
      <c r="L70" s="2" t="s">
        <v>325</v>
      </c>
      <c r="M70" s="2" t="s">
        <v>40</v>
      </c>
      <c r="N70" s="2" t="s">
        <v>461</v>
      </c>
      <c r="O70" s="2" t="s">
        <v>136</v>
      </c>
      <c r="P70" s="2" t="s">
        <v>1984</v>
      </c>
      <c r="Q70" s="2" t="s">
        <v>104</v>
      </c>
      <c r="R70" s="2" t="s">
        <v>405</v>
      </c>
      <c r="S70" s="2" t="s">
        <v>35</v>
      </c>
      <c r="T70" s="153">
        <v>2.5910000000000002</v>
      </c>
      <c r="U70" s="2" t="s">
        <v>1985</v>
      </c>
      <c r="V70" s="165">
        <v>1.5800000000000002E-2</v>
      </c>
      <c r="W70" s="167">
        <v>2.0109999999999999E-2</v>
      </c>
      <c r="X70" s="4" t="s">
        <v>411</v>
      </c>
      <c r="Y70" s="4" t="s">
        <v>136</v>
      </c>
      <c r="Z70" s="153">
        <v>10027.64</v>
      </c>
      <c r="AA70" s="153">
        <v>1</v>
      </c>
      <c r="AB70" s="153">
        <v>112.1</v>
      </c>
      <c r="AC70" s="11"/>
      <c r="AD70" s="153">
        <v>11.241</v>
      </c>
      <c r="AG70" s="2" t="s">
        <v>37</v>
      </c>
      <c r="AH70" s="167">
        <v>2.1999999999999999E-5</v>
      </c>
      <c r="AI70" s="167">
        <v>2.7331712929225902E-3</v>
      </c>
      <c r="AJ70" s="167">
        <v>1.0631500741648901E-3</v>
      </c>
      <c r="AK70" s="161"/>
      <c r="AL70" s="153"/>
    </row>
    <row r="71" spans="1:38">
      <c r="A71" s="2" t="s">
        <v>26</v>
      </c>
      <c r="B71" s="2">
        <v>1405</v>
      </c>
      <c r="C71" s="2" t="s">
        <v>1980</v>
      </c>
      <c r="D71" s="2" t="s">
        <v>1981</v>
      </c>
      <c r="E71" s="4" t="s">
        <v>1305</v>
      </c>
      <c r="F71" s="2" t="s">
        <v>1986</v>
      </c>
      <c r="G71" s="2" t="s">
        <v>1987</v>
      </c>
      <c r="H71" s="2" t="s">
        <v>319</v>
      </c>
      <c r="I71" s="2" t="s">
        <v>754</v>
      </c>
      <c r="J71" s="2" t="s">
        <v>31</v>
      </c>
      <c r="K71" s="2" t="s">
        <v>31</v>
      </c>
      <c r="L71" s="2" t="s">
        <v>325</v>
      </c>
      <c r="M71" s="2" t="s">
        <v>40</v>
      </c>
      <c r="N71" s="2" t="s">
        <v>461</v>
      </c>
      <c r="O71" s="2" t="s">
        <v>136</v>
      </c>
      <c r="P71" s="2" t="s">
        <v>1984</v>
      </c>
      <c r="Q71" s="2" t="s">
        <v>104</v>
      </c>
      <c r="R71" s="2" t="s">
        <v>405</v>
      </c>
      <c r="S71" s="2" t="s">
        <v>35</v>
      </c>
      <c r="T71" s="153">
        <v>5.2309999999999999</v>
      </c>
      <c r="U71" s="2" t="s">
        <v>1988</v>
      </c>
      <c r="V71" s="165">
        <v>8.3999999999999995E-3</v>
      </c>
      <c r="W71" s="167">
        <v>2.6040000000000001E-2</v>
      </c>
      <c r="X71" s="4" t="s">
        <v>411</v>
      </c>
      <c r="Y71" s="4" t="s">
        <v>136</v>
      </c>
      <c r="Z71" s="153">
        <v>21274.73</v>
      </c>
      <c r="AA71" s="153">
        <v>1</v>
      </c>
      <c r="AB71" s="153">
        <v>101.26</v>
      </c>
      <c r="AC71" s="11"/>
      <c r="AD71" s="153">
        <v>21.542999999999999</v>
      </c>
      <c r="AG71" s="2" t="s">
        <v>37</v>
      </c>
      <c r="AH71" s="167">
        <v>4.8000000000000001E-5</v>
      </c>
      <c r="AI71" s="167">
        <v>5.2379878185355297E-3</v>
      </c>
      <c r="AJ71" s="167">
        <v>2.0374746186493701E-3</v>
      </c>
      <c r="AK71" s="161"/>
      <c r="AL71" s="153"/>
    </row>
    <row r="72" spans="1:38">
      <c r="A72" s="2" t="s">
        <v>26</v>
      </c>
      <c r="B72" s="2">
        <v>1405</v>
      </c>
      <c r="C72" s="2" t="s">
        <v>1176</v>
      </c>
      <c r="D72" s="2" t="s">
        <v>1364</v>
      </c>
      <c r="E72" s="4" t="s">
        <v>1305</v>
      </c>
      <c r="F72" s="2" t="s">
        <v>1989</v>
      </c>
      <c r="G72" s="2" t="s">
        <v>1990</v>
      </c>
      <c r="H72" s="2" t="s">
        <v>319</v>
      </c>
      <c r="I72" s="2" t="s">
        <v>754</v>
      </c>
      <c r="J72" s="2" t="s">
        <v>31</v>
      </c>
      <c r="K72" s="2" t="s">
        <v>31</v>
      </c>
      <c r="L72" s="2" t="s">
        <v>325</v>
      </c>
      <c r="M72" s="2" t="s">
        <v>40</v>
      </c>
      <c r="N72" s="2" t="s">
        <v>445</v>
      </c>
      <c r="O72" s="2" t="s">
        <v>136</v>
      </c>
      <c r="P72" s="2" t="s">
        <v>76</v>
      </c>
      <c r="Q72" s="2" t="s">
        <v>104</v>
      </c>
      <c r="R72" s="2" t="s">
        <v>405</v>
      </c>
      <c r="S72" s="2" t="s">
        <v>35</v>
      </c>
      <c r="T72" s="153">
        <v>1.23</v>
      </c>
      <c r="U72" s="2" t="s">
        <v>1788</v>
      </c>
      <c r="V72" s="165">
        <v>8.3000000000000001E-3</v>
      </c>
      <c r="W72" s="167">
        <v>1.3979999999999999E-2</v>
      </c>
      <c r="X72" s="4" t="s">
        <v>411</v>
      </c>
      <c r="Y72" s="4" t="s">
        <v>136</v>
      </c>
      <c r="Z72" s="153">
        <v>60000</v>
      </c>
      <c r="AA72" s="153">
        <v>1</v>
      </c>
      <c r="AB72" s="153">
        <v>111.66</v>
      </c>
      <c r="AC72" s="11"/>
      <c r="AD72" s="153">
        <v>66.995999999999995</v>
      </c>
      <c r="AG72" s="2" t="s">
        <v>37</v>
      </c>
      <c r="AH72" s="167">
        <v>2.0000000000000002E-5</v>
      </c>
      <c r="AI72" s="167">
        <v>1.62896359227272E-2</v>
      </c>
      <c r="AJ72" s="167">
        <v>6.3363491648735799E-3</v>
      </c>
      <c r="AK72" s="161"/>
      <c r="AL72" s="153"/>
    </row>
    <row r="73" spans="1:38">
      <c r="A73" s="2" t="s">
        <v>26</v>
      </c>
      <c r="B73" s="2">
        <v>1405</v>
      </c>
      <c r="C73" s="2" t="s">
        <v>1176</v>
      </c>
      <c r="D73" s="2" t="s">
        <v>1364</v>
      </c>
      <c r="E73" s="4" t="s">
        <v>1305</v>
      </c>
      <c r="F73" s="2" t="s">
        <v>1991</v>
      </c>
      <c r="G73" s="2" t="s">
        <v>1992</v>
      </c>
      <c r="H73" s="2" t="s">
        <v>319</v>
      </c>
      <c r="I73" s="2" t="s">
        <v>754</v>
      </c>
      <c r="J73" s="2" t="s">
        <v>31</v>
      </c>
      <c r="K73" s="2" t="s">
        <v>31</v>
      </c>
      <c r="L73" s="2" t="s">
        <v>325</v>
      </c>
      <c r="M73" s="2" t="s">
        <v>40</v>
      </c>
      <c r="N73" s="2" t="s">
        <v>445</v>
      </c>
      <c r="O73" s="2" t="s">
        <v>136</v>
      </c>
      <c r="P73" s="2" t="s">
        <v>1175</v>
      </c>
      <c r="Q73" s="2" t="s">
        <v>412</v>
      </c>
      <c r="R73" s="2" t="s">
        <v>405</v>
      </c>
      <c r="S73" s="2" t="s">
        <v>35</v>
      </c>
      <c r="T73" s="153">
        <v>3.07</v>
      </c>
      <c r="U73" s="2" t="s">
        <v>1993</v>
      </c>
      <c r="V73" s="165">
        <v>1.8599999999999998E-2</v>
      </c>
      <c r="W73" s="167">
        <v>1.8350000000000002E-2</v>
      </c>
      <c r="X73" s="4" t="s">
        <v>411</v>
      </c>
      <c r="Y73" s="4" t="s">
        <v>136</v>
      </c>
      <c r="Z73" s="153">
        <v>16000</v>
      </c>
      <c r="AA73" s="153">
        <v>1</v>
      </c>
      <c r="AB73" s="153">
        <v>100.55</v>
      </c>
      <c r="AC73" s="11"/>
      <c r="AD73" s="153">
        <v>16.088000000000001</v>
      </c>
      <c r="AG73" s="2" t="s">
        <v>37</v>
      </c>
      <c r="AH73" s="167">
        <v>1.2999999999999999E-5</v>
      </c>
      <c r="AI73" s="167">
        <v>3.9116911864116597E-3</v>
      </c>
      <c r="AJ73" s="167">
        <v>1.52157121864718E-3</v>
      </c>
      <c r="AK73" s="161"/>
      <c r="AL73" s="153"/>
    </row>
    <row r="74" spans="1:38">
      <c r="A74" s="2" t="s">
        <v>26</v>
      </c>
      <c r="B74" s="2">
        <v>1405</v>
      </c>
      <c r="C74" s="2" t="s">
        <v>1176</v>
      </c>
      <c r="D74" s="2" t="s">
        <v>1364</v>
      </c>
      <c r="E74" s="4" t="s">
        <v>1305</v>
      </c>
      <c r="F74" s="2" t="s">
        <v>1994</v>
      </c>
      <c r="G74" s="2" t="s">
        <v>1995</v>
      </c>
      <c r="H74" s="2" t="s">
        <v>319</v>
      </c>
      <c r="I74" s="2" t="s">
        <v>754</v>
      </c>
      <c r="J74" s="2" t="s">
        <v>31</v>
      </c>
      <c r="K74" s="2" t="s">
        <v>31</v>
      </c>
      <c r="L74" s="2" t="s">
        <v>325</v>
      </c>
      <c r="M74" s="2" t="s">
        <v>40</v>
      </c>
      <c r="N74" s="2" t="s">
        <v>445</v>
      </c>
      <c r="O74" s="2" t="s">
        <v>136</v>
      </c>
      <c r="P74" s="2" t="s">
        <v>1175</v>
      </c>
      <c r="Q74" s="2" t="s">
        <v>412</v>
      </c>
      <c r="R74" s="2" t="s">
        <v>405</v>
      </c>
      <c r="S74" s="2" t="s">
        <v>35</v>
      </c>
      <c r="T74" s="153">
        <v>3.6459999999999999</v>
      </c>
      <c r="U74" s="2" t="s">
        <v>1996</v>
      </c>
      <c r="V74" s="165">
        <v>1E-3</v>
      </c>
      <c r="W74" s="167">
        <v>1.8010000000000002E-2</v>
      </c>
      <c r="X74" s="4" t="s">
        <v>411</v>
      </c>
      <c r="Y74" s="4" t="s">
        <v>136</v>
      </c>
      <c r="Z74" s="153">
        <v>75000</v>
      </c>
      <c r="AA74" s="153">
        <v>1</v>
      </c>
      <c r="AB74" s="153">
        <v>102.55</v>
      </c>
      <c r="AC74" s="11"/>
      <c r="AD74" s="153">
        <v>76.912000000000006</v>
      </c>
      <c r="AG74" s="2" t="s">
        <v>37</v>
      </c>
      <c r="AH74" s="167">
        <v>2.4000000000000001E-5</v>
      </c>
      <c r="AI74" s="167">
        <v>1.8700767551894999E-2</v>
      </c>
      <c r="AJ74" s="167">
        <v>7.2742321204749497E-3</v>
      </c>
      <c r="AK74" s="161"/>
      <c r="AL74" s="153"/>
    </row>
    <row r="75" spans="1:38">
      <c r="A75" s="2" t="s">
        <v>26</v>
      </c>
      <c r="B75" s="2">
        <v>1405</v>
      </c>
      <c r="C75" s="2" t="s">
        <v>1176</v>
      </c>
      <c r="D75" s="2" t="s">
        <v>1364</v>
      </c>
      <c r="E75" s="4" t="s">
        <v>1305</v>
      </c>
      <c r="F75" s="2" t="s">
        <v>1997</v>
      </c>
      <c r="G75" s="2" t="s">
        <v>1998</v>
      </c>
      <c r="H75" s="2" t="s">
        <v>319</v>
      </c>
      <c r="I75" s="2" t="s">
        <v>754</v>
      </c>
      <c r="J75" s="2" t="s">
        <v>31</v>
      </c>
      <c r="K75" s="2" t="s">
        <v>31</v>
      </c>
      <c r="L75" s="2" t="s">
        <v>325</v>
      </c>
      <c r="M75" s="2" t="s">
        <v>40</v>
      </c>
      <c r="N75" s="2" t="s">
        <v>445</v>
      </c>
      <c r="O75" s="2" t="s">
        <v>136</v>
      </c>
      <c r="P75" s="2" t="s">
        <v>1175</v>
      </c>
      <c r="Q75" s="2" t="s">
        <v>412</v>
      </c>
      <c r="R75" s="2" t="s">
        <v>405</v>
      </c>
      <c r="S75" s="2" t="s">
        <v>35</v>
      </c>
      <c r="T75" s="153">
        <v>5.54</v>
      </c>
      <c r="U75" s="2" t="s">
        <v>1999</v>
      </c>
      <c r="V75" s="165">
        <v>2.0199999999999999E-2</v>
      </c>
      <c r="W75" s="167">
        <v>2.0369999999999999E-2</v>
      </c>
      <c r="X75" s="4" t="s">
        <v>411</v>
      </c>
      <c r="Y75" s="4" t="s">
        <v>136</v>
      </c>
      <c r="Z75" s="153">
        <v>16000</v>
      </c>
      <c r="AA75" s="153">
        <v>1</v>
      </c>
      <c r="AB75" s="153">
        <v>100.75</v>
      </c>
      <c r="AC75" s="11"/>
      <c r="AD75" s="153">
        <v>16.12</v>
      </c>
      <c r="AG75" s="2" t="s">
        <v>37</v>
      </c>
      <c r="AH75" s="167">
        <v>7.9999999999999996E-6</v>
      </c>
      <c r="AI75" s="167">
        <v>3.9194717755442502E-3</v>
      </c>
      <c r="AJ75" s="167">
        <v>1.52459771535259E-3</v>
      </c>
      <c r="AK75" s="161"/>
      <c r="AL75" s="153"/>
    </row>
    <row r="76" spans="1:38">
      <c r="A76" s="2" t="s">
        <v>26</v>
      </c>
      <c r="B76" s="2">
        <v>1405</v>
      </c>
      <c r="C76" s="2" t="s">
        <v>1176</v>
      </c>
      <c r="D76" s="2" t="s">
        <v>1364</v>
      </c>
      <c r="E76" s="4" t="s">
        <v>1305</v>
      </c>
      <c r="F76" s="2" t="s">
        <v>2000</v>
      </c>
      <c r="G76" s="2" t="s">
        <v>2001</v>
      </c>
      <c r="H76" s="2" t="s">
        <v>319</v>
      </c>
      <c r="I76" s="2" t="s">
        <v>754</v>
      </c>
      <c r="J76" s="2" t="s">
        <v>31</v>
      </c>
      <c r="K76" s="2" t="s">
        <v>31</v>
      </c>
      <c r="L76" s="2" t="s">
        <v>325</v>
      </c>
      <c r="M76" s="2" t="s">
        <v>40</v>
      </c>
      <c r="N76" s="2" t="s">
        <v>445</v>
      </c>
      <c r="O76" s="2" t="s">
        <v>136</v>
      </c>
      <c r="P76" s="2" t="s">
        <v>1175</v>
      </c>
      <c r="Q76" s="2" t="s">
        <v>412</v>
      </c>
      <c r="R76" s="2" t="s">
        <v>405</v>
      </c>
      <c r="S76" s="2" t="s">
        <v>35</v>
      </c>
      <c r="T76" s="153">
        <v>5.6390000000000002</v>
      </c>
      <c r="U76" s="2" t="s">
        <v>2002</v>
      </c>
      <c r="V76" s="165">
        <v>1E-3</v>
      </c>
      <c r="W76" s="167">
        <v>2.069E-2</v>
      </c>
      <c r="X76" s="4" t="s">
        <v>411</v>
      </c>
      <c r="Y76" s="4" t="s">
        <v>136</v>
      </c>
      <c r="Z76" s="153">
        <v>79000</v>
      </c>
      <c r="AA76" s="153">
        <v>1</v>
      </c>
      <c r="AB76" s="153">
        <v>97.7</v>
      </c>
      <c r="AC76" s="11"/>
      <c r="AD76" s="153">
        <v>77.183000000000007</v>
      </c>
      <c r="AG76" s="2" t="s">
        <v>37</v>
      </c>
      <c r="AH76" s="167">
        <v>7.8999999999999996E-5</v>
      </c>
      <c r="AI76" s="167">
        <v>1.8766537844406399E-2</v>
      </c>
      <c r="AJ76" s="167">
        <v>7.2998154754379098E-3</v>
      </c>
      <c r="AK76" s="161"/>
      <c r="AL76" s="153"/>
    </row>
    <row r="77" spans="1:38">
      <c r="A77" s="2" t="s">
        <v>26</v>
      </c>
      <c r="B77" s="2">
        <v>1405</v>
      </c>
      <c r="C77" s="2" t="s">
        <v>1176</v>
      </c>
      <c r="D77" s="2" t="s">
        <v>1364</v>
      </c>
      <c r="E77" s="4" t="s">
        <v>1305</v>
      </c>
      <c r="F77" s="2" t="s">
        <v>2003</v>
      </c>
      <c r="G77" s="2" t="s">
        <v>2004</v>
      </c>
      <c r="H77" s="2" t="s">
        <v>319</v>
      </c>
      <c r="I77" s="2" t="s">
        <v>754</v>
      </c>
      <c r="J77" s="2" t="s">
        <v>31</v>
      </c>
      <c r="K77" s="2" t="s">
        <v>31</v>
      </c>
      <c r="L77" s="2" t="s">
        <v>325</v>
      </c>
      <c r="M77" s="2" t="s">
        <v>40</v>
      </c>
      <c r="N77" s="2" t="s">
        <v>445</v>
      </c>
      <c r="O77" s="2" t="s">
        <v>136</v>
      </c>
      <c r="P77" s="2" t="s">
        <v>1748</v>
      </c>
      <c r="Q77" s="2" t="s">
        <v>412</v>
      </c>
      <c r="R77" s="2" t="s">
        <v>405</v>
      </c>
      <c r="S77" s="2" t="s">
        <v>35</v>
      </c>
      <c r="T77" s="153">
        <v>0.91200000000000003</v>
      </c>
      <c r="U77" s="2" t="s">
        <v>2005</v>
      </c>
      <c r="V77" s="165">
        <v>2.4199999999999999E-2</v>
      </c>
      <c r="W77" s="167">
        <v>1.8509999999999999E-2</v>
      </c>
      <c r="X77" s="4" t="s">
        <v>411</v>
      </c>
      <c r="Y77" s="4" t="s">
        <v>136</v>
      </c>
      <c r="Z77" s="153">
        <v>50000</v>
      </c>
      <c r="AA77" s="153">
        <v>1</v>
      </c>
      <c r="AB77" s="153">
        <v>112.35</v>
      </c>
      <c r="AC77" s="11"/>
      <c r="AD77" s="153">
        <v>56.174999999999997</v>
      </c>
      <c r="AG77" s="2" t="s">
        <v>37</v>
      </c>
      <c r="AH77" s="167">
        <v>3.4999999999999997E-5</v>
      </c>
      <c r="AI77" s="167">
        <v>1.36585810788584E-2</v>
      </c>
      <c r="AJ77" s="167">
        <v>5.3129203883332402E-3</v>
      </c>
      <c r="AK77" s="161"/>
      <c r="AL77" s="153"/>
    </row>
    <row r="78" spans="1:38">
      <c r="A78" s="2" t="s">
        <v>26</v>
      </c>
      <c r="B78" s="2">
        <v>1405</v>
      </c>
      <c r="C78" s="2" t="s">
        <v>1176</v>
      </c>
      <c r="D78" s="2" t="s">
        <v>1364</v>
      </c>
      <c r="E78" s="4" t="s">
        <v>1305</v>
      </c>
      <c r="F78" s="2" t="s">
        <v>2006</v>
      </c>
      <c r="G78" s="2" t="s">
        <v>2007</v>
      </c>
      <c r="H78" s="2" t="s">
        <v>319</v>
      </c>
      <c r="I78" s="2" t="s">
        <v>754</v>
      </c>
      <c r="J78" s="2" t="s">
        <v>31</v>
      </c>
      <c r="K78" s="2" t="s">
        <v>31</v>
      </c>
      <c r="L78" s="2" t="s">
        <v>325</v>
      </c>
      <c r="M78" s="2" t="s">
        <v>40</v>
      </c>
      <c r="N78" s="2" t="s">
        <v>445</v>
      </c>
      <c r="O78" s="2" t="s">
        <v>136</v>
      </c>
      <c r="P78" s="2" t="s">
        <v>1984</v>
      </c>
      <c r="Q78" s="2" t="s">
        <v>104</v>
      </c>
      <c r="R78" s="2" t="s">
        <v>405</v>
      </c>
      <c r="S78" s="2" t="s">
        <v>35</v>
      </c>
      <c r="T78" s="153">
        <v>3.899</v>
      </c>
      <c r="U78" s="2" t="s">
        <v>2008</v>
      </c>
      <c r="V78" s="165">
        <v>1.4999999999999999E-2</v>
      </c>
      <c r="W78" s="167">
        <v>2.6530000000000001E-2</v>
      </c>
      <c r="X78" s="4" t="s">
        <v>411</v>
      </c>
      <c r="Y78" s="4" t="s">
        <v>136</v>
      </c>
      <c r="Z78" s="153">
        <v>50000</v>
      </c>
      <c r="AA78" s="153">
        <v>1</v>
      </c>
      <c r="AB78" s="153">
        <v>103</v>
      </c>
      <c r="AC78" s="11"/>
      <c r="AD78" s="153">
        <v>51.5</v>
      </c>
      <c r="AG78" s="2" t="s">
        <v>37</v>
      </c>
      <c r="AH78" s="167">
        <v>3.6000000000000001E-5</v>
      </c>
      <c r="AI78" s="167">
        <v>1.2521885635268499E-2</v>
      </c>
      <c r="AJ78" s="167">
        <v>4.87076813527658E-3</v>
      </c>
      <c r="AK78" s="161"/>
      <c r="AL78" s="153"/>
    </row>
    <row r="79" spans="1:38">
      <c r="A79" s="2" t="s">
        <v>26</v>
      </c>
      <c r="B79" s="2">
        <v>1405</v>
      </c>
      <c r="C79" s="2" t="s">
        <v>2009</v>
      </c>
      <c r="D79" s="2" t="s">
        <v>2010</v>
      </c>
      <c r="E79" s="4" t="s">
        <v>1305</v>
      </c>
      <c r="F79" s="2" t="s">
        <v>2011</v>
      </c>
      <c r="G79" s="2" t="s">
        <v>2012</v>
      </c>
      <c r="H79" s="2" t="s">
        <v>319</v>
      </c>
      <c r="I79" s="2" t="s">
        <v>754</v>
      </c>
      <c r="J79" s="2" t="s">
        <v>31</v>
      </c>
      <c r="K79" s="2" t="s">
        <v>31</v>
      </c>
      <c r="L79" s="2" t="s">
        <v>325</v>
      </c>
      <c r="M79" s="2" t="s">
        <v>40</v>
      </c>
      <c r="N79" s="2" t="s">
        <v>448</v>
      </c>
      <c r="O79" s="2" t="s">
        <v>136</v>
      </c>
      <c r="P79" s="2" t="s">
        <v>1731</v>
      </c>
      <c r="Q79" s="2" t="s">
        <v>104</v>
      </c>
      <c r="R79" s="2" t="s">
        <v>405</v>
      </c>
      <c r="S79" s="2" t="s">
        <v>35</v>
      </c>
      <c r="T79" s="153">
        <v>3.4660000000000002</v>
      </c>
      <c r="U79" s="2" t="s">
        <v>2013</v>
      </c>
      <c r="V79" s="165">
        <v>3.73E-2</v>
      </c>
      <c r="W79" s="167">
        <v>3.4209999999999997E-2</v>
      </c>
      <c r="X79" s="4" t="s">
        <v>411</v>
      </c>
      <c r="Y79" s="4" t="s">
        <v>136</v>
      </c>
      <c r="Z79" s="153">
        <v>10000</v>
      </c>
      <c r="AA79" s="153">
        <v>1</v>
      </c>
      <c r="AB79" s="153">
        <v>105.42</v>
      </c>
      <c r="AC79" s="11"/>
      <c r="AD79" s="153">
        <v>10.542</v>
      </c>
      <c r="AG79" s="2" t="s">
        <v>37</v>
      </c>
      <c r="AH79" s="167">
        <v>4.3000000000000002E-5</v>
      </c>
      <c r="AI79" s="167">
        <v>2.5632178323689498E-3</v>
      </c>
      <c r="AJ79" s="167">
        <v>9.9704150839001406E-4</v>
      </c>
      <c r="AK79" s="161"/>
      <c r="AL79" s="153"/>
    </row>
    <row r="80" spans="1:38">
      <c r="A80" s="2" t="s">
        <v>26</v>
      </c>
      <c r="B80" s="2">
        <v>1405</v>
      </c>
      <c r="C80" s="2" t="s">
        <v>2014</v>
      </c>
      <c r="D80" s="2" t="s">
        <v>2015</v>
      </c>
      <c r="E80" s="4" t="s">
        <v>1305</v>
      </c>
      <c r="F80" s="2" t="s">
        <v>2016</v>
      </c>
      <c r="G80" s="2" t="s">
        <v>2017</v>
      </c>
      <c r="H80" s="2" t="s">
        <v>319</v>
      </c>
      <c r="I80" s="2" t="s">
        <v>966</v>
      </c>
      <c r="J80" s="2" t="s">
        <v>73</v>
      </c>
      <c r="K80" s="2" t="s">
        <v>31</v>
      </c>
      <c r="L80" s="2" t="s">
        <v>325</v>
      </c>
      <c r="M80" s="2" t="s">
        <v>40</v>
      </c>
      <c r="N80" s="2" t="s">
        <v>444</v>
      </c>
      <c r="O80" s="2" t="s">
        <v>136</v>
      </c>
      <c r="P80" s="2" t="s">
        <v>1752</v>
      </c>
      <c r="Q80" s="23" t="s">
        <v>1752</v>
      </c>
      <c r="R80" s="23" t="s">
        <v>1752</v>
      </c>
      <c r="S80" s="2" t="s">
        <v>35</v>
      </c>
      <c r="T80" s="153">
        <v>3.8239999999999998</v>
      </c>
      <c r="U80" s="2" t="s">
        <v>2018</v>
      </c>
      <c r="V80" s="165">
        <v>8.1500000000000003E-2</v>
      </c>
      <c r="W80" s="167">
        <v>6.8169999999999994E-2</v>
      </c>
      <c r="X80" s="4" t="s">
        <v>411</v>
      </c>
      <c r="Y80" s="4" t="s">
        <v>136</v>
      </c>
      <c r="Z80" s="153">
        <v>10000</v>
      </c>
      <c r="AA80" s="153">
        <v>1</v>
      </c>
      <c r="AB80" s="153">
        <v>105.58</v>
      </c>
      <c r="AC80" s="11"/>
      <c r="AD80" s="153">
        <v>10.558</v>
      </c>
      <c r="AG80" s="2" t="s">
        <v>37</v>
      </c>
      <c r="AH80" s="167">
        <v>0</v>
      </c>
      <c r="AI80" s="167">
        <v>2.5671081269352499E-3</v>
      </c>
      <c r="AJ80" s="167">
        <v>9.9855475674272103E-4</v>
      </c>
      <c r="AK80" s="161"/>
      <c r="AL80" s="153"/>
    </row>
    <row r="81" spans="1:38">
      <c r="A81" s="2" t="s">
        <v>26</v>
      </c>
      <c r="B81" s="2">
        <v>1405</v>
      </c>
      <c r="C81" s="2" t="s">
        <v>2019</v>
      </c>
      <c r="D81" s="2" t="s">
        <v>2020</v>
      </c>
      <c r="E81" s="4" t="s">
        <v>1305</v>
      </c>
      <c r="F81" s="2" t="s">
        <v>2021</v>
      </c>
      <c r="G81" s="2" t="s">
        <v>2022</v>
      </c>
      <c r="H81" s="2" t="s">
        <v>319</v>
      </c>
      <c r="I81" s="2" t="s">
        <v>966</v>
      </c>
      <c r="J81" s="2" t="s">
        <v>73</v>
      </c>
      <c r="K81" s="2" t="s">
        <v>74</v>
      </c>
      <c r="L81" s="2" t="s">
        <v>325</v>
      </c>
      <c r="M81" s="2" t="s">
        <v>40</v>
      </c>
      <c r="N81" s="2" t="s">
        <v>462</v>
      </c>
      <c r="O81" s="2" t="s">
        <v>136</v>
      </c>
      <c r="P81" s="2" t="s">
        <v>1896</v>
      </c>
      <c r="Q81" s="2" t="s">
        <v>104</v>
      </c>
      <c r="R81" s="2" t="s">
        <v>405</v>
      </c>
      <c r="S81" s="2" t="s">
        <v>35</v>
      </c>
      <c r="T81" s="153">
        <v>1.607</v>
      </c>
      <c r="U81" s="2" t="s">
        <v>2023</v>
      </c>
      <c r="V81" s="165">
        <v>3.95E-2</v>
      </c>
      <c r="W81" s="167">
        <v>5.9790000000000003E-2</v>
      </c>
      <c r="X81" s="4" t="s">
        <v>411</v>
      </c>
      <c r="Y81" s="4" t="s">
        <v>136</v>
      </c>
      <c r="Z81" s="153">
        <v>5000</v>
      </c>
      <c r="AA81" s="153">
        <v>1</v>
      </c>
      <c r="AB81" s="153">
        <v>98.29</v>
      </c>
      <c r="AC81" s="11"/>
      <c r="AD81" s="153">
        <v>4.915</v>
      </c>
      <c r="AG81" s="2" t="s">
        <v>37</v>
      </c>
      <c r="AH81" s="167">
        <v>7.9999999999999996E-6</v>
      </c>
      <c r="AI81" s="167">
        <v>1.19492829037917E-3</v>
      </c>
      <c r="AJ81" s="167">
        <v>4.6480368933624798E-4</v>
      </c>
      <c r="AK81" s="161"/>
      <c r="AL81" s="153"/>
    </row>
    <row r="82" spans="1:38">
      <c r="A82" s="2" t="s">
        <v>26</v>
      </c>
      <c r="B82" s="2">
        <v>1405</v>
      </c>
      <c r="C82" s="2" t="s">
        <v>1367</v>
      </c>
      <c r="D82" s="2" t="s">
        <v>1368</v>
      </c>
      <c r="E82" s="4" t="s">
        <v>1305</v>
      </c>
      <c r="F82" s="2" t="s">
        <v>2024</v>
      </c>
      <c r="G82" s="2" t="s">
        <v>2025</v>
      </c>
      <c r="H82" s="2" t="s">
        <v>319</v>
      </c>
      <c r="I82" s="2" t="s">
        <v>754</v>
      </c>
      <c r="J82" s="2" t="s">
        <v>31</v>
      </c>
      <c r="K82" s="2" t="s">
        <v>31</v>
      </c>
      <c r="L82" s="2" t="s">
        <v>325</v>
      </c>
      <c r="M82" s="2" t="s">
        <v>40</v>
      </c>
      <c r="N82" s="2" t="s">
        <v>461</v>
      </c>
      <c r="O82" s="2" t="s">
        <v>136</v>
      </c>
      <c r="P82" s="2" t="s">
        <v>1984</v>
      </c>
      <c r="Q82" s="2" t="s">
        <v>104</v>
      </c>
      <c r="R82" s="2" t="s">
        <v>405</v>
      </c>
      <c r="S82" s="2" t="s">
        <v>35</v>
      </c>
      <c r="T82" s="153">
        <v>3.903</v>
      </c>
      <c r="U82" s="2" t="s">
        <v>1926</v>
      </c>
      <c r="V82" s="165">
        <v>2.81E-2</v>
      </c>
      <c r="W82" s="167">
        <v>2.4490000000000001E-2</v>
      </c>
      <c r="X82" s="4" t="s">
        <v>411</v>
      </c>
      <c r="Y82" s="4" t="s">
        <v>136</v>
      </c>
      <c r="Z82" s="153">
        <v>11250</v>
      </c>
      <c r="AA82" s="153">
        <v>1</v>
      </c>
      <c r="AB82" s="153">
        <v>115.32</v>
      </c>
      <c r="AC82" s="11"/>
      <c r="AD82" s="153">
        <v>12.973000000000001</v>
      </c>
      <c r="AG82" s="2" t="s">
        <v>37</v>
      </c>
      <c r="AH82" s="167">
        <v>7.9999999999999996E-6</v>
      </c>
      <c r="AI82" s="167">
        <v>3.1544210347409E-3</v>
      </c>
      <c r="AJ82" s="167">
        <v>1.2270079689905E-3</v>
      </c>
      <c r="AK82" s="161"/>
      <c r="AL82" s="153"/>
    </row>
    <row r="83" spans="1:38">
      <c r="A83" s="2" t="s">
        <v>26</v>
      </c>
      <c r="B83" s="2">
        <v>1405</v>
      </c>
      <c r="C83" s="2" t="s">
        <v>2026</v>
      </c>
      <c r="D83" s="2" t="s">
        <v>2027</v>
      </c>
      <c r="E83" s="4" t="s">
        <v>1305</v>
      </c>
      <c r="F83" s="2" t="s">
        <v>2028</v>
      </c>
      <c r="G83" s="2" t="s">
        <v>2029</v>
      </c>
      <c r="H83" s="2" t="s">
        <v>319</v>
      </c>
      <c r="I83" s="2" t="s">
        <v>754</v>
      </c>
      <c r="J83" s="2" t="s">
        <v>31</v>
      </c>
      <c r="K83" s="2" t="s">
        <v>31</v>
      </c>
      <c r="L83" s="2" t="s">
        <v>325</v>
      </c>
      <c r="M83" s="2" t="s">
        <v>40</v>
      </c>
      <c r="N83" s="2" t="s">
        <v>461</v>
      </c>
      <c r="O83" s="2" t="s">
        <v>136</v>
      </c>
      <c r="P83" s="2" t="s">
        <v>1758</v>
      </c>
      <c r="Q83" s="2" t="s">
        <v>412</v>
      </c>
      <c r="R83" s="2" t="s">
        <v>405</v>
      </c>
      <c r="S83" s="2" t="s">
        <v>35</v>
      </c>
      <c r="T83" s="153">
        <v>2.077</v>
      </c>
      <c r="U83" s="2" t="s">
        <v>2030</v>
      </c>
      <c r="V83" s="165">
        <v>2.0500000000000001E-2</v>
      </c>
      <c r="W83" s="167">
        <v>2.3279999999999999E-2</v>
      </c>
      <c r="X83" s="4" t="s">
        <v>411</v>
      </c>
      <c r="Y83" s="4" t="s">
        <v>136</v>
      </c>
      <c r="Z83" s="153">
        <v>18979</v>
      </c>
      <c r="AA83" s="153">
        <v>1</v>
      </c>
      <c r="AB83" s="153">
        <v>112.41</v>
      </c>
      <c r="AC83" s="11"/>
      <c r="AD83" s="153">
        <v>21.334</v>
      </c>
      <c r="AG83" s="2" t="s">
        <v>37</v>
      </c>
      <c r="AH83" s="167">
        <v>2.5000000000000001E-5</v>
      </c>
      <c r="AI83" s="167">
        <v>5.1872929771846097E-3</v>
      </c>
      <c r="AJ83" s="167">
        <v>2.0177553187717598E-3</v>
      </c>
      <c r="AK83" s="161"/>
      <c r="AL83" s="153"/>
    </row>
    <row r="84" spans="1:38">
      <c r="A84" s="2" t="s">
        <v>26</v>
      </c>
      <c r="B84" s="2">
        <v>1405</v>
      </c>
      <c r="C84" s="2" t="s">
        <v>2031</v>
      </c>
      <c r="D84" s="2" t="s">
        <v>2032</v>
      </c>
      <c r="E84" s="4" t="s">
        <v>1305</v>
      </c>
      <c r="F84" s="2" t="s">
        <v>2033</v>
      </c>
      <c r="G84" s="2" t="s">
        <v>2034</v>
      </c>
      <c r="H84" s="2" t="s">
        <v>319</v>
      </c>
      <c r="I84" s="2" t="s">
        <v>754</v>
      </c>
      <c r="J84" s="2" t="s">
        <v>31</v>
      </c>
      <c r="K84" s="2" t="s">
        <v>31</v>
      </c>
      <c r="L84" s="2" t="s">
        <v>325</v>
      </c>
      <c r="M84" s="2" t="s">
        <v>40</v>
      </c>
      <c r="N84" s="2" t="s">
        <v>461</v>
      </c>
      <c r="O84" s="2" t="s">
        <v>136</v>
      </c>
      <c r="P84" s="2" t="s">
        <v>1724</v>
      </c>
      <c r="Q84" s="2" t="s">
        <v>412</v>
      </c>
      <c r="R84" s="2" t="s">
        <v>405</v>
      </c>
      <c r="S84" s="2" t="s">
        <v>35</v>
      </c>
      <c r="T84" s="153">
        <v>4.4800000000000004</v>
      </c>
      <c r="U84" s="2" t="s">
        <v>1743</v>
      </c>
      <c r="V84" s="165">
        <v>3.0000000000000001E-3</v>
      </c>
      <c r="W84" s="167">
        <v>3.0700000000000002E-2</v>
      </c>
      <c r="X84" s="4" t="s">
        <v>411</v>
      </c>
      <c r="Y84" s="4" t="s">
        <v>136</v>
      </c>
      <c r="Z84" s="153">
        <v>25000</v>
      </c>
      <c r="AA84" s="153">
        <v>1</v>
      </c>
      <c r="AB84" s="153">
        <v>97.4</v>
      </c>
      <c r="AC84" s="11"/>
      <c r="AD84" s="153">
        <v>24.35</v>
      </c>
      <c r="AG84" s="2" t="s">
        <v>37</v>
      </c>
      <c r="AH84" s="167">
        <v>6.8999999999999997E-5</v>
      </c>
      <c r="AI84" s="167">
        <v>5.92054204308328E-3</v>
      </c>
      <c r="AJ84" s="167">
        <v>2.3029748367764001E-3</v>
      </c>
      <c r="AK84" s="161"/>
      <c r="AL84" s="153"/>
    </row>
    <row r="85" spans="1:38">
      <c r="A85" s="2" t="s">
        <v>26</v>
      </c>
      <c r="B85" s="2">
        <v>1405</v>
      </c>
      <c r="C85" s="2" t="s">
        <v>2035</v>
      </c>
      <c r="D85" s="2" t="s">
        <v>2036</v>
      </c>
      <c r="E85" s="4" t="s">
        <v>1305</v>
      </c>
      <c r="F85" s="2" t="s">
        <v>2037</v>
      </c>
      <c r="G85" s="2" t="s">
        <v>2038</v>
      </c>
      <c r="H85" s="2" t="s">
        <v>319</v>
      </c>
      <c r="I85" s="2" t="s">
        <v>754</v>
      </c>
      <c r="J85" s="2" t="s">
        <v>31</v>
      </c>
      <c r="K85" s="2" t="s">
        <v>31</v>
      </c>
      <c r="L85" s="2" t="s">
        <v>325</v>
      </c>
      <c r="M85" s="2" t="s">
        <v>40</v>
      </c>
      <c r="N85" s="2" t="s">
        <v>445</v>
      </c>
      <c r="O85" s="2" t="s">
        <v>136</v>
      </c>
      <c r="P85" s="2" t="s">
        <v>76</v>
      </c>
      <c r="Q85" s="2" t="s">
        <v>104</v>
      </c>
      <c r="R85" s="2" t="s">
        <v>405</v>
      </c>
      <c r="S85" s="2" t="s">
        <v>35</v>
      </c>
      <c r="T85" s="153">
        <v>3.4209999999999998</v>
      </c>
      <c r="U85" s="2" t="s">
        <v>2039</v>
      </c>
      <c r="V85" s="165">
        <v>1.2200000000000001E-2</v>
      </c>
      <c r="W85" s="167">
        <v>1.7999999999999999E-2</v>
      </c>
      <c r="X85" s="4" t="s">
        <v>411</v>
      </c>
      <c r="Y85" s="4" t="s">
        <v>136</v>
      </c>
      <c r="Z85" s="153">
        <v>80000</v>
      </c>
      <c r="AA85" s="153">
        <v>1</v>
      </c>
      <c r="AB85" s="153">
        <v>111.35</v>
      </c>
      <c r="AC85" s="11"/>
      <c r="AD85" s="153">
        <v>89.08</v>
      </c>
      <c r="AG85" s="2" t="s">
        <v>37</v>
      </c>
      <c r="AH85" s="167">
        <v>2.6999999999999999E-5</v>
      </c>
      <c r="AI85" s="167">
        <v>2.1659214997858701E-2</v>
      </c>
      <c r="AJ85" s="167">
        <v>8.4250102036978192E-3</v>
      </c>
      <c r="AK85" s="161"/>
      <c r="AL85" s="153"/>
    </row>
    <row r="86" spans="1:38">
      <c r="A86" s="2" t="s">
        <v>26</v>
      </c>
      <c r="B86" s="2">
        <v>1405</v>
      </c>
      <c r="C86" s="2" t="s">
        <v>2035</v>
      </c>
      <c r="D86" s="2" t="s">
        <v>2036</v>
      </c>
      <c r="E86" s="4" t="s">
        <v>1305</v>
      </c>
      <c r="F86" s="2" t="s">
        <v>2040</v>
      </c>
      <c r="G86" s="2" t="s">
        <v>2041</v>
      </c>
      <c r="H86" s="2" t="s">
        <v>319</v>
      </c>
      <c r="I86" s="2" t="s">
        <v>754</v>
      </c>
      <c r="J86" s="2" t="s">
        <v>31</v>
      </c>
      <c r="K86" s="2" t="s">
        <v>31</v>
      </c>
      <c r="L86" s="2" t="s">
        <v>325</v>
      </c>
      <c r="M86" s="2" t="s">
        <v>40</v>
      </c>
      <c r="N86" s="2" t="s">
        <v>445</v>
      </c>
      <c r="O86" s="2" t="s">
        <v>136</v>
      </c>
      <c r="P86" s="2" t="s">
        <v>76</v>
      </c>
      <c r="Q86" s="2" t="s">
        <v>104</v>
      </c>
      <c r="R86" s="2" t="s">
        <v>405</v>
      </c>
      <c r="S86" s="2" t="s">
        <v>35</v>
      </c>
      <c r="T86" s="153">
        <v>4.5510000000000002</v>
      </c>
      <c r="U86" s="2" t="s">
        <v>2042</v>
      </c>
      <c r="V86" s="165">
        <v>1E-3</v>
      </c>
      <c r="W86" s="167">
        <v>1.9689999999999999E-2</v>
      </c>
      <c r="X86" s="4" t="s">
        <v>411</v>
      </c>
      <c r="Y86" s="4" t="s">
        <v>136</v>
      </c>
      <c r="Z86" s="153">
        <v>54000</v>
      </c>
      <c r="AA86" s="153">
        <v>1</v>
      </c>
      <c r="AB86" s="153">
        <v>100.35</v>
      </c>
      <c r="AC86" s="11"/>
      <c r="AD86" s="153">
        <v>54.189</v>
      </c>
      <c r="AG86" s="2" t="s">
        <v>37</v>
      </c>
      <c r="AH86" s="167">
        <v>1.5999999999999999E-5</v>
      </c>
      <c r="AI86" s="167">
        <v>1.31756982658168E-2</v>
      </c>
      <c r="AJ86" s="167">
        <v>5.1250884365534504E-3</v>
      </c>
      <c r="AK86" s="161"/>
      <c r="AL86" s="153"/>
    </row>
    <row r="87" spans="1:38">
      <c r="A87" s="2" t="s">
        <v>26</v>
      </c>
      <c r="B87" s="2">
        <v>1405</v>
      </c>
      <c r="C87" s="2" t="s">
        <v>2035</v>
      </c>
      <c r="D87" s="2" t="s">
        <v>2036</v>
      </c>
      <c r="E87" s="4" t="s">
        <v>1305</v>
      </c>
      <c r="F87" s="2" t="s">
        <v>2043</v>
      </c>
      <c r="G87" s="2" t="s">
        <v>2044</v>
      </c>
      <c r="H87" s="2" t="s">
        <v>319</v>
      </c>
      <c r="I87" s="2" t="s">
        <v>754</v>
      </c>
      <c r="J87" s="2" t="s">
        <v>31</v>
      </c>
      <c r="K87" s="2" t="s">
        <v>31</v>
      </c>
      <c r="L87" s="2" t="s">
        <v>325</v>
      </c>
      <c r="M87" s="2" t="s">
        <v>40</v>
      </c>
      <c r="N87" s="2" t="s">
        <v>445</v>
      </c>
      <c r="O87" s="2" t="s">
        <v>136</v>
      </c>
      <c r="P87" s="2" t="s">
        <v>76</v>
      </c>
      <c r="Q87" s="2" t="s">
        <v>104</v>
      </c>
      <c r="R87" s="2" t="s">
        <v>405</v>
      </c>
      <c r="S87" s="2" t="s">
        <v>35</v>
      </c>
      <c r="T87" s="153">
        <v>2.6619999999999999</v>
      </c>
      <c r="U87" s="2" t="s">
        <v>2045</v>
      </c>
      <c r="V87" s="165">
        <v>5.0000000000000001E-3</v>
      </c>
      <c r="W87" s="167">
        <v>1.7579999999999998E-2</v>
      </c>
      <c r="X87" s="4" t="s">
        <v>411</v>
      </c>
      <c r="Y87" s="4" t="s">
        <v>136</v>
      </c>
      <c r="Z87" s="153">
        <v>35000</v>
      </c>
      <c r="AA87" s="153">
        <v>1</v>
      </c>
      <c r="AB87" s="153">
        <v>107.2</v>
      </c>
      <c r="AC87" s="11"/>
      <c r="AD87" s="153">
        <v>37.520000000000003</v>
      </c>
      <c r="AG87" s="2" t="s">
        <v>37</v>
      </c>
      <c r="AH87" s="167">
        <v>4.6E-5</v>
      </c>
      <c r="AI87" s="167">
        <v>9.1227407579665201E-3</v>
      </c>
      <c r="AJ87" s="167">
        <v>3.54856738709859E-3</v>
      </c>
      <c r="AK87" s="161"/>
      <c r="AL87" s="153"/>
    </row>
    <row r="88" spans="1:38">
      <c r="A88" s="2" t="s">
        <v>26</v>
      </c>
      <c r="B88" s="2">
        <v>1405</v>
      </c>
      <c r="C88" s="2" t="s">
        <v>2046</v>
      </c>
      <c r="D88" s="2" t="s">
        <v>2047</v>
      </c>
      <c r="E88" s="4" t="s">
        <v>1305</v>
      </c>
      <c r="F88" s="2" t="s">
        <v>2048</v>
      </c>
      <c r="G88" s="2" t="s">
        <v>2049</v>
      </c>
      <c r="H88" s="2" t="s">
        <v>319</v>
      </c>
      <c r="I88" s="2" t="s">
        <v>754</v>
      </c>
      <c r="J88" s="2" t="s">
        <v>31</v>
      </c>
      <c r="K88" s="2" t="s">
        <v>31</v>
      </c>
      <c r="L88" s="2" t="s">
        <v>325</v>
      </c>
      <c r="M88" s="2" t="s">
        <v>40</v>
      </c>
      <c r="N88" s="2" t="s">
        <v>440</v>
      </c>
      <c r="O88" s="2" t="s">
        <v>136</v>
      </c>
      <c r="P88" s="2" t="s">
        <v>1896</v>
      </c>
      <c r="Q88" s="2" t="s">
        <v>104</v>
      </c>
      <c r="R88" s="2" t="s">
        <v>405</v>
      </c>
      <c r="S88" s="2" t="s">
        <v>35</v>
      </c>
      <c r="T88" s="153">
        <v>1.044</v>
      </c>
      <c r="U88" s="2" t="s">
        <v>1897</v>
      </c>
      <c r="V88" s="165">
        <v>1.8499999999999999E-2</v>
      </c>
      <c r="W88" s="167">
        <v>1.9130000000000001E-2</v>
      </c>
      <c r="X88" s="4" t="s">
        <v>411</v>
      </c>
      <c r="Y88" s="4" t="s">
        <v>136</v>
      </c>
      <c r="Z88" s="153">
        <v>25615.31</v>
      </c>
      <c r="AA88" s="153">
        <v>1</v>
      </c>
      <c r="AB88" s="153">
        <v>111.87</v>
      </c>
      <c r="AC88" s="11"/>
      <c r="AD88" s="153">
        <v>28.655999999999999</v>
      </c>
      <c r="AG88" s="2" t="s">
        <v>37</v>
      </c>
      <c r="AH88" s="167">
        <v>4.3000000000000002E-5</v>
      </c>
      <c r="AI88" s="167">
        <v>6.9674804395097696E-3</v>
      </c>
      <c r="AJ88" s="167">
        <v>2.7102133573510502E-3</v>
      </c>
      <c r="AK88" s="161"/>
      <c r="AL88" s="153"/>
    </row>
    <row r="89" spans="1:38">
      <c r="A89" s="2" t="s">
        <v>26</v>
      </c>
      <c r="B89" s="2">
        <v>1405</v>
      </c>
      <c r="C89" s="2" t="s">
        <v>2046</v>
      </c>
      <c r="D89" s="2" t="s">
        <v>2047</v>
      </c>
      <c r="E89" s="4" t="s">
        <v>1305</v>
      </c>
      <c r="F89" s="2" t="s">
        <v>2050</v>
      </c>
      <c r="G89" s="2" t="s">
        <v>2051</v>
      </c>
      <c r="H89" s="2" t="s">
        <v>319</v>
      </c>
      <c r="I89" s="2" t="s">
        <v>754</v>
      </c>
      <c r="J89" s="2" t="s">
        <v>31</v>
      </c>
      <c r="K89" s="2" t="s">
        <v>31</v>
      </c>
      <c r="L89" s="2" t="s">
        <v>325</v>
      </c>
      <c r="M89" s="2" t="s">
        <v>40</v>
      </c>
      <c r="N89" s="2" t="s">
        <v>440</v>
      </c>
      <c r="O89" s="2" t="s">
        <v>136</v>
      </c>
      <c r="P89" s="2" t="s">
        <v>1896</v>
      </c>
      <c r="Q89" s="2" t="s">
        <v>104</v>
      </c>
      <c r="R89" s="2" t="s">
        <v>405</v>
      </c>
      <c r="S89" s="2" t="s">
        <v>35</v>
      </c>
      <c r="T89" s="153">
        <v>3.4689999999999999</v>
      </c>
      <c r="U89" s="2" t="s">
        <v>2052</v>
      </c>
      <c r="V89" s="165">
        <v>0.01</v>
      </c>
      <c r="W89" s="167">
        <v>3.6119999999999999E-2</v>
      </c>
      <c r="X89" s="4" t="s">
        <v>411</v>
      </c>
      <c r="Y89" s="4" t="s">
        <v>136</v>
      </c>
      <c r="Z89" s="153">
        <v>17708</v>
      </c>
      <c r="AA89" s="153">
        <v>1</v>
      </c>
      <c r="AB89" s="153">
        <v>99.91</v>
      </c>
      <c r="AC89" s="11"/>
      <c r="AD89" s="153">
        <v>17.692</v>
      </c>
      <c r="AG89" s="2" t="s">
        <v>37</v>
      </c>
      <c r="AH89" s="167">
        <v>1.5E-5</v>
      </c>
      <c r="AI89" s="167">
        <v>4.3017084860891E-3</v>
      </c>
      <c r="AJ89" s="167">
        <v>1.67328030550587E-3</v>
      </c>
      <c r="AK89" s="161"/>
      <c r="AL89" s="153"/>
    </row>
    <row r="90" spans="1:38">
      <c r="A90" s="2" t="s">
        <v>26</v>
      </c>
      <c r="B90" s="2">
        <v>1405</v>
      </c>
      <c r="C90" s="2" t="s">
        <v>2046</v>
      </c>
      <c r="D90" s="2" t="s">
        <v>2047</v>
      </c>
      <c r="E90" s="4" t="s">
        <v>1305</v>
      </c>
      <c r="F90" s="2" t="s">
        <v>2053</v>
      </c>
      <c r="G90" s="2" t="s">
        <v>2054</v>
      </c>
      <c r="H90" s="2" t="s">
        <v>319</v>
      </c>
      <c r="I90" s="2" t="s">
        <v>754</v>
      </c>
      <c r="J90" s="2" t="s">
        <v>31</v>
      </c>
      <c r="K90" s="2" t="s">
        <v>31</v>
      </c>
      <c r="L90" s="2" t="s">
        <v>325</v>
      </c>
      <c r="M90" s="2" t="s">
        <v>40</v>
      </c>
      <c r="N90" s="2" t="s">
        <v>440</v>
      </c>
      <c r="O90" s="2" t="s">
        <v>136</v>
      </c>
      <c r="P90" s="2" t="s">
        <v>1896</v>
      </c>
      <c r="Q90" s="2" t="s">
        <v>104</v>
      </c>
      <c r="R90" s="2" t="s">
        <v>405</v>
      </c>
      <c r="S90" s="2" t="s">
        <v>35</v>
      </c>
      <c r="T90" s="153">
        <v>2.129</v>
      </c>
      <c r="U90" s="2" t="s">
        <v>2055</v>
      </c>
      <c r="V90" s="165">
        <v>3.5400000000000001E-2</v>
      </c>
      <c r="W90" s="167">
        <v>3.2099999999999997E-2</v>
      </c>
      <c r="X90" s="4" t="s">
        <v>411</v>
      </c>
      <c r="Y90" s="4" t="s">
        <v>136</v>
      </c>
      <c r="Z90" s="153">
        <v>23000</v>
      </c>
      <c r="AA90" s="153">
        <v>1</v>
      </c>
      <c r="AB90" s="153">
        <v>104.17</v>
      </c>
      <c r="AC90" s="11"/>
      <c r="AD90" s="153">
        <v>23.959</v>
      </c>
      <c r="AG90" s="2" t="s">
        <v>37</v>
      </c>
      <c r="AH90" s="167">
        <v>3.3000000000000003E-5</v>
      </c>
      <c r="AI90" s="167">
        <v>5.82549728396044E-3</v>
      </c>
      <c r="AJ90" s="167">
        <v>2.2660042879593199E-3</v>
      </c>
      <c r="AK90" s="161"/>
      <c r="AL90" s="153"/>
    </row>
    <row r="91" spans="1:38">
      <c r="A91" s="2" t="s">
        <v>26</v>
      </c>
      <c r="B91" s="2">
        <v>1405</v>
      </c>
      <c r="C91" s="2" t="s">
        <v>2046</v>
      </c>
      <c r="D91" s="2" t="s">
        <v>2047</v>
      </c>
      <c r="E91" s="4" t="s">
        <v>1305</v>
      </c>
      <c r="F91" s="2" t="s">
        <v>2056</v>
      </c>
      <c r="G91" s="2" t="s">
        <v>2057</v>
      </c>
      <c r="H91" s="2" t="s">
        <v>319</v>
      </c>
      <c r="I91" s="2" t="s">
        <v>754</v>
      </c>
      <c r="J91" s="2" t="s">
        <v>31</v>
      </c>
      <c r="K91" s="2" t="s">
        <v>31</v>
      </c>
      <c r="L91" s="2" t="s">
        <v>325</v>
      </c>
      <c r="M91" s="2" t="s">
        <v>40</v>
      </c>
      <c r="N91" s="2" t="s">
        <v>440</v>
      </c>
      <c r="O91" s="2" t="s">
        <v>136</v>
      </c>
      <c r="P91" s="2" t="s">
        <v>1896</v>
      </c>
      <c r="Q91" s="2" t="s">
        <v>104</v>
      </c>
      <c r="R91" s="2" t="s">
        <v>405</v>
      </c>
      <c r="S91" s="2" t="s">
        <v>35</v>
      </c>
      <c r="T91" s="153">
        <v>0.90300000000000002</v>
      </c>
      <c r="U91" s="2" t="s">
        <v>2058</v>
      </c>
      <c r="V91" s="165">
        <v>0.01</v>
      </c>
      <c r="W91" s="167">
        <v>2.2270000000000002E-2</v>
      </c>
      <c r="X91" s="4" t="s">
        <v>411</v>
      </c>
      <c r="Y91" s="4" t="s">
        <v>136</v>
      </c>
      <c r="Z91" s="153">
        <v>43680</v>
      </c>
      <c r="AA91" s="153">
        <v>1</v>
      </c>
      <c r="AB91" s="153">
        <v>109.27</v>
      </c>
      <c r="AC91" s="11"/>
      <c r="AD91" s="153">
        <v>47.728999999999999</v>
      </c>
      <c r="AG91" s="2" t="s">
        <v>37</v>
      </c>
      <c r="AH91" s="167">
        <v>4.6E-5</v>
      </c>
      <c r="AI91" s="167">
        <v>1.16050249021782E-2</v>
      </c>
      <c r="AJ91" s="167">
        <v>4.5141272767588803E-3</v>
      </c>
      <c r="AK91" s="161"/>
      <c r="AL91" s="153"/>
    </row>
    <row r="92" spans="1:38">
      <c r="A92" s="2" t="s">
        <v>26</v>
      </c>
      <c r="B92" s="2">
        <v>1405</v>
      </c>
      <c r="C92" s="2" t="s">
        <v>1526</v>
      </c>
      <c r="D92" s="2" t="s">
        <v>1527</v>
      </c>
      <c r="E92" s="4" t="s">
        <v>1305</v>
      </c>
      <c r="F92" s="2" t="s">
        <v>2059</v>
      </c>
      <c r="G92" s="2" t="s">
        <v>2060</v>
      </c>
      <c r="H92" s="2" t="s">
        <v>319</v>
      </c>
      <c r="I92" s="2" t="s">
        <v>754</v>
      </c>
      <c r="J92" s="2" t="s">
        <v>31</v>
      </c>
      <c r="K92" s="2" t="s">
        <v>31</v>
      </c>
      <c r="L92" s="2" t="s">
        <v>325</v>
      </c>
      <c r="M92" s="2" t="s">
        <v>40</v>
      </c>
      <c r="N92" s="2" t="s">
        <v>461</v>
      </c>
      <c r="O92" s="2" t="s">
        <v>136</v>
      </c>
      <c r="P92" s="2" t="s">
        <v>1748</v>
      </c>
      <c r="Q92" s="2" t="s">
        <v>412</v>
      </c>
      <c r="R92" s="2" t="s">
        <v>405</v>
      </c>
      <c r="S92" s="2" t="s">
        <v>35</v>
      </c>
      <c r="T92" s="153">
        <v>4.7629999999999999</v>
      </c>
      <c r="U92" s="2" t="s">
        <v>1773</v>
      </c>
      <c r="V92" s="165">
        <v>1.43E-2</v>
      </c>
      <c r="W92" s="167">
        <v>2.5770000000000001E-2</v>
      </c>
      <c r="X92" s="4" t="s">
        <v>411</v>
      </c>
      <c r="Y92" s="4" t="s">
        <v>136</v>
      </c>
      <c r="Z92" s="153">
        <v>47938.16</v>
      </c>
      <c r="AA92" s="153">
        <v>1</v>
      </c>
      <c r="AB92" s="153">
        <v>105.95</v>
      </c>
      <c r="AC92" s="11"/>
      <c r="AD92" s="153">
        <v>50.79</v>
      </c>
      <c r="AG92" s="2" t="s">
        <v>37</v>
      </c>
      <c r="AH92" s="167">
        <v>4.1999999999999998E-5</v>
      </c>
      <c r="AI92" s="167">
        <v>1.2349370649160699E-2</v>
      </c>
      <c r="AJ92" s="167">
        <v>4.8036631862563503E-3</v>
      </c>
      <c r="AK92" s="161"/>
      <c r="AL92" s="153"/>
    </row>
    <row r="93" spans="1:38">
      <c r="A93" s="2" t="s">
        <v>26</v>
      </c>
      <c r="B93" s="2">
        <v>1405</v>
      </c>
      <c r="C93" s="2" t="s">
        <v>1526</v>
      </c>
      <c r="D93" s="2" t="s">
        <v>1527</v>
      </c>
      <c r="E93" s="4" t="s">
        <v>1305</v>
      </c>
      <c r="F93" s="2" t="s">
        <v>2061</v>
      </c>
      <c r="G93" s="2" t="s">
        <v>2062</v>
      </c>
      <c r="H93" s="2" t="s">
        <v>319</v>
      </c>
      <c r="I93" s="2" t="s">
        <v>754</v>
      </c>
      <c r="J93" s="2" t="s">
        <v>31</v>
      </c>
      <c r="K93" s="2" t="s">
        <v>31</v>
      </c>
      <c r="L93" s="2" t="s">
        <v>325</v>
      </c>
      <c r="M93" s="2" t="s">
        <v>40</v>
      </c>
      <c r="N93" s="2" t="s">
        <v>461</v>
      </c>
      <c r="O93" s="2" t="s">
        <v>136</v>
      </c>
      <c r="P93" s="2" t="s">
        <v>1748</v>
      </c>
      <c r="Q93" s="2" t="s">
        <v>412</v>
      </c>
      <c r="R93" s="2" t="s">
        <v>405</v>
      </c>
      <c r="S93" s="2" t="s">
        <v>35</v>
      </c>
      <c r="T93" s="153">
        <v>4.077</v>
      </c>
      <c r="U93" s="2" t="s">
        <v>2063</v>
      </c>
      <c r="V93" s="165">
        <v>2.2499999999999999E-2</v>
      </c>
      <c r="W93" s="167">
        <v>2.4230000000000002E-2</v>
      </c>
      <c r="X93" s="4" t="s">
        <v>411</v>
      </c>
      <c r="Y93" s="4" t="s">
        <v>136</v>
      </c>
      <c r="Z93" s="153">
        <v>20902.95</v>
      </c>
      <c r="AA93" s="153">
        <v>1</v>
      </c>
      <c r="AB93" s="153">
        <v>112.68</v>
      </c>
      <c r="AC93" s="11"/>
      <c r="AD93" s="153">
        <v>23.553000000000001</v>
      </c>
      <c r="AG93" s="2" t="s">
        <v>37</v>
      </c>
      <c r="AH93" s="167">
        <v>2.0999999999999999E-5</v>
      </c>
      <c r="AI93" s="167">
        <v>5.7268647152624299E-3</v>
      </c>
      <c r="AJ93" s="167">
        <v>2.2276381515236401E-3</v>
      </c>
      <c r="AK93" s="161"/>
      <c r="AL93" s="153"/>
    </row>
    <row r="94" spans="1:38">
      <c r="A94" s="2" t="s">
        <v>26</v>
      </c>
      <c r="B94" s="2">
        <v>1405</v>
      </c>
      <c r="C94" s="2" t="s">
        <v>1526</v>
      </c>
      <c r="D94" s="2" t="s">
        <v>1527</v>
      </c>
      <c r="E94" s="4" t="s">
        <v>1305</v>
      </c>
      <c r="F94" s="2" t="s">
        <v>2064</v>
      </c>
      <c r="G94" s="2" t="s">
        <v>2065</v>
      </c>
      <c r="H94" s="2" t="s">
        <v>319</v>
      </c>
      <c r="I94" s="2" t="s">
        <v>754</v>
      </c>
      <c r="J94" s="2" t="s">
        <v>31</v>
      </c>
      <c r="K94" s="2" t="s">
        <v>31</v>
      </c>
      <c r="L94" s="2" t="s">
        <v>325</v>
      </c>
      <c r="M94" s="2" t="s">
        <v>40</v>
      </c>
      <c r="N94" s="2" t="s">
        <v>461</v>
      </c>
      <c r="O94" s="2" t="s">
        <v>136</v>
      </c>
      <c r="P94" s="2" t="s">
        <v>1748</v>
      </c>
      <c r="Q94" s="2" t="s">
        <v>412</v>
      </c>
      <c r="R94" s="2" t="s">
        <v>405</v>
      </c>
      <c r="S94" s="2" t="s">
        <v>35</v>
      </c>
      <c r="T94" s="153">
        <v>5.657</v>
      </c>
      <c r="U94" s="2" t="s">
        <v>2066</v>
      </c>
      <c r="V94" s="165">
        <v>2.5000000000000001E-3</v>
      </c>
      <c r="W94" s="167">
        <v>2.648E-2</v>
      </c>
      <c r="X94" s="4" t="s">
        <v>411</v>
      </c>
      <c r="Y94" s="4" t="s">
        <v>136</v>
      </c>
      <c r="Z94" s="153">
        <v>44100</v>
      </c>
      <c r="AA94" s="153">
        <v>1</v>
      </c>
      <c r="AB94" s="153">
        <v>95.66</v>
      </c>
      <c r="AC94" s="11"/>
      <c r="AD94" s="153">
        <v>42.186</v>
      </c>
      <c r="AG94" s="2" t="s">
        <v>37</v>
      </c>
      <c r="AH94" s="167">
        <v>3.4E-5</v>
      </c>
      <c r="AI94" s="167">
        <v>1.02572624994675E-2</v>
      </c>
      <c r="AJ94" s="167">
        <v>3.9898741126381696E-3</v>
      </c>
      <c r="AK94" s="161"/>
      <c r="AL94" s="153"/>
    </row>
    <row r="95" spans="1:38">
      <c r="A95" s="2" t="s">
        <v>26</v>
      </c>
      <c r="B95" s="2">
        <v>1405</v>
      </c>
      <c r="C95" s="2" t="s">
        <v>2067</v>
      </c>
      <c r="D95" s="2" t="s">
        <v>2068</v>
      </c>
      <c r="E95" s="4" t="s">
        <v>1305</v>
      </c>
      <c r="F95" s="2" t="s">
        <v>2069</v>
      </c>
      <c r="G95" s="2" t="s">
        <v>2070</v>
      </c>
      <c r="H95" s="2" t="s">
        <v>319</v>
      </c>
      <c r="I95" s="2" t="s">
        <v>966</v>
      </c>
      <c r="J95" s="2" t="s">
        <v>31</v>
      </c>
      <c r="K95" s="2" t="s">
        <v>31</v>
      </c>
      <c r="L95" s="2" t="s">
        <v>325</v>
      </c>
      <c r="M95" s="2" t="s">
        <v>40</v>
      </c>
      <c r="N95" s="2" t="s">
        <v>440</v>
      </c>
      <c r="O95" s="2" t="s">
        <v>136</v>
      </c>
      <c r="P95" s="2" t="s">
        <v>1890</v>
      </c>
      <c r="Q95" s="2" t="s">
        <v>412</v>
      </c>
      <c r="R95" s="2" t="s">
        <v>405</v>
      </c>
      <c r="S95" s="2" t="s">
        <v>35</v>
      </c>
      <c r="T95" s="153">
        <v>1.169</v>
      </c>
      <c r="U95" s="2" t="s">
        <v>2071</v>
      </c>
      <c r="V95" s="165">
        <v>3.4000000000000002E-2</v>
      </c>
      <c r="W95" s="167">
        <v>0.17133999999999999</v>
      </c>
      <c r="X95" s="4" t="s">
        <v>411</v>
      </c>
      <c r="Y95" s="4" t="s">
        <v>136</v>
      </c>
      <c r="Z95" s="153">
        <v>24000</v>
      </c>
      <c r="AA95" s="153">
        <v>1</v>
      </c>
      <c r="AB95" s="153">
        <v>86.38</v>
      </c>
      <c r="AC95" s="11"/>
      <c r="AD95" s="153">
        <v>20.731000000000002</v>
      </c>
      <c r="AG95" s="2" t="s">
        <v>37</v>
      </c>
      <c r="AH95" s="167">
        <v>9.7E-5</v>
      </c>
      <c r="AI95" s="167">
        <v>5.0406546695510503E-3</v>
      </c>
      <c r="AJ95" s="167">
        <v>1.9607158906028298E-3</v>
      </c>
      <c r="AK95" s="161"/>
      <c r="AL95" s="153"/>
    </row>
    <row r="96" spans="1:38">
      <c r="A96" s="2" t="s">
        <v>26</v>
      </c>
      <c r="B96" s="2">
        <v>1405</v>
      </c>
      <c r="C96" s="2" t="s">
        <v>2067</v>
      </c>
      <c r="D96" s="2" t="s">
        <v>2068</v>
      </c>
      <c r="E96" s="4" t="s">
        <v>1305</v>
      </c>
      <c r="F96" s="2" t="s">
        <v>2072</v>
      </c>
      <c r="G96" s="2" t="s">
        <v>2073</v>
      </c>
      <c r="H96" s="2" t="s">
        <v>319</v>
      </c>
      <c r="I96" s="2" t="s">
        <v>966</v>
      </c>
      <c r="J96" s="2" t="s">
        <v>31</v>
      </c>
      <c r="K96" s="2" t="s">
        <v>31</v>
      </c>
      <c r="L96" s="2" t="s">
        <v>325</v>
      </c>
      <c r="M96" s="2" t="s">
        <v>40</v>
      </c>
      <c r="N96" s="2" t="s">
        <v>440</v>
      </c>
      <c r="O96" s="2" t="s">
        <v>136</v>
      </c>
      <c r="P96" s="2" t="s">
        <v>1890</v>
      </c>
      <c r="Q96" s="2" t="s">
        <v>412</v>
      </c>
      <c r="R96" s="2" t="s">
        <v>405</v>
      </c>
      <c r="S96" s="2" t="s">
        <v>35</v>
      </c>
      <c r="T96" s="153">
        <v>1.8029999999999999</v>
      </c>
      <c r="U96" s="2" t="s">
        <v>1822</v>
      </c>
      <c r="V96" s="165">
        <v>8.6999999999999994E-2</v>
      </c>
      <c r="W96" s="167">
        <v>0.20196</v>
      </c>
      <c r="X96" s="4" t="s">
        <v>411</v>
      </c>
      <c r="Y96" s="4" t="s">
        <v>136</v>
      </c>
      <c r="Z96" s="153">
        <v>15736</v>
      </c>
      <c r="AA96" s="153">
        <v>1</v>
      </c>
      <c r="AB96" s="153">
        <v>85.15</v>
      </c>
      <c r="AC96" s="11"/>
      <c r="AD96" s="153">
        <v>13.398999999999999</v>
      </c>
      <c r="AG96" s="2" t="s">
        <v>37</v>
      </c>
      <c r="AH96" s="167">
        <v>1.2999999999999999E-4</v>
      </c>
      <c r="AI96" s="167">
        <v>3.2579281571190801E-3</v>
      </c>
      <c r="AJ96" s="167">
        <v>1.2672702112868099E-3</v>
      </c>
      <c r="AK96" s="161"/>
      <c r="AL96" s="153"/>
    </row>
    <row r="97" spans="1:38">
      <c r="A97" s="2" t="s">
        <v>26</v>
      </c>
      <c r="B97" s="2">
        <v>1405</v>
      </c>
      <c r="C97" s="2" t="s">
        <v>2074</v>
      </c>
      <c r="D97" s="2" t="s">
        <v>2075</v>
      </c>
      <c r="E97" s="4" t="s">
        <v>1305</v>
      </c>
      <c r="F97" s="2" t="s">
        <v>2076</v>
      </c>
      <c r="G97" s="2" t="s">
        <v>2077</v>
      </c>
      <c r="H97" s="2" t="s">
        <v>319</v>
      </c>
      <c r="I97" s="2" t="s">
        <v>966</v>
      </c>
      <c r="J97" s="2" t="s">
        <v>31</v>
      </c>
      <c r="K97" s="2" t="s">
        <v>31</v>
      </c>
      <c r="L97" s="2" t="s">
        <v>325</v>
      </c>
      <c r="M97" s="2" t="s">
        <v>40</v>
      </c>
      <c r="N97" s="2" t="s">
        <v>440</v>
      </c>
      <c r="O97" s="2" t="s">
        <v>136</v>
      </c>
      <c r="P97" s="2" t="s">
        <v>1720</v>
      </c>
      <c r="Q97" s="2" t="s">
        <v>104</v>
      </c>
      <c r="R97" s="2" t="s">
        <v>405</v>
      </c>
      <c r="S97" s="2" t="s">
        <v>35</v>
      </c>
      <c r="T97" s="153">
        <v>1.4410000000000001</v>
      </c>
      <c r="U97" s="2" t="s">
        <v>2078</v>
      </c>
      <c r="V97" s="165">
        <v>0.114</v>
      </c>
      <c r="W97" s="167">
        <v>6.4250000000000002E-2</v>
      </c>
      <c r="X97" s="4" t="s">
        <v>411</v>
      </c>
      <c r="Y97" s="4" t="s">
        <v>136</v>
      </c>
      <c r="Z97" s="153">
        <v>23000</v>
      </c>
      <c r="AA97" s="153">
        <v>1</v>
      </c>
      <c r="AB97" s="153">
        <v>100.84</v>
      </c>
      <c r="AC97" s="11"/>
      <c r="AD97" s="153">
        <v>23.193000000000001</v>
      </c>
      <c r="AG97" s="2" t="s">
        <v>37</v>
      </c>
      <c r="AH97" s="167">
        <v>7.2000000000000002E-5</v>
      </c>
      <c r="AI97" s="167">
        <v>5.6392737459400096E-3</v>
      </c>
      <c r="AJ97" s="167">
        <v>2.1935669808756599E-3</v>
      </c>
      <c r="AK97" s="161"/>
      <c r="AL97" s="153"/>
    </row>
    <row r="98" spans="1:38">
      <c r="A98" s="2" t="s">
        <v>26</v>
      </c>
      <c r="B98" s="2">
        <v>1405</v>
      </c>
      <c r="C98" s="2" t="s">
        <v>2079</v>
      </c>
      <c r="D98" s="2" t="s">
        <v>2080</v>
      </c>
      <c r="E98" s="4" t="s">
        <v>1305</v>
      </c>
      <c r="F98" s="2" t="s">
        <v>2081</v>
      </c>
      <c r="G98" s="2" t="s">
        <v>2082</v>
      </c>
      <c r="H98" s="2" t="s">
        <v>319</v>
      </c>
      <c r="I98" s="2" t="s">
        <v>754</v>
      </c>
      <c r="J98" s="2" t="s">
        <v>31</v>
      </c>
      <c r="K98" s="2" t="s">
        <v>31</v>
      </c>
      <c r="L98" s="2" t="s">
        <v>325</v>
      </c>
      <c r="M98" s="2" t="s">
        <v>40</v>
      </c>
      <c r="N98" s="2" t="s">
        <v>444</v>
      </c>
      <c r="O98" s="2" t="s">
        <v>136</v>
      </c>
      <c r="P98" s="2" t="s">
        <v>2083</v>
      </c>
      <c r="Q98" s="2" t="s">
        <v>104</v>
      </c>
      <c r="R98" s="2" t="s">
        <v>405</v>
      </c>
      <c r="S98" s="2" t="s">
        <v>35</v>
      </c>
      <c r="T98" s="153">
        <v>3.6669999999999998</v>
      </c>
      <c r="U98" s="2" t="s">
        <v>2084</v>
      </c>
      <c r="V98" s="165">
        <v>2.07E-2</v>
      </c>
      <c r="W98" s="167">
        <v>4.2130000000000001E-2</v>
      </c>
      <c r="X98" s="4" t="s">
        <v>411</v>
      </c>
      <c r="Y98" s="4" t="s">
        <v>136</v>
      </c>
      <c r="Z98" s="153">
        <v>12000</v>
      </c>
      <c r="AA98" s="153">
        <v>1</v>
      </c>
      <c r="AB98" s="153">
        <v>101.49</v>
      </c>
      <c r="AC98" s="11"/>
      <c r="AD98" s="153">
        <v>12.179</v>
      </c>
      <c r="AG98" s="2" t="s">
        <v>37</v>
      </c>
      <c r="AH98" s="167">
        <v>2.5999999999999998E-5</v>
      </c>
      <c r="AI98" s="167">
        <v>2.9611949665011399E-3</v>
      </c>
      <c r="AJ98" s="167">
        <v>1.15184681487197E-3</v>
      </c>
      <c r="AK98" s="161"/>
      <c r="AL98" s="153"/>
    </row>
    <row r="99" spans="1:38">
      <c r="A99" s="2" t="s">
        <v>26</v>
      </c>
      <c r="B99" s="2">
        <v>1405</v>
      </c>
      <c r="C99" s="2" t="s">
        <v>2079</v>
      </c>
      <c r="D99" s="2" t="s">
        <v>2080</v>
      </c>
      <c r="E99" s="4" t="s">
        <v>1305</v>
      </c>
      <c r="F99" s="2" t="s">
        <v>2085</v>
      </c>
      <c r="G99" s="2" t="s">
        <v>2082</v>
      </c>
      <c r="H99" s="2" t="s">
        <v>319</v>
      </c>
      <c r="I99" s="2" t="s">
        <v>754</v>
      </c>
      <c r="J99" s="2" t="s">
        <v>31</v>
      </c>
      <c r="K99" s="2" t="s">
        <v>31</v>
      </c>
      <c r="L99" s="23" t="s">
        <v>327</v>
      </c>
      <c r="M99" s="2" t="s">
        <v>40</v>
      </c>
      <c r="N99" s="2" t="s">
        <v>444</v>
      </c>
      <c r="O99" s="2" t="s">
        <v>136</v>
      </c>
      <c r="P99" s="2" t="s">
        <v>2083</v>
      </c>
      <c r="Q99" s="2" t="s">
        <v>104</v>
      </c>
      <c r="R99" s="2" t="s">
        <v>405</v>
      </c>
      <c r="S99" s="2" t="s">
        <v>35</v>
      </c>
      <c r="T99" s="158" t="s">
        <v>2845</v>
      </c>
      <c r="U99" s="2" t="s">
        <v>2084</v>
      </c>
      <c r="V99" s="165">
        <v>1.8200000000000001E-2</v>
      </c>
      <c r="W99" s="167">
        <v>4.2099999999999999E-2</v>
      </c>
      <c r="X99" s="4" t="s">
        <v>411</v>
      </c>
      <c r="Y99" s="4" t="s">
        <v>136</v>
      </c>
      <c r="Z99" s="153">
        <v>20000</v>
      </c>
      <c r="AA99" s="153">
        <v>1</v>
      </c>
      <c r="AB99" s="153">
        <v>100.203</v>
      </c>
      <c r="AC99" s="11"/>
      <c r="AD99" s="153">
        <v>20.041</v>
      </c>
      <c r="AG99" s="2" t="s">
        <v>37</v>
      </c>
      <c r="AH99" s="167">
        <v>0</v>
      </c>
      <c r="AI99" s="167">
        <v>4.8727398303332597E-3</v>
      </c>
      <c r="AJ99" s="167">
        <v>1.8954003085791E-3</v>
      </c>
      <c r="AK99" s="161"/>
      <c r="AL99" s="153"/>
    </row>
    <row r="100" spans="1:38">
      <c r="A100" s="2" t="s">
        <v>26</v>
      </c>
      <c r="B100" s="2">
        <v>1405</v>
      </c>
      <c r="C100" s="2" t="s">
        <v>1534</v>
      </c>
      <c r="D100" s="2" t="s">
        <v>1535</v>
      </c>
      <c r="E100" s="4" t="s">
        <v>1305</v>
      </c>
      <c r="F100" s="2" t="s">
        <v>2086</v>
      </c>
      <c r="G100" s="2" t="s">
        <v>2087</v>
      </c>
      <c r="H100" s="2" t="s">
        <v>319</v>
      </c>
      <c r="I100" s="2" t="s">
        <v>966</v>
      </c>
      <c r="J100" s="2" t="s">
        <v>31</v>
      </c>
      <c r="K100" s="2" t="s">
        <v>74</v>
      </c>
      <c r="L100" s="23" t="s">
        <v>327</v>
      </c>
      <c r="M100" s="2" t="s">
        <v>40</v>
      </c>
      <c r="N100" s="2" t="s">
        <v>451</v>
      </c>
      <c r="O100" s="2" t="s">
        <v>136</v>
      </c>
      <c r="P100" s="2" t="s">
        <v>1724</v>
      </c>
      <c r="Q100" s="2" t="s">
        <v>412</v>
      </c>
      <c r="R100" s="2" t="s">
        <v>405</v>
      </c>
      <c r="S100" s="2" t="s">
        <v>35</v>
      </c>
      <c r="T100" s="153">
        <v>3.52</v>
      </c>
      <c r="U100" s="2" t="s">
        <v>2088</v>
      </c>
      <c r="V100" s="165">
        <v>6.5000000000000002E-2</v>
      </c>
      <c r="W100" s="167">
        <v>6.1499999999999999E-2</v>
      </c>
      <c r="X100" s="4" t="s">
        <v>411</v>
      </c>
      <c r="Y100" s="4" t="s">
        <v>136</v>
      </c>
      <c r="Z100" s="153">
        <v>21000</v>
      </c>
      <c r="AA100" s="153">
        <v>1</v>
      </c>
      <c r="AB100" s="153">
        <v>101.78</v>
      </c>
      <c r="AC100" s="11"/>
      <c r="AD100" s="153">
        <v>21.373999999999999</v>
      </c>
      <c r="AG100" s="2" t="s">
        <v>37</v>
      </c>
      <c r="AH100" s="167">
        <v>0</v>
      </c>
      <c r="AI100" s="167">
        <v>5.1969037310815704E-3</v>
      </c>
      <c r="AJ100" s="167">
        <v>2.0214937137069001E-3</v>
      </c>
      <c r="AK100" s="161"/>
      <c r="AL100" s="153"/>
    </row>
    <row r="101" spans="1:38">
      <c r="A101" s="2" t="s">
        <v>26</v>
      </c>
      <c r="B101" s="2">
        <v>1405</v>
      </c>
      <c r="C101" s="2" t="s">
        <v>1534</v>
      </c>
      <c r="D101" s="2" t="s">
        <v>1535</v>
      </c>
      <c r="E101" s="4" t="s">
        <v>1305</v>
      </c>
      <c r="F101" s="2" t="s">
        <v>2089</v>
      </c>
      <c r="G101" s="2" t="s">
        <v>2090</v>
      </c>
      <c r="H101" s="2" t="s">
        <v>319</v>
      </c>
      <c r="I101" s="2" t="s">
        <v>966</v>
      </c>
      <c r="J101" s="2" t="s">
        <v>31</v>
      </c>
      <c r="K101" s="2" t="s">
        <v>31</v>
      </c>
      <c r="L101" s="2" t="s">
        <v>325</v>
      </c>
      <c r="M101" s="2" t="s">
        <v>32</v>
      </c>
      <c r="N101" s="2" t="s">
        <v>451</v>
      </c>
      <c r="O101" s="2" t="s">
        <v>136</v>
      </c>
      <c r="P101" s="2" t="s">
        <v>1724</v>
      </c>
      <c r="Q101" s="2" t="s">
        <v>412</v>
      </c>
      <c r="R101" s="2" t="s">
        <v>405</v>
      </c>
      <c r="S101" s="2" t="s">
        <v>35</v>
      </c>
      <c r="T101" s="153">
        <v>4.1399999999999997</v>
      </c>
      <c r="U101" s="2" t="s">
        <v>1767</v>
      </c>
      <c r="V101" s="165">
        <v>6.7000000000000004E-2</v>
      </c>
      <c r="W101" s="167">
        <v>6.089E-2</v>
      </c>
      <c r="X101" s="4" t="s">
        <v>411</v>
      </c>
      <c r="Y101" s="4" t="s">
        <v>136</v>
      </c>
      <c r="Z101" s="153">
        <v>17000</v>
      </c>
      <c r="AA101" s="153">
        <v>1</v>
      </c>
      <c r="AB101" s="153">
        <v>103.21</v>
      </c>
      <c r="AC101" s="11"/>
      <c r="AD101" s="153">
        <v>17.545999999999999</v>
      </c>
      <c r="AG101" s="2" t="s">
        <v>37</v>
      </c>
      <c r="AH101" s="167">
        <v>0</v>
      </c>
      <c r="AI101" s="167">
        <v>4.26612133574235E-3</v>
      </c>
      <c r="AJ101" s="167">
        <v>1.65943760138102E-3</v>
      </c>
      <c r="AK101" s="161"/>
      <c r="AL101" s="153"/>
    </row>
    <row r="102" spans="1:38">
      <c r="A102" s="2" t="s">
        <v>26</v>
      </c>
      <c r="B102" s="2">
        <v>1405</v>
      </c>
      <c r="C102" s="2" t="s">
        <v>1318</v>
      </c>
      <c r="D102" s="2" t="s">
        <v>1319</v>
      </c>
      <c r="E102" s="4" t="s">
        <v>1305</v>
      </c>
      <c r="F102" s="2" t="s">
        <v>2091</v>
      </c>
      <c r="G102" s="2" t="s">
        <v>2092</v>
      </c>
      <c r="H102" s="2" t="s">
        <v>319</v>
      </c>
      <c r="I102" s="2" t="s">
        <v>754</v>
      </c>
      <c r="J102" s="2" t="s">
        <v>31</v>
      </c>
      <c r="K102" s="2" t="s">
        <v>31</v>
      </c>
      <c r="L102" s="2" t="s">
        <v>325</v>
      </c>
      <c r="M102" s="2" t="s">
        <v>40</v>
      </c>
      <c r="N102" s="2" t="s">
        <v>438</v>
      </c>
      <c r="O102" s="2" t="s">
        <v>136</v>
      </c>
      <c r="P102" s="2" t="s">
        <v>1752</v>
      </c>
      <c r="Q102" s="23" t="s">
        <v>1752</v>
      </c>
      <c r="R102" s="23" t="s">
        <v>1752</v>
      </c>
      <c r="S102" s="2" t="s">
        <v>35</v>
      </c>
      <c r="T102" s="153">
        <v>2.7650000000000001</v>
      </c>
      <c r="U102" s="2" t="s">
        <v>1849</v>
      </c>
      <c r="V102" s="165">
        <v>1.4800000000000001E-2</v>
      </c>
      <c r="W102" s="167">
        <v>3.6080000000000001E-2</v>
      </c>
      <c r="X102" s="4" t="s">
        <v>411</v>
      </c>
      <c r="Y102" s="4" t="s">
        <v>136</v>
      </c>
      <c r="Z102" s="153">
        <v>27720</v>
      </c>
      <c r="AA102" s="153">
        <v>1</v>
      </c>
      <c r="AB102" s="153">
        <v>103.65</v>
      </c>
      <c r="AC102" s="11"/>
      <c r="AD102" s="153">
        <v>28.731999999999999</v>
      </c>
      <c r="AG102" s="2" t="s">
        <v>37</v>
      </c>
      <c r="AH102" s="167">
        <v>3.1999999999999999E-5</v>
      </c>
      <c r="AI102" s="167">
        <v>6.9859429758775899E-3</v>
      </c>
      <c r="AJ102" s="167">
        <v>2.7173949222092601E-3</v>
      </c>
      <c r="AK102" s="161"/>
      <c r="AL102" s="153"/>
    </row>
    <row r="103" spans="1:38">
      <c r="A103" s="2" t="s">
        <v>26</v>
      </c>
      <c r="B103" s="2">
        <v>1405</v>
      </c>
      <c r="C103" s="2" t="s">
        <v>1552</v>
      </c>
      <c r="D103" s="2" t="s">
        <v>1553</v>
      </c>
      <c r="E103" s="4" t="s">
        <v>1305</v>
      </c>
      <c r="F103" s="2" t="s">
        <v>2093</v>
      </c>
      <c r="G103" s="2" t="s">
        <v>2094</v>
      </c>
      <c r="H103" s="2" t="s">
        <v>319</v>
      </c>
      <c r="I103" s="2" t="s">
        <v>966</v>
      </c>
      <c r="J103" s="2" t="s">
        <v>31</v>
      </c>
      <c r="K103" s="2" t="s">
        <v>31</v>
      </c>
      <c r="L103" s="2" t="s">
        <v>325</v>
      </c>
      <c r="M103" s="2" t="s">
        <v>40</v>
      </c>
      <c r="N103" s="2" t="s">
        <v>461</v>
      </c>
      <c r="O103" s="2" t="s">
        <v>136</v>
      </c>
      <c r="P103" s="2" t="s">
        <v>1731</v>
      </c>
      <c r="Q103" s="2" t="s">
        <v>104</v>
      </c>
      <c r="R103" s="2" t="s">
        <v>405</v>
      </c>
      <c r="S103" s="2" t="s">
        <v>35</v>
      </c>
      <c r="T103" s="153">
        <v>3.2080000000000002</v>
      </c>
      <c r="U103" s="2" t="s">
        <v>1773</v>
      </c>
      <c r="V103" s="165">
        <v>3.95E-2</v>
      </c>
      <c r="W103" s="167">
        <v>7.8549999999999995E-2</v>
      </c>
      <c r="X103" s="4" t="s">
        <v>411</v>
      </c>
      <c r="Y103" s="4" t="s">
        <v>136</v>
      </c>
      <c r="Z103" s="153">
        <v>26495.62</v>
      </c>
      <c r="AA103" s="153">
        <v>1</v>
      </c>
      <c r="AB103" s="153">
        <v>89.72</v>
      </c>
      <c r="AC103" s="11"/>
      <c r="AD103" s="153">
        <v>23.771999999999998</v>
      </c>
      <c r="AG103" s="2" t="s">
        <v>37</v>
      </c>
      <c r="AH103" s="167">
        <v>1.5999999999999999E-5</v>
      </c>
      <c r="AI103" s="167">
        <v>5.7799736074223102E-3</v>
      </c>
      <c r="AJ103" s="167">
        <v>2.24829646986058E-3</v>
      </c>
      <c r="AK103" s="161"/>
      <c r="AL103" s="153"/>
    </row>
    <row r="104" spans="1:38">
      <c r="A104" s="2" t="s">
        <v>26</v>
      </c>
      <c r="B104" s="2">
        <v>1405</v>
      </c>
      <c r="C104" s="2" t="s">
        <v>1552</v>
      </c>
      <c r="D104" s="2" t="s">
        <v>1553</v>
      </c>
      <c r="E104" s="4" t="s">
        <v>1305</v>
      </c>
      <c r="F104" s="2" t="s">
        <v>2095</v>
      </c>
      <c r="G104" s="2" t="s">
        <v>2096</v>
      </c>
      <c r="H104" s="2" t="s">
        <v>319</v>
      </c>
      <c r="I104" s="2" t="s">
        <v>754</v>
      </c>
      <c r="J104" s="2" t="s">
        <v>31</v>
      </c>
      <c r="K104" s="2" t="s">
        <v>31</v>
      </c>
      <c r="L104" s="2" t="s">
        <v>325</v>
      </c>
      <c r="M104" s="2" t="s">
        <v>40</v>
      </c>
      <c r="N104" s="2" t="s">
        <v>461</v>
      </c>
      <c r="O104" s="2" t="s">
        <v>136</v>
      </c>
      <c r="P104" s="2" t="s">
        <v>1772</v>
      </c>
      <c r="Q104" s="2" t="s">
        <v>412</v>
      </c>
      <c r="R104" s="2" t="s">
        <v>405</v>
      </c>
      <c r="S104" s="2" t="s">
        <v>35</v>
      </c>
      <c r="T104" s="153">
        <v>4.4139999999999997</v>
      </c>
      <c r="U104" s="2" t="s">
        <v>1773</v>
      </c>
      <c r="V104" s="165">
        <v>3.6200000000000003E-2</v>
      </c>
      <c r="W104" s="167">
        <v>3.5619999999999999E-2</v>
      </c>
      <c r="X104" s="4" t="s">
        <v>411</v>
      </c>
      <c r="Y104" s="4" t="s">
        <v>136</v>
      </c>
      <c r="Z104" s="153">
        <v>11640</v>
      </c>
      <c r="AA104" s="153">
        <v>1</v>
      </c>
      <c r="AB104" s="153">
        <v>103.98</v>
      </c>
      <c r="AC104" s="11"/>
      <c r="AD104" s="153">
        <v>12.103</v>
      </c>
      <c r="AG104" s="2" t="s">
        <v>37</v>
      </c>
      <c r="AH104" s="167">
        <v>6.9999999999999999E-6</v>
      </c>
      <c r="AI104" s="167">
        <v>2.94283083100093E-3</v>
      </c>
      <c r="AJ104" s="167">
        <v>1.14470352602301E-3</v>
      </c>
      <c r="AK104" s="161"/>
      <c r="AL104" s="153"/>
    </row>
    <row r="105" spans="1:38">
      <c r="A105" s="2" t="s">
        <v>26</v>
      </c>
      <c r="B105" s="2">
        <v>1405</v>
      </c>
      <c r="C105" s="2" t="s">
        <v>2097</v>
      </c>
      <c r="D105" s="2" t="s">
        <v>2098</v>
      </c>
      <c r="E105" s="4" t="s">
        <v>311</v>
      </c>
      <c r="F105" s="2" t="s">
        <v>2099</v>
      </c>
      <c r="G105" s="2" t="s">
        <v>2100</v>
      </c>
      <c r="H105" s="2" t="s">
        <v>319</v>
      </c>
      <c r="I105" s="2" t="s">
        <v>966</v>
      </c>
      <c r="J105" s="2" t="s">
        <v>31</v>
      </c>
      <c r="K105" s="2" t="s">
        <v>31</v>
      </c>
      <c r="L105" s="2" t="s">
        <v>325</v>
      </c>
      <c r="M105" s="2" t="s">
        <v>40</v>
      </c>
      <c r="N105" s="2" t="s">
        <v>462</v>
      </c>
      <c r="O105" s="2" t="s">
        <v>136</v>
      </c>
      <c r="P105" s="2" t="s">
        <v>1748</v>
      </c>
      <c r="Q105" s="2" t="s">
        <v>412</v>
      </c>
      <c r="R105" s="2" t="s">
        <v>405</v>
      </c>
      <c r="S105" s="2" t="s">
        <v>35</v>
      </c>
      <c r="T105" s="153">
        <v>2.8650000000000002</v>
      </c>
      <c r="U105" s="2" t="s">
        <v>1822</v>
      </c>
      <c r="V105" s="165">
        <v>6.3500000000000001E-2</v>
      </c>
      <c r="W105" s="167">
        <v>5.8930000000000003E-2</v>
      </c>
      <c r="X105" s="4" t="s">
        <v>411</v>
      </c>
      <c r="Y105" s="4" t="s">
        <v>136</v>
      </c>
      <c r="Z105" s="153">
        <v>10000</v>
      </c>
      <c r="AA105" s="153">
        <v>1</v>
      </c>
      <c r="AB105" s="153">
        <v>103.15</v>
      </c>
      <c r="AC105" s="11"/>
      <c r="AD105" s="153">
        <v>10.315</v>
      </c>
      <c r="AG105" s="2" t="s">
        <v>37</v>
      </c>
      <c r="AH105" s="167">
        <v>2.4000000000000001E-5</v>
      </c>
      <c r="AI105" s="167">
        <v>2.5080242782096101E-3</v>
      </c>
      <c r="AJ105" s="167">
        <v>9.7557229738597898E-4</v>
      </c>
      <c r="AK105" s="161"/>
      <c r="AL105" s="153"/>
    </row>
    <row r="106" spans="1:38">
      <c r="A106" s="2" t="s">
        <v>26</v>
      </c>
      <c r="B106" s="2">
        <v>1405</v>
      </c>
      <c r="C106" s="2" t="s">
        <v>1559</v>
      </c>
      <c r="D106" s="2" t="s">
        <v>1560</v>
      </c>
      <c r="E106" s="4" t="s">
        <v>1305</v>
      </c>
      <c r="F106" s="2" t="s">
        <v>2101</v>
      </c>
      <c r="G106" s="2" t="s">
        <v>2102</v>
      </c>
      <c r="H106" s="2" t="s">
        <v>319</v>
      </c>
      <c r="I106" s="2" t="s">
        <v>754</v>
      </c>
      <c r="J106" s="2" t="s">
        <v>31</v>
      </c>
      <c r="K106" s="2" t="s">
        <v>31</v>
      </c>
      <c r="L106" s="2" t="s">
        <v>325</v>
      </c>
      <c r="M106" s="2" t="s">
        <v>40</v>
      </c>
      <c r="N106" s="2" t="s">
        <v>438</v>
      </c>
      <c r="O106" s="2" t="s">
        <v>136</v>
      </c>
      <c r="P106" s="2" t="s">
        <v>1752</v>
      </c>
      <c r="Q106" s="23" t="s">
        <v>1752</v>
      </c>
      <c r="R106" s="23" t="s">
        <v>1752</v>
      </c>
      <c r="S106" s="2" t="s">
        <v>35</v>
      </c>
      <c r="T106" s="153">
        <v>2.57</v>
      </c>
      <c r="U106" s="2" t="s">
        <v>1849</v>
      </c>
      <c r="V106" s="165">
        <v>2.3E-2</v>
      </c>
      <c r="W106" s="167">
        <v>4.7849999999999997E-2</v>
      </c>
      <c r="X106" s="4" t="s">
        <v>411</v>
      </c>
      <c r="Y106" s="4" t="s">
        <v>136</v>
      </c>
      <c r="Z106" s="153">
        <v>22386.6</v>
      </c>
      <c r="AA106" s="153">
        <v>1</v>
      </c>
      <c r="AB106" s="153">
        <v>102.88</v>
      </c>
      <c r="AC106" s="11"/>
      <c r="AD106" s="153">
        <v>23.030999999999999</v>
      </c>
      <c r="AG106" s="2" t="s">
        <v>37</v>
      </c>
      <c r="AH106" s="167">
        <v>9.2999999999999997E-5</v>
      </c>
      <c r="AI106" s="167">
        <v>5.5999171141247099E-3</v>
      </c>
      <c r="AJ106" s="167">
        <v>2.1782580223257001E-3</v>
      </c>
      <c r="AK106" s="161"/>
      <c r="AL106" s="153"/>
    </row>
    <row r="107" spans="1:38">
      <c r="A107" s="2" t="s">
        <v>26</v>
      </c>
      <c r="B107" s="2">
        <v>1405</v>
      </c>
      <c r="C107" s="2" t="s">
        <v>2103</v>
      </c>
      <c r="D107" s="2" t="s">
        <v>2104</v>
      </c>
      <c r="E107" s="4" t="s">
        <v>1305</v>
      </c>
      <c r="F107" s="2" t="s">
        <v>2105</v>
      </c>
      <c r="G107" s="2" t="s">
        <v>2106</v>
      </c>
      <c r="H107" s="2" t="s">
        <v>319</v>
      </c>
      <c r="I107" s="2" t="s">
        <v>754</v>
      </c>
      <c r="J107" s="2" t="s">
        <v>31</v>
      </c>
      <c r="K107" s="2" t="s">
        <v>31</v>
      </c>
      <c r="L107" s="2" t="s">
        <v>325</v>
      </c>
      <c r="M107" s="2" t="s">
        <v>40</v>
      </c>
      <c r="N107" s="2" t="s">
        <v>438</v>
      </c>
      <c r="O107" s="2" t="s">
        <v>136</v>
      </c>
      <c r="P107" s="2" t="s">
        <v>1752</v>
      </c>
      <c r="Q107" s="23" t="s">
        <v>1752</v>
      </c>
      <c r="R107" s="23" t="s">
        <v>1752</v>
      </c>
      <c r="S107" s="2" t="s">
        <v>35</v>
      </c>
      <c r="T107" s="153">
        <v>2.57</v>
      </c>
      <c r="U107" s="2" t="s">
        <v>1849</v>
      </c>
      <c r="V107" s="165">
        <v>2.9499999999999998E-2</v>
      </c>
      <c r="W107" s="167">
        <v>3.9440000000000003E-2</v>
      </c>
      <c r="X107" s="4" t="s">
        <v>411</v>
      </c>
      <c r="Y107" s="4" t="s">
        <v>136</v>
      </c>
      <c r="Z107" s="153">
        <v>11400</v>
      </c>
      <c r="AA107" s="153">
        <v>1</v>
      </c>
      <c r="AB107" s="153">
        <v>105.44</v>
      </c>
      <c r="AC107" s="11"/>
      <c r="AD107" s="153">
        <v>12.02</v>
      </c>
      <c r="AG107" s="2" t="s">
        <v>37</v>
      </c>
      <c r="AH107" s="167">
        <v>6.3E-5</v>
      </c>
      <c r="AI107" s="167">
        <v>2.9226226958762999E-3</v>
      </c>
      <c r="AJ107" s="167">
        <v>1.13684295745488E-3</v>
      </c>
      <c r="AK107" s="161"/>
      <c r="AL107" s="153"/>
    </row>
    <row r="108" spans="1:38">
      <c r="A108" s="2" t="s">
        <v>26</v>
      </c>
      <c r="B108" s="2">
        <v>1405</v>
      </c>
      <c r="C108" s="2" t="s">
        <v>2107</v>
      </c>
      <c r="D108" s="2" t="s">
        <v>2108</v>
      </c>
      <c r="E108" s="4" t="s">
        <v>34</v>
      </c>
      <c r="F108" s="2" t="s">
        <v>2109</v>
      </c>
      <c r="G108" s="2" t="s">
        <v>2110</v>
      </c>
      <c r="H108" s="2" t="s">
        <v>319</v>
      </c>
      <c r="I108" s="2" t="s">
        <v>966</v>
      </c>
      <c r="J108" s="2" t="s">
        <v>31</v>
      </c>
      <c r="K108" s="2" t="s">
        <v>296</v>
      </c>
      <c r="L108" s="2" t="s">
        <v>325</v>
      </c>
      <c r="M108" s="2" t="s">
        <v>40</v>
      </c>
      <c r="N108" s="2" t="s">
        <v>462</v>
      </c>
      <c r="O108" s="2" t="s">
        <v>136</v>
      </c>
      <c r="P108" s="2" t="s">
        <v>1758</v>
      </c>
      <c r="Q108" s="2" t="s">
        <v>412</v>
      </c>
      <c r="R108" s="2" t="s">
        <v>405</v>
      </c>
      <c r="S108" s="2" t="s">
        <v>35</v>
      </c>
      <c r="T108" s="153">
        <v>2.0059999999999998</v>
      </c>
      <c r="U108" s="2" t="s">
        <v>59</v>
      </c>
      <c r="V108" s="165">
        <v>5.7000000000000002E-2</v>
      </c>
      <c r="W108" s="167">
        <v>6.157E-2</v>
      </c>
      <c r="X108" s="4" t="s">
        <v>411</v>
      </c>
      <c r="Y108" s="4" t="s">
        <v>136</v>
      </c>
      <c r="Z108" s="153">
        <v>22316.43</v>
      </c>
      <c r="AA108" s="153">
        <v>1</v>
      </c>
      <c r="AB108" s="153">
        <v>100.25</v>
      </c>
      <c r="AC108" s="11"/>
      <c r="AD108" s="153">
        <v>22.372</v>
      </c>
      <c r="AG108" s="2" t="s">
        <v>37</v>
      </c>
      <c r="AH108" s="167">
        <v>9.5000000000000005E-5</v>
      </c>
      <c r="AI108" s="167">
        <v>5.4396581302542596E-3</v>
      </c>
      <c r="AJ108" s="167">
        <v>2.1159204180091901E-3</v>
      </c>
      <c r="AK108" s="161"/>
      <c r="AL108" s="153"/>
    </row>
    <row r="109" spans="1:38">
      <c r="A109" s="2" t="s">
        <v>26</v>
      </c>
      <c r="B109" s="2">
        <v>1405</v>
      </c>
      <c r="C109" s="2" t="s">
        <v>2107</v>
      </c>
      <c r="D109" s="2" t="s">
        <v>2108</v>
      </c>
      <c r="E109" s="4" t="s">
        <v>34</v>
      </c>
      <c r="F109" s="2" t="s">
        <v>2111</v>
      </c>
      <c r="G109" s="2" t="s">
        <v>2112</v>
      </c>
      <c r="H109" s="2" t="s">
        <v>319</v>
      </c>
      <c r="I109" s="2" t="s">
        <v>966</v>
      </c>
      <c r="J109" s="2" t="s">
        <v>31</v>
      </c>
      <c r="K109" s="2" t="s">
        <v>74</v>
      </c>
      <c r="L109" s="2" t="s">
        <v>325</v>
      </c>
      <c r="M109" s="2" t="s">
        <v>40</v>
      </c>
      <c r="N109" s="2" t="s">
        <v>462</v>
      </c>
      <c r="O109" s="2" t="s">
        <v>136</v>
      </c>
      <c r="P109" s="2" t="s">
        <v>1772</v>
      </c>
      <c r="Q109" s="2" t="s">
        <v>412</v>
      </c>
      <c r="R109" s="2" t="s">
        <v>405</v>
      </c>
      <c r="S109" s="2" t="s">
        <v>35</v>
      </c>
      <c r="T109" s="153">
        <v>2.15</v>
      </c>
      <c r="U109" s="2" t="s">
        <v>2078</v>
      </c>
      <c r="V109" s="165">
        <v>9.0999999999999998E-2</v>
      </c>
      <c r="W109" s="167">
        <v>6.9690000000000002E-2</v>
      </c>
      <c r="X109" s="4" t="s">
        <v>411</v>
      </c>
      <c r="Y109" s="4" t="s">
        <v>136</v>
      </c>
      <c r="Z109" s="153">
        <v>18000</v>
      </c>
      <c r="AA109" s="153">
        <v>1</v>
      </c>
      <c r="AB109" s="153">
        <v>104.76</v>
      </c>
      <c r="AC109" s="11"/>
      <c r="AD109" s="153">
        <v>18.856999999999999</v>
      </c>
      <c r="AG109" s="2" t="s">
        <v>37</v>
      </c>
      <c r="AH109" s="167">
        <v>1.18E-4</v>
      </c>
      <c r="AI109" s="167">
        <v>4.5849066611093597E-3</v>
      </c>
      <c r="AJ109" s="167">
        <v>1.7834388460831699E-3</v>
      </c>
      <c r="AK109" s="161"/>
      <c r="AL109" s="153"/>
    </row>
    <row r="110" spans="1:38">
      <c r="A110" s="2" t="s">
        <v>26</v>
      </c>
      <c r="B110" s="2">
        <v>1405</v>
      </c>
      <c r="C110" s="2" t="s">
        <v>2113</v>
      </c>
      <c r="D110" s="2" t="s">
        <v>2114</v>
      </c>
      <c r="E110" s="4" t="s">
        <v>34</v>
      </c>
      <c r="F110" s="2" t="s">
        <v>2115</v>
      </c>
      <c r="G110" s="2" t="s">
        <v>2116</v>
      </c>
      <c r="H110" s="2" t="s">
        <v>319</v>
      </c>
      <c r="I110" s="2" t="s">
        <v>755</v>
      </c>
      <c r="J110" s="2" t="s">
        <v>31</v>
      </c>
      <c r="K110" s="2" t="s">
        <v>74</v>
      </c>
      <c r="L110" s="23" t="s">
        <v>327</v>
      </c>
      <c r="M110" s="2" t="s">
        <v>40</v>
      </c>
      <c r="N110" s="2" t="s">
        <v>440</v>
      </c>
      <c r="O110" s="2" t="s">
        <v>136</v>
      </c>
      <c r="P110" s="2" t="s">
        <v>1896</v>
      </c>
      <c r="Q110" s="2" t="s">
        <v>104</v>
      </c>
      <c r="R110" s="2" t="s">
        <v>405</v>
      </c>
      <c r="S110" s="2" t="s">
        <v>35</v>
      </c>
      <c r="T110" s="153">
        <v>2.4</v>
      </c>
      <c r="U110" s="2" t="s">
        <v>2117</v>
      </c>
      <c r="V110" s="165">
        <v>8.9126999999999998E-2</v>
      </c>
      <c r="W110" s="167">
        <v>6.5500000000000003E-2</v>
      </c>
      <c r="X110" s="4" t="s">
        <v>411</v>
      </c>
      <c r="Y110" s="4" t="s">
        <v>136</v>
      </c>
      <c r="Z110" s="153">
        <v>18000</v>
      </c>
      <c r="AA110" s="153">
        <v>1</v>
      </c>
      <c r="AB110" s="153">
        <v>104.923</v>
      </c>
      <c r="AC110" s="11"/>
      <c r="AD110" s="153">
        <v>18.885999999999999</v>
      </c>
      <c r="AG110" s="2" t="s">
        <v>37</v>
      </c>
      <c r="AH110" s="167">
        <v>0</v>
      </c>
      <c r="AI110" s="167">
        <v>4.5920404887702998E-3</v>
      </c>
      <c r="AJ110" s="167">
        <v>1.78621376524995E-3</v>
      </c>
      <c r="AK110" s="161"/>
      <c r="AL110" s="153"/>
    </row>
    <row r="111" spans="1:38">
      <c r="A111" s="2" t="s">
        <v>26</v>
      </c>
      <c r="B111" s="2">
        <v>1405</v>
      </c>
      <c r="C111" s="2" t="s">
        <v>2118</v>
      </c>
      <c r="D111" s="2" t="s">
        <v>2119</v>
      </c>
      <c r="E111" s="4" t="s">
        <v>1305</v>
      </c>
      <c r="F111" s="2" t="s">
        <v>2120</v>
      </c>
      <c r="G111" s="2" t="s">
        <v>2121</v>
      </c>
      <c r="H111" s="2" t="s">
        <v>319</v>
      </c>
      <c r="I111" s="2" t="s">
        <v>966</v>
      </c>
      <c r="J111" s="2" t="s">
        <v>31</v>
      </c>
      <c r="K111" s="2" t="s">
        <v>31</v>
      </c>
      <c r="L111" s="2" t="s">
        <v>325</v>
      </c>
      <c r="M111" s="2" t="s">
        <v>40</v>
      </c>
      <c r="N111" s="2" t="s">
        <v>462</v>
      </c>
      <c r="O111" s="2" t="s">
        <v>136</v>
      </c>
      <c r="P111" s="2" t="s">
        <v>1752</v>
      </c>
      <c r="Q111" s="23" t="s">
        <v>1752</v>
      </c>
      <c r="R111" s="23" t="s">
        <v>1752</v>
      </c>
      <c r="S111" s="2" t="s">
        <v>35</v>
      </c>
      <c r="T111" s="153">
        <v>2.0870000000000002</v>
      </c>
      <c r="U111" s="2" t="s">
        <v>1788</v>
      </c>
      <c r="V111" s="165">
        <v>6.7500000000000004E-2</v>
      </c>
      <c r="W111" s="167">
        <v>7.4859999999999996E-2</v>
      </c>
      <c r="X111" s="4" t="s">
        <v>411</v>
      </c>
      <c r="Y111" s="4" t="s">
        <v>136</v>
      </c>
      <c r="Z111" s="153">
        <v>58000</v>
      </c>
      <c r="AA111" s="153">
        <v>1</v>
      </c>
      <c r="AB111" s="153">
        <v>100.49</v>
      </c>
      <c r="AC111" s="11"/>
      <c r="AD111" s="153">
        <v>58.283999999999999</v>
      </c>
      <c r="AG111" s="2" t="s">
        <v>37</v>
      </c>
      <c r="AH111" s="167">
        <v>1.9900000000000001E-4</v>
      </c>
      <c r="AI111" s="167">
        <v>1.41714191600606E-2</v>
      </c>
      <c r="AJ111" s="167">
        <v>5.5124043524288797E-3</v>
      </c>
      <c r="AK111" s="161"/>
      <c r="AL111" s="153"/>
    </row>
    <row r="112" spans="1:38">
      <c r="A112" s="2" t="s">
        <v>26</v>
      </c>
      <c r="B112" s="2">
        <v>1405</v>
      </c>
      <c r="C112" s="2" t="s">
        <v>2118</v>
      </c>
      <c r="D112" s="2" t="s">
        <v>2119</v>
      </c>
      <c r="E112" s="4" t="s">
        <v>1305</v>
      </c>
      <c r="F112" s="2" t="s">
        <v>2122</v>
      </c>
      <c r="G112" s="2" t="s">
        <v>2123</v>
      </c>
      <c r="H112" s="2" t="s">
        <v>319</v>
      </c>
      <c r="I112" s="2" t="s">
        <v>966</v>
      </c>
      <c r="J112" s="2" t="s">
        <v>31</v>
      </c>
      <c r="K112" s="2" t="s">
        <v>31</v>
      </c>
      <c r="L112" s="2" t="s">
        <v>325</v>
      </c>
      <c r="M112" s="2" t="s">
        <v>40</v>
      </c>
      <c r="N112" s="2" t="s">
        <v>462</v>
      </c>
      <c r="O112" s="2" t="s">
        <v>136</v>
      </c>
      <c r="P112" s="2" t="s">
        <v>1752</v>
      </c>
      <c r="Q112" s="23" t="s">
        <v>1752</v>
      </c>
      <c r="R112" s="23" t="s">
        <v>1752</v>
      </c>
      <c r="S112" s="2" t="s">
        <v>35</v>
      </c>
      <c r="T112" s="153">
        <v>0.748</v>
      </c>
      <c r="U112" s="2" t="s">
        <v>2124</v>
      </c>
      <c r="V112" s="165">
        <v>0.06</v>
      </c>
      <c r="W112" s="167">
        <v>0.14593</v>
      </c>
      <c r="X112" s="4" t="s">
        <v>411</v>
      </c>
      <c r="Y112" s="4" t="s">
        <v>136</v>
      </c>
      <c r="Z112" s="153">
        <v>3494.36</v>
      </c>
      <c r="AA112" s="153">
        <v>1</v>
      </c>
      <c r="AB112" s="153">
        <v>95.56</v>
      </c>
      <c r="AC112" s="11"/>
      <c r="AD112" s="153">
        <v>3.339</v>
      </c>
      <c r="AG112" s="2" t="s">
        <v>37</v>
      </c>
      <c r="AH112" s="167">
        <v>2.0000000000000002E-5</v>
      </c>
      <c r="AI112" s="167">
        <v>8.1190700856795099E-4</v>
      </c>
      <c r="AJ112" s="167">
        <v>3.1581591633468798E-4</v>
      </c>
      <c r="AK112" s="161"/>
      <c r="AL112" s="153"/>
    </row>
    <row r="113" spans="1:38">
      <c r="A113" s="2" t="s">
        <v>26</v>
      </c>
      <c r="B113" s="2">
        <v>1405</v>
      </c>
      <c r="C113" s="2" t="s">
        <v>2125</v>
      </c>
      <c r="D113" s="2" t="s">
        <v>2126</v>
      </c>
      <c r="E113" s="4" t="s">
        <v>311</v>
      </c>
      <c r="F113" s="2" t="s">
        <v>2127</v>
      </c>
      <c r="G113" s="2" t="s">
        <v>2128</v>
      </c>
      <c r="H113" s="2" t="s">
        <v>319</v>
      </c>
      <c r="I113" s="2" t="s">
        <v>966</v>
      </c>
      <c r="J113" s="2" t="s">
        <v>73</v>
      </c>
      <c r="K113" s="2" t="s">
        <v>74</v>
      </c>
      <c r="L113" s="2" t="s">
        <v>325</v>
      </c>
      <c r="M113" s="2" t="s">
        <v>40</v>
      </c>
      <c r="N113" s="2" t="s">
        <v>462</v>
      </c>
      <c r="O113" s="2" t="s">
        <v>136</v>
      </c>
      <c r="P113" s="2" t="s">
        <v>1731</v>
      </c>
      <c r="Q113" s="2" t="s">
        <v>104</v>
      </c>
      <c r="R113" s="2" t="s">
        <v>405</v>
      </c>
      <c r="S113" s="2" t="s">
        <v>35</v>
      </c>
      <c r="T113" s="153">
        <v>2.3279999999999998</v>
      </c>
      <c r="U113" s="2" t="s">
        <v>1868</v>
      </c>
      <c r="V113" s="165">
        <v>5.1499999999999997E-2</v>
      </c>
      <c r="W113" s="167">
        <v>6.5259999999999999E-2</v>
      </c>
      <c r="X113" s="4" t="s">
        <v>411</v>
      </c>
      <c r="Y113" s="4" t="s">
        <v>136</v>
      </c>
      <c r="Z113" s="153">
        <v>17122.650000000001</v>
      </c>
      <c r="AA113" s="153">
        <v>1</v>
      </c>
      <c r="AB113" s="153">
        <v>97.18</v>
      </c>
      <c r="AC113" s="11"/>
      <c r="AD113" s="153">
        <v>16.64</v>
      </c>
      <c r="AG113" s="2" t="s">
        <v>37</v>
      </c>
      <c r="AH113" s="167">
        <v>4.6999999999999997E-5</v>
      </c>
      <c r="AI113" s="167">
        <v>4.0458555976248499E-3</v>
      </c>
      <c r="AJ113" s="167">
        <v>1.5737585455450401E-3</v>
      </c>
      <c r="AK113" s="161"/>
      <c r="AL113" s="153"/>
    </row>
    <row r="114" spans="1:38">
      <c r="A114" s="2" t="s">
        <v>26</v>
      </c>
      <c r="B114" s="2">
        <v>1405</v>
      </c>
      <c r="C114" s="2" t="s">
        <v>2125</v>
      </c>
      <c r="D114" s="2" t="s">
        <v>2126</v>
      </c>
      <c r="E114" s="4" t="s">
        <v>311</v>
      </c>
      <c r="F114" s="2" t="s">
        <v>2129</v>
      </c>
      <c r="G114" s="2" t="s">
        <v>2130</v>
      </c>
      <c r="H114" s="2" t="s">
        <v>319</v>
      </c>
      <c r="I114" s="2" t="s">
        <v>966</v>
      </c>
      <c r="J114" s="2" t="s">
        <v>73</v>
      </c>
      <c r="K114" s="2" t="s">
        <v>74</v>
      </c>
      <c r="L114" s="2" t="s">
        <v>325</v>
      </c>
      <c r="M114" s="2" t="s">
        <v>40</v>
      </c>
      <c r="N114" s="2" t="s">
        <v>462</v>
      </c>
      <c r="O114" s="2" t="s">
        <v>136</v>
      </c>
      <c r="P114" s="2" t="s">
        <v>1758</v>
      </c>
      <c r="Q114" s="2" t="s">
        <v>412</v>
      </c>
      <c r="R114" s="2" t="s">
        <v>405</v>
      </c>
      <c r="S114" s="2" t="s">
        <v>35</v>
      </c>
      <c r="T114" s="153">
        <v>0.64800000000000002</v>
      </c>
      <c r="U114" s="2" t="s">
        <v>2131</v>
      </c>
      <c r="V114" s="165">
        <v>3.9E-2</v>
      </c>
      <c r="W114" s="167">
        <v>5.7599999999999998E-2</v>
      </c>
      <c r="X114" s="4" t="s">
        <v>411</v>
      </c>
      <c r="Y114" s="4" t="s">
        <v>136</v>
      </c>
      <c r="Z114" s="153">
        <v>14387.76</v>
      </c>
      <c r="AA114" s="153">
        <v>1</v>
      </c>
      <c r="AB114" s="153">
        <v>100.17</v>
      </c>
      <c r="AC114" s="11"/>
      <c r="AD114" s="153">
        <v>14.412000000000001</v>
      </c>
      <c r="AG114" s="2" t="s">
        <v>37</v>
      </c>
      <c r="AH114" s="167">
        <v>3.6000000000000001E-5</v>
      </c>
      <c r="AI114" s="167">
        <v>3.5042361256824501E-3</v>
      </c>
      <c r="AJ114" s="167">
        <v>1.3630791844468999E-3</v>
      </c>
      <c r="AK114" s="161"/>
      <c r="AL114" s="153"/>
    </row>
    <row r="115" spans="1:38">
      <c r="A115" s="2" t="s">
        <v>26</v>
      </c>
      <c r="B115" s="2">
        <v>1405</v>
      </c>
      <c r="C115" s="2" t="s">
        <v>2125</v>
      </c>
      <c r="D115" s="2" t="s">
        <v>2126</v>
      </c>
      <c r="E115" s="4" t="s">
        <v>311</v>
      </c>
      <c r="F115" s="2" t="s">
        <v>2132</v>
      </c>
      <c r="G115" s="2" t="s">
        <v>2133</v>
      </c>
      <c r="H115" s="2" t="s">
        <v>319</v>
      </c>
      <c r="I115" s="2" t="s">
        <v>966</v>
      </c>
      <c r="J115" s="2" t="s">
        <v>31</v>
      </c>
      <c r="K115" s="2" t="s">
        <v>31</v>
      </c>
      <c r="L115" s="2" t="s">
        <v>325</v>
      </c>
      <c r="M115" s="2" t="s">
        <v>40</v>
      </c>
      <c r="N115" s="2" t="s">
        <v>462</v>
      </c>
      <c r="O115" s="2" t="s">
        <v>136</v>
      </c>
      <c r="P115" s="2" t="s">
        <v>1772</v>
      </c>
      <c r="Q115" s="2" t="s">
        <v>412</v>
      </c>
      <c r="R115" s="2" t="s">
        <v>407</v>
      </c>
      <c r="S115" s="2" t="s">
        <v>35</v>
      </c>
      <c r="T115" s="153">
        <v>2.6139999999999999</v>
      </c>
      <c r="U115" s="2" t="s">
        <v>1993</v>
      </c>
      <c r="V115" s="165">
        <v>7.2400000000000006E-2</v>
      </c>
      <c r="W115" s="167">
        <v>6.9650000000000004E-2</v>
      </c>
      <c r="X115" s="4" t="s">
        <v>411</v>
      </c>
      <c r="Y115" s="4" t="s">
        <v>136</v>
      </c>
      <c r="Z115" s="153">
        <v>22310</v>
      </c>
      <c r="AA115" s="153">
        <v>1</v>
      </c>
      <c r="AB115" s="153">
        <v>101.61</v>
      </c>
      <c r="AC115" s="11"/>
      <c r="AD115" s="153">
        <v>22.669</v>
      </c>
      <c r="AG115" s="2" t="s">
        <v>37</v>
      </c>
      <c r="AH115" s="167">
        <v>8.6000000000000003E-5</v>
      </c>
      <c r="AI115" s="167">
        <v>5.5118644106030802E-3</v>
      </c>
      <c r="AJ115" s="167">
        <v>2.1440072461222999E-3</v>
      </c>
      <c r="AK115" s="161"/>
      <c r="AL115" s="153"/>
    </row>
    <row r="116" spans="1:38">
      <c r="A116" s="2" t="s">
        <v>26</v>
      </c>
      <c r="B116" s="2">
        <v>1405</v>
      </c>
      <c r="C116" s="2" t="s">
        <v>1371</v>
      </c>
      <c r="D116" s="2" t="s">
        <v>1372</v>
      </c>
      <c r="E116" s="4" t="s">
        <v>1305</v>
      </c>
      <c r="F116" s="2" t="s">
        <v>2134</v>
      </c>
      <c r="G116" s="2" t="s">
        <v>2135</v>
      </c>
      <c r="H116" s="2" t="s">
        <v>319</v>
      </c>
      <c r="I116" s="2" t="s">
        <v>754</v>
      </c>
      <c r="J116" s="2" t="s">
        <v>31</v>
      </c>
      <c r="K116" s="2" t="s">
        <v>31</v>
      </c>
      <c r="L116" s="2" t="s">
        <v>325</v>
      </c>
      <c r="M116" s="2" t="s">
        <v>40</v>
      </c>
      <c r="N116" s="2" t="s">
        <v>461</v>
      </c>
      <c r="O116" s="2" t="s">
        <v>136</v>
      </c>
      <c r="P116" s="2" t="s">
        <v>2136</v>
      </c>
      <c r="Q116" s="2" t="s">
        <v>104</v>
      </c>
      <c r="R116" s="2" t="s">
        <v>405</v>
      </c>
      <c r="S116" s="2" t="s">
        <v>35</v>
      </c>
      <c r="T116" s="153">
        <v>3.1419999999999999</v>
      </c>
      <c r="U116" s="2" t="s">
        <v>2137</v>
      </c>
      <c r="V116" s="165">
        <v>1.34E-2</v>
      </c>
      <c r="W116" s="167">
        <v>2.206E-2</v>
      </c>
      <c r="X116" s="4" t="s">
        <v>411</v>
      </c>
      <c r="Y116" s="4" t="s">
        <v>136</v>
      </c>
      <c r="Z116" s="153">
        <v>45500</v>
      </c>
      <c r="AA116" s="153">
        <v>1</v>
      </c>
      <c r="AB116" s="153">
        <v>110.26</v>
      </c>
      <c r="AC116" s="11"/>
      <c r="AD116" s="153">
        <v>50.167999999999999</v>
      </c>
      <c r="AG116" s="2" t="s">
        <v>37</v>
      </c>
      <c r="AH116" s="167">
        <v>1.5E-5</v>
      </c>
      <c r="AI116" s="167">
        <v>1.2198091555647401E-2</v>
      </c>
      <c r="AJ116" s="167">
        <v>4.7448185833203101E-3</v>
      </c>
      <c r="AK116" s="161"/>
      <c r="AL116" s="153"/>
    </row>
    <row r="117" spans="1:38">
      <c r="A117" s="2" t="s">
        <v>26</v>
      </c>
      <c r="B117" s="2">
        <v>1405</v>
      </c>
      <c r="C117" s="2" t="s">
        <v>1371</v>
      </c>
      <c r="D117" s="2" t="s">
        <v>1372</v>
      </c>
      <c r="E117" s="4" t="s">
        <v>1305</v>
      </c>
      <c r="F117" s="2" t="s">
        <v>2138</v>
      </c>
      <c r="G117" s="2" t="s">
        <v>2139</v>
      </c>
      <c r="H117" s="2" t="s">
        <v>319</v>
      </c>
      <c r="I117" s="2" t="s">
        <v>754</v>
      </c>
      <c r="J117" s="2" t="s">
        <v>31</v>
      </c>
      <c r="K117" s="2" t="s">
        <v>31</v>
      </c>
      <c r="L117" s="2" t="s">
        <v>325</v>
      </c>
      <c r="M117" s="2" t="s">
        <v>40</v>
      </c>
      <c r="N117" s="2" t="s">
        <v>461</v>
      </c>
      <c r="O117" s="2" t="s">
        <v>136</v>
      </c>
      <c r="P117" s="2" t="s">
        <v>2136</v>
      </c>
      <c r="Q117" s="2" t="s">
        <v>104</v>
      </c>
      <c r="R117" s="2" t="s">
        <v>405</v>
      </c>
      <c r="S117" s="2" t="s">
        <v>35</v>
      </c>
      <c r="T117" s="153">
        <v>2.8639999999999999</v>
      </c>
      <c r="U117" s="2" t="s">
        <v>1753</v>
      </c>
      <c r="V117" s="165">
        <v>1.77E-2</v>
      </c>
      <c r="W117" s="167">
        <v>2.0539999999999999E-2</v>
      </c>
      <c r="X117" s="4" t="s">
        <v>411</v>
      </c>
      <c r="Y117" s="4" t="s">
        <v>136</v>
      </c>
      <c r="Z117" s="153">
        <v>45945.95</v>
      </c>
      <c r="AA117" s="153">
        <v>1</v>
      </c>
      <c r="AB117" s="153">
        <v>111.11</v>
      </c>
      <c r="AC117" s="11"/>
      <c r="AD117" s="153">
        <v>51.051000000000002</v>
      </c>
      <c r="AG117" s="2" t="s">
        <v>37</v>
      </c>
      <c r="AH117" s="167">
        <v>1.7E-5</v>
      </c>
      <c r="AI117" s="167">
        <v>1.24126036246916E-2</v>
      </c>
      <c r="AJ117" s="167">
        <v>4.8282595746347102E-3</v>
      </c>
      <c r="AK117" s="161"/>
      <c r="AL117" s="153"/>
    </row>
    <row r="118" spans="1:38">
      <c r="A118" s="2" t="s">
        <v>26</v>
      </c>
      <c r="B118" s="2">
        <v>1405</v>
      </c>
      <c r="C118" s="2" t="s">
        <v>1371</v>
      </c>
      <c r="D118" s="2" t="s">
        <v>1372</v>
      </c>
      <c r="E118" s="4" t="s">
        <v>1305</v>
      </c>
      <c r="F118" s="2" t="s">
        <v>2140</v>
      </c>
      <c r="G118" s="2" t="s">
        <v>2141</v>
      </c>
      <c r="H118" s="2" t="s">
        <v>319</v>
      </c>
      <c r="I118" s="2" t="s">
        <v>754</v>
      </c>
      <c r="J118" s="2" t="s">
        <v>31</v>
      </c>
      <c r="K118" s="2" t="s">
        <v>31</v>
      </c>
      <c r="L118" s="2" t="s">
        <v>325</v>
      </c>
      <c r="M118" s="2" t="s">
        <v>40</v>
      </c>
      <c r="N118" s="2" t="s">
        <v>461</v>
      </c>
      <c r="O118" s="2" t="s">
        <v>136</v>
      </c>
      <c r="P118" s="2" t="s">
        <v>1308</v>
      </c>
      <c r="Q118" s="2" t="s">
        <v>412</v>
      </c>
      <c r="R118" s="2" t="s">
        <v>405</v>
      </c>
      <c r="S118" s="2" t="s">
        <v>35</v>
      </c>
      <c r="T118" s="153">
        <v>7.2489999999999997</v>
      </c>
      <c r="U118" s="2" t="s">
        <v>2142</v>
      </c>
      <c r="V118" s="165">
        <v>8.9999999999999993E-3</v>
      </c>
      <c r="W118" s="167">
        <v>2.8979999999999999E-2</v>
      </c>
      <c r="X118" s="4" t="s">
        <v>411</v>
      </c>
      <c r="Y118" s="4" t="s">
        <v>136</v>
      </c>
      <c r="Z118" s="153">
        <v>11000</v>
      </c>
      <c r="AA118" s="153">
        <v>1</v>
      </c>
      <c r="AB118" s="153">
        <v>95.37</v>
      </c>
      <c r="AC118" s="11"/>
      <c r="AD118" s="153">
        <v>10.491</v>
      </c>
      <c r="AG118" s="2" t="s">
        <v>37</v>
      </c>
      <c r="AH118" s="167">
        <v>6.0000000000000002E-6</v>
      </c>
      <c r="AI118" s="167">
        <v>2.5507445754157599E-3</v>
      </c>
      <c r="AJ118" s="167">
        <v>9.9218965585914595E-4</v>
      </c>
      <c r="AK118" s="161"/>
      <c r="AL118" s="153"/>
    </row>
    <row r="119" spans="1:38">
      <c r="A119" s="2" t="s">
        <v>26</v>
      </c>
      <c r="B119" s="2">
        <v>1405</v>
      </c>
      <c r="C119" s="2" t="s">
        <v>1371</v>
      </c>
      <c r="D119" s="2" t="s">
        <v>1372</v>
      </c>
      <c r="E119" s="4" t="s">
        <v>1305</v>
      </c>
      <c r="F119" s="2" t="s">
        <v>2143</v>
      </c>
      <c r="G119" s="2" t="s">
        <v>2144</v>
      </c>
      <c r="H119" s="2" t="s">
        <v>319</v>
      </c>
      <c r="I119" s="2" t="s">
        <v>754</v>
      </c>
      <c r="J119" s="2" t="s">
        <v>31</v>
      </c>
      <c r="K119" s="2" t="s">
        <v>31</v>
      </c>
      <c r="L119" s="2" t="s">
        <v>325</v>
      </c>
      <c r="M119" s="2" t="s">
        <v>40</v>
      </c>
      <c r="N119" s="2" t="s">
        <v>461</v>
      </c>
      <c r="O119" s="2" t="s">
        <v>136</v>
      </c>
      <c r="P119" s="2" t="s">
        <v>1308</v>
      </c>
      <c r="Q119" s="2" t="s">
        <v>412</v>
      </c>
      <c r="R119" s="2" t="s">
        <v>405</v>
      </c>
      <c r="S119" s="2" t="s">
        <v>35</v>
      </c>
      <c r="T119" s="153">
        <v>10.805</v>
      </c>
      <c r="U119" s="2" t="s">
        <v>2145</v>
      </c>
      <c r="V119" s="165">
        <v>1.6899999999999998E-2</v>
      </c>
      <c r="W119" s="167">
        <v>3.1899999999999998E-2</v>
      </c>
      <c r="X119" s="4" t="s">
        <v>411</v>
      </c>
      <c r="Y119" s="4" t="s">
        <v>136</v>
      </c>
      <c r="Z119" s="153">
        <v>30000</v>
      </c>
      <c r="AA119" s="153">
        <v>1</v>
      </c>
      <c r="AB119" s="153">
        <v>94.27</v>
      </c>
      <c r="AC119" s="11"/>
      <c r="AD119" s="153">
        <v>28.280999999999999</v>
      </c>
      <c r="AG119" s="2" t="s">
        <v>37</v>
      </c>
      <c r="AH119" s="167">
        <v>1.1E-5</v>
      </c>
      <c r="AI119" s="167">
        <v>6.8763387893403796E-3</v>
      </c>
      <c r="AJ119" s="167">
        <v>2.6747610414321701E-3</v>
      </c>
      <c r="AK119" s="161"/>
      <c r="AL119" s="153"/>
    </row>
    <row r="120" spans="1:38">
      <c r="A120" s="2" t="s">
        <v>26</v>
      </c>
      <c r="B120" s="2">
        <v>1405</v>
      </c>
      <c r="C120" s="2" t="s">
        <v>1371</v>
      </c>
      <c r="D120" s="2" t="s">
        <v>1372</v>
      </c>
      <c r="E120" s="4" t="s">
        <v>1305</v>
      </c>
      <c r="F120" s="2" t="s">
        <v>2146</v>
      </c>
      <c r="G120" s="2" t="s">
        <v>2147</v>
      </c>
      <c r="H120" s="2" t="s">
        <v>319</v>
      </c>
      <c r="I120" s="2" t="s">
        <v>754</v>
      </c>
      <c r="J120" s="2" t="s">
        <v>31</v>
      </c>
      <c r="K120" s="2" t="s">
        <v>31</v>
      </c>
      <c r="L120" s="2" t="s">
        <v>325</v>
      </c>
      <c r="M120" s="2" t="s">
        <v>40</v>
      </c>
      <c r="N120" s="2" t="s">
        <v>461</v>
      </c>
      <c r="O120" s="2" t="s">
        <v>136</v>
      </c>
      <c r="P120" s="2" t="s">
        <v>1308</v>
      </c>
      <c r="Q120" s="2" t="s">
        <v>412</v>
      </c>
      <c r="R120" s="2" t="s">
        <v>405</v>
      </c>
      <c r="S120" s="2" t="s">
        <v>35</v>
      </c>
      <c r="T120" s="153">
        <v>0.998</v>
      </c>
      <c r="U120" s="2" t="s">
        <v>1941</v>
      </c>
      <c r="V120" s="165">
        <v>6.4999999999999997E-3</v>
      </c>
      <c r="W120" s="167">
        <v>1.6490000000000001E-2</v>
      </c>
      <c r="X120" s="4" t="s">
        <v>411</v>
      </c>
      <c r="Y120" s="4" t="s">
        <v>136</v>
      </c>
      <c r="Z120" s="153">
        <v>86111.12</v>
      </c>
      <c r="AA120" s="153">
        <v>1</v>
      </c>
      <c r="AB120" s="153">
        <v>110.63</v>
      </c>
      <c r="AC120" s="11"/>
      <c r="AD120" s="153">
        <v>96.046999999999997</v>
      </c>
      <c r="AG120" s="2" t="s">
        <v>37</v>
      </c>
      <c r="AH120" s="167">
        <v>2.8499999999999999E-4</v>
      </c>
      <c r="AI120" s="167">
        <v>2.33530871892044E-2</v>
      </c>
      <c r="AJ120" s="167">
        <v>9.0838932932862E-3</v>
      </c>
      <c r="AK120" s="161"/>
      <c r="AL120" s="153"/>
    </row>
    <row r="121" spans="1:38">
      <c r="A121" s="2" t="s">
        <v>26</v>
      </c>
      <c r="B121" s="2">
        <v>1405</v>
      </c>
      <c r="C121" s="2" t="s">
        <v>2148</v>
      </c>
      <c r="D121" s="2" t="s">
        <v>2149</v>
      </c>
      <c r="E121" s="4" t="s">
        <v>1305</v>
      </c>
      <c r="F121" s="2" t="s">
        <v>2150</v>
      </c>
      <c r="G121" s="2" t="s">
        <v>2151</v>
      </c>
      <c r="H121" s="2" t="s">
        <v>319</v>
      </c>
      <c r="I121" s="2" t="s">
        <v>966</v>
      </c>
      <c r="J121" s="2" t="s">
        <v>31</v>
      </c>
      <c r="K121" s="2" t="s">
        <v>31</v>
      </c>
      <c r="L121" s="2" t="s">
        <v>325</v>
      </c>
      <c r="M121" s="2" t="s">
        <v>40</v>
      </c>
      <c r="N121" s="2" t="s">
        <v>444</v>
      </c>
      <c r="O121" s="2" t="s">
        <v>136</v>
      </c>
      <c r="P121" s="2" t="s">
        <v>1752</v>
      </c>
      <c r="Q121" s="23" t="s">
        <v>1752</v>
      </c>
      <c r="R121" s="23" t="s">
        <v>1752</v>
      </c>
      <c r="S121" s="2" t="s">
        <v>35</v>
      </c>
      <c r="T121" s="153">
        <v>1.5680000000000001</v>
      </c>
      <c r="U121" s="2" t="s">
        <v>91</v>
      </c>
      <c r="V121" s="165">
        <v>0.06</v>
      </c>
      <c r="W121" s="167">
        <v>6.1800000000000001E-2</v>
      </c>
      <c r="X121" s="4" t="s">
        <v>411</v>
      </c>
      <c r="Y121" s="4" t="s">
        <v>136</v>
      </c>
      <c r="Z121" s="153">
        <v>18000</v>
      </c>
      <c r="AA121" s="153">
        <v>1</v>
      </c>
      <c r="AB121" s="153">
        <v>101.88</v>
      </c>
      <c r="AC121" s="11"/>
      <c r="AD121" s="153">
        <v>18.338000000000001</v>
      </c>
      <c r="AG121" s="2" t="s">
        <v>37</v>
      </c>
      <c r="AH121" s="167">
        <v>7.2000000000000002E-5</v>
      </c>
      <c r="AI121" s="167">
        <v>4.4588611171613298E-3</v>
      </c>
      <c r="AJ121" s="167">
        <v>1.73440959945546E-3</v>
      </c>
      <c r="AK121" s="161"/>
      <c r="AL121" s="153"/>
    </row>
    <row r="122" spans="1:38">
      <c r="A122" s="2" t="s">
        <v>26</v>
      </c>
      <c r="B122" s="2">
        <v>1405</v>
      </c>
      <c r="C122" s="2" t="s">
        <v>1575</v>
      </c>
      <c r="D122" s="2" t="s">
        <v>1576</v>
      </c>
      <c r="E122" s="4" t="s">
        <v>1305</v>
      </c>
      <c r="F122" s="2" t="s">
        <v>2152</v>
      </c>
      <c r="G122" s="2" t="s">
        <v>2153</v>
      </c>
      <c r="H122" s="2" t="s">
        <v>319</v>
      </c>
      <c r="I122" s="2" t="s">
        <v>754</v>
      </c>
      <c r="J122" s="2" t="s">
        <v>31</v>
      </c>
      <c r="K122" s="2" t="s">
        <v>31</v>
      </c>
      <c r="L122" s="2" t="s">
        <v>325</v>
      </c>
      <c r="M122" s="2" t="s">
        <v>40</v>
      </c>
      <c r="N122" s="2" t="s">
        <v>445</v>
      </c>
      <c r="O122" s="2" t="s">
        <v>136</v>
      </c>
      <c r="P122" s="2" t="s">
        <v>76</v>
      </c>
      <c r="Q122" s="2" t="s">
        <v>104</v>
      </c>
      <c r="R122" s="2" t="s">
        <v>405</v>
      </c>
      <c r="S122" s="2" t="s">
        <v>35</v>
      </c>
      <c r="T122" s="153">
        <v>4.0890000000000004</v>
      </c>
      <c r="U122" s="2" t="s">
        <v>2154</v>
      </c>
      <c r="V122" s="165">
        <v>1E-3</v>
      </c>
      <c r="W122" s="167">
        <v>1.9650000000000001E-2</v>
      </c>
      <c r="X122" s="4" t="s">
        <v>411</v>
      </c>
      <c r="Y122" s="4" t="s">
        <v>136</v>
      </c>
      <c r="Z122" s="153">
        <v>13700.8</v>
      </c>
      <c r="AA122" s="153">
        <v>1</v>
      </c>
      <c r="AB122" s="153">
        <v>101.03</v>
      </c>
      <c r="AC122" s="11"/>
      <c r="AD122" s="153">
        <v>13.842000000000001</v>
      </c>
      <c r="AG122" s="2" t="s">
        <v>37</v>
      </c>
      <c r="AH122" s="167">
        <v>5.0000000000000004E-6</v>
      </c>
      <c r="AI122" s="167">
        <v>3.3655712072624801E-3</v>
      </c>
      <c r="AJ122" s="167">
        <v>1.30914124843681E-3</v>
      </c>
      <c r="AK122" s="161"/>
      <c r="AL122" s="153"/>
    </row>
    <row r="123" spans="1:38">
      <c r="A123" s="2" t="s">
        <v>26</v>
      </c>
      <c r="B123" s="2">
        <v>1405</v>
      </c>
      <c r="C123" s="2" t="s">
        <v>1575</v>
      </c>
      <c r="D123" s="2" t="s">
        <v>1576</v>
      </c>
      <c r="E123" s="4" t="s">
        <v>1305</v>
      </c>
      <c r="F123" s="2" t="s">
        <v>2155</v>
      </c>
      <c r="G123" s="2" t="s">
        <v>2156</v>
      </c>
      <c r="H123" s="2" t="s">
        <v>319</v>
      </c>
      <c r="I123" s="2" t="s">
        <v>754</v>
      </c>
      <c r="J123" s="2" t="s">
        <v>31</v>
      </c>
      <c r="K123" s="2" t="s">
        <v>31</v>
      </c>
      <c r="L123" s="2" t="s">
        <v>325</v>
      </c>
      <c r="M123" s="2" t="s">
        <v>40</v>
      </c>
      <c r="N123" s="2" t="s">
        <v>445</v>
      </c>
      <c r="O123" s="2" t="s">
        <v>136</v>
      </c>
      <c r="P123" s="2" t="s">
        <v>76</v>
      </c>
      <c r="Q123" s="2" t="s">
        <v>104</v>
      </c>
      <c r="R123" s="2" t="s">
        <v>405</v>
      </c>
      <c r="S123" s="2" t="s">
        <v>35</v>
      </c>
      <c r="T123" s="153">
        <v>4.4530000000000003</v>
      </c>
      <c r="U123" s="2" t="s">
        <v>2157</v>
      </c>
      <c r="V123" s="165">
        <v>1.3899999999999999E-2</v>
      </c>
      <c r="W123" s="167">
        <v>1.992E-2</v>
      </c>
      <c r="X123" s="4" t="s">
        <v>411</v>
      </c>
      <c r="Y123" s="4" t="s">
        <v>136</v>
      </c>
      <c r="Z123" s="153">
        <v>20700</v>
      </c>
      <c r="AA123" s="153">
        <v>1</v>
      </c>
      <c r="AB123" s="153">
        <v>101.5</v>
      </c>
      <c r="AC123" s="11"/>
      <c r="AD123" s="153">
        <v>21.010999999999999</v>
      </c>
      <c r="AG123" s="2" t="s">
        <v>37</v>
      </c>
      <c r="AH123" s="167">
        <v>1.2E-5</v>
      </c>
      <c r="AI123" s="167">
        <v>5.1085646240739699E-3</v>
      </c>
      <c r="AJ123" s="167">
        <v>1.9871315321597798E-3</v>
      </c>
      <c r="AK123" s="161"/>
      <c r="AL123" s="153"/>
    </row>
    <row r="124" spans="1:38">
      <c r="A124" s="2" t="s">
        <v>26</v>
      </c>
      <c r="B124" s="2">
        <v>1405</v>
      </c>
      <c r="C124" s="2" t="s">
        <v>1575</v>
      </c>
      <c r="D124" s="2" t="s">
        <v>1576</v>
      </c>
      <c r="E124" s="4" t="s">
        <v>1305</v>
      </c>
      <c r="F124" s="2" t="s">
        <v>2158</v>
      </c>
      <c r="G124" s="2" t="s">
        <v>2159</v>
      </c>
      <c r="H124" s="2" t="s">
        <v>319</v>
      </c>
      <c r="I124" s="2" t="s">
        <v>754</v>
      </c>
      <c r="J124" s="2" t="s">
        <v>31</v>
      </c>
      <c r="K124" s="2" t="s">
        <v>31</v>
      </c>
      <c r="L124" s="2" t="s">
        <v>325</v>
      </c>
      <c r="M124" s="2" t="s">
        <v>40</v>
      </c>
      <c r="N124" s="2" t="s">
        <v>445</v>
      </c>
      <c r="O124" s="2" t="s">
        <v>136</v>
      </c>
      <c r="P124" s="2" t="s">
        <v>76</v>
      </c>
      <c r="Q124" s="2" t="s">
        <v>104</v>
      </c>
      <c r="R124" s="2" t="s">
        <v>405</v>
      </c>
      <c r="S124" s="2" t="s">
        <v>35</v>
      </c>
      <c r="T124" s="153">
        <v>3.54</v>
      </c>
      <c r="U124" s="2" t="s">
        <v>2160</v>
      </c>
      <c r="V124" s="165">
        <v>1.7500000000000002E-2</v>
      </c>
      <c r="W124" s="167">
        <v>1.8929999999999999E-2</v>
      </c>
      <c r="X124" s="4" t="s">
        <v>411</v>
      </c>
      <c r="Y124" s="4" t="s">
        <v>136</v>
      </c>
      <c r="Z124" s="153">
        <v>38894.82</v>
      </c>
      <c r="AA124" s="153">
        <v>1</v>
      </c>
      <c r="AB124" s="153">
        <v>111.16</v>
      </c>
      <c r="AC124" s="11"/>
      <c r="AD124" s="153">
        <v>43.234999999999999</v>
      </c>
      <c r="AG124" s="2" t="s">
        <v>37</v>
      </c>
      <c r="AH124" s="167">
        <v>1.2999999999999999E-5</v>
      </c>
      <c r="AI124" s="167">
        <v>1.0512422522092901E-2</v>
      </c>
      <c r="AJ124" s="167">
        <v>4.0891263613649798E-3</v>
      </c>
      <c r="AK124" s="161"/>
      <c r="AL124" s="153"/>
    </row>
    <row r="125" spans="1:38">
      <c r="A125" s="2" t="s">
        <v>26</v>
      </c>
      <c r="B125" s="2">
        <v>1405</v>
      </c>
      <c r="C125" s="2" t="s">
        <v>1579</v>
      </c>
      <c r="D125" s="2" t="s">
        <v>1580</v>
      </c>
      <c r="E125" s="4" t="s">
        <v>1305</v>
      </c>
      <c r="F125" s="2" t="s">
        <v>2161</v>
      </c>
      <c r="G125" s="2" t="s">
        <v>2162</v>
      </c>
      <c r="H125" s="2" t="s">
        <v>319</v>
      </c>
      <c r="I125" s="2" t="s">
        <v>966</v>
      </c>
      <c r="J125" s="2" t="s">
        <v>31</v>
      </c>
      <c r="K125" s="2" t="s">
        <v>31</v>
      </c>
      <c r="L125" s="2" t="s">
        <v>325</v>
      </c>
      <c r="M125" s="2" t="s">
        <v>40</v>
      </c>
      <c r="N125" s="2" t="s">
        <v>474</v>
      </c>
      <c r="O125" s="2" t="s">
        <v>136</v>
      </c>
      <c r="P125" s="2" t="s">
        <v>1867</v>
      </c>
      <c r="Q125" s="2" t="s">
        <v>104</v>
      </c>
      <c r="R125" s="2" t="s">
        <v>405</v>
      </c>
      <c r="S125" s="2" t="s">
        <v>35</v>
      </c>
      <c r="T125" s="153">
        <v>1.8129999999999999</v>
      </c>
      <c r="U125" s="2" t="s">
        <v>1891</v>
      </c>
      <c r="V125" s="165">
        <v>2.29E-2</v>
      </c>
      <c r="W125" s="167">
        <v>4.5350000000000001E-2</v>
      </c>
      <c r="X125" s="4" t="s">
        <v>411</v>
      </c>
      <c r="Y125" s="4" t="s">
        <v>136</v>
      </c>
      <c r="Z125" s="153">
        <v>13641.02</v>
      </c>
      <c r="AA125" s="153">
        <v>1</v>
      </c>
      <c r="AB125" s="153">
        <v>96.89</v>
      </c>
      <c r="AC125" s="11"/>
      <c r="AD125" s="153">
        <v>13.217000000000001</v>
      </c>
      <c r="AG125" s="2" t="s">
        <v>37</v>
      </c>
      <c r="AH125" s="167">
        <v>2.8E-5</v>
      </c>
      <c r="AI125" s="167">
        <v>3.2135740037889599E-3</v>
      </c>
      <c r="AJ125" s="167">
        <v>1.2500173147981901E-3</v>
      </c>
      <c r="AK125" s="161"/>
      <c r="AL125" s="153"/>
    </row>
    <row r="126" spans="1:38">
      <c r="A126" s="2" t="s">
        <v>26</v>
      </c>
      <c r="B126" s="2">
        <v>1405</v>
      </c>
      <c r="C126" s="2" t="s">
        <v>2163</v>
      </c>
      <c r="D126" s="2" t="s">
        <v>2164</v>
      </c>
      <c r="E126" s="4" t="s">
        <v>1305</v>
      </c>
      <c r="F126" s="2" t="s">
        <v>2165</v>
      </c>
      <c r="G126" s="2" t="s">
        <v>2166</v>
      </c>
      <c r="H126" s="2" t="s">
        <v>319</v>
      </c>
      <c r="I126" s="2" t="s">
        <v>754</v>
      </c>
      <c r="J126" s="2" t="s">
        <v>31</v>
      </c>
      <c r="K126" s="2" t="s">
        <v>31</v>
      </c>
      <c r="L126" s="2" t="s">
        <v>325</v>
      </c>
      <c r="M126" s="2" t="s">
        <v>40</v>
      </c>
      <c r="N126" s="2" t="s">
        <v>442</v>
      </c>
      <c r="O126" s="2" t="s">
        <v>136</v>
      </c>
      <c r="P126" s="2" t="s">
        <v>1739</v>
      </c>
      <c r="Q126" s="2" t="s">
        <v>412</v>
      </c>
      <c r="R126" s="2" t="s">
        <v>405</v>
      </c>
      <c r="S126" s="2" t="s">
        <v>35</v>
      </c>
      <c r="T126" s="153">
        <v>7.2389999999999999</v>
      </c>
      <c r="U126" s="2" t="s">
        <v>2167</v>
      </c>
      <c r="V126" s="165">
        <v>2.0899999999999998E-2</v>
      </c>
      <c r="W126" s="167">
        <v>2.946E-2</v>
      </c>
      <c r="X126" s="4" t="s">
        <v>411</v>
      </c>
      <c r="Y126" s="4" t="s">
        <v>136</v>
      </c>
      <c r="Z126" s="153">
        <v>50000</v>
      </c>
      <c r="AA126" s="153">
        <v>1</v>
      </c>
      <c r="AB126" s="153">
        <v>104.02</v>
      </c>
      <c r="AC126" s="11"/>
      <c r="AD126" s="153">
        <v>52.01</v>
      </c>
      <c r="AG126" s="2" t="s">
        <v>37</v>
      </c>
      <c r="AH126" s="167">
        <v>4.1E-5</v>
      </c>
      <c r="AI126" s="167">
        <v>1.26458887745693E-2</v>
      </c>
      <c r="AJ126" s="167">
        <v>4.9190029265191197E-3</v>
      </c>
      <c r="AK126" s="161"/>
      <c r="AL126" s="153"/>
    </row>
    <row r="127" spans="1:38">
      <c r="A127" s="2" t="s">
        <v>26</v>
      </c>
      <c r="B127" s="2">
        <v>1405</v>
      </c>
      <c r="C127" s="2" t="s">
        <v>1587</v>
      </c>
      <c r="D127" s="2" t="s">
        <v>1588</v>
      </c>
      <c r="E127" s="4" t="s">
        <v>1305</v>
      </c>
      <c r="F127" s="2" t="s">
        <v>2168</v>
      </c>
      <c r="G127" s="2" t="s">
        <v>2169</v>
      </c>
      <c r="H127" s="2" t="s">
        <v>319</v>
      </c>
      <c r="I127" s="2" t="s">
        <v>754</v>
      </c>
      <c r="J127" s="2" t="s">
        <v>31</v>
      </c>
      <c r="K127" s="2" t="s">
        <v>31</v>
      </c>
      <c r="L127" s="2" t="s">
        <v>325</v>
      </c>
      <c r="M127" s="2" t="s">
        <v>40</v>
      </c>
      <c r="N127" s="2" t="s">
        <v>458</v>
      </c>
      <c r="O127" s="2" t="s">
        <v>136</v>
      </c>
      <c r="P127" s="2" t="s">
        <v>1731</v>
      </c>
      <c r="Q127" s="2" t="s">
        <v>104</v>
      </c>
      <c r="R127" s="2" t="s">
        <v>405</v>
      </c>
      <c r="S127" s="2" t="s">
        <v>35</v>
      </c>
      <c r="T127" s="153">
        <v>3.6970000000000001</v>
      </c>
      <c r="U127" s="2" t="s">
        <v>2170</v>
      </c>
      <c r="V127" s="165">
        <v>3.2500000000000001E-2</v>
      </c>
      <c r="W127" s="167">
        <v>3.0530000000000002E-2</v>
      </c>
      <c r="X127" s="4" t="s">
        <v>411</v>
      </c>
      <c r="Y127" s="4" t="s">
        <v>136</v>
      </c>
      <c r="Z127" s="153">
        <v>19000</v>
      </c>
      <c r="AA127" s="153">
        <v>1</v>
      </c>
      <c r="AB127" s="153">
        <v>106.83</v>
      </c>
      <c r="AC127" s="11"/>
      <c r="AD127" s="153">
        <v>20.297999999999998</v>
      </c>
      <c r="AG127" s="2" t="s">
        <v>37</v>
      </c>
      <c r="AH127" s="167">
        <v>7.2999999999999999E-5</v>
      </c>
      <c r="AI127" s="167">
        <v>4.9352520011454399E-3</v>
      </c>
      <c r="AJ127" s="167">
        <v>1.9197163180466701E-3</v>
      </c>
      <c r="AK127" s="161"/>
      <c r="AL127" s="153"/>
    </row>
    <row r="128" spans="1:38">
      <c r="A128" s="2" t="s">
        <v>26</v>
      </c>
      <c r="B128" s="2">
        <v>1405</v>
      </c>
      <c r="C128" s="2" t="s">
        <v>2171</v>
      </c>
      <c r="D128" s="2" t="s">
        <v>2172</v>
      </c>
      <c r="E128" s="4" t="s">
        <v>1305</v>
      </c>
      <c r="F128" s="2" t="s">
        <v>2173</v>
      </c>
      <c r="G128" s="2" t="s">
        <v>2174</v>
      </c>
      <c r="H128" s="2" t="s">
        <v>319</v>
      </c>
      <c r="I128" s="2" t="s">
        <v>966</v>
      </c>
      <c r="J128" s="2" t="s">
        <v>31</v>
      </c>
      <c r="K128" s="2" t="s">
        <v>31</v>
      </c>
      <c r="L128" s="2" t="s">
        <v>325</v>
      </c>
      <c r="M128" s="2" t="s">
        <v>40</v>
      </c>
      <c r="N128" s="2" t="s">
        <v>444</v>
      </c>
      <c r="O128" s="2" t="s">
        <v>136</v>
      </c>
      <c r="P128" s="2" t="s">
        <v>2083</v>
      </c>
      <c r="Q128" s="2" t="s">
        <v>104</v>
      </c>
      <c r="R128" s="2" t="s">
        <v>405</v>
      </c>
      <c r="S128" s="2" t="s">
        <v>35</v>
      </c>
      <c r="T128" s="153">
        <v>2.39</v>
      </c>
      <c r="U128" s="2" t="s">
        <v>1849</v>
      </c>
      <c r="V128" s="165">
        <v>5.5500000000000001E-2</v>
      </c>
      <c r="W128" s="167">
        <v>6.0060000000000002E-2</v>
      </c>
      <c r="X128" s="4" t="s">
        <v>411</v>
      </c>
      <c r="Y128" s="4" t="s">
        <v>136</v>
      </c>
      <c r="Z128" s="153">
        <v>22000</v>
      </c>
      <c r="AA128" s="153">
        <v>1</v>
      </c>
      <c r="AB128" s="153">
        <v>100.33</v>
      </c>
      <c r="AC128" s="11"/>
      <c r="AD128" s="153">
        <v>22.073</v>
      </c>
      <c r="AG128" s="2" t="s">
        <v>37</v>
      </c>
      <c r="AH128" s="167">
        <v>1.3799999999999999E-4</v>
      </c>
      <c r="AI128" s="167">
        <v>5.3668072402529802E-3</v>
      </c>
      <c r="AJ128" s="167">
        <v>2.0875828493729302E-3</v>
      </c>
      <c r="AK128" s="161"/>
      <c r="AL128" s="153"/>
    </row>
    <row r="129" spans="1:38">
      <c r="A129" s="2" t="s">
        <v>26</v>
      </c>
      <c r="B129" s="2">
        <v>1405</v>
      </c>
      <c r="C129" s="2" t="s">
        <v>2175</v>
      </c>
      <c r="D129" s="2" t="s">
        <v>2176</v>
      </c>
      <c r="E129" s="4" t="s">
        <v>1305</v>
      </c>
      <c r="F129" s="2" t="s">
        <v>2177</v>
      </c>
      <c r="G129" s="2" t="s">
        <v>2178</v>
      </c>
      <c r="H129" s="2" t="s">
        <v>319</v>
      </c>
      <c r="I129" s="2" t="s">
        <v>966</v>
      </c>
      <c r="J129" s="2" t="s">
        <v>31</v>
      </c>
      <c r="K129" s="2" t="s">
        <v>31</v>
      </c>
      <c r="L129" s="2" t="s">
        <v>325</v>
      </c>
      <c r="M129" s="2" t="s">
        <v>40</v>
      </c>
      <c r="N129" s="2" t="s">
        <v>444</v>
      </c>
      <c r="O129" s="2" t="s">
        <v>136</v>
      </c>
      <c r="P129" s="2" t="s">
        <v>1772</v>
      </c>
      <c r="Q129" s="2" t="s">
        <v>164</v>
      </c>
      <c r="R129" s="2" t="s">
        <v>407</v>
      </c>
      <c r="S129" s="2" t="s">
        <v>35</v>
      </c>
      <c r="T129" s="153">
        <v>3.27</v>
      </c>
      <c r="U129" s="2" t="s">
        <v>2179</v>
      </c>
      <c r="V129" s="165">
        <v>5.3400000000000003E-2</v>
      </c>
      <c r="W129" s="167">
        <v>5.7369999999999997E-2</v>
      </c>
      <c r="X129" s="4" t="s">
        <v>411</v>
      </c>
      <c r="Y129" s="4" t="s">
        <v>136</v>
      </c>
      <c r="Z129" s="153">
        <v>21000</v>
      </c>
      <c r="AA129" s="153">
        <v>1</v>
      </c>
      <c r="AB129" s="153">
        <v>100.93</v>
      </c>
      <c r="AC129" s="11"/>
      <c r="AD129" s="153">
        <v>21.195</v>
      </c>
      <c r="AG129" s="2" t="s">
        <v>37</v>
      </c>
      <c r="AH129" s="167">
        <v>5.3000000000000001E-5</v>
      </c>
      <c r="AI129" s="167">
        <v>5.1534975263147001E-3</v>
      </c>
      <c r="AJ129" s="167">
        <v>2.0046095506335501E-3</v>
      </c>
      <c r="AK129" s="161"/>
      <c r="AL129" s="153"/>
    </row>
    <row r="130" spans="1:38">
      <c r="A130" s="2" t="s">
        <v>26</v>
      </c>
      <c r="B130" s="2">
        <v>1405</v>
      </c>
      <c r="C130" s="2" t="s">
        <v>2180</v>
      </c>
      <c r="D130" s="2" t="s">
        <v>2181</v>
      </c>
      <c r="E130" s="4" t="s">
        <v>1305</v>
      </c>
      <c r="F130" s="2" t="s">
        <v>2182</v>
      </c>
      <c r="G130" s="2" t="s">
        <v>2183</v>
      </c>
      <c r="H130" s="2" t="s">
        <v>319</v>
      </c>
      <c r="I130" s="2" t="s">
        <v>966</v>
      </c>
      <c r="J130" s="2" t="s">
        <v>31</v>
      </c>
      <c r="K130" s="2" t="s">
        <v>31</v>
      </c>
      <c r="L130" s="2" t="s">
        <v>325</v>
      </c>
      <c r="M130" s="2" t="s">
        <v>40</v>
      </c>
      <c r="N130" s="2" t="s">
        <v>444</v>
      </c>
      <c r="O130" s="2" t="s">
        <v>136</v>
      </c>
      <c r="P130" s="2" t="s">
        <v>1752</v>
      </c>
      <c r="Q130" s="23" t="s">
        <v>1752</v>
      </c>
      <c r="R130" s="23" t="s">
        <v>1752</v>
      </c>
      <c r="S130" s="2" t="s">
        <v>35</v>
      </c>
      <c r="T130" s="153">
        <v>0.76500000000000001</v>
      </c>
      <c r="U130" s="2" t="s">
        <v>2184</v>
      </c>
      <c r="V130" s="165">
        <v>4.3499999999999997E-2</v>
      </c>
      <c r="W130" s="167">
        <v>6.3810000000000006E-2</v>
      </c>
      <c r="X130" s="4" t="s">
        <v>411</v>
      </c>
      <c r="Y130" s="4" t="s">
        <v>136</v>
      </c>
      <c r="Z130" s="153">
        <v>10000</v>
      </c>
      <c r="AA130" s="153">
        <v>1</v>
      </c>
      <c r="AB130" s="153">
        <v>99.5</v>
      </c>
      <c r="AC130" s="11"/>
      <c r="AD130" s="153">
        <v>9.9499999999999993</v>
      </c>
      <c r="AG130" s="2" t="s">
        <v>37</v>
      </c>
      <c r="AH130" s="167">
        <v>1.3899999999999999E-4</v>
      </c>
      <c r="AI130" s="167">
        <v>2.4192769334159601E-3</v>
      </c>
      <c r="AJ130" s="167">
        <v>9.41051319339844E-4</v>
      </c>
      <c r="AK130" s="161"/>
      <c r="AL130" s="153"/>
    </row>
    <row r="131" spans="1:38">
      <c r="A131" s="2" t="s">
        <v>26</v>
      </c>
      <c r="B131" s="2">
        <v>1405</v>
      </c>
      <c r="C131" s="2" t="s">
        <v>2180</v>
      </c>
      <c r="D131" s="2" t="s">
        <v>2181</v>
      </c>
      <c r="E131" s="4" t="s">
        <v>1305</v>
      </c>
      <c r="F131" s="2" t="s">
        <v>2185</v>
      </c>
      <c r="G131" s="2" t="s">
        <v>2186</v>
      </c>
      <c r="H131" s="2" t="s">
        <v>319</v>
      </c>
      <c r="I131" s="2" t="s">
        <v>966</v>
      </c>
      <c r="J131" s="2" t="s">
        <v>31</v>
      </c>
      <c r="K131" s="2" t="s">
        <v>31</v>
      </c>
      <c r="L131" s="2" t="s">
        <v>325</v>
      </c>
      <c r="M131" s="2" t="s">
        <v>40</v>
      </c>
      <c r="N131" s="2" t="s">
        <v>444</v>
      </c>
      <c r="O131" s="2" t="s">
        <v>136</v>
      </c>
      <c r="P131" s="2" t="s">
        <v>1752</v>
      </c>
      <c r="Q131" s="23" t="s">
        <v>1752</v>
      </c>
      <c r="R131" s="23" t="s">
        <v>1752</v>
      </c>
      <c r="S131" s="2" t="s">
        <v>35</v>
      </c>
      <c r="T131" s="153">
        <v>0.76600000000000001</v>
      </c>
      <c r="U131" s="2" t="s">
        <v>2184</v>
      </c>
      <c r="V131" s="165">
        <v>0.06</v>
      </c>
      <c r="W131" s="167">
        <v>6.7349999999999993E-2</v>
      </c>
      <c r="X131" s="4" t="s">
        <v>411</v>
      </c>
      <c r="Y131" s="4" t="s">
        <v>136</v>
      </c>
      <c r="Z131" s="153">
        <v>4000</v>
      </c>
      <c r="AA131" s="153">
        <v>1</v>
      </c>
      <c r="AB131" s="153">
        <v>100.82</v>
      </c>
      <c r="AC131" s="11"/>
      <c r="AD131" s="153">
        <v>4.0330000000000004</v>
      </c>
      <c r="AG131" s="2" t="s">
        <v>37</v>
      </c>
      <c r="AH131" s="167">
        <v>0</v>
      </c>
      <c r="AI131" s="167">
        <v>9.8054874543516404E-4</v>
      </c>
      <c r="AJ131" s="167">
        <v>3.8141424729987199E-4</v>
      </c>
      <c r="AK131" s="161"/>
      <c r="AL131" s="153"/>
    </row>
    <row r="132" spans="1:38">
      <c r="A132" s="2" t="s">
        <v>26</v>
      </c>
      <c r="B132" s="2">
        <v>1405</v>
      </c>
      <c r="C132" s="2" t="s">
        <v>2187</v>
      </c>
      <c r="D132" s="2" t="s">
        <v>2188</v>
      </c>
      <c r="E132" s="4" t="s">
        <v>1305</v>
      </c>
      <c r="F132" s="2" t="s">
        <v>2189</v>
      </c>
      <c r="G132" s="2" t="s">
        <v>2190</v>
      </c>
      <c r="H132" s="2" t="s">
        <v>319</v>
      </c>
      <c r="I132" s="2" t="s">
        <v>966</v>
      </c>
      <c r="J132" s="2" t="s">
        <v>31</v>
      </c>
      <c r="K132" s="2" t="s">
        <v>31</v>
      </c>
      <c r="L132" s="2" t="s">
        <v>325</v>
      </c>
      <c r="M132" s="2" t="s">
        <v>40</v>
      </c>
      <c r="N132" s="2" t="s">
        <v>444</v>
      </c>
      <c r="O132" s="2" t="s">
        <v>136</v>
      </c>
      <c r="P132" s="2" t="s">
        <v>1752</v>
      </c>
      <c r="Q132" s="23" t="s">
        <v>1752</v>
      </c>
      <c r="R132" s="23" t="s">
        <v>1752</v>
      </c>
      <c r="S132" s="2" t="s">
        <v>35</v>
      </c>
      <c r="T132" s="153">
        <v>0.77700000000000002</v>
      </c>
      <c r="U132" s="2" t="s">
        <v>1715</v>
      </c>
      <c r="V132" s="165">
        <v>4.4900000000000002E-2</v>
      </c>
      <c r="W132" s="167">
        <v>5.5350000000000003E-2</v>
      </c>
      <c r="X132" s="4" t="s">
        <v>411</v>
      </c>
      <c r="Y132" s="4" t="s">
        <v>136</v>
      </c>
      <c r="Z132" s="153">
        <v>33390</v>
      </c>
      <c r="AA132" s="153">
        <v>1</v>
      </c>
      <c r="AB132" s="153">
        <v>100.4</v>
      </c>
      <c r="AC132" s="11"/>
      <c r="AD132" s="153">
        <v>33.524000000000001</v>
      </c>
      <c r="AG132" s="2" t="s">
        <v>37</v>
      </c>
      <c r="AH132" s="167">
        <v>3.0800000000000001E-4</v>
      </c>
      <c r="AI132" s="167">
        <v>8.1510327069332592E-3</v>
      </c>
      <c r="AJ132" s="167">
        <v>3.17059199668024E-3</v>
      </c>
      <c r="AK132" s="161"/>
      <c r="AL132" s="153"/>
    </row>
    <row r="133" spans="1:38">
      <c r="A133" s="2" t="s">
        <v>26</v>
      </c>
      <c r="B133" s="2">
        <v>1405</v>
      </c>
      <c r="C133" s="2" t="s">
        <v>2191</v>
      </c>
      <c r="D133" s="2" t="s">
        <v>2192</v>
      </c>
      <c r="E133" s="4" t="s">
        <v>1305</v>
      </c>
      <c r="F133" s="2" t="s">
        <v>2193</v>
      </c>
      <c r="G133" t="s">
        <v>2194</v>
      </c>
      <c r="H133" s="2" t="s">
        <v>319</v>
      </c>
      <c r="I133" s="2" t="s">
        <v>966</v>
      </c>
      <c r="J133" s="2" t="s">
        <v>31</v>
      </c>
      <c r="K133" s="2" t="s">
        <v>31</v>
      </c>
      <c r="L133" s="23" t="s">
        <v>327</v>
      </c>
      <c r="M133" s="2" t="s">
        <v>40</v>
      </c>
      <c r="N133" s="2" t="s">
        <v>444</v>
      </c>
      <c r="O133" s="2" t="s">
        <v>136</v>
      </c>
      <c r="P133" s="2" t="s">
        <v>1752</v>
      </c>
      <c r="Q133" s="23" t="s">
        <v>1752</v>
      </c>
      <c r="R133" s="23" t="s">
        <v>1752</v>
      </c>
      <c r="S133" s="2" t="s">
        <v>35</v>
      </c>
      <c r="T133" s="153">
        <v>1.86</v>
      </c>
      <c r="U133" s="2" t="s">
        <v>1788</v>
      </c>
      <c r="V133" s="165">
        <v>3.3500000000000002E-2</v>
      </c>
      <c r="W133" s="167">
        <v>7.6399999999999996E-2</v>
      </c>
      <c r="X133" s="4" t="s">
        <v>411</v>
      </c>
      <c r="Y133" s="4" t="s">
        <v>136</v>
      </c>
      <c r="Z133" s="153">
        <v>34000</v>
      </c>
      <c r="AA133" s="153">
        <v>1</v>
      </c>
      <c r="AB133" s="153">
        <v>93.084999999999994</v>
      </c>
      <c r="AC133" s="11"/>
      <c r="AD133" s="153">
        <v>31.649000000000001</v>
      </c>
      <c r="AG133" s="2" t="s">
        <v>37</v>
      </c>
      <c r="AH133" s="167">
        <v>0</v>
      </c>
      <c r="AI133" s="167">
        <v>7.6952462818327197E-3</v>
      </c>
      <c r="AJ133" s="167">
        <v>2.9933000088331E-3</v>
      </c>
      <c r="AK133" s="161"/>
      <c r="AL133" s="153"/>
    </row>
    <row r="134" spans="1:38">
      <c r="A134" s="2" t="s">
        <v>26</v>
      </c>
      <c r="B134" s="2">
        <v>1405</v>
      </c>
      <c r="C134" s="2" t="s">
        <v>1383</v>
      </c>
      <c r="D134" s="2" t="s">
        <v>1384</v>
      </c>
      <c r="E134" s="4" t="s">
        <v>1305</v>
      </c>
      <c r="F134" s="2" t="s">
        <v>2195</v>
      </c>
      <c r="G134" s="2" t="s">
        <v>2196</v>
      </c>
      <c r="H134" s="2" t="s">
        <v>319</v>
      </c>
      <c r="I134" s="2" t="s">
        <v>754</v>
      </c>
      <c r="J134" s="2" t="s">
        <v>31</v>
      </c>
      <c r="K134" s="2" t="s">
        <v>31</v>
      </c>
      <c r="L134" s="2" t="s">
        <v>325</v>
      </c>
      <c r="M134" s="2" t="s">
        <v>40</v>
      </c>
      <c r="N134" s="2" t="s">
        <v>461</v>
      </c>
      <c r="O134" s="2" t="s">
        <v>136</v>
      </c>
      <c r="P134" s="2" t="s">
        <v>1724</v>
      </c>
      <c r="Q134" s="2" t="s">
        <v>412</v>
      </c>
      <c r="R134" s="2" t="s">
        <v>405</v>
      </c>
      <c r="S134" s="2" t="s">
        <v>35</v>
      </c>
      <c r="T134" s="153">
        <v>3.4420000000000002</v>
      </c>
      <c r="U134" s="2" t="s">
        <v>2197</v>
      </c>
      <c r="V134" s="165">
        <v>1.0800000000000001E-2</v>
      </c>
      <c r="W134" s="167">
        <v>3.1019999999999999E-2</v>
      </c>
      <c r="X134" s="4" t="s">
        <v>411</v>
      </c>
      <c r="Y134" s="4" t="s">
        <v>136</v>
      </c>
      <c r="Z134" s="153">
        <v>60952.5</v>
      </c>
      <c r="AA134" s="153">
        <v>1</v>
      </c>
      <c r="AB134" s="153">
        <v>104.57</v>
      </c>
      <c r="AC134" s="11"/>
      <c r="AD134" s="153">
        <v>63.738</v>
      </c>
      <c r="AG134" s="2" t="s">
        <v>37</v>
      </c>
      <c r="AH134" s="167">
        <v>2.2800000000000001E-4</v>
      </c>
      <c r="AI134" s="167">
        <v>1.54974818036097E-2</v>
      </c>
      <c r="AJ134" s="167">
        <v>6.02821673546071E-3</v>
      </c>
      <c r="AK134" s="161"/>
      <c r="AL134" s="153"/>
    </row>
    <row r="135" spans="1:38">
      <c r="A135" s="2" t="s">
        <v>26</v>
      </c>
      <c r="B135" s="2">
        <v>1405</v>
      </c>
      <c r="C135" s="2" t="s">
        <v>1383</v>
      </c>
      <c r="D135" s="2" t="s">
        <v>1384</v>
      </c>
      <c r="E135" s="4" t="s">
        <v>1305</v>
      </c>
      <c r="F135" s="2" t="s">
        <v>2198</v>
      </c>
      <c r="G135" s="2" t="s">
        <v>2199</v>
      </c>
      <c r="H135" s="2" t="s">
        <v>319</v>
      </c>
      <c r="I135" s="2" t="s">
        <v>754</v>
      </c>
      <c r="J135" s="2" t="s">
        <v>31</v>
      </c>
      <c r="K135" s="2" t="s">
        <v>31</v>
      </c>
      <c r="L135" s="2" t="s">
        <v>325</v>
      </c>
      <c r="M135" s="2" t="s">
        <v>40</v>
      </c>
      <c r="N135" s="2" t="s">
        <v>461</v>
      </c>
      <c r="O135" s="2" t="s">
        <v>136</v>
      </c>
      <c r="P135" s="2" t="s">
        <v>1890</v>
      </c>
      <c r="Q135" s="2" t="s">
        <v>412</v>
      </c>
      <c r="R135" s="2" t="s">
        <v>405</v>
      </c>
      <c r="S135" s="2" t="s">
        <v>35</v>
      </c>
      <c r="T135" s="153">
        <v>3.899</v>
      </c>
      <c r="U135" s="2" t="s">
        <v>1773</v>
      </c>
      <c r="V135" s="165">
        <v>9.4000000000000004E-3</v>
      </c>
      <c r="W135" s="167">
        <v>4.641E-2</v>
      </c>
      <c r="X135" s="4" t="s">
        <v>411</v>
      </c>
      <c r="Y135" s="4" t="s">
        <v>136</v>
      </c>
      <c r="Z135" s="153">
        <v>53580</v>
      </c>
      <c r="AA135" s="153">
        <v>1</v>
      </c>
      <c r="AB135" s="153">
        <v>94.91</v>
      </c>
      <c r="AC135" s="11"/>
      <c r="AD135" s="153">
        <v>50.853000000000002</v>
      </c>
      <c r="AG135" s="2" t="s">
        <v>37</v>
      </c>
      <c r="AH135" s="167">
        <v>1.36E-4</v>
      </c>
      <c r="AI135" s="167">
        <v>1.23645178709068E-2</v>
      </c>
      <c r="AJ135" s="167">
        <v>4.8095551586930796E-3</v>
      </c>
      <c r="AK135" s="161"/>
      <c r="AL135" s="153"/>
    </row>
    <row r="136" spans="1:38">
      <c r="A136" s="2" t="s">
        <v>26</v>
      </c>
      <c r="B136" s="2">
        <v>1405</v>
      </c>
      <c r="C136" s="2" t="s">
        <v>2200</v>
      </c>
      <c r="D136" s="2" t="s">
        <v>2201</v>
      </c>
      <c r="E136" s="4" t="s">
        <v>1305</v>
      </c>
      <c r="F136" s="2" t="s">
        <v>2202</v>
      </c>
      <c r="G136" s="2" t="s">
        <v>2203</v>
      </c>
      <c r="H136" s="2" t="s">
        <v>319</v>
      </c>
      <c r="I136" s="2" t="s">
        <v>966</v>
      </c>
      <c r="J136" s="2" t="s">
        <v>31</v>
      </c>
      <c r="K136" s="2" t="s">
        <v>31</v>
      </c>
      <c r="L136" s="2" t="s">
        <v>325</v>
      </c>
      <c r="M136" s="2" t="s">
        <v>40</v>
      </c>
      <c r="N136" s="2" t="s">
        <v>440</v>
      </c>
      <c r="O136" s="2" t="s">
        <v>136</v>
      </c>
      <c r="P136" s="2" t="s">
        <v>2204</v>
      </c>
      <c r="Q136" s="2" t="s">
        <v>104</v>
      </c>
      <c r="R136" s="2" t="s">
        <v>405</v>
      </c>
      <c r="S136" s="2" t="s">
        <v>35</v>
      </c>
      <c r="T136" s="153">
        <v>0.95599999999999996</v>
      </c>
      <c r="U136" s="2" t="s">
        <v>1897</v>
      </c>
      <c r="V136" s="165">
        <v>3.15E-2</v>
      </c>
      <c r="W136" s="167">
        <v>0.10729</v>
      </c>
      <c r="X136" s="4" t="s">
        <v>411</v>
      </c>
      <c r="Y136" s="4" t="s">
        <v>136</v>
      </c>
      <c r="Z136" s="153">
        <v>20621.32</v>
      </c>
      <c r="AA136" s="153">
        <v>1</v>
      </c>
      <c r="AB136" s="153">
        <v>94.15</v>
      </c>
      <c r="AC136" s="11"/>
      <c r="AD136" s="153">
        <v>19.414999999999999</v>
      </c>
      <c r="AG136" s="2" t="s">
        <v>37</v>
      </c>
      <c r="AH136" s="167">
        <v>1.03E-4</v>
      </c>
      <c r="AI136" s="167">
        <v>4.7206226944274104E-3</v>
      </c>
      <c r="AJ136" s="167">
        <v>1.83622972357449E-3</v>
      </c>
      <c r="AK136" s="161"/>
      <c r="AL136" s="153"/>
    </row>
    <row r="137" spans="1:38">
      <c r="A137" s="2" t="s">
        <v>26</v>
      </c>
      <c r="B137" s="2">
        <v>1405</v>
      </c>
      <c r="C137" s="2" t="s">
        <v>2200</v>
      </c>
      <c r="D137" s="2" t="s">
        <v>2201</v>
      </c>
      <c r="E137" s="4" t="s">
        <v>1305</v>
      </c>
      <c r="F137" s="2" t="s">
        <v>2205</v>
      </c>
      <c r="G137" s="2" t="s">
        <v>2203</v>
      </c>
      <c r="H137" s="2" t="s">
        <v>319</v>
      </c>
      <c r="I137" s="2" t="s">
        <v>966</v>
      </c>
      <c r="J137" s="2" t="s">
        <v>31</v>
      </c>
      <c r="K137" s="2" t="s">
        <v>31</v>
      </c>
      <c r="L137" s="23" t="s">
        <v>327</v>
      </c>
      <c r="M137" s="2" t="s">
        <v>40</v>
      </c>
      <c r="N137" s="2" t="s">
        <v>440</v>
      </c>
      <c r="O137" s="2" t="s">
        <v>136</v>
      </c>
      <c r="P137" s="2" t="s">
        <v>2083</v>
      </c>
      <c r="Q137" s="2" t="s">
        <v>104</v>
      </c>
      <c r="R137" s="2" t="s">
        <v>405</v>
      </c>
      <c r="S137" s="2" t="s">
        <v>35</v>
      </c>
      <c r="T137" s="153">
        <v>1.9</v>
      </c>
      <c r="U137" s="2" t="s">
        <v>1897</v>
      </c>
      <c r="V137" s="165">
        <v>2.9000000000000001E-2</v>
      </c>
      <c r="W137" s="167">
        <v>7.9600000000000004E-2</v>
      </c>
      <c r="X137" s="4" t="s">
        <v>411</v>
      </c>
      <c r="Y137" s="4" t="s">
        <v>136</v>
      </c>
      <c r="Z137" s="153">
        <v>24000</v>
      </c>
      <c r="AA137" s="153">
        <v>1</v>
      </c>
      <c r="AB137" s="153">
        <v>93.238</v>
      </c>
      <c r="AC137" s="11"/>
      <c r="AD137" s="153">
        <v>22.376999999999999</v>
      </c>
      <c r="AG137" s="2" t="s">
        <v>37</v>
      </c>
      <c r="AH137" s="167">
        <v>1.2E-4</v>
      </c>
      <c r="AI137" s="167">
        <v>5.4408726133534204E-3</v>
      </c>
      <c r="AJ137" s="167">
        <v>2.1163928281359499E-3</v>
      </c>
      <c r="AK137" s="161"/>
      <c r="AL137" s="153"/>
    </row>
    <row r="138" spans="1:38">
      <c r="A138" s="2" t="s">
        <v>26</v>
      </c>
      <c r="B138" s="2">
        <v>1405</v>
      </c>
      <c r="C138" s="2" t="s">
        <v>2206</v>
      </c>
      <c r="D138" s="2" t="s">
        <v>2207</v>
      </c>
      <c r="E138" s="4" t="s">
        <v>1305</v>
      </c>
      <c r="F138" s="2" t="s">
        <v>2208</v>
      </c>
      <c r="G138" s="2" t="s">
        <v>2209</v>
      </c>
      <c r="H138" s="2" t="s">
        <v>319</v>
      </c>
      <c r="I138" s="2" t="s">
        <v>966</v>
      </c>
      <c r="J138" s="2" t="s">
        <v>31</v>
      </c>
      <c r="K138" s="2" t="s">
        <v>31</v>
      </c>
      <c r="L138" s="2" t="s">
        <v>325</v>
      </c>
      <c r="M138" s="2" t="s">
        <v>40</v>
      </c>
      <c r="N138" s="2" t="s">
        <v>461</v>
      </c>
      <c r="O138" s="2" t="s">
        <v>136</v>
      </c>
      <c r="P138" s="2" t="s">
        <v>1720</v>
      </c>
      <c r="Q138" s="2" t="s">
        <v>104</v>
      </c>
      <c r="R138" s="2" t="s">
        <v>405</v>
      </c>
      <c r="S138" s="2" t="s">
        <v>35</v>
      </c>
      <c r="T138" s="153">
        <v>3.18</v>
      </c>
      <c r="U138" s="2" t="s">
        <v>2210</v>
      </c>
      <c r="V138" s="165">
        <v>4.1000000000000002E-2</v>
      </c>
      <c r="W138" s="167">
        <v>5.849E-2</v>
      </c>
      <c r="X138" s="4" t="s">
        <v>411</v>
      </c>
      <c r="Y138" s="4" t="s">
        <v>136</v>
      </c>
      <c r="Z138" s="153">
        <v>10111.11</v>
      </c>
      <c r="AA138" s="153">
        <v>1</v>
      </c>
      <c r="AB138" s="153">
        <v>96.54</v>
      </c>
      <c r="AC138" s="11"/>
      <c r="AD138" s="153">
        <v>9.7609999999999992</v>
      </c>
      <c r="AG138" s="2" t="s">
        <v>37</v>
      </c>
      <c r="AH138" s="167">
        <v>2.0000000000000002E-5</v>
      </c>
      <c r="AI138" s="167">
        <v>2.37338740628252E-3</v>
      </c>
      <c r="AJ138" s="167">
        <v>9.2320119252867596E-4</v>
      </c>
      <c r="AK138" s="161"/>
      <c r="AL138" s="153"/>
    </row>
    <row r="139" spans="1:38">
      <c r="A139" s="2" t="s">
        <v>26</v>
      </c>
      <c r="B139" s="2">
        <v>1405</v>
      </c>
      <c r="C139" s="2" t="s">
        <v>2206</v>
      </c>
      <c r="D139" s="2" t="s">
        <v>2207</v>
      </c>
      <c r="E139" s="4" t="s">
        <v>1305</v>
      </c>
      <c r="F139" s="2" t="s">
        <v>2211</v>
      </c>
      <c r="G139" t="s">
        <v>2209</v>
      </c>
      <c r="H139" s="2" t="s">
        <v>319</v>
      </c>
      <c r="I139" s="2" t="s">
        <v>966</v>
      </c>
      <c r="J139" s="2" t="s">
        <v>31</v>
      </c>
      <c r="K139" s="2" t="s">
        <v>31</v>
      </c>
      <c r="L139" s="23" t="s">
        <v>327</v>
      </c>
      <c r="M139" s="2" t="s">
        <v>40</v>
      </c>
      <c r="N139" s="2" t="s">
        <v>461</v>
      </c>
      <c r="O139" s="2" t="s">
        <v>136</v>
      </c>
      <c r="P139" s="2" t="s">
        <v>1720</v>
      </c>
      <c r="Q139" s="2" t="s">
        <v>104</v>
      </c>
      <c r="R139" s="2" t="s">
        <v>405</v>
      </c>
      <c r="S139" s="2" t="s">
        <v>35</v>
      </c>
      <c r="T139" s="153">
        <v>3.18</v>
      </c>
      <c r="U139" s="2" t="s">
        <v>2210</v>
      </c>
      <c r="V139" s="165">
        <v>4.1000000000000002E-2</v>
      </c>
      <c r="W139" s="167">
        <v>5.8500000000000003E-2</v>
      </c>
      <c r="X139" s="4" t="s">
        <v>411</v>
      </c>
      <c r="Y139" s="4" t="s">
        <v>136</v>
      </c>
      <c r="Z139" s="153">
        <v>66000</v>
      </c>
      <c r="AA139" s="153">
        <v>1</v>
      </c>
      <c r="AB139" s="153">
        <v>95.132999999999996</v>
      </c>
      <c r="AC139" s="11"/>
      <c r="AD139" s="153">
        <v>62.787999999999997</v>
      </c>
      <c r="AG139" s="2" t="s">
        <v>37</v>
      </c>
      <c r="AH139" s="167">
        <v>0</v>
      </c>
      <c r="AI139" s="167">
        <v>1.5266418912775701E-2</v>
      </c>
      <c r="AJ139" s="167">
        <v>5.9383377987972602E-3</v>
      </c>
      <c r="AK139" s="161"/>
      <c r="AL139" s="153"/>
    </row>
    <row r="140" spans="1:38">
      <c r="A140" s="2" t="s">
        <v>26</v>
      </c>
      <c r="B140" s="2">
        <v>1405</v>
      </c>
      <c r="C140" s="2" t="s">
        <v>2212</v>
      </c>
      <c r="D140" s="2" t="s">
        <v>2213</v>
      </c>
      <c r="E140" s="4" t="s">
        <v>1305</v>
      </c>
      <c r="F140" s="2" t="s">
        <v>2214</v>
      </c>
      <c r="G140" s="2" t="s">
        <v>2215</v>
      </c>
      <c r="H140" s="2" t="s">
        <v>319</v>
      </c>
      <c r="I140" s="2" t="s">
        <v>966</v>
      </c>
      <c r="J140" s="2" t="s">
        <v>31</v>
      </c>
      <c r="K140" s="2" t="s">
        <v>31</v>
      </c>
      <c r="L140" s="2" t="s">
        <v>325</v>
      </c>
      <c r="M140" s="2" t="s">
        <v>40</v>
      </c>
      <c r="N140" s="2" t="s">
        <v>460</v>
      </c>
      <c r="O140" s="2" t="s">
        <v>136</v>
      </c>
      <c r="P140" s="2" t="s">
        <v>1772</v>
      </c>
      <c r="Q140" s="2" t="s">
        <v>412</v>
      </c>
      <c r="R140" s="2" t="s">
        <v>405</v>
      </c>
      <c r="S140" s="2" t="s">
        <v>35</v>
      </c>
      <c r="T140" s="153">
        <v>3.0059999999999998</v>
      </c>
      <c r="U140" s="2" t="s">
        <v>2137</v>
      </c>
      <c r="V140" s="165">
        <v>2.6200000000000001E-2</v>
      </c>
      <c r="W140" s="167">
        <v>5.0659999999999997E-2</v>
      </c>
      <c r="X140" s="4" t="s">
        <v>411</v>
      </c>
      <c r="Y140" s="4" t="s">
        <v>136</v>
      </c>
      <c r="Z140" s="153">
        <v>19474.04</v>
      </c>
      <c r="AA140" s="153">
        <v>1</v>
      </c>
      <c r="AB140" s="153">
        <v>93.7</v>
      </c>
      <c r="AC140" s="11"/>
      <c r="AD140" s="153">
        <v>18.247</v>
      </c>
      <c r="AG140" s="2" t="s">
        <v>37</v>
      </c>
      <c r="AH140" s="167">
        <v>3.8999999999999999E-5</v>
      </c>
      <c r="AI140" s="167">
        <v>4.4366804762570201E-3</v>
      </c>
      <c r="AJ140" s="167">
        <v>1.7257817647919199E-3</v>
      </c>
      <c r="AK140" s="161"/>
      <c r="AL140" s="153"/>
    </row>
    <row r="141" spans="1:38">
      <c r="A141" s="2" t="s">
        <v>26</v>
      </c>
      <c r="B141" s="2">
        <v>1405</v>
      </c>
      <c r="C141" s="2" t="s">
        <v>2216</v>
      </c>
      <c r="D141" s="2" t="s">
        <v>2217</v>
      </c>
      <c r="E141" s="4" t="s">
        <v>1305</v>
      </c>
      <c r="F141" s="2" t="s">
        <v>2218</v>
      </c>
      <c r="G141" s="2" t="s">
        <v>2219</v>
      </c>
      <c r="H141" s="2" t="s">
        <v>319</v>
      </c>
      <c r="I141" s="2" t="s">
        <v>754</v>
      </c>
      <c r="J141" s="2" t="s">
        <v>31</v>
      </c>
      <c r="K141" s="2" t="s">
        <v>31</v>
      </c>
      <c r="L141" s="2" t="s">
        <v>325</v>
      </c>
      <c r="M141" s="2" t="s">
        <v>40</v>
      </c>
      <c r="N141" s="2" t="s">
        <v>461</v>
      </c>
      <c r="O141" s="2" t="s">
        <v>136</v>
      </c>
      <c r="P141" s="2" t="s">
        <v>1752</v>
      </c>
      <c r="Q141" s="23" t="s">
        <v>1752</v>
      </c>
      <c r="R141" s="23" t="s">
        <v>1752</v>
      </c>
      <c r="S141" s="2" t="s">
        <v>35</v>
      </c>
      <c r="T141" s="153">
        <v>2.6</v>
      </c>
      <c r="U141" s="2" t="s">
        <v>1908</v>
      </c>
      <c r="V141" s="165">
        <v>3.5180000000000003E-2</v>
      </c>
      <c r="W141" s="167">
        <v>3.7519999999999998E-2</v>
      </c>
      <c r="X141" s="4" t="s">
        <v>411</v>
      </c>
      <c r="Y141" s="4" t="s">
        <v>136</v>
      </c>
      <c r="Z141" s="153">
        <v>10000</v>
      </c>
      <c r="AA141" s="153">
        <v>1</v>
      </c>
      <c r="AB141" s="153">
        <v>104.9</v>
      </c>
      <c r="AC141" s="11"/>
      <c r="AD141" s="153">
        <v>10.49</v>
      </c>
      <c r="AG141" s="2" t="s">
        <v>37</v>
      </c>
      <c r="AH141" s="167">
        <v>1.5E-5</v>
      </c>
      <c r="AI141" s="167">
        <v>2.5505743750284899E-3</v>
      </c>
      <c r="AJ141" s="167">
        <v>9.9212345124371506E-4</v>
      </c>
      <c r="AK141" s="161"/>
      <c r="AL141" s="153"/>
    </row>
    <row r="142" spans="1:38">
      <c r="A142" s="2" t="s">
        <v>26</v>
      </c>
      <c r="B142" s="2">
        <v>1405</v>
      </c>
      <c r="C142" s="2" t="s">
        <v>2220</v>
      </c>
      <c r="D142" s="2" t="s">
        <v>2221</v>
      </c>
      <c r="E142" s="4" t="s">
        <v>312</v>
      </c>
      <c r="F142" s="2" t="s">
        <v>2222</v>
      </c>
      <c r="G142" s="2" t="s">
        <v>2223</v>
      </c>
      <c r="H142" s="2" t="s">
        <v>319</v>
      </c>
      <c r="I142" s="2" t="s">
        <v>755</v>
      </c>
      <c r="J142" s="2" t="s">
        <v>73</v>
      </c>
      <c r="K142" s="2" t="s">
        <v>293</v>
      </c>
      <c r="L142" s="2" t="s">
        <v>325</v>
      </c>
      <c r="M142" s="2" t="s">
        <v>164</v>
      </c>
      <c r="N142" s="2" t="s">
        <v>566</v>
      </c>
      <c r="O142" s="2" t="s">
        <v>136</v>
      </c>
      <c r="P142" s="2" t="s">
        <v>2224</v>
      </c>
      <c r="Q142" s="2" t="s">
        <v>77</v>
      </c>
      <c r="R142" s="2" t="s">
        <v>405</v>
      </c>
      <c r="S142" s="2" t="s">
        <v>1178</v>
      </c>
      <c r="T142" s="153">
        <v>1.28</v>
      </c>
      <c r="U142" s="2" t="s">
        <v>2225</v>
      </c>
      <c r="V142" s="165">
        <v>4.2500000000000003E-2</v>
      </c>
      <c r="W142" s="167">
        <v>7.8850000000000003E-2</v>
      </c>
      <c r="X142" s="4" t="s">
        <v>411</v>
      </c>
      <c r="Y142" s="4" t="s">
        <v>136</v>
      </c>
      <c r="Z142" s="153">
        <v>3000</v>
      </c>
      <c r="AA142" s="153">
        <v>3.9790000000000001</v>
      </c>
      <c r="AB142" s="153">
        <v>94.738</v>
      </c>
      <c r="AC142" s="11"/>
      <c r="AD142" s="153">
        <v>11.59</v>
      </c>
      <c r="AG142" s="2" t="s">
        <v>37</v>
      </c>
      <c r="AH142" s="167">
        <v>6.0000000000000002E-6</v>
      </c>
      <c r="AI142" s="167">
        <v>2.81793561280486E-3</v>
      </c>
      <c r="AJ142" s="167">
        <v>1.0961217335712101E-3</v>
      </c>
      <c r="AK142" s="161"/>
      <c r="AL142" s="153"/>
    </row>
    <row r="143" spans="1:38">
      <c r="A143" s="2" t="s">
        <v>26</v>
      </c>
      <c r="B143" s="2">
        <v>1405</v>
      </c>
      <c r="C143" s="2" t="s">
        <v>2226</v>
      </c>
      <c r="D143" s="2" t="s">
        <v>2227</v>
      </c>
      <c r="E143" s="4" t="s">
        <v>312</v>
      </c>
      <c r="F143" s="2" t="s">
        <v>2228</v>
      </c>
      <c r="G143" s="2" t="s">
        <v>2229</v>
      </c>
      <c r="H143" s="2" t="s">
        <v>319</v>
      </c>
      <c r="I143" s="2" t="s">
        <v>755</v>
      </c>
      <c r="J143" s="2" t="s">
        <v>73</v>
      </c>
      <c r="K143" s="2" t="s">
        <v>296</v>
      </c>
      <c r="L143" s="2" t="s">
        <v>325</v>
      </c>
      <c r="M143" s="2" t="s">
        <v>164</v>
      </c>
      <c r="N143" s="2" t="s">
        <v>451</v>
      </c>
      <c r="O143" s="2" t="s">
        <v>136</v>
      </c>
      <c r="P143" s="2" t="s">
        <v>1714</v>
      </c>
      <c r="Q143" s="2" t="s">
        <v>77</v>
      </c>
      <c r="R143" s="2" t="s">
        <v>405</v>
      </c>
      <c r="S143" s="2" t="s">
        <v>78</v>
      </c>
      <c r="T143" s="153">
        <v>3.63</v>
      </c>
      <c r="U143" s="2" t="s">
        <v>2230</v>
      </c>
      <c r="V143" s="165">
        <v>5.3749999999999999E-2</v>
      </c>
      <c r="W143" s="167">
        <v>8.9200000000000002E-2</v>
      </c>
      <c r="X143" s="4" t="s">
        <v>411</v>
      </c>
      <c r="Y143" s="4" t="s">
        <v>136</v>
      </c>
      <c r="Z143" s="153">
        <v>4000</v>
      </c>
      <c r="AA143" s="153">
        <v>3.681</v>
      </c>
      <c r="AB143" s="153">
        <v>91.602000000000004</v>
      </c>
      <c r="AC143" s="161">
        <v>0.107</v>
      </c>
      <c r="AD143" s="153">
        <v>13.882999999999999</v>
      </c>
      <c r="AG143" s="2" t="s">
        <v>37</v>
      </c>
      <c r="AH143" s="167">
        <v>6.0000000000000002E-6</v>
      </c>
      <c r="AI143" s="167">
        <v>3.37560518630531E-3</v>
      </c>
      <c r="AJ143" s="167">
        <v>1.3130442696602401E-3</v>
      </c>
      <c r="AK143" s="161"/>
      <c r="AL143" s="153"/>
    </row>
    <row r="144" spans="1:38">
      <c r="A144" s="2" t="s">
        <v>26</v>
      </c>
      <c r="B144" s="2">
        <v>1405</v>
      </c>
      <c r="C144" s="2" t="s">
        <v>2226</v>
      </c>
      <c r="D144" s="2" t="s">
        <v>2227</v>
      </c>
      <c r="E144" s="4" t="s">
        <v>312</v>
      </c>
      <c r="F144" s="2" t="s">
        <v>2231</v>
      </c>
      <c r="G144" s="2" t="s">
        <v>2232</v>
      </c>
      <c r="H144" s="2" t="s">
        <v>319</v>
      </c>
      <c r="I144" s="2" t="s">
        <v>755</v>
      </c>
      <c r="J144" s="2" t="s">
        <v>73</v>
      </c>
      <c r="K144" s="2" t="s">
        <v>296</v>
      </c>
      <c r="L144" s="2" t="s">
        <v>325</v>
      </c>
      <c r="M144" s="2" t="s">
        <v>164</v>
      </c>
      <c r="N144" s="2" t="s">
        <v>451</v>
      </c>
      <c r="O144" s="2" t="s">
        <v>136</v>
      </c>
      <c r="P144" s="2" t="s">
        <v>1714</v>
      </c>
      <c r="Q144" s="2" t="s">
        <v>77</v>
      </c>
      <c r="R144" s="2" t="s">
        <v>405</v>
      </c>
      <c r="S144" s="2" t="s">
        <v>78</v>
      </c>
      <c r="T144" s="153">
        <v>5.72</v>
      </c>
      <c r="U144" s="2" t="s">
        <v>2233</v>
      </c>
      <c r="V144" s="165">
        <v>5.8749999999999997E-2</v>
      </c>
      <c r="W144" s="167">
        <v>9.0700000000000003E-2</v>
      </c>
      <c r="X144" s="4" t="s">
        <v>411</v>
      </c>
      <c r="Y144" s="4" t="s">
        <v>136</v>
      </c>
      <c r="Z144" s="153">
        <v>4000</v>
      </c>
      <c r="AA144" s="153">
        <v>3.681</v>
      </c>
      <c r="AB144" s="153">
        <v>87.728999999999999</v>
      </c>
      <c r="AC144" s="161">
        <v>0.11700000000000001</v>
      </c>
      <c r="AD144" s="153">
        <v>13.35</v>
      </c>
      <c r="AG144" s="2" t="s">
        <v>37</v>
      </c>
      <c r="AH144" s="167">
        <v>6.0000000000000002E-6</v>
      </c>
      <c r="AI144" s="167">
        <v>3.2459002075962899E-3</v>
      </c>
      <c r="AJ144" s="167">
        <v>1.2625915746201899E-3</v>
      </c>
      <c r="AK144" s="161"/>
      <c r="AL144" s="153"/>
    </row>
    <row r="145" spans="1:38">
      <c r="A145" s="2" t="s">
        <v>26</v>
      </c>
      <c r="B145" s="2">
        <v>1405</v>
      </c>
      <c r="C145" s="2" t="s">
        <v>2234</v>
      </c>
      <c r="D145" s="2" t="s">
        <v>2235</v>
      </c>
      <c r="E145" s="4" t="s">
        <v>312</v>
      </c>
      <c r="F145" s="2" t="s">
        <v>2236</v>
      </c>
      <c r="G145" s="2" t="s">
        <v>2237</v>
      </c>
      <c r="H145" s="2" t="s">
        <v>319</v>
      </c>
      <c r="I145" s="2" t="s">
        <v>755</v>
      </c>
      <c r="J145" s="2" t="s">
        <v>73</v>
      </c>
      <c r="K145" s="2" t="s">
        <v>74</v>
      </c>
      <c r="L145" s="2" t="s">
        <v>325</v>
      </c>
      <c r="M145" s="2" t="s">
        <v>164</v>
      </c>
      <c r="N145" s="2" t="s">
        <v>513</v>
      </c>
      <c r="O145" s="2" t="s">
        <v>136</v>
      </c>
      <c r="P145" s="2" t="s">
        <v>1890</v>
      </c>
      <c r="Q145" s="2" t="s">
        <v>77</v>
      </c>
      <c r="R145" s="2" t="s">
        <v>405</v>
      </c>
      <c r="S145" s="2" t="s">
        <v>78</v>
      </c>
      <c r="T145" s="153">
        <v>3.45</v>
      </c>
      <c r="U145" s="2" t="s">
        <v>2230</v>
      </c>
      <c r="V145" s="165">
        <v>5.6000000000000001E-2</v>
      </c>
      <c r="W145" s="167">
        <v>5.4300000000000001E-2</v>
      </c>
      <c r="X145" s="4" t="s">
        <v>411</v>
      </c>
      <c r="Y145" s="4" t="s">
        <v>136</v>
      </c>
      <c r="Z145" s="153">
        <v>6000</v>
      </c>
      <c r="AA145" s="153">
        <v>3.681</v>
      </c>
      <c r="AB145" s="153">
        <v>101.197</v>
      </c>
      <c r="AC145" s="11"/>
      <c r="AD145" s="153">
        <v>22.35</v>
      </c>
      <c r="AG145" s="2" t="s">
        <v>37</v>
      </c>
      <c r="AH145" s="167">
        <v>7.9999999999999996E-6</v>
      </c>
      <c r="AI145" s="167">
        <v>5.4343450443348198E-3</v>
      </c>
      <c r="AJ145" s="167">
        <v>2.1138537317009001E-3</v>
      </c>
      <c r="AK145" s="161"/>
      <c r="AL145" s="153"/>
    </row>
    <row r="146" spans="1:38">
      <c r="A146" s="2" t="s">
        <v>26</v>
      </c>
      <c r="B146" s="2">
        <v>1405</v>
      </c>
      <c r="C146" s="2" t="s">
        <v>2238</v>
      </c>
      <c r="D146" s="2" t="s">
        <v>2239</v>
      </c>
      <c r="E146" s="4" t="s">
        <v>312</v>
      </c>
      <c r="F146" s="2" t="s">
        <v>2240</v>
      </c>
      <c r="G146" s="2" t="s">
        <v>2241</v>
      </c>
      <c r="H146" s="2" t="s">
        <v>319</v>
      </c>
      <c r="I146" s="2" t="s">
        <v>755</v>
      </c>
      <c r="J146" s="2" t="s">
        <v>73</v>
      </c>
      <c r="K146" s="2" t="s">
        <v>233</v>
      </c>
      <c r="L146" s="2" t="s">
        <v>325</v>
      </c>
      <c r="M146" s="2" t="s">
        <v>164</v>
      </c>
      <c r="N146" s="2" t="s">
        <v>484</v>
      </c>
      <c r="O146" s="2" t="s">
        <v>136</v>
      </c>
      <c r="P146" s="2" t="s">
        <v>2242</v>
      </c>
      <c r="Q146" s="2" t="s">
        <v>77</v>
      </c>
      <c r="R146" s="2" t="s">
        <v>405</v>
      </c>
      <c r="S146" s="2" t="s">
        <v>78</v>
      </c>
      <c r="T146" s="153">
        <v>1.1599999999999999</v>
      </c>
      <c r="U146" s="2" t="s">
        <v>2243</v>
      </c>
      <c r="V146" s="165">
        <v>0.09</v>
      </c>
      <c r="W146" s="167">
        <v>8.1780000000000005E-2</v>
      </c>
      <c r="X146" s="4" t="s">
        <v>411</v>
      </c>
      <c r="Y146" s="4" t="s">
        <v>136</v>
      </c>
      <c r="Z146" s="153">
        <v>19000</v>
      </c>
      <c r="AA146" s="153">
        <v>3.681</v>
      </c>
      <c r="AB146" s="153">
        <v>100.85</v>
      </c>
      <c r="AC146" s="11"/>
      <c r="AD146" s="153">
        <v>71.844999999999999</v>
      </c>
      <c r="AG146" s="2" t="s">
        <v>37</v>
      </c>
      <c r="AH146" s="167">
        <v>3.0000000000000001E-5</v>
      </c>
      <c r="AI146" s="167">
        <v>1.7468598869707301E-2</v>
      </c>
      <c r="AJ146" s="167">
        <v>6.7949426484818602E-3</v>
      </c>
      <c r="AK146" s="161"/>
      <c r="AL146" s="153"/>
    </row>
    <row r="147" spans="1:38">
      <c r="A147" s="2" t="s">
        <v>26</v>
      </c>
      <c r="B147" s="2">
        <v>1405</v>
      </c>
      <c r="C147" s="2" t="s">
        <v>1648</v>
      </c>
      <c r="D147" s="2" t="s">
        <v>1649</v>
      </c>
      <c r="E147" s="4" t="s">
        <v>312</v>
      </c>
      <c r="F147" s="2" t="s">
        <v>2244</v>
      </c>
      <c r="G147" s="2" t="s">
        <v>2245</v>
      </c>
      <c r="H147" s="2" t="s">
        <v>319</v>
      </c>
      <c r="I147" s="2" t="s">
        <v>755</v>
      </c>
      <c r="J147" s="2" t="s">
        <v>73</v>
      </c>
      <c r="K147" s="2" t="s">
        <v>74</v>
      </c>
      <c r="L147" s="2" t="s">
        <v>325</v>
      </c>
      <c r="M147" s="2" t="s">
        <v>164</v>
      </c>
      <c r="N147" s="2" t="s">
        <v>534</v>
      </c>
      <c r="O147" s="2" t="s">
        <v>136</v>
      </c>
      <c r="P147" s="2" t="s">
        <v>1724</v>
      </c>
      <c r="Q147" s="2" t="s">
        <v>77</v>
      </c>
      <c r="R147" s="2" t="s">
        <v>405</v>
      </c>
      <c r="S147" s="2" t="s">
        <v>78</v>
      </c>
      <c r="T147" s="153">
        <v>6.63</v>
      </c>
      <c r="U147" s="2" t="s">
        <v>2246</v>
      </c>
      <c r="V147" s="165">
        <v>4.9119999999999997E-2</v>
      </c>
      <c r="W147" s="167">
        <v>5.5989999999999998E-2</v>
      </c>
      <c r="X147" s="4" t="s">
        <v>411</v>
      </c>
      <c r="Y147" s="4" t="s">
        <v>136</v>
      </c>
      <c r="Z147" s="153">
        <v>3000</v>
      </c>
      <c r="AA147" s="153">
        <v>3.681</v>
      </c>
      <c r="AB147" s="153">
        <v>97.835999999999999</v>
      </c>
      <c r="AC147" s="11"/>
      <c r="AD147" s="153">
        <v>10.901999999999999</v>
      </c>
      <c r="AG147" s="2" t="s">
        <v>37</v>
      </c>
      <c r="AH147" s="167">
        <v>9.9999999999999995E-7</v>
      </c>
      <c r="AI147" s="167">
        <v>2.6507418601041102E-3</v>
      </c>
      <c r="AJ147" s="167">
        <v>1.0310866400723201E-3</v>
      </c>
      <c r="AK147" s="161"/>
      <c r="AL147" s="153"/>
    </row>
    <row r="148" spans="1:38">
      <c r="A148" s="2" t="s">
        <v>26</v>
      </c>
      <c r="B148" s="2">
        <v>1405</v>
      </c>
      <c r="C148" s="2" t="s">
        <v>1176</v>
      </c>
      <c r="D148" s="2" t="s">
        <v>1364</v>
      </c>
      <c r="E148" s="4" t="s">
        <v>1305</v>
      </c>
      <c r="F148" s="2" t="s">
        <v>2247</v>
      </c>
      <c r="G148" s="2" t="s">
        <v>2248</v>
      </c>
      <c r="H148" s="2" t="s">
        <v>319</v>
      </c>
      <c r="I148" s="2" t="s">
        <v>755</v>
      </c>
      <c r="J148" s="2" t="s">
        <v>31</v>
      </c>
      <c r="K148" s="2" t="s">
        <v>31</v>
      </c>
      <c r="L148" s="2" t="s">
        <v>325</v>
      </c>
      <c r="M148" s="2" t="s">
        <v>164</v>
      </c>
      <c r="N148" s="2" t="s">
        <v>534</v>
      </c>
      <c r="O148" s="2" t="s">
        <v>136</v>
      </c>
      <c r="P148" s="2" t="s">
        <v>2249</v>
      </c>
      <c r="Q148" s="2" t="s">
        <v>430</v>
      </c>
      <c r="R148" s="2" t="s">
        <v>405</v>
      </c>
      <c r="S148" s="2" t="s">
        <v>78</v>
      </c>
      <c r="T148" s="153">
        <v>1.69</v>
      </c>
      <c r="U148" s="2" t="s">
        <v>2250</v>
      </c>
      <c r="V148" s="165">
        <v>3.2750000000000001E-2</v>
      </c>
      <c r="W148" s="167">
        <v>6.5809999999999994E-2</v>
      </c>
      <c r="X148" s="4" t="s">
        <v>411</v>
      </c>
      <c r="Y148" s="4" t="s">
        <v>136</v>
      </c>
      <c r="Z148" s="153">
        <v>3000</v>
      </c>
      <c r="AA148" s="153">
        <v>3.681</v>
      </c>
      <c r="AB148" s="153">
        <v>92.834000000000003</v>
      </c>
      <c r="AC148" s="11"/>
      <c r="AD148" s="153">
        <v>10.313000000000001</v>
      </c>
      <c r="AG148" s="2" t="s">
        <v>37</v>
      </c>
      <c r="AH148" s="167">
        <v>3.9999999999999998E-6</v>
      </c>
      <c r="AI148" s="167">
        <v>2.5075192633648999E-3</v>
      </c>
      <c r="AJ148" s="167">
        <v>9.7537585650757396E-4</v>
      </c>
      <c r="AK148" s="161"/>
      <c r="AL148" s="153"/>
    </row>
    <row r="149" spans="1:38">
      <c r="A149" s="2" t="s">
        <v>26</v>
      </c>
      <c r="B149" s="2">
        <v>1405</v>
      </c>
      <c r="C149" s="2" t="s">
        <v>1710</v>
      </c>
      <c r="D149" s="2" t="s">
        <v>1711</v>
      </c>
      <c r="E149" s="4" t="s">
        <v>1305</v>
      </c>
      <c r="F149" s="2" t="s">
        <v>2251</v>
      </c>
      <c r="G149" s="2" t="s">
        <v>2252</v>
      </c>
      <c r="H149" s="2" t="s">
        <v>319</v>
      </c>
      <c r="I149" s="2" t="s">
        <v>755</v>
      </c>
      <c r="J149" s="2" t="s">
        <v>31</v>
      </c>
      <c r="K149" s="2" t="s">
        <v>31</v>
      </c>
      <c r="L149" s="2" t="s">
        <v>325</v>
      </c>
      <c r="M149" s="2" t="s">
        <v>164</v>
      </c>
      <c r="N149" s="2" t="s">
        <v>484</v>
      </c>
      <c r="O149" s="2" t="s">
        <v>136</v>
      </c>
      <c r="P149" s="2" t="s">
        <v>2253</v>
      </c>
      <c r="Q149" s="2" t="s">
        <v>164</v>
      </c>
      <c r="R149" s="2" t="s">
        <v>407</v>
      </c>
      <c r="S149" s="2" t="s">
        <v>78</v>
      </c>
      <c r="T149" s="153">
        <v>2.79</v>
      </c>
      <c r="U149" s="2" t="s">
        <v>1822</v>
      </c>
      <c r="V149" s="165">
        <v>6.5000000000000002E-2</v>
      </c>
      <c r="W149" s="167">
        <v>7.7990000000000004E-2</v>
      </c>
      <c r="X149" s="4" t="s">
        <v>411</v>
      </c>
      <c r="Y149" s="4" t="s">
        <v>136</v>
      </c>
      <c r="Z149" s="153">
        <v>2000</v>
      </c>
      <c r="AA149" s="153">
        <v>3.681</v>
      </c>
      <c r="AB149" s="153">
        <v>96.843000000000004</v>
      </c>
      <c r="AC149" s="11"/>
      <c r="AD149" s="153">
        <v>7.2489999999999997</v>
      </c>
      <c r="AG149" s="2" t="s">
        <v>37</v>
      </c>
      <c r="AH149" s="167">
        <v>3.0000000000000001E-6</v>
      </c>
      <c r="AI149" s="167">
        <v>1.7625986535357099E-3</v>
      </c>
      <c r="AJ149" s="167">
        <v>6.8561633662764601E-4</v>
      </c>
      <c r="AK149" s="161"/>
      <c r="AL149" s="153"/>
    </row>
    <row r="150" spans="1:38">
      <c r="A150" s="2" t="s">
        <v>26</v>
      </c>
      <c r="B150" s="2">
        <v>1405</v>
      </c>
      <c r="C150" s="2" t="s">
        <v>2254</v>
      </c>
      <c r="D150" s="2" t="s">
        <v>2255</v>
      </c>
      <c r="E150" s="4" t="s">
        <v>312</v>
      </c>
      <c r="F150" s="2" t="s">
        <v>2256</v>
      </c>
      <c r="G150" s="2" t="s">
        <v>2257</v>
      </c>
      <c r="H150" s="2" t="s">
        <v>319</v>
      </c>
      <c r="I150" s="2" t="s">
        <v>755</v>
      </c>
      <c r="J150" s="2" t="s">
        <v>73</v>
      </c>
      <c r="K150" s="2" t="s">
        <v>241</v>
      </c>
      <c r="L150" s="2" t="s">
        <v>325</v>
      </c>
      <c r="M150" s="2" t="s">
        <v>164</v>
      </c>
      <c r="N150" s="2" t="s">
        <v>507</v>
      </c>
      <c r="O150" s="2" t="s">
        <v>136</v>
      </c>
      <c r="P150" s="2" t="s">
        <v>2083</v>
      </c>
      <c r="Q150" s="2" t="s">
        <v>77</v>
      </c>
      <c r="R150" s="2" t="s">
        <v>405</v>
      </c>
      <c r="S150" s="2" t="s">
        <v>78</v>
      </c>
      <c r="T150" s="153">
        <v>7.02</v>
      </c>
      <c r="U150" s="2" t="s">
        <v>2258</v>
      </c>
      <c r="V150" s="165">
        <v>5.8749999999999997E-2</v>
      </c>
      <c r="W150" s="167">
        <v>5.5879999999999999E-2</v>
      </c>
      <c r="X150" s="4" t="s">
        <v>411</v>
      </c>
      <c r="Y150" s="4" t="s">
        <v>136</v>
      </c>
      <c r="Z150" s="153">
        <v>6000</v>
      </c>
      <c r="AA150" s="153">
        <v>3.681</v>
      </c>
      <c r="AB150" s="153">
        <v>102.749</v>
      </c>
      <c r="AC150" s="11"/>
      <c r="AD150" s="153">
        <v>22.751000000000001</v>
      </c>
      <c r="AG150" s="2" t="s">
        <v>37</v>
      </c>
      <c r="AH150" s="167">
        <v>7.9999999999999996E-6</v>
      </c>
      <c r="AI150" s="167">
        <v>5.5317103259199998E-3</v>
      </c>
      <c r="AJ150" s="167">
        <v>2.1517269182832399E-3</v>
      </c>
      <c r="AK150" s="161"/>
      <c r="AL150" s="153"/>
    </row>
    <row r="151" spans="1:38">
      <c r="A151" s="2" t="s">
        <v>26</v>
      </c>
      <c r="B151" s="2">
        <v>1405</v>
      </c>
      <c r="C151" s="2" t="s">
        <v>2259</v>
      </c>
      <c r="D151" s="2" t="s">
        <v>2260</v>
      </c>
      <c r="E151" s="4" t="s">
        <v>312</v>
      </c>
      <c r="F151" s="2" t="s">
        <v>2261</v>
      </c>
      <c r="G151" s="2" t="s">
        <v>2262</v>
      </c>
      <c r="H151" s="2" t="s">
        <v>319</v>
      </c>
      <c r="I151" s="2" t="s">
        <v>755</v>
      </c>
      <c r="J151" s="2" t="s">
        <v>73</v>
      </c>
      <c r="K151" s="21" t="s">
        <v>74</v>
      </c>
      <c r="L151" s="2" t="s">
        <v>325</v>
      </c>
      <c r="M151" s="2" t="s">
        <v>164</v>
      </c>
      <c r="N151" s="2" t="s">
        <v>2263</v>
      </c>
      <c r="O151" s="2" t="s">
        <v>136</v>
      </c>
      <c r="P151" s="2" t="s">
        <v>1890</v>
      </c>
      <c r="Q151" s="2" t="s">
        <v>77</v>
      </c>
      <c r="R151" s="2" t="s">
        <v>405</v>
      </c>
      <c r="S151" s="2" t="s">
        <v>78</v>
      </c>
      <c r="T151" s="153">
        <v>6.92</v>
      </c>
      <c r="U151" s="2" t="s">
        <v>2264</v>
      </c>
      <c r="V151" s="165">
        <v>5.8869999999999999E-2</v>
      </c>
      <c r="W151" s="167">
        <v>5.8110000000000002E-2</v>
      </c>
      <c r="X151" s="4" t="s">
        <v>411</v>
      </c>
      <c r="Y151" s="4" t="s">
        <v>136</v>
      </c>
      <c r="Z151" s="153">
        <v>6000</v>
      </c>
      <c r="AA151" s="153">
        <v>3.681</v>
      </c>
      <c r="AB151" s="153">
        <v>102.133</v>
      </c>
      <c r="AC151" s="11"/>
      <c r="AD151" s="153">
        <v>22.936</v>
      </c>
      <c r="AG151" s="2" t="s">
        <v>37</v>
      </c>
      <c r="AH151" s="167">
        <v>7.9999999999999996E-6</v>
      </c>
      <c r="AI151" s="167">
        <v>5.57681511591465E-3</v>
      </c>
      <c r="AJ151" s="167">
        <v>2.1692717977250002E-3</v>
      </c>
      <c r="AK151" s="161"/>
      <c r="AL151" s="153"/>
    </row>
    <row r="152" spans="1:38">
      <c r="A152" s="2" t="s">
        <v>26</v>
      </c>
      <c r="B152" s="2">
        <v>1405</v>
      </c>
      <c r="C152" s="2" t="s">
        <v>1518</v>
      </c>
      <c r="D152" s="2" t="s">
        <v>1519</v>
      </c>
      <c r="E152" s="4" t="s">
        <v>1305</v>
      </c>
      <c r="F152" s="2" t="s">
        <v>2265</v>
      </c>
      <c r="G152" s="2" t="s">
        <v>2266</v>
      </c>
      <c r="H152" s="2" t="s">
        <v>319</v>
      </c>
      <c r="I152" s="2" t="s">
        <v>755</v>
      </c>
      <c r="J152" s="2" t="s">
        <v>31</v>
      </c>
      <c r="K152" s="2" t="s">
        <v>31</v>
      </c>
      <c r="L152" s="2" t="s">
        <v>325</v>
      </c>
      <c r="M152" s="2" t="s">
        <v>164</v>
      </c>
      <c r="N152" s="2" t="s">
        <v>534</v>
      </c>
      <c r="O152" s="2" t="s">
        <v>136</v>
      </c>
      <c r="P152" s="2" t="s">
        <v>2267</v>
      </c>
      <c r="Q152" s="2" t="s">
        <v>412</v>
      </c>
      <c r="R152" s="2" t="s">
        <v>407</v>
      </c>
      <c r="S152" s="2" t="s">
        <v>78</v>
      </c>
      <c r="T152" s="153">
        <v>1.87</v>
      </c>
      <c r="U152" s="2" t="s">
        <v>2268</v>
      </c>
      <c r="V152" s="165">
        <v>3.0769999999999999E-2</v>
      </c>
      <c r="W152" s="167">
        <v>7.1179999999999993E-2</v>
      </c>
      <c r="X152" s="4" t="s">
        <v>411</v>
      </c>
      <c r="Y152" s="4" t="s">
        <v>136</v>
      </c>
      <c r="Z152" s="153">
        <v>3000</v>
      </c>
      <c r="AA152" s="153">
        <v>3.681</v>
      </c>
      <c r="AB152" s="153">
        <v>91.664000000000001</v>
      </c>
      <c r="AC152" s="11"/>
      <c r="AD152" s="153">
        <v>10.286</v>
      </c>
      <c r="AG152" s="2" t="s">
        <v>37</v>
      </c>
      <c r="AH152" s="167">
        <v>5.0000000000000004E-6</v>
      </c>
      <c r="AI152" s="167">
        <v>2.5009111294337499E-3</v>
      </c>
      <c r="AJ152" s="167">
        <v>9.7280542190027804E-4</v>
      </c>
      <c r="AK152" s="161"/>
      <c r="AL152" s="153"/>
    </row>
    <row r="153" spans="1:38">
      <c r="A153" s="2" t="s">
        <v>26</v>
      </c>
      <c r="B153" s="2">
        <v>1405</v>
      </c>
      <c r="C153" s="2" t="s">
        <v>2269</v>
      </c>
      <c r="D153" s="2" t="s">
        <v>2270</v>
      </c>
      <c r="E153" s="4" t="s">
        <v>312</v>
      </c>
      <c r="F153" s="2" t="s">
        <v>2271</v>
      </c>
      <c r="G153" s="2" t="s">
        <v>2272</v>
      </c>
      <c r="H153" s="2" t="s">
        <v>319</v>
      </c>
      <c r="I153" s="2" t="s">
        <v>755</v>
      </c>
      <c r="J153" s="2" t="s">
        <v>73</v>
      </c>
      <c r="K153" s="2" t="s">
        <v>74</v>
      </c>
      <c r="L153" s="2" t="s">
        <v>325</v>
      </c>
      <c r="M153" s="2" t="s">
        <v>164</v>
      </c>
      <c r="N153" s="2" t="s">
        <v>566</v>
      </c>
      <c r="O153" s="2" t="s">
        <v>136</v>
      </c>
      <c r="P153" s="2" t="s">
        <v>2267</v>
      </c>
      <c r="Q153" s="2" t="s">
        <v>164</v>
      </c>
      <c r="R153" s="2" t="s">
        <v>407</v>
      </c>
      <c r="S153" s="2" t="s">
        <v>78</v>
      </c>
      <c r="T153" s="153">
        <v>5.85</v>
      </c>
      <c r="U153" s="2" t="s">
        <v>2273</v>
      </c>
      <c r="V153" s="165">
        <v>3.3750000000000002E-2</v>
      </c>
      <c r="W153" s="167">
        <v>6.157E-2</v>
      </c>
      <c r="X153" s="4" t="s">
        <v>411</v>
      </c>
      <c r="Y153" s="4" t="s">
        <v>136</v>
      </c>
      <c r="Z153" s="153">
        <v>7000</v>
      </c>
      <c r="AA153" s="153">
        <v>3.681</v>
      </c>
      <c r="AB153" s="153">
        <v>85.453999999999994</v>
      </c>
      <c r="AC153" s="11"/>
      <c r="AD153" s="153">
        <v>22.161000000000001</v>
      </c>
      <c r="AG153" s="2" t="s">
        <v>37</v>
      </c>
      <c r="AH153" s="167">
        <v>1.0000000000000001E-5</v>
      </c>
      <c r="AI153" s="167">
        <v>5.3884120112591798E-3</v>
      </c>
      <c r="AJ153" s="167">
        <v>2.0959866819307499E-3</v>
      </c>
      <c r="AK153" s="161"/>
      <c r="AL153" s="153"/>
    </row>
    <row r="154" spans="1:38">
      <c r="A154" s="2" t="s">
        <v>26</v>
      </c>
      <c r="B154" s="2">
        <v>1405</v>
      </c>
      <c r="C154" s="2" t="s">
        <v>2274</v>
      </c>
      <c r="D154" s="2" t="s">
        <v>2275</v>
      </c>
      <c r="E154" s="4" t="s">
        <v>312</v>
      </c>
      <c r="F154" s="2" t="s">
        <v>2276</v>
      </c>
      <c r="G154" s="2" t="s">
        <v>2277</v>
      </c>
      <c r="H154" s="2" t="s">
        <v>319</v>
      </c>
      <c r="I154" s="2" t="s">
        <v>755</v>
      </c>
      <c r="J154" s="2" t="s">
        <v>73</v>
      </c>
      <c r="K154" s="2" t="s">
        <v>74</v>
      </c>
      <c r="L154" s="2" t="s">
        <v>325</v>
      </c>
      <c r="M154" s="2" t="s">
        <v>164</v>
      </c>
      <c r="N154" s="2" t="s">
        <v>2263</v>
      </c>
      <c r="O154" s="2" t="s">
        <v>136</v>
      </c>
      <c r="P154" s="2" t="s">
        <v>2278</v>
      </c>
      <c r="Q154" s="2" t="s">
        <v>77</v>
      </c>
      <c r="R154" s="2" t="s">
        <v>405</v>
      </c>
      <c r="S154" s="2" t="s">
        <v>78</v>
      </c>
      <c r="T154" s="153">
        <v>2.39</v>
      </c>
      <c r="U154" s="2" t="s">
        <v>2279</v>
      </c>
      <c r="V154" s="165">
        <v>3.3640000000000003E-2</v>
      </c>
      <c r="W154" s="167">
        <v>6.9589999999999999E-2</v>
      </c>
      <c r="X154" s="4" t="s">
        <v>411</v>
      </c>
      <c r="Y154" s="4" t="s">
        <v>136</v>
      </c>
      <c r="Z154" s="153">
        <v>5000</v>
      </c>
      <c r="AA154" s="153">
        <v>3.681</v>
      </c>
      <c r="AB154" s="153">
        <v>91.462000000000003</v>
      </c>
      <c r="AC154" s="11"/>
      <c r="AD154" s="153">
        <v>17.065999999999999</v>
      </c>
      <c r="AG154" s="2" t="s">
        <v>37</v>
      </c>
      <c r="AH154" s="167">
        <v>1.7E-5</v>
      </c>
      <c r="AI154" s="167">
        <v>4.1494271299081604E-3</v>
      </c>
      <c r="AJ154" s="167">
        <v>1.61404584203227E-3</v>
      </c>
      <c r="AK154" s="161"/>
      <c r="AL154" s="153"/>
    </row>
    <row r="155" spans="1:38">
      <c r="A155" s="2" t="s">
        <v>26</v>
      </c>
      <c r="B155" s="2">
        <v>1405</v>
      </c>
      <c r="C155" s="2" t="s">
        <v>2280</v>
      </c>
      <c r="D155" s="2" t="s">
        <v>2281</v>
      </c>
      <c r="E155" s="4" t="s">
        <v>312</v>
      </c>
      <c r="F155" s="2" t="s">
        <v>2282</v>
      </c>
      <c r="G155" s="2" t="s">
        <v>2283</v>
      </c>
      <c r="H155" s="2" t="s">
        <v>319</v>
      </c>
      <c r="I155" s="2" t="s">
        <v>755</v>
      </c>
      <c r="J155" s="2" t="s">
        <v>73</v>
      </c>
      <c r="K155" s="2" t="s">
        <v>74</v>
      </c>
      <c r="L155" s="2" t="s">
        <v>325</v>
      </c>
      <c r="M155" s="2" t="s">
        <v>164</v>
      </c>
      <c r="N155" s="2" t="s">
        <v>534</v>
      </c>
      <c r="O155" s="2" t="s">
        <v>136</v>
      </c>
      <c r="P155" s="2" t="s">
        <v>2204</v>
      </c>
      <c r="Q155" s="2" t="s">
        <v>77</v>
      </c>
      <c r="R155" s="2" t="s">
        <v>405</v>
      </c>
      <c r="S155" s="2" t="s">
        <v>78</v>
      </c>
      <c r="T155" s="153">
        <v>3.55</v>
      </c>
      <c r="U155" s="2" t="s">
        <v>2284</v>
      </c>
      <c r="V155" s="165">
        <v>6.565E-2</v>
      </c>
      <c r="W155" s="167">
        <v>6.2109999999999999E-2</v>
      </c>
      <c r="X155" s="4" t="s">
        <v>411</v>
      </c>
      <c r="Y155" s="4" t="s">
        <v>136</v>
      </c>
      <c r="Z155" s="153">
        <v>3000</v>
      </c>
      <c r="AA155" s="153">
        <v>3.681</v>
      </c>
      <c r="AB155" s="153">
        <v>103.23699999999999</v>
      </c>
      <c r="AC155" s="11"/>
      <c r="AD155" s="153">
        <v>11.618</v>
      </c>
      <c r="AG155" s="2" t="s">
        <v>37</v>
      </c>
      <c r="AH155" s="167">
        <v>6.0000000000000002E-6</v>
      </c>
      <c r="AI155" s="167">
        <v>2.8248289075111501E-3</v>
      </c>
      <c r="AJ155" s="167">
        <v>1.09880309013207E-3</v>
      </c>
      <c r="AK155" s="161"/>
      <c r="AL155" s="153"/>
    </row>
    <row r="156" spans="1:38">
      <c r="A156" s="2" t="s">
        <v>26</v>
      </c>
      <c r="B156" s="2">
        <v>1405</v>
      </c>
      <c r="C156" s="2" t="s">
        <v>2285</v>
      </c>
      <c r="D156" s="2" t="s">
        <v>2286</v>
      </c>
      <c r="E156" s="4" t="s">
        <v>312</v>
      </c>
      <c r="F156" s="2" t="s">
        <v>2287</v>
      </c>
      <c r="G156" s="2" t="s">
        <v>2288</v>
      </c>
      <c r="H156" s="2" t="s">
        <v>319</v>
      </c>
      <c r="I156" s="2" t="s">
        <v>755</v>
      </c>
      <c r="J156" s="2" t="s">
        <v>73</v>
      </c>
      <c r="K156" s="2" t="s">
        <v>238</v>
      </c>
      <c r="L156" s="2" t="s">
        <v>325</v>
      </c>
      <c r="M156" s="2" t="s">
        <v>164</v>
      </c>
      <c r="N156" s="2" t="s">
        <v>566</v>
      </c>
      <c r="O156" s="2" t="s">
        <v>136</v>
      </c>
      <c r="P156" s="2" t="s">
        <v>2289</v>
      </c>
      <c r="Q156" s="2" t="s">
        <v>164</v>
      </c>
      <c r="R156" s="2" t="s">
        <v>407</v>
      </c>
      <c r="S156" s="2" t="s">
        <v>1178</v>
      </c>
      <c r="T156" s="153">
        <v>0.77</v>
      </c>
      <c r="U156" s="2" t="s">
        <v>2290</v>
      </c>
      <c r="V156" s="165">
        <v>0.02</v>
      </c>
      <c r="W156" s="167">
        <v>7.6300000000000007E-2</v>
      </c>
      <c r="X156" s="4" t="s">
        <v>411</v>
      </c>
      <c r="Y156" s="4" t="s">
        <v>136</v>
      </c>
      <c r="Z156" s="153">
        <v>2000</v>
      </c>
      <c r="AA156" s="153">
        <v>3.9790000000000001</v>
      </c>
      <c r="AB156" s="153">
        <v>95.575999999999993</v>
      </c>
      <c r="AC156" s="11"/>
      <c r="AD156" s="153">
        <v>7.633</v>
      </c>
      <c r="AG156" s="2" t="s">
        <v>37</v>
      </c>
      <c r="AH156" s="167">
        <v>6.9999999999999999E-6</v>
      </c>
      <c r="AI156" s="167">
        <v>1.8558301799077E-3</v>
      </c>
      <c r="AJ156" s="167">
        <v>7.2188157343645897E-4</v>
      </c>
      <c r="AK156" s="161"/>
      <c r="AL156" s="153"/>
    </row>
    <row r="157" spans="1:38">
      <c r="A157" s="2" t="s">
        <v>26</v>
      </c>
      <c r="B157" s="2">
        <v>1405</v>
      </c>
      <c r="C157" s="2" t="s">
        <v>1498</v>
      </c>
      <c r="D157" s="2" t="s">
        <v>1499</v>
      </c>
      <c r="E157" s="4" t="s">
        <v>1305</v>
      </c>
      <c r="F157" s="2" t="s">
        <v>2291</v>
      </c>
      <c r="G157" s="2" t="s">
        <v>2292</v>
      </c>
      <c r="H157" s="2" t="s">
        <v>319</v>
      </c>
      <c r="I157" s="2" t="s">
        <v>755</v>
      </c>
      <c r="J157" s="2" t="s">
        <v>31</v>
      </c>
      <c r="K157" s="2" t="s">
        <v>31</v>
      </c>
      <c r="L157" s="2" t="s">
        <v>325</v>
      </c>
      <c r="M157" s="2" t="s">
        <v>164</v>
      </c>
      <c r="N157" s="2" t="s">
        <v>464</v>
      </c>
      <c r="O157" s="2" t="s">
        <v>136</v>
      </c>
      <c r="P157" s="2" t="s">
        <v>2253</v>
      </c>
      <c r="Q157" s="2" t="s">
        <v>77</v>
      </c>
      <c r="R157" s="2" t="s">
        <v>405</v>
      </c>
      <c r="S157" s="2" t="s">
        <v>1178</v>
      </c>
      <c r="T157" s="153">
        <v>5.15</v>
      </c>
      <c r="U157" s="2" t="s">
        <v>2293</v>
      </c>
      <c r="V157" s="165">
        <v>4.3749999999999997E-2</v>
      </c>
      <c r="W157" s="167">
        <v>5.2049999999999999E-2</v>
      </c>
      <c r="X157" s="4" t="s">
        <v>411</v>
      </c>
      <c r="Y157" s="4" t="s">
        <v>136</v>
      </c>
      <c r="Z157" s="153">
        <v>15000</v>
      </c>
      <c r="AA157" s="153">
        <v>3.9790000000000001</v>
      </c>
      <c r="AB157" s="153">
        <v>96.337000000000003</v>
      </c>
      <c r="AC157" s="11"/>
      <c r="AD157" s="153">
        <v>58.523000000000003</v>
      </c>
      <c r="AG157" s="2" t="s">
        <v>37</v>
      </c>
      <c r="AH157" s="167">
        <v>1.0000000000000001E-5</v>
      </c>
      <c r="AI157" s="167">
        <v>1.42294664278436E-2</v>
      </c>
      <c r="AJ157" s="167">
        <v>5.5349836021116403E-3</v>
      </c>
      <c r="AK157" s="161"/>
      <c r="AL157" s="153"/>
    </row>
    <row r="158" spans="1:38">
      <c r="A158" s="2" t="s">
        <v>26</v>
      </c>
      <c r="B158" s="2">
        <v>1405</v>
      </c>
      <c r="C158" s="2" t="s">
        <v>1498</v>
      </c>
      <c r="D158" s="2" t="s">
        <v>1499</v>
      </c>
      <c r="E158" s="4" t="s">
        <v>1305</v>
      </c>
      <c r="F158" s="2" t="s">
        <v>2294</v>
      </c>
      <c r="G158" s="2" t="s">
        <v>2295</v>
      </c>
      <c r="H158" s="2" t="s">
        <v>319</v>
      </c>
      <c r="I158" s="2" t="s">
        <v>755</v>
      </c>
      <c r="J158" s="2" t="s">
        <v>31</v>
      </c>
      <c r="K158" s="2" t="s">
        <v>31</v>
      </c>
      <c r="L158" s="2" t="s">
        <v>325</v>
      </c>
      <c r="M158" s="2" t="s">
        <v>164</v>
      </c>
      <c r="N158" s="2" t="s">
        <v>464</v>
      </c>
      <c r="O158" s="2" t="s">
        <v>136</v>
      </c>
      <c r="P158" s="2" t="s">
        <v>2253</v>
      </c>
      <c r="Q158" s="2" t="s">
        <v>77</v>
      </c>
      <c r="R158" s="2" t="s">
        <v>405</v>
      </c>
      <c r="S158" s="2" t="s">
        <v>78</v>
      </c>
      <c r="T158" s="153">
        <v>4.3</v>
      </c>
      <c r="U158" s="2" t="s">
        <v>2296</v>
      </c>
      <c r="V158" s="165">
        <v>5.1249999999999997E-2</v>
      </c>
      <c r="W158" s="167">
        <v>6.1269999999999998E-2</v>
      </c>
      <c r="X158" s="4" t="s">
        <v>411</v>
      </c>
      <c r="Y158" s="4" t="s">
        <v>136</v>
      </c>
      <c r="Z158" s="153">
        <v>13000</v>
      </c>
      <c r="AA158" s="153">
        <v>3.681</v>
      </c>
      <c r="AB158" s="153">
        <v>96.216999999999999</v>
      </c>
      <c r="AC158" s="11"/>
      <c r="AD158" s="153">
        <v>47.003</v>
      </c>
      <c r="AG158" s="2" t="s">
        <v>37</v>
      </c>
      <c r="AH158" s="167">
        <v>1.2999999999999999E-5</v>
      </c>
      <c r="AI158" s="167">
        <v>1.14285354233482E-2</v>
      </c>
      <c r="AJ158" s="167">
        <v>4.44547632795323E-3</v>
      </c>
      <c r="AK158" s="161"/>
      <c r="AL158" s="153"/>
    </row>
    <row r="159" spans="1:38">
      <c r="A159" s="2" t="s">
        <v>26</v>
      </c>
      <c r="B159" s="2">
        <v>1405</v>
      </c>
      <c r="C159" s="2" t="s">
        <v>2297</v>
      </c>
      <c r="D159" s="2" t="s">
        <v>2298</v>
      </c>
      <c r="E159" s="4" t="s">
        <v>312</v>
      </c>
      <c r="F159" s="2" t="s">
        <v>2299</v>
      </c>
      <c r="G159" s="2" t="s">
        <v>2300</v>
      </c>
      <c r="H159" s="2" t="s">
        <v>319</v>
      </c>
      <c r="I159" s="2" t="s">
        <v>755</v>
      </c>
      <c r="J159" s="2" t="s">
        <v>73</v>
      </c>
      <c r="K159" s="2" t="s">
        <v>74</v>
      </c>
      <c r="L159" s="2" t="s">
        <v>325</v>
      </c>
      <c r="M159" s="2" t="s">
        <v>164</v>
      </c>
      <c r="N159" s="2" t="s">
        <v>528</v>
      </c>
      <c r="O159" s="2" t="s">
        <v>136</v>
      </c>
      <c r="P159" s="2" t="s">
        <v>1731</v>
      </c>
      <c r="Q159" s="2" t="s">
        <v>77</v>
      </c>
      <c r="R159" s="2" t="s">
        <v>405</v>
      </c>
      <c r="S159" s="2" t="s">
        <v>78</v>
      </c>
      <c r="T159" s="153">
        <v>4.83</v>
      </c>
      <c r="U159" s="2" t="s">
        <v>2301</v>
      </c>
      <c r="V159" s="165">
        <v>5.2999999999999999E-2</v>
      </c>
      <c r="W159" s="167">
        <v>4.9860000000000002E-2</v>
      </c>
      <c r="X159" s="4" t="s">
        <v>411</v>
      </c>
      <c r="Y159" s="4" t="s">
        <v>136</v>
      </c>
      <c r="Z159" s="153">
        <v>3000</v>
      </c>
      <c r="AA159" s="153">
        <v>3.681</v>
      </c>
      <c r="AB159" s="153">
        <v>102.42100000000001</v>
      </c>
      <c r="AC159" s="11"/>
      <c r="AD159" s="153">
        <v>11.384</v>
      </c>
      <c r="AG159" s="2" t="s">
        <v>37</v>
      </c>
      <c r="AH159" s="167">
        <v>1.9999999999999999E-6</v>
      </c>
      <c r="AI159" s="167">
        <v>2.7678256636940201E-3</v>
      </c>
      <c r="AJ159" s="167">
        <v>1.0766299453135401E-3</v>
      </c>
      <c r="AK159" s="161"/>
      <c r="AL159" s="153"/>
    </row>
    <row r="160" spans="1:38">
      <c r="A160" s="2" t="s">
        <v>26</v>
      </c>
      <c r="B160" s="2">
        <v>1405</v>
      </c>
      <c r="C160" s="2" t="s">
        <v>2302</v>
      </c>
      <c r="D160" s="2" t="s">
        <v>2303</v>
      </c>
      <c r="E160" s="4" t="s">
        <v>312</v>
      </c>
      <c r="F160" s="2" t="s">
        <v>2304</v>
      </c>
      <c r="G160" s="2" t="s">
        <v>2305</v>
      </c>
      <c r="H160" s="2" t="s">
        <v>319</v>
      </c>
      <c r="I160" s="2" t="s">
        <v>755</v>
      </c>
      <c r="J160" s="2" t="s">
        <v>73</v>
      </c>
      <c r="K160" s="2" t="s">
        <v>74</v>
      </c>
      <c r="L160" s="2" t="s">
        <v>325</v>
      </c>
      <c r="M160" s="2" t="s">
        <v>164</v>
      </c>
      <c r="N160" s="2" t="s">
        <v>532</v>
      </c>
      <c r="O160" s="2" t="s">
        <v>136</v>
      </c>
      <c r="P160" s="2" t="s">
        <v>2278</v>
      </c>
      <c r="Q160" s="2" t="s">
        <v>77</v>
      </c>
      <c r="R160" s="2" t="s">
        <v>405</v>
      </c>
      <c r="S160" s="2" t="s">
        <v>78</v>
      </c>
      <c r="T160" s="153">
        <v>2.0299999999999998</v>
      </c>
      <c r="U160" s="2" t="s">
        <v>2306</v>
      </c>
      <c r="V160" s="165">
        <v>3.95E-2</v>
      </c>
      <c r="W160" s="167">
        <v>5.7439999999999998E-2</v>
      </c>
      <c r="X160" s="4" t="s">
        <v>411</v>
      </c>
      <c r="Y160" s="4" t="s">
        <v>136</v>
      </c>
      <c r="Z160" s="153">
        <v>3000</v>
      </c>
      <c r="AA160" s="153">
        <v>3.681</v>
      </c>
      <c r="AB160" s="153">
        <v>96.65</v>
      </c>
      <c r="AC160" s="11"/>
      <c r="AD160" s="153">
        <v>10.8</v>
      </c>
      <c r="AG160" s="2" t="s">
        <v>37</v>
      </c>
      <c r="AH160" s="167">
        <v>9.9999999999999995E-7</v>
      </c>
      <c r="AI160" s="167">
        <v>2.6260179001755001E-3</v>
      </c>
      <c r="AJ160" s="167">
        <v>1.0214695041468099E-3</v>
      </c>
      <c r="AK160" s="161"/>
      <c r="AL160" s="153"/>
    </row>
    <row r="161" spans="1:38">
      <c r="A161" s="2" t="s">
        <v>26</v>
      </c>
      <c r="B161" s="2">
        <v>1405</v>
      </c>
      <c r="C161" s="2" t="s">
        <v>1534</v>
      </c>
      <c r="D161" s="2" t="s">
        <v>1535</v>
      </c>
      <c r="E161" s="4" t="s">
        <v>1305</v>
      </c>
      <c r="F161" s="2" t="s">
        <v>2307</v>
      </c>
      <c r="G161" s="2" t="s">
        <v>2308</v>
      </c>
      <c r="H161" s="2" t="s">
        <v>319</v>
      </c>
      <c r="I161" s="2" t="s">
        <v>966</v>
      </c>
      <c r="J161" s="2" t="s">
        <v>73</v>
      </c>
      <c r="K161" s="2" t="s">
        <v>31</v>
      </c>
      <c r="L161" s="2" t="s">
        <v>325</v>
      </c>
      <c r="M161" s="2" t="s">
        <v>40</v>
      </c>
      <c r="N161" s="2" t="s">
        <v>451</v>
      </c>
      <c r="O161" s="2" t="s">
        <v>136</v>
      </c>
      <c r="P161" s="2" t="s">
        <v>1724</v>
      </c>
      <c r="Q161" s="2" t="s">
        <v>412</v>
      </c>
      <c r="R161" s="2" t="s">
        <v>405</v>
      </c>
      <c r="S161" s="2" t="s">
        <v>35</v>
      </c>
      <c r="T161" s="153">
        <v>2.8290000000000002</v>
      </c>
      <c r="U161" s="2" t="s">
        <v>2309</v>
      </c>
      <c r="V161" s="165">
        <v>5.2499999999999998E-2</v>
      </c>
      <c r="W161" s="167">
        <v>6.0940000000000001E-2</v>
      </c>
      <c r="X161" s="4" t="s">
        <v>411</v>
      </c>
      <c r="Y161" s="4" t="s">
        <v>136</v>
      </c>
      <c r="Z161" s="153">
        <v>34000</v>
      </c>
      <c r="AA161" s="153">
        <v>1</v>
      </c>
      <c r="AB161" s="153">
        <v>99.03</v>
      </c>
      <c r="AC161" s="11"/>
      <c r="AD161" s="153">
        <v>33.67</v>
      </c>
      <c r="AG161" s="2" t="s">
        <v>37</v>
      </c>
      <c r="AH161" s="167">
        <v>1.03E-4</v>
      </c>
      <c r="AI161" s="167">
        <v>8.1866872566333706E-3</v>
      </c>
      <c r="AJ161" s="167">
        <v>3.1844609178327998E-3</v>
      </c>
      <c r="AK161" s="161"/>
      <c r="AL161" s="153"/>
    </row>
    <row r="162" spans="1:38">
      <c r="A162" s="2" t="s">
        <v>26</v>
      </c>
      <c r="B162" s="2">
        <v>1405</v>
      </c>
      <c r="C162" s="2" t="s">
        <v>2097</v>
      </c>
      <c r="D162" s="2" t="s">
        <v>2098</v>
      </c>
      <c r="E162" s="4" t="s">
        <v>311</v>
      </c>
      <c r="F162" s="2" t="s">
        <v>2310</v>
      </c>
      <c r="G162" s="2" t="s">
        <v>2311</v>
      </c>
      <c r="H162" s="2" t="s">
        <v>319</v>
      </c>
      <c r="I162" s="2" t="s">
        <v>966</v>
      </c>
      <c r="J162" s="2" t="s">
        <v>73</v>
      </c>
      <c r="K162" s="2" t="s">
        <v>74</v>
      </c>
      <c r="L162" s="2" t="s">
        <v>325</v>
      </c>
      <c r="M162" s="2" t="s">
        <v>40</v>
      </c>
      <c r="N162" s="2" t="s">
        <v>462</v>
      </c>
      <c r="O162" s="2" t="s">
        <v>136</v>
      </c>
      <c r="P162" s="2" t="s">
        <v>1739</v>
      </c>
      <c r="Q162" s="2" t="s">
        <v>412</v>
      </c>
      <c r="R162" s="2" t="s">
        <v>405</v>
      </c>
      <c r="S162" s="2" t="s">
        <v>35</v>
      </c>
      <c r="T162" s="153">
        <v>3.6259999999999999</v>
      </c>
      <c r="U162" s="2" t="s">
        <v>2312</v>
      </c>
      <c r="V162" s="165">
        <v>4.4999999999999998E-2</v>
      </c>
      <c r="W162" s="167">
        <v>6.3890000000000002E-2</v>
      </c>
      <c r="X162" s="4" t="s">
        <v>411</v>
      </c>
      <c r="Y162" s="4" t="s">
        <v>136</v>
      </c>
      <c r="Z162" s="153">
        <v>22633.56</v>
      </c>
      <c r="AA162" s="153">
        <v>1</v>
      </c>
      <c r="AB162" s="153">
        <v>95.73</v>
      </c>
      <c r="AC162" s="11"/>
      <c r="AD162" s="153">
        <v>21.667000000000002</v>
      </c>
      <c r="AG162" s="2" t="s">
        <v>37</v>
      </c>
      <c r="AH162" s="167">
        <v>3.8999999999999999E-5</v>
      </c>
      <c r="AI162" s="167">
        <v>5.2682142864245397E-3</v>
      </c>
      <c r="AJ162" s="167">
        <v>2.0492321223452201E-3</v>
      </c>
      <c r="AK162" s="161"/>
      <c r="AL162" s="153"/>
    </row>
    <row r="163" spans="1:38">
      <c r="A163" s="2" t="s">
        <v>26</v>
      </c>
      <c r="B163" s="2">
        <v>1405</v>
      </c>
      <c r="C163" s="2" t="s">
        <v>2313</v>
      </c>
      <c r="D163" s="2" t="s">
        <v>2314</v>
      </c>
      <c r="E163" s="4" t="s">
        <v>1305</v>
      </c>
      <c r="F163" s="2" t="s">
        <v>2315</v>
      </c>
      <c r="G163" s="2" t="s">
        <v>2316</v>
      </c>
      <c r="H163" s="2" t="s">
        <v>319</v>
      </c>
      <c r="I163" s="2" t="s">
        <v>966</v>
      </c>
      <c r="J163" s="2" t="s">
        <v>73</v>
      </c>
      <c r="K163" s="2" t="s">
        <v>74</v>
      </c>
      <c r="L163" s="2" t="s">
        <v>325</v>
      </c>
      <c r="M163" s="2" t="s">
        <v>40</v>
      </c>
      <c r="N163" s="2" t="s">
        <v>462</v>
      </c>
      <c r="O163" s="2" t="s">
        <v>136</v>
      </c>
      <c r="P163" s="2" t="s">
        <v>1739</v>
      </c>
      <c r="Q163" s="2" t="s">
        <v>412</v>
      </c>
      <c r="R163" s="2" t="s">
        <v>405</v>
      </c>
      <c r="S163" s="2" t="s">
        <v>35</v>
      </c>
      <c r="T163" s="153">
        <v>1.2949999999999999</v>
      </c>
      <c r="U163" s="2" t="s">
        <v>2058</v>
      </c>
      <c r="V163" s="165">
        <v>3.9300000000000002E-2</v>
      </c>
      <c r="W163" s="167">
        <v>7.3649999999999993E-2</v>
      </c>
      <c r="X163" s="4" t="s">
        <v>411</v>
      </c>
      <c r="Y163" s="4" t="s">
        <v>136</v>
      </c>
      <c r="Z163" s="153">
        <v>28668.1</v>
      </c>
      <c r="AA163" s="153">
        <v>1</v>
      </c>
      <c r="AB163" s="153">
        <v>96.54</v>
      </c>
      <c r="AC163" s="11"/>
      <c r="AD163" s="153">
        <v>27.675999999999998</v>
      </c>
      <c r="AG163" s="2" t="s">
        <v>37</v>
      </c>
      <c r="AH163" s="167">
        <v>2.5000000000000001E-5</v>
      </c>
      <c r="AI163" s="167">
        <v>6.7292817012225004E-3</v>
      </c>
      <c r="AJ163" s="167">
        <v>2.6175587158612E-3</v>
      </c>
      <c r="AK163" s="161"/>
      <c r="AL163" s="153"/>
    </row>
    <row r="164" spans="1:38">
      <c r="A164" s="2" t="s">
        <v>26</v>
      </c>
      <c r="B164" s="2">
        <v>1477</v>
      </c>
      <c r="C164" s="2" t="s">
        <v>1710</v>
      </c>
      <c r="D164" s="2" t="s">
        <v>1711</v>
      </c>
      <c r="E164" s="4" t="s">
        <v>1305</v>
      </c>
      <c r="F164" s="2" t="s">
        <v>1712</v>
      </c>
      <c r="G164" s="2" t="s">
        <v>1713</v>
      </c>
      <c r="H164" s="2" t="s">
        <v>319</v>
      </c>
      <c r="I164" s="2" t="s">
        <v>755</v>
      </c>
      <c r="J164" s="2" t="s">
        <v>31</v>
      </c>
      <c r="K164" s="2" t="s">
        <v>31</v>
      </c>
      <c r="L164" s="2" t="s">
        <v>325</v>
      </c>
      <c r="M164" s="2" t="s">
        <v>164</v>
      </c>
      <c r="N164" s="2" t="s">
        <v>484</v>
      </c>
      <c r="O164" s="2" t="s">
        <v>136</v>
      </c>
      <c r="P164" s="2" t="s">
        <v>1714</v>
      </c>
      <c r="Q164" s="2" t="s">
        <v>77</v>
      </c>
      <c r="R164" s="2" t="s">
        <v>405</v>
      </c>
      <c r="S164" s="2" t="s">
        <v>78</v>
      </c>
      <c r="T164" s="153">
        <v>1.1399999999999999</v>
      </c>
      <c r="U164" s="2" t="s">
        <v>1715</v>
      </c>
      <c r="V164" s="165">
        <v>6.1249999999999999E-2</v>
      </c>
      <c r="W164" s="167">
        <v>7.5679999999999997E-2</v>
      </c>
      <c r="X164" s="4" t="s">
        <v>411</v>
      </c>
      <c r="Y164" s="4" t="s">
        <v>136</v>
      </c>
      <c r="Z164" s="153">
        <v>1000</v>
      </c>
      <c r="AA164" s="153">
        <v>3.681</v>
      </c>
      <c r="AB164" s="153">
        <v>98.581000000000003</v>
      </c>
      <c r="AC164" s="11"/>
      <c r="AD164" s="153">
        <v>3.6850000000000001</v>
      </c>
      <c r="AG164" s="2" t="s">
        <v>37</v>
      </c>
      <c r="AH164" s="167">
        <v>1.9999999999999999E-6</v>
      </c>
      <c r="AI164" s="167">
        <v>5.40869000549147E-3</v>
      </c>
      <c r="AJ164" s="167">
        <v>3.6947541020777998E-4</v>
      </c>
      <c r="AK164" s="161"/>
      <c r="AL164" s="153"/>
    </row>
    <row r="165" spans="1:38">
      <c r="A165" s="2" t="s">
        <v>26</v>
      </c>
      <c r="B165" s="2">
        <v>1477</v>
      </c>
      <c r="C165" s="2" t="s">
        <v>1716</v>
      </c>
      <c r="D165" s="2" t="s">
        <v>1717</v>
      </c>
      <c r="E165" s="4" t="s">
        <v>1305</v>
      </c>
      <c r="F165" s="2" t="s">
        <v>1722</v>
      </c>
      <c r="G165" s="2" t="s">
        <v>1723</v>
      </c>
      <c r="H165" s="2" t="s">
        <v>319</v>
      </c>
      <c r="I165" s="2" t="s">
        <v>754</v>
      </c>
      <c r="J165" s="2" t="s">
        <v>31</v>
      </c>
      <c r="K165" s="2" t="s">
        <v>31</v>
      </c>
      <c r="L165" s="2" t="s">
        <v>325</v>
      </c>
      <c r="M165" s="2" t="s">
        <v>40</v>
      </c>
      <c r="N165" s="2" t="s">
        <v>444</v>
      </c>
      <c r="O165" s="2" t="s">
        <v>136</v>
      </c>
      <c r="P165" s="2" t="s">
        <v>1724</v>
      </c>
      <c r="Q165" s="2" t="s">
        <v>412</v>
      </c>
      <c r="R165" s="2" t="s">
        <v>405</v>
      </c>
      <c r="S165" s="2" t="s">
        <v>35</v>
      </c>
      <c r="T165" s="153">
        <v>3.2690000000000001</v>
      </c>
      <c r="U165" s="2" t="s">
        <v>1725</v>
      </c>
      <c r="V165" s="165">
        <v>3.85E-2</v>
      </c>
      <c r="W165" s="167">
        <v>3.1759999999999997E-2</v>
      </c>
      <c r="X165" s="4" t="s">
        <v>411</v>
      </c>
      <c r="Y165" s="4" t="s">
        <v>136</v>
      </c>
      <c r="Z165" s="153">
        <v>5000</v>
      </c>
      <c r="AA165" s="153">
        <v>1</v>
      </c>
      <c r="AB165" s="153">
        <v>106.03</v>
      </c>
      <c r="AC165" s="11"/>
      <c r="AD165" s="153">
        <v>5.3010000000000002</v>
      </c>
      <c r="AG165" s="2" t="s">
        <v>37</v>
      </c>
      <c r="AH165" s="167">
        <v>2.8E-5</v>
      </c>
      <c r="AI165" s="167">
        <v>7.7810430310620701E-3</v>
      </c>
      <c r="AJ165" s="167">
        <v>5.3153426482700002E-4</v>
      </c>
      <c r="AK165" s="161"/>
      <c r="AL165" s="153"/>
    </row>
    <row r="166" spans="1:38">
      <c r="A166" s="2" t="s">
        <v>26</v>
      </c>
      <c r="B166" s="2">
        <v>1477</v>
      </c>
      <c r="C166" s="2" t="s">
        <v>1391</v>
      </c>
      <c r="D166" s="2" t="s">
        <v>1392</v>
      </c>
      <c r="E166" s="4" t="s">
        <v>1305</v>
      </c>
      <c r="F166" s="2" t="s">
        <v>1741</v>
      </c>
      <c r="G166" s="2" t="s">
        <v>1742</v>
      </c>
      <c r="H166" s="2" t="s">
        <v>319</v>
      </c>
      <c r="I166" s="2" t="s">
        <v>754</v>
      </c>
      <c r="J166" s="2" t="s">
        <v>31</v>
      </c>
      <c r="K166" s="2" t="s">
        <v>31</v>
      </c>
      <c r="L166" s="2" t="s">
        <v>325</v>
      </c>
      <c r="M166" s="2" t="s">
        <v>40</v>
      </c>
      <c r="N166" s="2" t="s">
        <v>437</v>
      </c>
      <c r="O166" s="2" t="s">
        <v>136</v>
      </c>
      <c r="P166" s="2" t="s">
        <v>1724</v>
      </c>
      <c r="Q166" s="2" t="s">
        <v>412</v>
      </c>
      <c r="R166" s="2" t="s">
        <v>407</v>
      </c>
      <c r="S166" s="2" t="s">
        <v>35</v>
      </c>
      <c r="T166" s="153">
        <v>3.3180000000000001</v>
      </c>
      <c r="U166" s="2" t="s">
        <v>1743</v>
      </c>
      <c r="V166" s="165">
        <v>2.75E-2</v>
      </c>
      <c r="W166" s="167">
        <v>2.7689999999999999E-2</v>
      </c>
      <c r="X166" s="4" t="s">
        <v>411</v>
      </c>
      <c r="Y166" s="4" t="s">
        <v>136</v>
      </c>
      <c r="Z166" s="153">
        <v>22916.67</v>
      </c>
      <c r="AA166" s="153">
        <v>1</v>
      </c>
      <c r="AB166" s="153">
        <v>110.77</v>
      </c>
      <c r="AC166" s="11"/>
      <c r="AD166" s="153">
        <v>25.385000000000002</v>
      </c>
      <c r="AG166" s="2" t="s">
        <v>37</v>
      </c>
      <c r="AH166" s="167">
        <v>2.5000000000000001E-5</v>
      </c>
      <c r="AI166" s="167">
        <v>3.7257414886934598E-2</v>
      </c>
      <c r="AJ166" s="167">
        <v>2.5451077127095901E-3</v>
      </c>
      <c r="AK166" s="161"/>
      <c r="AL166" s="153"/>
    </row>
    <row r="167" spans="1:38">
      <c r="A167" s="2" t="s">
        <v>26</v>
      </c>
      <c r="B167" s="2">
        <v>1477</v>
      </c>
      <c r="C167" s="2" t="s">
        <v>1411</v>
      </c>
      <c r="D167" s="2" t="s">
        <v>1412</v>
      </c>
      <c r="E167" s="4" t="s">
        <v>1305</v>
      </c>
      <c r="F167" s="2" t="s">
        <v>1750</v>
      </c>
      <c r="G167" s="2" t="s">
        <v>1751</v>
      </c>
      <c r="H167" s="2" t="s">
        <v>319</v>
      </c>
      <c r="I167" s="2" t="s">
        <v>967</v>
      </c>
      <c r="J167" s="2" t="s">
        <v>31</v>
      </c>
      <c r="K167" s="2" t="s">
        <v>31</v>
      </c>
      <c r="L167" s="2" t="s">
        <v>325</v>
      </c>
      <c r="M167" s="2" t="s">
        <v>40</v>
      </c>
      <c r="N167" s="2" t="s">
        <v>458</v>
      </c>
      <c r="O167" s="2" t="s">
        <v>136</v>
      </c>
      <c r="P167" s="2" t="s">
        <v>1752</v>
      </c>
      <c r="Q167" s="23" t="s">
        <v>1752</v>
      </c>
      <c r="R167" s="23" t="s">
        <v>1752</v>
      </c>
      <c r="S167" s="2" t="s">
        <v>35</v>
      </c>
      <c r="T167" s="153">
        <v>3.847</v>
      </c>
      <c r="U167" s="2" t="s">
        <v>1753</v>
      </c>
      <c r="V167" s="165">
        <v>4.8500000000000001E-2</v>
      </c>
      <c r="W167" s="167">
        <v>4.8070000000000002E-2</v>
      </c>
      <c r="X167" s="4" t="s">
        <v>411</v>
      </c>
      <c r="Y167" s="4" t="s">
        <v>136</v>
      </c>
      <c r="Z167" s="153">
        <v>17000</v>
      </c>
      <c r="AA167" s="153">
        <v>1</v>
      </c>
      <c r="AB167" s="153">
        <v>101.6</v>
      </c>
      <c r="AC167" s="11"/>
      <c r="AD167" s="153">
        <v>17.271999999999998</v>
      </c>
      <c r="AG167" s="2" t="s">
        <v>37</v>
      </c>
      <c r="AH167" s="167">
        <v>6.8999999999999997E-5</v>
      </c>
      <c r="AI167" s="167">
        <v>2.5350216963596E-2</v>
      </c>
      <c r="AJ167" s="167">
        <v>1.7317098598683301E-3</v>
      </c>
      <c r="AK167" s="161"/>
      <c r="AL167" s="153"/>
    </row>
    <row r="168" spans="1:38">
      <c r="A168" s="2" t="s">
        <v>26</v>
      </c>
      <c r="B168" s="2">
        <v>1477</v>
      </c>
      <c r="C168" s="2" t="s">
        <v>2317</v>
      </c>
      <c r="D168" s="2" t="s">
        <v>2318</v>
      </c>
      <c r="E168" s="4" t="s">
        <v>1305</v>
      </c>
      <c r="F168" s="2" t="s">
        <v>2319</v>
      </c>
      <c r="G168" s="2" t="s">
        <v>2320</v>
      </c>
      <c r="H168" s="2" t="s">
        <v>319</v>
      </c>
      <c r="I168" s="2" t="s">
        <v>966</v>
      </c>
      <c r="J168" s="2" t="s">
        <v>31</v>
      </c>
      <c r="K168" s="2" t="s">
        <v>31</v>
      </c>
      <c r="L168" s="2" t="s">
        <v>325</v>
      </c>
      <c r="M168" s="2" t="s">
        <v>40</v>
      </c>
      <c r="N168" s="2" t="s">
        <v>438</v>
      </c>
      <c r="O168" s="2" t="s">
        <v>136</v>
      </c>
      <c r="P168" s="2" t="s">
        <v>2083</v>
      </c>
      <c r="Q168" s="2" t="s">
        <v>104</v>
      </c>
      <c r="R168" s="2" t="s">
        <v>407</v>
      </c>
      <c r="S168" s="2" t="s">
        <v>35</v>
      </c>
      <c r="T168" s="153">
        <v>3.82</v>
      </c>
      <c r="U168" s="2" t="s">
        <v>62</v>
      </c>
      <c r="V168" s="165">
        <v>5.5E-2</v>
      </c>
      <c r="W168" s="167">
        <v>6.694E-2</v>
      </c>
      <c r="X168" s="4" t="s">
        <v>411</v>
      </c>
      <c r="Y168" s="4" t="s">
        <v>136</v>
      </c>
      <c r="Z168" s="153">
        <v>17000</v>
      </c>
      <c r="AA168" s="153">
        <v>1</v>
      </c>
      <c r="AB168" s="153">
        <v>96.08</v>
      </c>
      <c r="AC168" s="11"/>
      <c r="AD168" s="153">
        <v>16.334</v>
      </c>
      <c r="AG168" s="2" t="s">
        <v>37</v>
      </c>
      <c r="AH168" s="167">
        <v>0</v>
      </c>
      <c r="AI168" s="167">
        <v>2.39729217112431E-2</v>
      </c>
      <c r="AJ168" s="167">
        <v>1.63762483598572E-3</v>
      </c>
      <c r="AK168" s="161"/>
      <c r="AL168" s="153"/>
    </row>
    <row r="169" spans="1:38">
      <c r="A169" s="2" t="s">
        <v>26</v>
      </c>
      <c r="B169" s="2">
        <v>1477</v>
      </c>
      <c r="C169" s="2" t="s">
        <v>1784</v>
      </c>
      <c r="D169" s="2" t="s">
        <v>1785</v>
      </c>
      <c r="E169" s="4" t="s">
        <v>34</v>
      </c>
      <c r="F169" s="2" t="s">
        <v>1786</v>
      </c>
      <c r="G169" s="2" t="s">
        <v>1787</v>
      </c>
      <c r="H169" s="2" t="s">
        <v>319</v>
      </c>
      <c r="I169" s="2" t="s">
        <v>966</v>
      </c>
      <c r="J169" s="2" t="s">
        <v>31</v>
      </c>
      <c r="K169" s="2" t="s">
        <v>74</v>
      </c>
      <c r="L169" s="2" t="s">
        <v>325</v>
      </c>
      <c r="M169" s="2" t="s">
        <v>40</v>
      </c>
      <c r="N169" s="2" t="s">
        <v>462</v>
      </c>
      <c r="O169" s="2" t="s">
        <v>136</v>
      </c>
      <c r="P169" s="2" t="s">
        <v>1752</v>
      </c>
      <c r="Q169" s="23" t="s">
        <v>1752</v>
      </c>
      <c r="R169" s="23" t="s">
        <v>1752</v>
      </c>
      <c r="S169" s="2" t="s">
        <v>35</v>
      </c>
      <c r="T169" s="153">
        <v>2.1360000000000001</v>
      </c>
      <c r="U169" s="2" t="s">
        <v>1788</v>
      </c>
      <c r="V169" s="165">
        <v>4.4999999999999998E-2</v>
      </c>
      <c r="W169" s="167">
        <v>6.9360000000000005E-2</v>
      </c>
      <c r="X169" s="4" t="s">
        <v>411</v>
      </c>
      <c r="Y169" s="4" t="s">
        <v>136</v>
      </c>
      <c r="Z169" s="153">
        <v>27000</v>
      </c>
      <c r="AA169" s="153">
        <v>1</v>
      </c>
      <c r="AB169" s="153">
        <v>96.39</v>
      </c>
      <c r="AC169" s="11"/>
      <c r="AD169" s="153">
        <v>26.024999999999999</v>
      </c>
      <c r="AG169" s="2" t="s">
        <v>37</v>
      </c>
      <c r="AH169" s="167">
        <v>7.4999999999999993E-5</v>
      </c>
      <c r="AI169" s="167">
        <v>3.8197487351938099E-2</v>
      </c>
      <c r="AJ169" s="167">
        <v>2.60932541778782E-3</v>
      </c>
      <c r="AK169" s="161"/>
      <c r="AL169" s="153"/>
    </row>
    <row r="170" spans="1:38">
      <c r="A170" s="2" t="s">
        <v>26</v>
      </c>
      <c r="B170" s="2">
        <v>1477</v>
      </c>
      <c r="C170" s="2" t="s">
        <v>1799</v>
      </c>
      <c r="D170" s="2" t="s">
        <v>1800</v>
      </c>
      <c r="E170" s="4" t="s">
        <v>1305</v>
      </c>
      <c r="F170" s="2" t="s">
        <v>1801</v>
      </c>
      <c r="G170" s="2" t="s">
        <v>1802</v>
      </c>
      <c r="H170" s="2" t="s">
        <v>319</v>
      </c>
      <c r="I170" s="2" t="s">
        <v>966</v>
      </c>
      <c r="J170" s="2" t="s">
        <v>31</v>
      </c>
      <c r="K170" s="2" t="s">
        <v>31</v>
      </c>
      <c r="L170" s="23" t="s">
        <v>327</v>
      </c>
      <c r="M170" s="2" t="s">
        <v>40</v>
      </c>
      <c r="N170" s="2" t="s">
        <v>1803</v>
      </c>
      <c r="O170" s="2" t="s">
        <v>136</v>
      </c>
      <c r="P170" s="2" t="s">
        <v>1752</v>
      </c>
      <c r="Q170" s="23" t="s">
        <v>1752</v>
      </c>
      <c r="R170" s="23" t="s">
        <v>1752</v>
      </c>
      <c r="S170" s="2" t="s">
        <v>35</v>
      </c>
      <c r="T170" s="153">
        <v>1.62</v>
      </c>
      <c r="U170" s="2" t="s">
        <v>1804</v>
      </c>
      <c r="V170" s="165">
        <v>6.5000000000000002E-2</v>
      </c>
      <c r="W170" s="167">
        <v>7.7499999999999999E-2</v>
      </c>
      <c r="X170" s="4" t="s">
        <v>411</v>
      </c>
      <c r="Y170" s="4" t="s">
        <v>136</v>
      </c>
      <c r="Z170" s="153">
        <v>8178</v>
      </c>
      <c r="AA170" s="153">
        <v>1</v>
      </c>
      <c r="AB170" s="153">
        <v>99.29</v>
      </c>
      <c r="AC170" s="11"/>
      <c r="AD170" s="153">
        <v>8.1199999999999992</v>
      </c>
      <c r="AG170" s="2" t="s">
        <v>37</v>
      </c>
      <c r="AH170" s="167">
        <v>7.3999999999999996E-5</v>
      </c>
      <c r="AI170" s="167">
        <v>1.1917678578077601E-2</v>
      </c>
      <c r="AJ170" s="167">
        <v>8.1411380147300698E-4</v>
      </c>
      <c r="AK170" s="161"/>
      <c r="AL170" s="153"/>
    </row>
    <row r="171" spans="1:38">
      <c r="A171" s="2" t="s">
        <v>26</v>
      </c>
      <c r="B171" s="2">
        <v>1477</v>
      </c>
      <c r="C171" s="2" t="s">
        <v>1799</v>
      </c>
      <c r="D171" s="2" t="s">
        <v>1800</v>
      </c>
      <c r="E171" s="4" t="s">
        <v>1305</v>
      </c>
      <c r="F171" s="2" t="s">
        <v>1805</v>
      </c>
      <c r="G171" s="2" t="s">
        <v>1802</v>
      </c>
      <c r="H171" s="2" t="s">
        <v>319</v>
      </c>
      <c r="I171" s="2" t="s">
        <v>966</v>
      </c>
      <c r="J171" s="2" t="s">
        <v>31</v>
      </c>
      <c r="K171" s="2" t="s">
        <v>31</v>
      </c>
      <c r="L171" s="2" t="s">
        <v>325</v>
      </c>
      <c r="M171" s="2" t="s">
        <v>40</v>
      </c>
      <c r="N171" s="2" t="s">
        <v>461</v>
      </c>
      <c r="O171" s="2" t="s">
        <v>136</v>
      </c>
      <c r="P171" s="2" t="s">
        <v>1752</v>
      </c>
      <c r="Q171" s="23" t="s">
        <v>1752</v>
      </c>
      <c r="R171" s="23" t="s">
        <v>1752</v>
      </c>
      <c r="S171" s="2" t="s">
        <v>35</v>
      </c>
      <c r="T171" s="153">
        <v>1.3859999999999999</v>
      </c>
      <c r="U171" s="2" t="s">
        <v>1804</v>
      </c>
      <c r="V171" s="165">
        <v>6.5000000000000002E-2</v>
      </c>
      <c r="W171" s="167">
        <v>6.9199999999999998E-2</v>
      </c>
      <c r="X171" s="4" t="s">
        <v>411</v>
      </c>
      <c r="Y171" s="4" t="s">
        <v>136</v>
      </c>
      <c r="Z171" s="153">
        <v>11000</v>
      </c>
      <c r="AA171" s="153">
        <v>1</v>
      </c>
      <c r="AB171" s="153">
        <v>101.5</v>
      </c>
      <c r="AC171" s="11"/>
      <c r="AD171" s="153">
        <v>11.164999999999999</v>
      </c>
      <c r="AG171" s="2" t="s">
        <v>37</v>
      </c>
      <c r="AH171" s="167">
        <v>1E-4</v>
      </c>
      <c r="AI171" s="167">
        <v>1.6386936799360201E-2</v>
      </c>
      <c r="AJ171" s="167">
        <v>1.1194152724310999E-3</v>
      </c>
      <c r="AK171" s="161"/>
      <c r="AL171" s="153"/>
    </row>
    <row r="172" spans="1:38">
      <c r="A172" s="2" t="s">
        <v>26</v>
      </c>
      <c r="B172" s="2">
        <v>1477</v>
      </c>
      <c r="C172" s="2" t="s">
        <v>1427</v>
      </c>
      <c r="D172" s="2" t="s">
        <v>1428</v>
      </c>
      <c r="E172" s="4" t="s">
        <v>1305</v>
      </c>
      <c r="F172" s="2" t="s">
        <v>1812</v>
      </c>
      <c r="G172" s="2" t="s">
        <v>1813</v>
      </c>
      <c r="H172" s="2" t="s">
        <v>319</v>
      </c>
      <c r="I172" s="2" t="s">
        <v>967</v>
      </c>
      <c r="J172" s="2" t="s">
        <v>31</v>
      </c>
      <c r="K172" s="2" t="s">
        <v>31</v>
      </c>
      <c r="L172" s="2" t="s">
        <v>325</v>
      </c>
      <c r="M172" s="2" t="s">
        <v>40</v>
      </c>
      <c r="N172" s="2" t="s">
        <v>438</v>
      </c>
      <c r="O172" s="2" t="s">
        <v>136</v>
      </c>
      <c r="P172" s="2" t="s">
        <v>1731</v>
      </c>
      <c r="Q172" s="2" t="s">
        <v>104</v>
      </c>
      <c r="R172" s="2" t="s">
        <v>405</v>
      </c>
      <c r="S172" s="2" t="s">
        <v>35</v>
      </c>
      <c r="T172" s="153">
        <v>3.32</v>
      </c>
      <c r="U172" s="2" t="s">
        <v>1814</v>
      </c>
      <c r="V172" s="165">
        <v>1.25E-3</v>
      </c>
      <c r="W172" s="167">
        <v>5.484E-2</v>
      </c>
      <c r="X172" s="4" t="s">
        <v>411</v>
      </c>
      <c r="Y172" s="4" t="s">
        <v>136</v>
      </c>
      <c r="Z172" s="153">
        <v>4000</v>
      </c>
      <c r="AA172" s="153">
        <v>1</v>
      </c>
      <c r="AB172" s="153">
        <v>84.5</v>
      </c>
      <c r="AC172" s="11"/>
      <c r="AD172" s="153">
        <v>3.38</v>
      </c>
      <c r="AG172" s="2" t="s">
        <v>37</v>
      </c>
      <c r="AH172" s="167">
        <v>6.9999999999999999E-6</v>
      </c>
      <c r="AI172" s="167">
        <v>4.9608460709214004E-3</v>
      </c>
      <c r="AJ172" s="167">
        <v>3.3888254552773002E-4</v>
      </c>
      <c r="AK172" s="161"/>
      <c r="AL172" s="153"/>
    </row>
    <row r="173" spans="1:38">
      <c r="A173" s="2" t="s">
        <v>26</v>
      </c>
      <c r="B173" s="2">
        <v>1477</v>
      </c>
      <c r="C173" s="2" t="s">
        <v>1815</v>
      </c>
      <c r="D173" s="2" t="s">
        <v>1816</v>
      </c>
      <c r="E173" s="4" t="s">
        <v>1305</v>
      </c>
      <c r="F173" s="2" t="s">
        <v>1817</v>
      </c>
      <c r="G173" s="2" t="s">
        <v>1818</v>
      </c>
      <c r="H173" s="2" t="s">
        <v>319</v>
      </c>
      <c r="I173" s="2" t="s">
        <v>966</v>
      </c>
      <c r="J173" s="2" t="s">
        <v>31</v>
      </c>
      <c r="K173" s="2" t="s">
        <v>31</v>
      </c>
      <c r="L173" s="2" t="s">
        <v>325</v>
      </c>
      <c r="M173" s="2" t="s">
        <v>40</v>
      </c>
      <c r="N173" s="2" t="s">
        <v>440</v>
      </c>
      <c r="O173" s="2" t="s">
        <v>136</v>
      </c>
      <c r="P173" s="2" t="s">
        <v>1720</v>
      </c>
      <c r="Q173" s="2" t="s">
        <v>104</v>
      </c>
      <c r="R173" s="2" t="s">
        <v>405</v>
      </c>
      <c r="S173" s="2" t="s">
        <v>35</v>
      </c>
      <c r="T173" s="153">
        <v>0.37</v>
      </c>
      <c r="U173" s="2" t="s">
        <v>1819</v>
      </c>
      <c r="V173" s="165">
        <v>3.2399999999999998E-2</v>
      </c>
      <c r="W173" s="167">
        <v>8.9459999999999998E-2</v>
      </c>
      <c r="X173" s="4" t="s">
        <v>411</v>
      </c>
      <c r="Y173" s="4" t="s">
        <v>136</v>
      </c>
      <c r="Z173" s="153">
        <v>5698.97</v>
      </c>
      <c r="AA173" s="153">
        <v>1</v>
      </c>
      <c r="AB173" s="153">
        <v>98.07</v>
      </c>
      <c r="AC173" s="11"/>
      <c r="AD173" s="153">
        <v>5.5890000000000004</v>
      </c>
      <c r="AG173" s="2" t="s">
        <v>37</v>
      </c>
      <c r="AH173" s="167">
        <v>2.0999999999999999E-5</v>
      </c>
      <c r="AI173" s="167">
        <v>8.2029789565668393E-3</v>
      </c>
      <c r="AJ173" s="167">
        <v>5.6035731606472901E-4</v>
      </c>
      <c r="AK173" s="161"/>
      <c r="AL173" s="153"/>
    </row>
    <row r="174" spans="1:38">
      <c r="A174" s="2" t="s">
        <v>26</v>
      </c>
      <c r="B174" s="2">
        <v>1477</v>
      </c>
      <c r="C174" s="2" t="s">
        <v>1815</v>
      </c>
      <c r="D174" s="2" t="s">
        <v>1816</v>
      </c>
      <c r="E174" s="4" t="s">
        <v>1305</v>
      </c>
      <c r="F174" s="2" t="s">
        <v>1820</v>
      </c>
      <c r="G174" s="2" t="s">
        <v>1821</v>
      </c>
      <c r="H174" s="2" t="s">
        <v>319</v>
      </c>
      <c r="I174" s="2" t="s">
        <v>754</v>
      </c>
      <c r="J174" s="2" t="s">
        <v>31</v>
      </c>
      <c r="K174" s="2" t="s">
        <v>31</v>
      </c>
      <c r="L174" s="2" t="s">
        <v>325</v>
      </c>
      <c r="M174" s="2" t="s">
        <v>40</v>
      </c>
      <c r="N174" s="2" t="s">
        <v>440</v>
      </c>
      <c r="O174" s="2" t="s">
        <v>136</v>
      </c>
      <c r="P174" s="2" t="s">
        <v>1720</v>
      </c>
      <c r="Q174" s="2" t="s">
        <v>104</v>
      </c>
      <c r="R174" s="2" t="s">
        <v>405</v>
      </c>
      <c r="S174" s="2" t="s">
        <v>35</v>
      </c>
      <c r="T174" s="153">
        <v>1.694</v>
      </c>
      <c r="U174" s="2" t="s">
        <v>1822</v>
      </c>
      <c r="V174" s="165">
        <v>1.2500000000000001E-2</v>
      </c>
      <c r="W174" s="167">
        <v>4.546E-2</v>
      </c>
      <c r="X174" s="4" t="s">
        <v>411</v>
      </c>
      <c r="Y174" s="4" t="s">
        <v>136</v>
      </c>
      <c r="Z174" s="153">
        <v>6222.22</v>
      </c>
      <c r="AA174" s="153">
        <v>1</v>
      </c>
      <c r="AB174" s="153">
        <v>100.5</v>
      </c>
      <c r="AC174" s="11"/>
      <c r="AD174" s="153">
        <v>6.2530000000000001</v>
      </c>
      <c r="AG174" s="2" t="s">
        <v>37</v>
      </c>
      <c r="AH174" s="167">
        <v>3.8000000000000002E-5</v>
      </c>
      <c r="AI174" s="167">
        <v>9.1780511886407103E-3</v>
      </c>
      <c r="AJ174" s="167">
        <v>6.2696590567920703E-4</v>
      </c>
      <c r="AK174" s="161"/>
      <c r="AL174" s="153"/>
    </row>
    <row r="175" spans="1:38">
      <c r="A175" s="2" t="s">
        <v>26</v>
      </c>
      <c r="B175" s="2">
        <v>1477</v>
      </c>
      <c r="C175" s="2" t="s">
        <v>1842</v>
      </c>
      <c r="D175" s="2" t="s">
        <v>1843</v>
      </c>
      <c r="E175" s="4" t="s">
        <v>34</v>
      </c>
      <c r="F175" s="2" t="s">
        <v>1844</v>
      </c>
      <c r="G175" s="2" t="s">
        <v>1845</v>
      </c>
      <c r="H175" s="2" t="s">
        <v>319</v>
      </c>
      <c r="I175" s="2" t="s">
        <v>966</v>
      </c>
      <c r="J175" s="2" t="s">
        <v>31</v>
      </c>
      <c r="K175" s="2" t="s">
        <v>31</v>
      </c>
      <c r="L175" s="2" t="s">
        <v>325</v>
      </c>
      <c r="M175" s="2" t="s">
        <v>40</v>
      </c>
      <c r="N175" s="2" t="s">
        <v>462</v>
      </c>
      <c r="O175" s="2" t="s">
        <v>136</v>
      </c>
      <c r="P175" s="2" t="s">
        <v>1720</v>
      </c>
      <c r="Q175" s="2" t="s">
        <v>104</v>
      </c>
      <c r="R175" s="2" t="s">
        <v>405</v>
      </c>
      <c r="S175" s="2" t="s">
        <v>35</v>
      </c>
      <c r="T175" s="153">
        <v>1.44</v>
      </c>
      <c r="U175" s="2" t="s">
        <v>1846</v>
      </c>
      <c r="V175" s="165">
        <v>7.0000000000000007E-2</v>
      </c>
      <c r="W175" s="167">
        <v>6.7129999999999995E-2</v>
      </c>
      <c r="X175" s="4" t="s">
        <v>411</v>
      </c>
      <c r="Y175" s="4" t="s">
        <v>136</v>
      </c>
      <c r="Z175" s="153">
        <v>28082.74</v>
      </c>
      <c r="AA175" s="153">
        <v>1</v>
      </c>
      <c r="AB175" s="153">
        <v>100.59</v>
      </c>
      <c r="AC175" s="11"/>
      <c r="AD175" s="153">
        <v>28.248000000000001</v>
      </c>
      <c r="AG175" s="2" t="s">
        <v>37</v>
      </c>
      <c r="AH175" s="167">
        <v>4.6999999999999997E-5</v>
      </c>
      <c r="AI175" s="167">
        <v>4.1460385762427998E-2</v>
      </c>
      <c r="AJ175" s="167">
        <v>2.8322187112577802E-3</v>
      </c>
      <c r="AK175" s="161"/>
      <c r="AL175" s="153"/>
    </row>
    <row r="176" spans="1:38">
      <c r="A176" s="2" t="s">
        <v>26</v>
      </c>
      <c r="B176" s="2">
        <v>1477</v>
      </c>
      <c r="C176" s="2" t="s">
        <v>1842</v>
      </c>
      <c r="D176" s="2" t="s">
        <v>1843</v>
      </c>
      <c r="E176" s="4" t="s">
        <v>34</v>
      </c>
      <c r="F176" s="2" t="s">
        <v>1847</v>
      </c>
      <c r="G176" s="2" t="s">
        <v>1848</v>
      </c>
      <c r="H176" s="2" t="s">
        <v>319</v>
      </c>
      <c r="I176" s="2" t="s">
        <v>966</v>
      </c>
      <c r="J176" s="2" t="s">
        <v>31</v>
      </c>
      <c r="K176" s="2" t="s">
        <v>31</v>
      </c>
      <c r="L176" s="23" t="s">
        <v>327</v>
      </c>
      <c r="M176" s="2" t="s">
        <v>40</v>
      </c>
      <c r="N176" s="2" t="s">
        <v>444</v>
      </c>
      <c r="O176" s="2" t="s">
        <v>136</v>
      </c>
      <c r="P176" s="2" t="s">
        <v>1720</v>
      </c>
      <c r="Q176" s="2" t="s">
        <v>104</v>
      </c>
      <c r="R176" s="2" t="s">
        <v>405</v>
      </c>
      <c r="S176" s="2" t="s">
        <v>35</v>
      </c>
      <c r="T176" s="153">
        <v>3.15</v>
      </c>
      <c r="U176" s="2" t="s">
        <v>1849</v>
      </c>
      <c r="V176" s="165">
        <v>6.5000000000000002E-2</v>
      </c>
      <c r="W176" s="167">
        <v>8.9200000000000002E-2</v>
      </c>
      <c r="X176" s="4" t="s">
        <v>411</v>
      </c>
      <c r="Y176" s="4" t="s">
        <v>136</v>
      </c>
      <c r="Z176" s="153">
        <v>27000</v>
      </c>
      <c r="AA176" s="153">
        <v>1</v>
      </c>
      <c r="AB176" s="153">
        <v>98.662999999999997</v>
      </c>
      <c r="AC176" s="11"/>
      <c r="AD176" s="153">
        <v>26.638999999999999</v>
      </c>
      <c r="AG176" s="2" t="s">
        <v>37</v>
      </c>
      <c r="AH176" s="167">
        <v>0</v>
      </c>
      <c r="AI176" s="167">
        <v>3.9098233163235498E-2</v>
      </c>
      <c r="AJ176" s="167">
        <v>2.67085666246706E-3</v>
      </c>
      <c r="AK176" s="161"/>
      <c r="AL176" s="153"/>
    </row>
    <row r="177" spans="1:38">
      <c r="A177" s="2" t="s">
        <v>26</v>
      </c>
      <c r="B177" s="2">
        <v>1477</v>
      </c>
      <c r="C177" s="2" t="s">
        <v>1858</v>
      </c>
      <c r="D177" s="2" t="s">
        <v>1859</v>
      </c>
      <c r="E177" s="4" t="s">
        <v>1305</v>
      </c>
      <c r="F177" s="2" t="s">
        <v>1860</v>
      </c>
      <c r="G177" s="2" t="s">
        <v>1861</v>
      </c>
      <c r="H177" s="2" t="s">
        <v>319</v>
      </c>
      <c r="I177" s="2" t="s">
        <v>966</v>
      </c>
      <c r="J177" s="2" t="s">
        <v>31</v>
      </c>
      <c r="K177" s="2" t="s">
        <v>31</v>
      </c>
      <c r="L177" s="2" t="s">
        <v>325</v>
      </c>
      <c r="M177" s="2" t="s">
        <v>40</v>
      </c>
      <c r="N177" s="2" t="s">
        <v>437</v>
      </c>
      <c r="O177" s="2" t="s">
        <v>136</v>
      </c>
      <c r="P177" s="2" t="s">
        <v>1758</v>
      </c>
      <c r="Q177" s="2" t="s">
        <v>412</v>
      </c>
      <c r="R177" s="2" t="s">
        <v>405</v>
      </c>
      <c r="S177" s="2" t="s">
        <v>35</v>
      </c>
      <c r="T177" s="153">
        <v>3.6160000000000001</v>
      </c>
      <c r="U177" s="2" t="s">
        <v>1862</v>
      </c>
      <c r="V177" s="165">
        <v>0.05</v>
      </c>
      <c r="W177" s="167">
        <v>5.287E-2</v>
      </c>
      <c r="X177" s="4" t="s">
        <v>411</v>
      </c>
      <c r="Y177" s="4" t="s">
        <v>136</v>
      </c>
      <c r="Z177" s="153">
        <v>10953.74</v>
      </c>
      <c r="AA177" s="153">
        <v>1</v>
      </c>
      <c r="AB177" s="153">
        <v>99.32</v>
      </c>
      <c r="AC177" s="11"/>
      <c r="AD177" s="153">
        <v>10.879</v>
      </c>
      <c r="AG177" s="2" t="s">
        <v>37</v>
      </c>
      <c r="AH177" s="167">
        <v>1.1E-5</v>
      </c>
      <c r="AI177" s="167">
        <v>1.5967546532016701E-2</v>
      </c>
      <c r="AJ177" s="167">
        <v>1.0907661187716099E-3</v>
      </c>
      <c r="AK177" s="161"/>
      <c r="AL177" s="153"/>
    </row>
    <row r="178" spans="1:38">
      <c r="A178" s="2" t="s">
        <v>26</v>
      </c>
      <c r="B178" s="2">
        <v>1477</v>
      </c>
      <c r="C178" s="2" t="s">
        <v>1583</v>
      </c>
      <c r="D178" s="2" t="s">
        <v>1584</v>
      </c>
      <c r="E178" s="4" t="s">
        <v>1305</v>
      </c>
      <c r="F178" s="2" t="s">
        <v>1869</v>
      </c>
      <c r="G178" s="2" t="s">
        <v>1870</v>
      </c>
      <c r="H178" s="2" t="s">
        <v>319</v>
      </c>
      <c r="I178" s="2" t="s">
        <v>966</v>
      </c>
      <c r="J178" s="2" t="s">
        <v>31</v>
      </c>
      <c r="K178" s="2" t="s">
        <v>31</v>
      </c>
      <c r="L178" s="2" t="s">
        <v>325</v>
      </c>
      <c r="M178" s="2" t="s">
        <v>40</v>
      </c>
      <c r="N178" s="2" t="s">
        <v>437</v>
      </c>
      <c r="O178" s="2" t="s">
        <v>136</v>
      </c>
      <c r="P178" s="2" t="s">
        <v>1720</v>
      </c>
      <c r="Q178" s="2" t="s">
        <v>104</v>
      </c>
      <c r="R178" s="2" t="s">
        <v>405</v>
      </c>
      <c r="S178" s="2" t="s">
        <v>35</v>
      </c>
      <c r="T178" s="153">
        <v>3.07</v>
      </c>
      <c r="U178" s="2" t="s">
        <v>1871</v>
      </c>
      <c r="V178" s="165">
        <v>7.2499999999999995E-2</v>
      </c>
      <c r="W178" s="167">
        <v>6.232E-2</v>
      </c>
      <c r="X178" s="4" t="s">
        <v>411</v>
      </c>
      <c r="Y178" s="4" t="s">
        <v>136</v>
      </c>
      <c r="Z178" s="153">
        <v>68000</v>
      </c>
      <c r="AA178" s="153">
        <v>1</v>
      </c>
      <c r="AB178" s="153">
        <v>108.29</v>
      </c>
      <c r="AC178" s="11"/>
      <c r="AD178" s="153">
        <v>73.637</v>
      </c>
      <c r="AG178" s="2" t="s">
        <v>37</v>
      </c>
      <c r="AH178" s="167">
        <v>1.17E-4</v>
      </c>
      <c r="AI178" s="167">
        <v>0.108077755708181</v>
      </c>
      <c r="AJ178" s="167">
        <v>7.3829472726433601E-3</v>
      </c>
      <c r="AK178" s="161"/>
      <c r="AL178" s="153"/>
    </row>
    <row r="179" spans="1:38">
      <c r="A179" s="2" t="s">
        <v>26</v>
      </c>
      <c r="B179" s="2">
        <v>1477</v>
      </c>
      <c r="C179" s="2" t="s">
        <v>1877</v>
      </c>
      <c r="D179" s="2" t="s">
        <v>1878</v>
      </c>
      <c r="E179" s="4" t="s">
        <v>1305</v>
      </c>
      <c r="F179" s="2" t="s">
        <v>1883</v>
      </c>
      <c r="G179" s="2" t="s">
        <v>1882</v>
      </c>
      <c r="H179" s="2" t="s">
        <v>319</v>
      </c>
      <c r="I179" s="2" t="s">
        <v>966</v>
      </c>
      <c r="J179" s="2" t="s">
        <v>31</v>
      </c>
      <c r="K179" s="2" t="s">
        <v>31</v>
      </c>
      <c r="L179" s="23" t="s">
        <v>327</v>
      </c>
      <c r="M179" s="2" t="s">
        <v>40</v>
      </c>
      <c r="N179" s="2" t="s">
        <v>444</v>
      </c>
      <c r="O179" s="2" t="s">
        <v>136</v>
      </c>
      <c r="P179" s="2" t="s">
        <v>1752</v>
      </c>
      <c r="Q179" s="23" t="s">
        <v>1752</v>
      </c>
      <c r="R179" s="23" t="s">
        <v>1752</v>
      </c>
      <c r="S179" s="2" t="s">
        <v>35</v>
      </c>
      <c r="T179" s="153">
        <v>2.2799999999999998</v>
      </c>
      <c r="U179" s="2" t="s">
        <v>1788</v>
      </c>
      <c r="V179" s="165">
        <v>3.8699999999999998E-2</v>
      </c>
      <c r="W179" s="167">
        <v>5.8299999999999998E-2</v>
      </c>
      <c r="X179" s="4" t="s">
        <v>411</v>
      </c>
      <c r="Y179" s="4" t="s">
        <v>136</v>
      </c>
      <c r="Z179" s="153">
        <v>5000</v>
      </c>
      <c r="AA179" s="153">
        <v>1</v>
      </c>
      <c r="AB179" s="153">
        <v>96.995000000000005</v>
      </c>
      <c r="AC179" s="11"/>
      <c r="AD179" s="153">
        <v>4.8499999999999996</v>
      </c>
      <c r="AG179" s="2" t="s">
        <v>37</v>
      </c>
      <c r="AH179" s="167">
        <v>1.5E-5</v>
      </c>
      <c r="AI179" s="167">
        <v>7.1180362276249999E-3</v>
      </c>
      <c r="AJ179" s="167">
        <v>4.86243314444976E-4</v>
      </c>
      <c r="AK179" s="161"/>
      <c r="AL179" s="153"/>
    </row>
    <row r="180" spans="1:38">
      <c r="A180" s="2" t="s">
        <v>26</v>
      </c>
      <c r="B180" s="2">
        <v>1477</v>
      </c>
      <c r="C180" s="2" t="s">
        <v>1886</v>
      </c>
      <c r="D180" s="2" t="s">
        <v>1887</v>
      </c>
      <c r="E180" s="4" t="s">
        <v>34</v>
      </c>
      <c r="F180" s="2" t="s">
        <v>1888</v>
      </c>
      <c r="G180" s="2" t="s">
        <v>1889</v>
      </c>
      <c r="H180" s="2" t="s">
        <v>319</v>
      </c>
      <c r="I180" s="2" t="s">
        <v>966</v>
      </c>
      <c r="J180" s="2" t="s">
        <v>31</v>
      </c>
      <c r="K180" s="2" t="s">
        <v>74</v>
      </c>
      <c r="L180" s="2" t="s">
        <v>325</v>
      </c>
      <c r="M180" s="2" t="s">
        <v>40</v>
      </c>
      <c r="N180" s="2" t="s">
        <v>462</v>
      </c>
      <c r="O180" s="2" t="s">
        <v>136</v>
      </c>
      <c r="P180" s="2" t="s">
        <v>1890</v>
      </c>
      <c r="Q180" s="2" t="s">
        <v>412</v>
      </c>
      <c r="R180" s="2" t="s">
        <v>405</v>
      </c>
      <c r="S180" s="2" t="s">
        <v>35</v>
      </c>
      <c r="T180" s="153">
        <v>2.42</v>
      </c>
      <c r="U180" s="2" t="s">
        <v>1891</v>
      </c>
      <c r="V180" s="165">
        <v>7.1915999999999994E-2</v>
      </c>
      <c r="W180" s="167">
        <v>0.10178</v>
      </c>
      <c r="X180" s="4" t="s">
        <v>411</v>
      </c>
      <c r="Y180" s="4" t="s">
        <v>136</v>
      </c>
      <c r="Z180" s="153">
        <v>26000</v>
      </c>
      <c r="AA180" s="153">
        <v>1</v>
      </c>
      <c r="AB180" s="153">
        <v>111.01</v>
      </c>
      <c r="AC180" s="11"/>
      <c r="AD180" s="153">
        <v>28.863</v>
      </c>
      <c r="AG180" s="2" t="s">
        <v>37</v>
      </c>
      <c r="AH180" s="167">
        <v>1.7899999999999999E-4</v>
      </c>
      <c r="AI180" s="167">
        <v>4.2361809410229601E-2</v>
      </c>
      <c r="AJ180" s="167">
        <v>2.8937962599256402E-3</v>
      </c>
      <c r="AK180" s="161"/>
      <c r="AL180" s="153"/>
    </row>
    <row r="181" spans="1:38">
      <c r="A181" s="2" t="s">
        <v>26</v>
      </c>
      <c r="B181" s="2">
        <v>1477</v>
      </c>
      <c r="C181" s="2" t="s">
        <v>1898</v>
      </c>
      <c r="D181" s="2" t="s">
        <v>1899</v>
      </c>
      <c r="E181" s="4" t="s">
        <v>1305</v>
      </c>
      <c r="F181" s="2" t="s">
        <v>1900</v>
      </c>
      <c r="G181" s="2" t="s">
        <v>1901</v>
      </c>
      <c r="H181" s="2" t="s">
        <v>319</v>
      </c>
      <c r="I181" s="2" t="s">
        <v>967</v>
      </c>
      <c r="J181" s="2" t="s">
        <v>31</v>
      </c>
      <c r="K181" s="2" t="s">
        <v>31</v>
      </c>
      <c r="L181" s="2" t="s">
        <v>325</v>
      </c>
      <c r="M181" s="2" t="s">
        <v>40</v>
      </c>
      <c r="N181" s="2" t="s">
        <v>444</v>
      </c>
      <c r="O181" s="2" t="s">
        <v>136</v>
      </c>
      <c r="P181" s="2" t="s">
        <v>1752</v>
      </c>
      <c r="Q181" s="23" t="s">
        <v>1752</v>
      </c>
      <c r="R181" s="23" t="s">
        <v>1752</v>
      </c>
      <c r="S181" s="2" t="s">
        <v>35</v>
      </c>
      <c r="T181" s="153">
        <v>3.9950000000000001</v>
      </c>
      <c r="U181" s="2" t="s">
        <v>1743</v>
      </c>
      <c r="V181" s="165">
        <v>7.0000000000000007E-2</v>
      </c>
      <c r="W181" s="167">
        <v>2.546E-2</v>
      </c>
      <c r="X181" s="4" t="s">
        <v>411</v>
      </c>
      <c r="Y181" s="4" t="s">
        <v>136</v>
      </c>
      <c r="Z181" s="153">
        <v>18000</v>
      </c>
      <c r="AA181" s="153">
        <v>1</v>
      </c>
      <c r="AB181" s="153">
        <v>118.9</v>
      </c>
      <c r="AC181" s="11"/>
      <c r="AD181" s="153">
        <v>21.402000000000001</v>
      </c>
      <c r="AG181" s="2" t="s">
        <v>37</v>
      </c>
      <c r="AH181" s="167">
        <v>0</v>
      </c>
      <c r="AI181" s="167">
        <v>3.1411842488124203E-2</v>
      </c>
      <c r="AJ181" s="167">
        <v>2.1457882365042802E-3</v>
      </c>
      <c r="AK181" s="161"/>
      <c r="AL181" s="153"/>
    </row>
    <row r="182" spans="1:38">
      <c r="A182" s="2" t="s">
        <v>26</v>
      </c>
      <c r="B182" s="2">
        <v>1477</v>
      </c>
      <c r="C182" s="2" t="s">
        <v>1902</v>
      </c>
      <c r="D182" s="2" t="s">
        <v>1903</v>
      </c>
      <c r="E182" s="4" t="s">
        <v>34</v>
      </c>
      <c r="F182" s="2" t="s">
        <v>1904</v>
      </c>
      <c r="G182" s="2" t="s">
        <v>1905</v>
      </c>
      <c r="H182" s="2" t="s">
        <v>319</v>
      </c>
      <c r="I182" s="2" t="s">
        <v>966</v>
      </c>
      <c r="J182" s="2" t="s">
        <v>31</v>
      </c>
      <c r="K182" s="2" t="s">
        <v>74</v>
      </c>
      <c r="L182" s="2" t="s">
        <v>325</v>
      </c>
      <c r="M182" s="2" t="s">
        <v>40</v>
      </c>
      <c r="N182" s="2" t="s">
        <v>462</v>
      </c>
      <c r="O182" s="2" t="s">
        <v>136</v>
      </c>
      <c r="P182" s="2" t="s">
        <v>1724</v>
      </c>
      <c r="Q182" s="2" t="s">
        <v>412</v>
      </c>
      <c r="R182" s="2" t="s">
        <v>405</v>
      </c>
      <c r="S182" s="2" t="s">
        <v>35</v>
      </c>
      <c r="T182" s="153">
        <v>2.0030000000000001</v>
      </c>
      <c r="U182" s="2" t="s">
        <v>1753</v>
      </c>
      <c r="V182" s="165">
        <v>7.7499999999999999E-2</v>
      </c>
      <c r="W182" s="167">
        <v>7.9750000000000001E-2</v>
      </c>
      <c r="X182" s="4" t="s">
        <v>411</v>
      </c>
      <c r="Y182" s="4" t="s">
        <v>136</v>
      </c>
      <c r="Z182" s="153">
        <v>26000</v>
      </c>
      <c r="AA182" s="153">
        <v>1</v>
      </c>
      <c r="AB182" s="153">
        <v>101.82</v>
      </c>
      <c r="AC182" s="11"/>
      <c r="AD182" s="153">
        <v>26.472999999999999</v>
      </c>
      <c r="AG182" s="2" t="s">
        <v>37</v>
      </c>
      <c r="AH182" s="167">
        <v>6.7000000000000002E-5</v>
      </c>
      <c r="AI182" s="167">
        <v>3.8854872841632103E-2</v>
      </c>
      <c r="AJ182" s="167">
        <v>2.65423236812565E-3</v>
      </c>
      <c r="AK182" s="161"/>
      <c r="AL182" s="153"/>
    </row>
    <row r="183" spans="1:38">
      <c r="A183" s="2" t="s">
        <v>26</v>
      </c>
      <c r="B183" s="2">
        <v>1477</v>
      </c>
      <c r="C183" s="2" t="s">
        <v>1902</v>
      </c>
      <c r="D183" s="2" t="s">
        <v>1903</v>
      </c>
      <c r="E183" s="4" t="s">
        <v>34</v>
      </c>
      <c r="F183" s="2" t="s">
        <v>1906</v>
      </c>
      <c r="G183" s="2" t="s">
        <v>1907</v>
      </c>
      <c r="H183" s="2" t="s">
        <v>319</v>
      </c>
      <c r="I183" s="2" t="s">
        <v>966</v>
      </c>
      <c r="J183" s="2" t="s">
        <v>31</v>
      </c>
      <c r="K183" s="2" t="s">
        <v>31</v>
      </c>
      <c r="L183" s="2" t="s">
        <v>325</v>
      </c>
      <c r="M183" s="2" t="s">
        <v>40</v>
      </c>
      <c r="N183" s="2" t="s">
        <v>462</v>
      </c>
      <c r="O183" s="2" t="s">
        <v>136</v>
      </c>
      <c r="P183" s="2" t="s">
        <v>1772</v>
      </c>
      <c r="Q183" s="2" t="s">
        <v>412</v>
      </c>
      <c r="R183" s="2" t="s">
        <v>405</v>
      </c>
      <c r="S183" s="2" t="s">
        <v>35</v>
      </c>
      <c r="T183" s="153">
        <v>2.4140000000000001</v>
      </c>
      <c r="U183" s="2" t="s">
        <v>1908</v>
      </c>
      <c r="V183" s="165">
        <v>6.8000000000000005E-2</v>
      </c>
      <c r="W183" s="167">
        <v>6.3850000000000004E-2</v>
      </c>
      <c r="X183" s="4" t="s">
        <v>411</v>
      </c>
      <c r="Y183" s="4" t="s">
        <v>136</v>
      </c>
      <c r="Z183" s="153">
        <v>11000</v>
      </c>
      <c r="AA183" s="153">
        <v>1</v>
      </c>
      <c r="AB183" s="153">
        <v>102.93</v>
      </c>
      <c r="AC183" s="11"/>
      <c r="AD183" s="153">
        <v>11.321999999999999</v>
      </c>
      <c r="AG183" s="2" t="s">
        <v>37</v>
      </c>
      <c r="AH183" s="167">
        <v>3.4999999999999997E-5</v>
      </c>
      <c r="AI183" s="167">
        <v>1.661780694343E-2</v>
      </c>
      <c r="AJ183" s="167">
        <v>1.1351863447421899E-3</v>
      </c>
      <c r="AK183" s="161"/>
      <c r="AL183" s="153"/>
    </row>
    <row r="184" spans="1:38">
      <c r="A184" s="2" t="s">
        <v>26</v>
      </c>
      <c r="B184" s="2">
        <v>1477</v>
      </c>
      <c r="C184" s="2" t="s">
        <v>1902</v>
      </c>
      <c r="D184" s="2" t="s">
        <v>1903</v>
      </c>
      <c r="E184" s="4" t="s">
        <v>34</v>
      </c>
      <c r="F184" s="2" t="s">
        <v>2321</v>
      </c>
      <c r="G184" s="2" t="s">
        <v>2322</v>
      </c>
      <c r="H184" s="2" t="s">
        <v>319</v>
      </c>
      <c r="I184" s="2" t="s">
        <v>966</v>
      </c>
      <c r="J184" s="2" t="s">
        <v>31</v>
      </c>
      <c r="K184" s="2" t="s">
        <v>74</v>
      </c>
      <c r="L184" s="2" t="s">
        <v>325</v>
      </c>
      <c r="M184" s="2" t="s">
        <v>40</v>
      </c>
      <c r="N184" s="2" t="s">
        <v>462</v>
      </c>
      <c r="O184" s="2" t="s">
        <v>136</v>
      </c>
      <c r="P184" s="2" t="s">
        <v>1724</v>
      </c>
      <c r="Q184" s="2" t="s">
        <v>412</v>
      </c>
      <c r="R184" s="2" t="s">
        <v>405</v>
      </c>
      <c r="S184" s="2" t="s">
        <v>35</v>
      </c>
      <c r="T184" s="153">
        <v>1.0529999999999999</v>
      </c>
      <c r="U184" s="2" t="s">
        <v>2323</v>
      </c>
      <c r="V184" s="165">
        <v>7.3999999999999996E-2</v>
      </c>
      <c r="W184" s="167">
        <v>6.1710000000000001E-2</v>
      </c>
      <c r="X184" s="4" t="s">
        <v>411</v>
      </c>
      <c r="Y184" s="4" t="s">
        <v>136</v>
      </c>
      <c r="Z184" s="153">
        <v>15000</v>
      </c>
      <c r="AA184" s="153">
        <v>1</v>
      </c>
      <c r="AB184" s="153">
        <v>104.2</v>
      </c>
      <c r="AC184" s="11"/>
      <c r="AD184" s="153">
        <v>15.63</v>
      </c>
      <c r="AG184" s="2" t="s">
        <v>37</v>
      </c>
      <c r="AH184" s="167">
        <v>3.1999999999999999E-5</v>
      </c>
      <c r="AI184" s="167">
        <v>2.2940243813166099E-2</v>
      </c>
      <c r="AJ184" s="167">
        <v>1.5670811202953901E-3</v>
      </c>
      <c r="AK184" s="161"/>
      <c r="AL184" s="153"/>
    </row>
    <row r="185" spans="1:38">
      <c r="A185" s="2" t="s">
        <v>26</v>
      </c>
      <c r="B185" s="2">
        <v>1477</v>
      </c>
      <c r="C185" s="2" t="s">
        <v>1929</v>
      </c>
      <c r="D185" s="2" t="s">
        <v>1930</v>
      </c>
      <c r="E185" s="4" t="s">
        <v>1305</v>
      </c>
      <c r="F185" s="2" t="s">
        <v>2324</v>
      </c>
      <c r="G185" s="2" t="s">
        <v>2325</v>
      </c>
      <c r="H185" s="2" t="s">
        <v>319</v>
      </c>
      <c r="I185" s="2" t="s">
        <v>966</v>
      </c>
      <c r="J185" s="2" t="s">
        <v>31</v>
      </c>
      <c r="K185" s="2" t="s">
        <v>31</v>
      </c>
      <c r="L185" s="2" t="s">
        <v>325</v>
      </c>
      <c r="M185" s="2" t="s">
        <v>40</v>
      </c>
      <c r="N185" s="2" t="s">
        <v>461</v>
      </c>
      <c r="O185" s="2" t="s">
        <v>136</v>
      </c>
      <c r="P185" s="2" t="s">
        <v>1752</v>
      </c>
      <c r="Q185" s="23" t="s">
        <v>1752</v>
      </c>
      <c r="R185" s="23" t="s">
        <v>1752</v>
      </c>
      <c r="S185" s="2" t="s">
        <v>35</v>
      </c>
      <c r="T185" s="153">
        <v>1.6839999999999999</v>
      </c>
      <c r="U185" s="2" t="s">
        <v>1897</v>
      </c>
      <c r="V185" s="165">
        <v>4.4699999999999997E-2</v>
      </c>
      <c r="W185" s="167">
        <v>7.8E-2</v>
      </c>
      <c r="X185" s="4" t="s">
        <v>411</v>
      </c>
      <c r="Y185" s="4" t="s">
        <v>136</v>
      </c>
      <c r="Z185" s="153">
        <v>9000</v>
      </c>
      <c r="AA185" s="153">
        <v>1</v>
      </c>
      <c r="AB185" s="153">
        <v>96</v>
      </c>
      <c r="AC185" s="11"/>
      <c r="AD185" s="153">
        <v>8.64</v>
      </c>
      <c r="AG185" s="2" t="s">
        <v>37</v>
      </c>
      <c r="AH185" s="167">
        <v>1.12E-4</v>
      </c>
      <c r="AI185" s="167">
        <v>1.2680979305550601E-2</v>
      </c>
      <c r="AJ185" s="167">
        <v>8.6625597436674204E-4</v>
      </c>
      <c r="AK185" s="161"/>
      <c r="AL185" s="153"/>
    </row>
    <row r="186" spans="1:38">
      <c r="A186" s="2" t="s">
        <v>26</v>
      </c>
      <c r="B186" s="2">
        <v>1477</v>
      </c>
      <c r="C186" s="2" t="s">
        <v>1478</v>
      </c>
      <c r="D186" s="2" t="s">
        <v>1479</v>
      </c>
      <c r="E186" s="4" t="s">
        <v>1305</v>
      </c>
      <c r="F186" s="2" t="s">
        <v>2326</v>
      </c>
      <c r="G186" s="2" t="s">
        <v>2327</v>
      </c>
      <c r="H186" s="2" t="s">
        <v>319</v>
      </c>
      <c r="I186" s="2" t="s">
        <v>966</v>
      </c>
      <c r="J186" s="2" t="s">
        <v>31</v>
      </c>
      <c r="K186" s="2" t="s">
        <v>284</v>
      </c>
      <c r="L186" s="2" t="s">
        <v>325</v>
      </c>
      <c r="M186" s="2" t="s">
        <v>40</v>
      </c>
      <c r="N186" s="2" t="s">
        <v>444</v>
      </c>
      <c r="O186" s="2" t="s">
        <v>136</v>
      </c>
      <c r="P186" s="2" t="s">
        <v>1752</v>
      </c>
      <c r="Q186" s="23" t="s">
        <v>1752</v>
      </c>
      <c r="R186" s="23" t="s">
        <v>1752</v>
      </c>
      <c r="S186" s="2" t="s">
        <v>35</v>
      </c>
      <c r="T186" s="153">
        <v>1.8759999999999999</v>
      </c>
      <c r="U186" s="2" t="s">
        <v>2328</v>
      </c>
      <c r="V186" s="165">
        <v>8.2400000000000001E-2</v>
      </c>
      <c r="W186" s="167">
        <v>0.10780000000000001</v>
      </c>
      <c r="X186" s="4" t="s">
        <v>411</v>
      </c>
      <c r="Y186" s="4" t="s">
        <v>136</v>
      </c>
      <c r="Z186" s="153">
        <v>31000</v>
      </c>
      <c r="AA186" s="153">
        <v>1</v>
      </c>
      <c r="AB186" s="153">
        <v>98</v>
      </c>
      <c r="AC186" s="11"/>
      <c r="AD186" s="153">
        <v>30.38</v>
      </c>
      <c r="AG186" s="2" t="s">
        <v>37</v>
      </c>
      <c r="AH186" s="167">
        <v>7.5500000000000003E-4</v>
      </c>
      <c r="AI186" s="167">
        <v>4.4588906400766903E-2</v>
      </c>
      <c r="AJ186" s="167">
        <v>3.0459324654238001E-3</v>
      </c>
      <c r="AK186" s="161"/>
      <c r="AL186" s="153"/>
    </row>
    <row r="187" spans="1:38">
      <c r="A187" s="2" t="s">
        <v>26</v>
      </c>
      <c r="B187" s="2">
        <v>1477</v>
      </c>
      <c r="C187" s="2" t="s">
        <v>1949</v>
      </c>
      <c r="D187" s="2" t="s">
        <v>1950</v>
      </c>
      <c r="E187" s="4" t="s">
        <v>1305</v>
      </c>
      <c r="F187" s="2" t="s">
        <v>1954</v>
      </c>
      <c r="G187" s="2" t="s">
        <v>1955</v>
      </c>
      <c r="H187" s="2" t="s">
        <v>319</v>
      </c>
      <c r="I187" s="2" t="s">
        <v>966</v>
      </c>
      <c r="J187" s="2" t="s">
        <v>31</v>
      </c>
      <c r="K187" s="2" t="s">
        <v>31</v>
      </c>
      <c r="L187" s="2" t="s">
        <v>325</v>
      </c>
      <c r="M187" s="2" t="s">
        <v>40</v>
      </c>
      <c r="N187" s="2" t="s">
        <v>444</v>
      </c>
      <c r="O187" s="2" t="s">
        <v>136</v>
      </c>
      <c r="P187" s="2" t="s">
        <v>1752</v>
      </c>
      <c r="Q187" s="23" t="s">
        <v>1752</v>
      </c>
      <c r="R187" s="23" t="s">
        <v>1752</v>
      </c>
      <c r="S187" s="2" t="s">
        <v>35</v>
      </c>
      <c r="T187" s="153">
        <v>1.9790000000000001</v>
      </c>
      <c r="U187" s="2" t="s">
        <v>1953</v>
      </c>
      <c r="V187" s="165">
        <v>8.8900000000000007E-2</v>
      </c>
      <c r="W187" s="167">
        <v>6.7559999999999995E-2</v>
      </c>
      <c r="X187" s="4" t="s">
        <v>411</v>
      </c>
      <c r="Y187" s="4" t="s">
        <v>136</v>
      </c>
      <c r="Z187" s="153">
        <v>6780</v>
      </c>
      <c r="AA187" s="153">
        <v>1</v>
      </c>
      <c r="AB187" s="153">
        <v>106.57</v>
      </c>
      <c r="AC187" s="11"/>
      <c r="AD187" s="153">
        <v>7.2249999999999996</v>
      </c>
      <c r="AG187" s="2" t="s">
        <v>37</v>
      </c>
      <c r="AH187" s="167">
        <v>0</v>
      </c>
      <c r="AI187" s="167">
        <v>1.0604829999927399E-2</v>
      </c>
      <c r="AJ187" s="167">
        <v>7.2443122279679196E-4</v>
      </c>
      <c r="AK187" s="161"/>
      <c r="AL187" s="153"/>
    </row>
    <row r="188" spans="1:38">
      <c r="A188" s="2" t="s">
        <v>26</v>
      </c>
      <c r="B188" s="2">
        <v>1477</v>
      </c>
      <c r="C188" s="2" t="s">
        <v>1972</v>
      </c>
      <c r="D188" s="2" t="s">
        <v>1973</v>
      </c>
      <c r="E188" s="4" t="s">
        <v>1305</v>
      </c>
      <c r="F188" s="2" t="s">
        <v>1974</v>
      </c>
      <c r="G188" s="2" t="s">
        <v>1975</v>
      </c>
      <c r="H188" s="2" t="s">
        <v>319</v>
      </c>
      <c r="I188" s="2" t="s">
        <v>754</v>
      </c>
      <c r="J188" s="2" t="s">
        <v>31</v>
      </c>
      <c r="K188" s="2" t="s">
        <v>31</v>
      </c>
      <c r="L188" s="2" t="s">
        <v>325</v>
      </c>
      <c r="M188" s="2" t="s">
        <v>40</v>
      </c>
      <c r="N188" s="2" t="s">
        <v>461</v>
      </c>
      <c r="O188" s="2" t="s">
        <v>136</v>
      </c>
      <c r="P188" s="2" t="s">
        <v>1752</v>
      </c>
      <c r="Q188" s="23" t="s">
        <v>1752</v>
      </c>
      <c r="R188" s="23" t="s">
        <v>1752</v>
      </c>
      <c r="S188" s="2" t="s">
        <v>35</v>
      </c>
      <c r="T188" s="153">
        <v>3.4340000000000002</v>
      </c>
      <c r="U188" s="2" t="s">
        <v>1849</v>
      </c>
      <c r="V188" s="165">
        <v>4.4999999999999998E-2</v>
      </c>
      <c r="W188" s="167">
        <v>3.8449999999999998E-2</v>
      </c>
      <c r="X188" s="4" t="s">
        <v>411</v>
      </c>
      <c r="Y188" s="4" t="s">
        <v>136</v>
      </c>
      <c r="Z188" s="153">
        <v>13000</v>
      </c>
      <c r="AA188" s="153">
        <v>1</v>
      </c>
      <c r="AB188" s="153">
        <v>104.19</v>
      </c>
      <c r="AC188" s="11"/>
      <c r="AD188" s="153">
        <v>13.545</v>
      </c>
      <c r="AG188" s="2" t="s">
        <v>37</v>
      </c>
      <c r="AH188" s="167">
        <v>0</v>
      </c>
      <c r="AI188" s="167">
        <v>1.9879636620357698E-2</v>
      </c>
      <c r="AJ188" s="167">
        <v>1.3580066314820801E-3</v>
      </c>
      <c r="AK188" s="161"/>
      <c r="AL188" s="153"/>
    </row>
    <row r="189" spans="1:38">
      <c r="A189" s="2" t="s">
        <v>26</v>
      </c>
      <c r="B189" s="2">
        <v>1477</v>
      </c>
      <c r="C189" s="2" t="s">
        <v>2067</v>
      </c>
      <c r="D189" s="2" t="s">
        <v>2068</v>
      </c>
      <c r="E189" s="4" t="s">
        <v>1305</v>
      </c>
      <c r="F189" s="2" t="s">
        <v>2069</v>
      </c>
      <c r="G189" s="2" t="s">
        <v>2070</v>
      </c>
      <c r="H189" s="2" t="s">
        <v>319</v>
      </c>
      <c r="I189" s="2" t="s">
        <v>966</v>
      </c>
      <c r="J189" s="2" t="s">
        <v>31</v>
      </c>
      <c r="K189" s="2" t="s">
        <v>31</v>
      </c>
      <c r="L189" s="2" t="s">
        <v>325</v>
      </c>
      <c r="M189" s="2" t="s">
        <v>40</v>
      </c>
      <c r="N189" s="2" t="s">
        <v>440</v>
      </c>
      <c r="O189" s="2" t="s">
        <v>136</v>
      </c>
      <c r="P189" s="2" t="s">
        <v>1890</v>
      </c>
      <c r="Q189" s="2" t="s">
        <v>412</v>
      </c>
      <c r="R189" s="2" t="s">
        <v>405</v>
      </c>
      <c r="S189" s="2" t="s">
        <v>35</v>
      </c>
      <c r="T189" s="153">
        <v>1.169</v>
      </c>
      <c r="U189" s="2" t="s">
        <v>2071</v>
      </c>
      <c r="V189" s="165">
        <v>3.4000000000000002E-2</v>
      </c>
      <c r="W189" s="167">
        <v>0.17133999999999999</v>
      </c>
      <c r="X189" s="4" t="s">
        <v>411</v>
      </c>
      <c r="Y189" s="4" t="s">
        <v>136</v>
      </c>
      <c r="Z189" s="153">
        <v>4200</v>
      </c>
      <c r="AA189" s="153">
        <v>1</v>
      </c>
      <c r="AB189" s="153">
        <v>86.38</v>
      </c>
      <c r="AC189" s="11"/>
      <c r="AD189" s="153">
        <v>3.6280000000000001</v>
      </c>
      <c r="AG189" s="2" t="s">
        <v>37</v>
      </c>
      <c r="AH189" s="167">
        <v>1.7E-5</v>
      </c>
      <c r="AI189" s="167">
        <v>5.3247784353432004E-3</v>
      </c>
      <c r="AJ189" s="167">
        <v>3.6374328990319003E-4</v>
      </c>
      <c r="AK189" s="161"/>
      <c r="AL189" s="153"/>
    </row>
    <row r="190" spans="1:38">
      <c r="A190" s="2" t="s">
        <v>26</v>
      </c>
      <c r="B190" s="2">
        <v>1477</v>
      </c>
      <c r="C190" s="2" t="s">
        <v>1552</v>
      </c>
      <c r="D190" s="2" t="s">
        <v>1553</v>
      </c>
      <c r="E190" s="4" t="s">
        <v>1305</v>
      </c>
      <c r="F190" s="2" t="s">
        <v>2095</v>
      </c>
      <c r="G190" s="2" t="s">
        <v>2096</v>
      </c>
      <c r="H190" s="2" t="s">
        <v>319</v>
      </c>
      <c r="I190" s="2" t="s">
        <v>754</v>
      </c>
      <c r="J190" s="2" t="s">
        <v>31</v>
      </c>
      <c r="K190" s="2" t="s">
        <v>31</v>
      </c>
      <c r="L190" s="2" t="s">
        <v>325</v>
      </c>
      <c r="M190" s="2" t="s">
        <v>40</v>
      </c>
      <c r="N190" s="2" t="s">
        <v>461</v>
      </c>
      <c r="O190" s="2" t="s">
        <v>136</v>
      </c>
      <c r="P190" s="2" t="s">
        <v>1772</v>
      </c>
      <c r="Q190" s="2" t="s">
        <v>412</v>
      </c>
      <c r="R190" s="2" t="s">
        <v>405</v>
      </c>
      <c r="S190" s="2" t="s">
        <v>35</v>
      </c>
      <c r="T190" s="153">
        <v>4.4139999999999997</v>
      </c>
      <c r="U190" s="2" t="s">
        <v>1773</v>
      </c>
      <c r="V190" s="165">
        <v>3.6200000000000003E-2</v>
      </c>
      <c r="W190" s="167">
        <v>3.5619999999999999E-2</v>
      </c>
      <c r="X190" s="4" t="s">
        <v>411</v>
      </c>
      <c r="Y190" s="4" t="s">
        <v>136</v>
      </c>
      <c r="Z190" s="153">
        <v>6790</v>
      </c>
      <c r="AA190" s="153">
        <v>1</v>
      </c>
      <c r="AB190" s="153">
        <v>103.98</v>
      </c>
      <c r="AC190" s="11"/>
      <c r="AD190" s="153">
        <v>7.06</v>
      </c>
      <c r="AG190" s="2" t="s">
        <v>37</v>
      </c>
      <c r="AH190" s="167">
        <v>3.9999999999999998E-6</v>
      </c>
      <c r="AI190" s="167">
        <v>1.0362359108122599E-2</v>
      </c>
      <c r="AJ190" s="167">
        <v>7.0786768668692102E-4</v>
      </c>
      <c r="AK190" s="161"/>
      <c r="AL190" s="153"/>
    </row>
    <row r="191" spans="1:38">
      <c r="A191" s="2" t="s">
        <v>26</v>
      </c>
      <c r="B191" s="2">
        <v>1477</v>
      </c>
      <c r="C191" s="2" t="s">
        <v>1552</v>
      </c>
      <c r="D191" s="2" t="s">
        <v>1553</v>
      </c>
      <c r="E191" s="4" t="s">
        <v>1305</v>
      </c>
      <c r="F191" s="2" t="s">
        <v>2329</v>
      </c>
      <c r="G191" s="2" t="s">
        <v>2330</v>
      </c>
      <c r="H191" s="2" t="s">
        <v>319</v>
      </c>
      <c r="I191" s="2" t="s">
        <v>754</v>
      </c>
      <c r="J191" s="2" t="s">
        <v>31</v>
      </c>
      <c r="K191" s="2" t="s">
        <v>31</v>
      </c>
      <c r="L191" s="2" t="s">
        <v>325</v>
      </c>
      <c r="M191" s="2" t="s">
        <v>40</v>
      </c>
      <c r="N191" s="2" t="s">
        <v>461</v>
      </c>
      <c r="O191" s="2" t="s">
        <v>136</v>
      </c>
      <c r="P191" s="2" t="s">
        <v>1772</v>
      </c>
      <c r="Q191" s="2" t="s">
        <v>412</v>
      </c>
      <c r="R191" s="2" t="s">
        <v>407</v>
      </c>
      <c r="S191" s="2" t="s">
        <v>35</v>
      </c>
      <c r="T191" s="153">
        <v>1.212</v>
      </c>
      <c r="U191" s="2" t="s">
        <v>1897</v>
      </c>
      <c r="V191" s="165">
        <v>4.9500000000000002E-2</v>
      </c>
      <c r="W191" s="167">
        <v>3.8949999999999999E-2</v>
      </c>
      <c r="X191" s="4" t="s">
        <v>411</v>
      </c>
      <c r="Y191" s="4" t="s">
        <v>136</v>
      </c>
      <c r="Z191" s="153">
        <v>13333.34</v>
      </c>
      <c r="AA191" s="153">
        <v>1</v>
      </c>
      <c r="AB191" s="153">
        <v>138.43</v>
      </c>
      <c r="AC191" s="11"/>
      <c r="AD191" s="153">
        <v>18.457000000000001</v>
      </c>
      <c r="AG191" s="2" t="s">
        <v>37</v>
      </c>
      <c r="AH191" s="167">
        <v>7.9999999999999996E-6</v>
      </c>
      <c r="AI191" s="167">
        <v>2.7089951280576299E-2</v>
      </c>
      <c r="AJ191" s="167">
        <v>1.85055361866505E-3</v>
      </c>
      <c r="AK191" s="161"/>
      <c r="AL191" s="153"/>
    </row>
    <row r="192" spans="1:38">
      <c r="A192" s="2" t="s">
        <v>26</v>
      </c>
      <c r="B192" s="2">
        <v>1477</v>
      </c>
      <c r="C192" s="2" t="s">
        <v>2107</v>
      </c>
      <c r="D192" s="2" t="s">
        <v>2108</v>
      </c>
      <c r="E192" s="4" t="s">
        <v>34</v>
      </c>
      <c r="F192" s="2" t="s">
        <v>2109</v>
      </c>
      <c r="G192" s="2" t="s">
        <v>2110</v>
      </c>
      <c r="H192" s="2" t="s">
        <v>319</v>
      </c>
      <c r="I192" s="2" t="s">
        <v>966</v>
      </c>
      <c r="J192" s="2" t="s">
        <v>31</v>
      </c>
      <c r="K192" s="2" t="s">
        <v>296</v>
      </c>
      <c r="L192" s="2" t="s">
        <v>325</v>
      </c>
      <c r="M192" s="2" t="s">
        <v>40</v>
      </c>
      <c r="N192" s="2" t="s">
        <v>462</v>
      </c>
      <c r="O192" s="2" t="s">
        <v>136</v>
      </c>
      <c r="P192" s="2" t="s">
        <v>1758</v>
      </c>
      <c r="Q192" s="2" t="s">
        <v>412</v>
      </c>
      <c r="R192" s="2" t="s">
        <v>405</v>
      </c>
      <c r="S192" s="2" t="s">
        <v>35</v>
      </c>
      <c r="T192" s="153">
        <v>2.0059999999999998</v>
      </c>
      <c r="U192" s="2" t="s">
        <v>59</v>
      </c>
      <c r="V192" s="165">
        <v>5.7000000000000002E-2</v>
      </c>
      <c r="W192" s="167">
        <v>6.157E-2</v>
      </c>
      <c r="X192" s="4" t="s">
        <v>411</v>
      </c>
      <c r="Y192" s="4" t="s">
        <v>136</v>
      </c>
      <c r="Z192" s="153">
        <v>14042.55</v>
      </c>
      <c r="AA192" s="153">
        <v>1</v>
      </c>
      <c r="AB192" s="153">
        <v>100.25</v>
      </c>
      <c r="AC192" s="11"/>
      <c r="AD192" s="153">
        <v>14.077999999999999</v>
      </c>
      <c r="AG192" s="2" t="s">
        <v>37</v>
      </c>
      <c r="AH192" s="167">
        <v>6.0000000000000002E-5</v>
      </c>
      <c r="AI192" s="167">
        <v>2.0661859856716099E-2</v>
      </c>
      <c r="AJ192" s="167">
        <v>1.4114414282321501E-3</v>
      </c>
      <c r="AK192" s="161"/>
      <c r="AL192" s="153"/>
    </row>
    <row r="193" spans="1:38">
      <c r="A193" s="2" t="s">
        <v>26</v>
      </c>
      <c r="B193" s="2">
        <v>1477</v>
      </c>
      <c r="C193" s="2" t="s">
        <v>2107</v>
      </c>
      <c r="D193" s="2" t="s">
        <v>2108</v>
      </c>
      <c r="E193" s="4" t="s">
        <v>34</v>
      </c>
      <c r="F193" s="2" t="s">
        <v>2111</v>
      </c>
      <c r="G193" s="2" t="s">
        <v>2112</v>
      </c>
      <c r="H193" s="2" t="s">
        <v>319</v>
      </c>
      <c r="I193" s="2" t="s">
        <v>966</v>
      </c>
      <c r="J193" s="2" t="s">
        <v>31</v>
      </c>
      <c r="K193" s="2" t="s">
        <v>74</v>
      </c>
      <c r="L193" s="2" t="s">
        <v>325</v>
      </c>
      <c r="M193" s="2" t="s">
        <v>40</v>
      </c>
      <c r="N193" s="2" t="s">
        <v>462</v>
      </c>
      <c r="O193" s="2" t="s">
        <v>136</v>
      </c>
      <c r="P193" s="2" t="s">
        <v>1772</v>
      </c>
      <c r="Q193" s="2" t="s">
        <v>412</v>
      </c>
      <c r="R193" s="2" t="s">
        <v>405</v>
      </c>
      <c r="S193" s="2" t="s">
        <v>35</v>
      </c>
      <c r="T193" s="153">
        <v>2.15</v>
      </c>
      <c r="U193" s="2" t="s">
        <v>2078</v>
      </c>
      <c r="V193" s="165">
        <v>9.0999999999999998E-2</v>
      </c>
      <c r="W193" s="167">
        <v>6.9690000000000002E-2</v>
      </c>
      <c r="X193" s="4" t="s">
        <v>411</v>
      </c>
      <c r="Y193" s="4" t="s">
        <v>136</v>
      </c>
      <c r="Z193" s="153">
        <v>16000</v>
      </c>
      <c r="AA193" s="153">
        <v>1</v>
      </c>
      <c r="AB193" s="153">
        <v>104.76</v>
      </c>
      <c r="AC193" s="11"/>
      <c r="AD193" s="153">
        <v>16.762</v>
      </c>
      <c r="AG193" s="2" t="s">
        <v>37</v>
      </c>
      <c r="AH193" s="167">
        <v>1.05E-4</v>
      </c>
      <c r="AI193" s="167">
        <v>2.46010998527681E-2</v>
      </c>
      <c r="AJ193" s="167">
        <v>1.68053659027148E-3</v>
      </c>
      <c r="AK193" s="161"/>
      <c r="AL193" s="153"/>
    </row>
    <row r="194" spans="1:38">
      <c r="A194" s="2" t="s">
        <v>26</v>
      </c>
      <c r="B194" s="2">
        <v>1477</v>
      </c>
      <c r="C194" s="2" t="s">
        <v>2113</v>
      </c>
      <c r="D194" s="2" t="s">
        <v>2114</v>
      </c>
      <c r="E194" s="4" t="s">
        <v>34</v>
      </c>
      <c r="F194" s="2" t="s">
        <v>2115</v>
      </c>
      <c r="G194" s="2" t="s">
        <v>2116</v>
      </c>
      <c r="H194" s="2" t="s">
        <v>319</v>
      </c>
      <c r="I194" s="2" t="s">
        <v>755</v>
      </c>
      <c r="J194" s="2" t="s">
        <v>31</v>
      </c>
      <c r="K194" s="2" t="s">
        <v>74</v>
      </c>
      <c r="L194" s="23" t="s">
        <v>327</v>
      </c>
      <c r="M194" s="2" t="s">
        <v>40</v>
      </c>
      <c r="N194" s="2" t="s">
        <v>440</v>
      </c>
      <c r="O194" s="2" t="s">
        <v>136</v>
      </c>
      <c r="P194" s="2" t="s">
        <v>1896</v>
      </c>
      <c r="Q194" s="2" t="s">
        <v>104</v>
      </c>
      <c r="R194" s="2" t="s">
        <v>405</v>
      </c>
      <c r="S194" s="2" t="s">
        <v>35</v>
      </c>
      <c r="T194" s="153">
        <v>2.4</v>
      </c>
      <c r="U194" s="2" t="s">
        <v>2117</v>
      </c>
      <c r="V194" s="165">
        <v>8.9126999999999998E-2</v>
      </c>
      <c r="W194" s="167">
        <v>6.5500000000000003E-2</v>
      </c>
      <c r="X194" s="4" t="s">
        <v>411</v>
      </c>
      <c r="Y194" s="4" t="s">
        <v>136</v>
      </c>
      <c r="Z194" s="153">
        <v>11000</v>
      </c>
      <c r="AA194" s="153">
        <v>1</v>
      </c>
      <c r="AB194" s="153">
        <v>104.923</v>
      </c>
      <c r="AC194" s="11"/>
      <c r="AD194" s="153">
        <v>11.542</v>
      </c>
      <c r="AG194" s="2" t="s">
        <v>37</v>
      </c>
      <c r="AH194" s="167">
        <v>0</v>
      </c>
      <c r="AI194" s="167">
        <v>1.6939572116249E-2</v>
      </c>
      <c r="AJ194" s="167">
        <v>1.1571665874806701E-3</v>
      </c>
      <c r="AK194" s="161"/>
      <c r="AL194" s="153"/>
    </row>
    <row r="195" spans="1:38">
      <c r="A195" s="2" t="s">
        <v>26</v>
      </c>
      <c r="B195" s="2">
        <v>1477</v>
      </c>
      <c r="C195" s="2" t="s">
        <v>2118</v>
      </c>
      <c r="D195" s="2" t="s">
        <v>2119</v>
      </c>
      <c r="E195" s="4" t="s">
        <v>1305</v>
      </c>
      <c r="F195" s="2" t="s">
        <v>2122</v>
      </c>
      <c r="G195" s="2" t="s">
        <v>2123</v>
      </c>
      <c r="H195" s="2" t="s">
        <v>319</v>
      </c>
      <c r="I195" s="2" t="s">
        <v>966</v>
      </c>
      <c r="J195" s="2" t="s">
        <v>31</v>
      </c>
      <c r="K195" s="2" t="s">
        <v>31</v>
      </c>
      <c r="L195" s="2" t="s">
        <v>325</v>
      </c>
      <c r="M195" s="2" t="s">
        <v>40</v>
      </c>
      <c r="N195" s="2" t="s">
        <v>462</v>
      </c>
      <c r="O195" s="2" t="s">
        <v>136</v>
      </c>
      <c r="P195" s="2" t="s">
        <v>1752</v>
      </c>
      <c r="Q195" s="23" t="s">
        <v>1752</v>
      </c>
      <c r="R195" s="23" t="s">
        <v>1752</v>
      </c>
      <c r="S195" s="2" t="s">
        <v>35</v>
      </c>
      <c r="T195" s="153">
        <v>0.748</v>
      </c>
      <c r="U195" s="2" t="s">
        <v>2124</v>
      </c>
      <c r="V195" s="165">
        <v>0.06</v>
      </c>
      <c r="W195" s="167">
        <v>0.14593</v>
      </c>
      <c r="X195" s="4" t="s">
        <v>411</v>
      </c>
      <c r="Y195" s="4" t="s">
        <v>136</v>
      </c>
      <c r="Z195" s="153">
        <v>3699.59</v>
      </c>
      <c r="AA195" s="153">
        <v>1</v>
      </c>
      <c r="AB195" s="153">
        <v>95.56</v>
      </c>
      <c r="AC195" s="11"/>
      <c r="AD195" s="153">
        <v>3.5350000000000001</v>
      </c>
      <c r="AG195" s="2" t="s">
        <v>37</v>
      </c>
      <c r="AH195" s="167">
        <v>2.0999999999999999E-5</v>
      </c>
      <c r="AI195" s="167">
        <v>5.1888221982931996E-3</v>
      </c>
      <c r="AJ195" s="167">
        <v>3.54455923386834E-4</v>
      </c>
      <c r="AK195" s="161"/>
      <c r="AL195" s="153"/>
    </row>
    <row r="196" spans="1:38">
      <c r="A196" s="2" t="s">
        <v>26</v>
      </c>
      <c r="B196" s="2">
        <v>1477</v>
      </c>
      <c r="C196" s="2" t="s">
        <v>1371</v>
      </c>
      <c r="D196" s="2" t="s">
        <v>1372</v>
      </c>
      <c r="E196" s="4" t="s">
        <v>1305</v>
      </c>
      <c r="F196" s="2" t="s">
        <v>2146</v>
      </c>
      <c r="G196" s="2" t="s">
        <v>2147</v>
      </c>
      <c r="H196" s="2" t="s">
        <v>319</v>
      </c>
      <c r="I196" s="2" t="s">
        <v>754</v>
      </c>
      <c r="J196" s="2" t="s">
        <v>31</v>
      </c>
      <c r="K196" s="2" t="s">
        <v>31</v>
      </c>
      <c r="L196" s="2" t="s">
        <v>325</v>
      </c>
      <c r="M196" s="2" t="s">
        <v>40</v>
      </c>
      <c r="N196" s="2" t="s">
        <v>461</v>
      </c>
      <c r="O196" s="2" t="s">
        <v>136</v>
      </c>
      <c r="P196" s="2" t="s">
        <v>1308</v>
      </c>
      <c r="Q196" s="2" t="s">
        <v>412</v>
      </c>
      <c r="R196" s="2" t="s">
        <v>405</v>
      </c>
      <c r="S196" s="2" t="s">
        <v>35</v>
      </c>
      <c r="T196" s="153">
        <v>0.998</v>
      </c>
      <c r="U196" s="2" t="s">
        <v>1941</v>
      </c>
      <c r="V196" s="165">
        <v>6.4999999999999997E-3</v>
      </c>
      <c r="W196" s="167">
        <v>1.6490000000000001E-2</v>
      </c>
      <c r="X196" s="4" t="s">
        <v>411</v>
      </c>
      <c r="Y196" s="4" t="s">
        <v>136</v>
      </c>
      <c r="Z196" s="153">
        <v>10000</v>
      </c>
      <c r="AA196" s="153">
        <v>1</v>
      </c>
      <c r="AB196" s="153">
        <v>110.63</v>
      </c>
      <c r="AC196" s="11"/>
      <c r="AD196" s="153">
        <v>11.154</v>
      </c>
      <c r="AG196" s="2" t="s">
        <v>37</v>
      </c>
      <c r="AH196" s="167">
        <v>3.3000000000000003E-5</v>
      </c>
      <c r="AI196" s="167">
        <v>1.6370483815793601E-2</v>
      </c>
      <c r="AJ196" s="167">
        <v>1.1182913454088001E-3</v>
      </c>
      <c r="AK196" s="161"/>
      <c r="AL196" s="153"/>
    </row>
    <row r="197" spans="1:38">
      <c r="A197" s="2" t="s">
        <v>26</v>
      </c>
      <c r="B197" s="2">
        <v>1477</v>
      </c>
      <c r="C197" s="2" t="s">
        <v>2148</v>
      </c>
      <c r="D197" s="2" t="s">
        <v>2149</v>
      </c>
      <c r="E197" s="4" t="s">
        <v>1305</v>
      </c>
      <c r="F197" s="2" t="s">
        <v>2150</v>
      </c>
      <c r="G197" s="2" t="s">
        <v>2151</v>
      </c>
      <c r="H197" s="2" t="s">
        <v>319</v>
      </c>
      <c r="I197" s="2" t="s">
        <v>966</v>
      </c>
      <c r="J197" s="2" t="s">
        <v>31</v>
      </c>
      <c r="K197" s="2" t="s">
        <v>31</v>
      </c>
      <c r="L197" s="2" t="s">
        <v>325</v>
      </c>
      <c r="M197" s="2" t="s">
        <v>40</v>
      </c>
      <c r="N197" s="2" t="s">
        <v>444</v>
      </c>
      <c r="O197" s="2" t="s">
        <v>136</v>
      </c>
      <c r="P197" s="2" t="s">
        <v>1752</v>
      </c>
      <c r="Q197" s="23" t="s">
        <v>1752</v>
      </c>
      <c r="R197" s="23" t="s">
        <v>1752</v>
      </c>
      <c r="S197" s="2" t="s">
        <v>35</v>
      </c>
      <c r="T197" s="153">
        <v>1.5680000000000001</v>
      </c>
      <c r="U197" s="2" t="s">
        <v>91</v>
      </c>
      <c r="V197" s="165">
        <v>0.06</v>
      </c>
      <c r="W197" s="167">
        <v>6.1800000000000001E-2</v>
      </c>
      <c r="X197" s="4" t="s">
        <v>411</v>
      </c>
      <c r="Y197" s="4" t="s">
        <v>136</v>
      </c>
      <c r="Z197" s="153">
        <v>14200</v>
      </c>
      <c r="AA197" s="153">
        <v>1</v>
      </c>
      <c r="AB197" s="153">
        <v>101.88</v>
      </c>
      <c r="AC197" s="11"/>
      <c r="AD197" s="153">
        <v>14.467000000000001</v>
      </c>
      <c r="AG197" s="2" t="s">
        <v>37</v>
      </c>
      <c r="AH197" s="167">
        <v>5.7000000000000003E-5</v>
      </c>
      <c r="AI197" s="167">
        <v>2.1233243098868999E-2</v>
      </c>
      <c r="AJ197" s="167">
        <v>1.45047344107925E-3</v>
      </c>
      <c r="AK197" s="161"/>
      <c r="AL197" s="153"/>
    </row>
    <row r="198" spans="1:38">
      <c r="A198" s="2" t="s">
        <v>26</v>
      </c>
      <c r="B198" s="2">
        <v>1477</v>
      </c>
      <c r="C198" s="2" t="s">
        <v>2313</v>
      </c>
      <c r="D198" s="2" t="s">
        <v>2314</v>
      </c>
      <c r="E198" s="4" t="s">
        <v>1305</v>
      </c>
      <c r="F198" s="2" t="s">
        <v>2331</v>
      </c>
      <c r="G198" s="2" t="s">
        <v>2332</v>
      </c>
      <c r="H198" s="2" t="s">
        <v>319</v>
      </c>
      <c r="I198" s="2" t="s">
        <v>966</v>
      </c>
      <c r="J198" s="2" t="s">
        <v>31</v>
      </c>
      <c r="K198" s="2" t="s">
        <v>74</v>
      </c>
      <c r="L198" s="2" t="s">
        <v>325</v>
      </c>
      <c r="M198" s="2" t="s">
        <v>40</v>
      </c>
      <c r="N198" s="2" t="s">
        <v>462</v>
      </c>
      <c r="O198" s="2" t="s">
        <v>136</v>
      </c>
      <c r="P198" s="2" t="s">
        <v>1748</v>
      </c>
      <c r="Q198" s="2" t="s">
        <v>412</v>
      </c>
      <c r="R198" s="2" t="s">
        <v>405</v>
      </c>
      <c r="S198" s="2" t="s">
        <v>35</v>
      </c>
      <c r="T198" s="153">
        <v>2.048</v>
      </c>
      <c r="U198" s="2" t="s">
        <v>1788</v>
      </c>
      <c r="V198" s="165">
        <v>0.09</v>
      </c>
      <c r="W198" s="167">
        <v>6.2280000000000002E-2</v>
      </c>
      <c r="X198" s="4" t="s">
        <v>411</v>
      </c>
      <c r="Y198" s="4" t="s">
        <v>136</v>
      </c>
      <c r="Z198" s="153">
        <v>9000</v>
      </c>
      <c r="AA198" s="153">
        <v>1</v>
      </c>
      <c r="AB198" s="153">
        <v>108.21</v>
      </c>
      <c r="AC198" s="11"/>
      <c r="AD198" s="153">
        <v>9.7390000000000008</v>
      </c>
      <c r="AG198" s="2" t="s">
        <v>37</v>
      </c>
      <c r="AH198" s="167">
        <v>2.8E-5</v>
      </c>
      <c r="AI198" s="167">
        <v>1.42938413609753E-2</v>
      </c>
      <c r="AJ198" s="167">
        <v>9.7643290610651204E-4</v>
      </c>
      <c r="AK198" s="161"/>
      <c r="AL198" s="153"/>
    </row>
    <row r="199" spans="1:38">
      <c r="A199" s="2" t="s">
        <v>26</v>
      </c>
      <c r="B199" s="2">
        <v>1477</v>
      </c>
      <c r="C199" s="2" t="s">
        <v>2200</v>
      </c>
      <c r="D199" s="2" t="s">
        <v>2201</v>
      </c>
      <c r="E199" s="4" t="s">
        <v>1305</v>
      </c>
      <c r="F199" s="2" t="s">
        <v>2205</v>
      </c>
      <c r="G199" s="2" t="s">
        <v>2203</v>
      </c>
      <c r="H199" s="2" t="s">
        <v>319</v>
      </c>
      <c r="I199" s="2" t="s">
        <v>966</v>
      </c>
      <c r="J199" s="2" t="s">
        <v>31</v>
      </c>
      <c r="K199" s="2" t="s">
        <v>31</v>
      </c>
      <c r="L199" s="23" t="s">
        <v>327</v>
      </c>
      <c r="M199" s="2" t="s">
        <v>40</v>
      </c>
      <c r="N199" s="2" t="s">
        <v>440</v>
      </c>
      <c r="O199" s="2" t="s">
        <v>136</v>
      </c>
      <c r="P199" s="2" t="s">
        <v>2083</v>
      </c>
      <c r="Q199" s="2" t="s">
        <v>104</v>
      </c>
      <c r="R199" s="2" t="s">
        <v>405</v>
      </c>
      <c r="S199" s="2" t="s">
        <v>35</v>
      </c>
      <c r="T199" s="153">
        <v>1.9</v>
      </c>
      <c r="U199" s="2" t="s">
        <v>1897</v>
      </c>
      <c r="V199" s="165">
        <v>2.9000000000000001E-2</v>
      </c>
      <c r="W199" s="167">
        <v>7.9600000000000004E-2</v>
      </c>
      <c r="X199" s="4" t="s">
        <v>411</v>
      </c>
      <c r="Y199" s="4" t="s">
        <v>136</v>
      </c>
      <c r="Z199" s="153">
        <v>19000</v>
      </c>
      <c r="AA199" s="153">
        <v>1</v>
      </c>
      <c r="AB199" s="153">
        <v>93.238</v>
      </c>
      <c r="AC199" s="11"/>
      <c r="AD199" s="153">
        <v>17.715</v>
      </c>
      <c r="AG199" s="2" t="s">
        <v>37</v>
      </c>
      <c r="AH199" s="167">
        <v>9.5000000000000005E-5</v>
      </c>
      <c r="AI199" s="167">
        <v>2.6000845135150798E-2</v>
      </c>
      <c r="AJ199" s="167">
        <v>1.77615520806426E-3</v>
      </c>
      <c r="AK199" s="161"/>
      <c r="AL199" s="153"/>
    </row>
    <row r="200" spans="1:38">
      <c r="A200" s="2" t="s">
        <v>26</v>
      </c>
      <c r="B200" s="2">
        <v>1477</v>
      </c>
      <c r="C200" s="2" t="s">
        <v>2220</v>
      </c>
      <c r="D200" s="2" t="s">
        <v>2221</v>
      </c>
      <c r="E200" s="4" t="s">
        <v>312</v>
      </c>
      <c r="F200" s="2" t="s">
        <v>2222</v>
      </c>
      <c r="G200" s="2" t="s">
        <v>2223</v>
      </c>
      <c r="H200" s="2" t="s">
        <v>319</v>
      </c>
      <c r="I200" s="2" t="s">
        <v>755</v>
      </c>
      <c r="J200" s="2" t="s">
        <v>73</v>
      </c>
      <c r="K200" s="2" t="s">
        <v>293</v>
      </c>
      <c r="L200" s="2" t="s">
        <v>325</v>
      </c>
      <c r="M200" s="2" t="s">
        <v>164</v>
      </c>
      <c r="N200" s="2" t="s">
        <v>566</v>
      </c>
      <c r="O200" s="2" t="s">
        <v>136</v>
      </c>
      <c r="P200" s="2" t="s">
        <v>2224</v>
      </c>
      <c r="Q200" s="2" t="s">
        <v>77</v>
      </c>
      <c r="R200" s="2" t="s">
        <v>405</v>
      </c>
      <c r="S200" s="2" t="s">
        <v>1178</v>
      </c>
      <c r="T200" s="153">
        <v>1.28</v>
      </c>
      <c r="U200" s="2" t="s">
        <v>2225</v>
      </c>
      <c r="V200" s="165">
        <v>4.2500000000000003E-2</v>
      </c>
      <c r="W200" s="167">
        <v>7.8850000000000003E-2</v>
      </c>
      <c r="X200" s="4" t="s">
        <v>411</v>
      </c>
      <c r="Y200" s="4" t="s">
        <v>136</v>
      </c>
      <c r="Z200" s="153">
        <v>3000</v>
      </c>
      <c r="AA200" s="153">
        <v>3.9790000000000001</v>
      </c>
      <c r="AB200" s="153">
        <v>94.738</v>
      </c>
      <c r="AC200" s="11"/>
      <c r="AD200" s="153">
        <v>11.59</v>
      </c>
      <c r="AG200" s="2" t="s">
        <v>37</v>
      </c>
      <c r="AH200" s="167">
        <v>6.0000000000000002E-6</v>
      </c>
      <c r="AI200" s="167">
        <v>1.7010129229996999E-2</v>
      </c>
      <c r="AJ200" s="167">
        <v>1.16198644561982E-3</v>
      </c>
      <c r="AK200" s="161"/>
      <c r="AL200" s="153"/>
    </row>
    <row r="201" spans="1:38">
      <c r="A201" s="2" t="s">
        <v>26</v>
      </c>
      <c r="B201" s="2">
        <v>1477</v>
      </c>
      <c r="C201" s="2" t="s">
        <v>2238</v>
      </c>
      <c r="D201" s="2" t="s">
        <v>2239</v>
      </c>
      <c r="E201" s="4" t="s">
        <v>312</v>
      </c>
      <c r="F201" s="2" t="s">
        <v>2240</v>
      </c>
      <c r="G201" s="2" t="s">
        <v>2241</v>
      </c>
      <c r="H201" s="2" t="s">
        <v>319</v>
      </c>
      <c r="I201" s="2" t="s">
        <v>755</v>
      </c>
      <c r="J201" s="2" t="s">
        <v>73</v>
      </c>
      <c r="K201" s="2" t="s">
        <v>233</v>
      </c>
      <c r="L201" s="2" t="s">
        <v>325</v>
      </c>
      <c r="M201" s="2" t="s">
        <v>164</v>
      </c>
      <c r="N201" s="2" t="s">
        <v>484</v>
      </c>
      <c r="O201" s="2" t="s">
        <v>136</v>
      </c>
      <c r="P201" s="2" t="s">
        <v>2242</v>
      </c>
      <c r="Q201" s="2" t="s">
        <v>77</v>
      </c>
      <c r="R201" s="2" t="s">
        <v>405</v>
      </c>
      <c r="S201" s="2" t="s">
        <v>78</v>
      </c>
      <c r="T201" s="153">
        <v>1.1599999999999999</v>
      </c>
      <c r="U201" s="2" t="s">
        <v>2243</v>
      </c>
      <c r="V201" s="165">
        <v>0.09</v>
      </c>
      <c r="W201" s="167">
        <v>8.1780000000000005E-2</v>
      </c>
      <c r="X201" s="4" t="s">
        <v>411</v>
      </c>
      <c r="Y201" s="4" t="s">
        <v>136</v>
      </c>
      <c r="Z201" s="153">
        <v>9000</v>
      </c>
      <c r="AA201" s="153">
        <v>3.681</v>
      </c>
      <c r="AB201" s="153">
        <v>100.85</v>
      </c>
      <c r="AC201" s="11"/>
      <c r="AD201" s="153">
        <v>34.031999999999996</v>
      </c>
      <c r="AG201" s="2" t="s">
        <v>37</v>
      </c>
      <c r="AH201" s="167">
        <v>1.4E-5</v>
      </c>
      <c r="AI201" s="167">
        <v>4.9948623942894101E-2</v>
      </c>
      <c r="AJ201" s="167">
        <v>3.4120624960716399E-3</v>
      </c>
      <c r="AK201" s="161"/>
      <c r="AL201" s="153"/>
    </row>
    <row r="202" spans="1:38">
      <c r="A202" s="2" t="s">
        <v>26</v>
      </c>
      <c r="B202" s="2">
        <v>1477</v>
      </c>
      <c r="C202" s="2" t="s">
        <v>1176</v>
      </c>
      <c r="D202" s="2" t="s">
        <v>1364</v>
      </c>
      <c r="E202" s="4" t="s">
        <v>1305</v>
      </c>
      <c r="F202" s="2" t="s">
        <v>2247</v>
      </c>
      <c r="G202" s="2" t="s">
        <v>2248</v>
      </c>
      <c r="H202" s="2" t="s">
        <v>319</v>
      </c>
      <c r="I202" s="2" t="s">
        <v>755</v>
      </c>
      <c r="J202" s="2" t="s">
        <v>31</v>
      </c>
      <c r="K202" s="2" t="s">
        <v>31</v>
      </c>
      <c r="L202" s="2" t="s">
        <v>325</v>
      </c>
      <c r="M202" s="2" t="s">
        <v>164</v>
      </c>
      <c r="N202" s="2" t="s">
        <v>534</v>
      </c>
      <c r="O202" s="2" t="s">
        <v>136</v>
      </c>
      <c r="P202" s="2" t="s">
        <v>2249</v>
      </c>
      <c r="Q202" s="2" t="s">
        <v>430</v>
      </c>
      <c r="R202" s="2" t="s">
        <v>405</v>
      </c>
      <c r="S202" s="2" t="s">
        <v>78</v>
      </c>
      <c r="T202" s="153">
        <v>1.69</v>
      </c>
      <c r="U202" s="2" t="s">
        <v>2250</v>
      </c>
      <c r="V202" s="165">
        <v>3.2750000000000001E-2</v>
      </c>
      <c r="W202" s="167">
        <v>6.5809999999999994E-2</v>
      </c>
      <c r="X202" s="4" t="s">
        <v>411</v>
      </c>
      <c r="Y202" s="4" t="s">
        <v>136</v>
      </c>
      <c r="Z202" s="153">
        <v>2000</v>
      </c>
      <c r="AA202" s="153">
        <v>3.681</v>
      </c>
      <c r="AB202" s="153">
        <v>92.834000000000003</v>
      </c>
      <c r="AC202" s="11"/>
      <c r="AD202" s="153">
        <v>6.875</v>
      </c>
      <c r="AG202" s="2" t="s">
        <v>37</v>
      </c>
      <c r="AH202" s="167">
        <v>3.0000000000000001E-6</v>
      </c>
      <c r="AI202" s="167">
        <v>1.00908921937334E-2</v>
      </c>
      <c r="AJ202" s="167">
        <v>6.8932339048026904E-4</v>
      </c>
      <c r="AK202" s="161"/>
      <c r="AL202" s="153"/>
    </row>
    <row r="203" spans="1:38">
      <c r="A203" s="2" t="s">
        <v>26</v>
      </c>
      <c r="B203" s="2">
        <v>1477</v>
      </c>
      <c r="C203" s="2" t="s">
        <v>1710</v>
      </c>
      <c r="D203" s="2" t="s">
        <v>1711</v>
      </c>
      <c r="E203" s="4" t="s">
        <v>1305</v>
      </c>
      <c r="F203" s="2" t="s">
        <v>2251</v>
      </c>
      <c r="G203" s="2" t="s">
        <v>2252</v>
      </c>
      <c r="H203" s="2" t="s">
        <v>319</v>
      </c>
      <c r="I203" s="2" t="s">
        <v>755</v>
      </c>
      <c r="J203" s="2" t="s">
        <v>31</v>
      </c>
      <c r="K203" s="2" t="s">
        <v>31</v>
      </c>
      <c r="L203" s="2" t="s">
        <v>325</v>
      </c>
      <c r="M203" s="2" t="s">
        <v>164</v>
      </c>
      <c r="N203" s="2" t="s">
        <v>484</v>
      </c>
      <c r="O203" s="2" t="s">
        <v>136</v>
      </c>
      <c r="P203" s="2" t="s">
        <v>2253</v>
      </c>
      <c r="Q203" s="2" t="s">
        <v>164</v>
      </c>
      <c r="R203" s="2" t="s">
        <v>407</v>
      </c>
      <c r="S203" s="2" t="s">
        <v>78</v>
      </c>
      <c r="T203" s="153">
        <v>2.79</v>
      </c>
      <c r="U203" s="2" t="s">
        <v>1822</v>
      </c>
      <c r="V203" s="165">
        <v>6.5000000000000002E-2</v>
      </c>
      <c r="W203" s="167">
        <v>7.7990000000000004E-2</v>
      </c>
      <c r="X203" s="4" t="s">
        <v>411</v>
      </c>
      <c r="Y203" s="4" t="s">
        <v>136</v>
      </c>
      <c r="Z203" s="153">
        <v>1000</v>
      </c>
      <c r="AA203" s="153">
        <v>3.681</v>
      </c>
      <c r="AB203" s="153">
        <v>96.843000000000004</v>
      </c>
      <c r="AC203" s="11"/>
      <c r="AD203" s="153">
        <v>3.625</v>
      </c>
      <c r="AG203" s="2" t="s">
        <v>37</v>
      </c>
      <c r="AH203" s="167">
        <v>1.9999999999999999E-6</v>
      </c>
      <c r="AI203" s="167">
        <v>5.3198573347490799E-3</v>
      </c>
      <c r="AJ203" s="167">
        <v>3.6340712242847101E-4</v>
      </c>
      <c r="AK203" s="161"/>
      <c r="AL203" s="153"/>
    </row>
    <row r="204" spans="1:38">
      <c r="A204" s="2" t="s">
        <v>26</v>
      </c>
      <c r="B204" s="2">
        <v>1477</v>
      </c>
      <c r="C204" s="2" t="s">
        <v>1518</v>
      </c>
      <c r="D204" s="2" t="s">
        <v>1519</v>
      </c>
      <c r="E204" s="4" t="s">
        <v>1305</v>
      </c>
      <c r="F204" s="2" t="s">
        <v>2265</v>
      </c>
      <c r="G204" s="2" t="s">
        <v>2266</v>
      </c>
      <c r="H204" s="2" t="s">
        <v>319</v>
      </c>
      <c r="I204" s="2" t="s">
        <v>755</v>
      </c>
      <c r="J204" s="2" t="s">
        <v>31</v>
      </c>
      <c r="K204" s="2" t="s">
        <v>31</v>
      </c>
      <c r="L204" s="2" t="s">
        <v>325</v>
      </c>
      <c r="M204" s="2" t="s">
        <v>164</v>
      </c>
      <c r="N204" s="2" t="s">
        <v>534</v>
      </c>
      <c r="O204" s="2" t="s">
        <v>136</v>
      </c>
      <c r="P204" s="2" t="s">
        <v>2267</v>
      </c>
      <c r="Q204" s="2" t="s">
        <v>412</v>
      </c>
      <c r="R204" s="2" t="s">
        <v>407</v>
      </c>
      <c r="S204" s="2" t="s">
        <v>78</v>
      </c>
      <c r="T204" s="153">
        <v>1.87</v>
      </c>
      <c r="U204" s="2" t="s">
        <v>2268</v>
      </c>
      <c r="V204" s="165">
        <v>3.0769999999999999E-2</v>
      </c>
      <c r="W204" s="167">
        <v>7.1179999999999993E-2</v>
      </c>
      <c r="X204" s="4" t="s">
        <v>411</v>
      </c>
      <c r="Y204" s="4" t="s">
        <v>136</v>
      </c>
      <c r="Z204" s="153">
        <v>2000</v>
      </c>
      <c r="AA204" s="153">
        <v>3.681</v>
      </c>
      <c r="AB204" s="153">
        <v>91.664000000000001</v>
      </c>
      <c r="AC204" s="11"/>
      <c r="AD204" s="153">
        <v>6.8570000000000002</v>
      </c>
      <c r="AG204" s="2" t="s">
        <v>37</v>
      </c>
      <c r="AH204" s="167">
        <v>3.0000000000000001E-6</v>
      </c>
      <c r="AI204" s="167">
        <v>1.00642993902103E-2</v>
      </c>
      <c r="AJ204" s="167">
        <v>6.8750679774149401E-4</v>
      </c>
      <c r="AK204" s="161"/>
      <c r="AL204" s="153"/>
    </row>
    <row r="205" spans="1:38">
      <c r="A205" s="2" t="s">
        <v>26</v>
      </c>
      <c r="B205" s="2">
        <v>1477</v>
      </c>
      <c r="C205" s="2" t="s">
        <v>2285</v>
      </c>
      <c r="D205" s="2" t="s">
        <v>2286</v>
      </c>
      <c r="E205" s="4" t="s">
        <v>312</v>
      </c>
      <c r="F205" s="2" t="s">
        <v>2287</v>
      </c>
      <c r="G205" s="2" t="s">
        <v>2288</v>
      </c>
      <c r="H205" s="2" t="s">
        <v>319</v>
      </c>
      <c r="I205" s="2" t="s">
        <v>755</v>
      </c>
      <c r="J205" s="2" t="s">
        <v>73</v>
      </c>
      <c r="K205" s="2" t="s">
        <v>238</v>
      </c>
      <c r="L205" s="2" t="s">
        <v>325</v>
      </c>
      <c r="M205" s="2" t="s">
        <v>164</v>
      </c>
      <c r="N205" s="2" t="s">
        <v>566</v>
      </c>
      <c r="O205" s="2" t="s">
        <v>136</v>
      </c>
      <c r="P205" s="2" t="s">
        <v>2289</v>
      </c>
      <c r="Q205" s="2" t="s">
        <v>164</v>
      </c>
      <c r="R205" s="2" t="s">
        <v>407</v>
      </c>
      <c r="S205" s="2" t="s">
        <v>1178</v>
      </c>
      <c r="T205" s="153">
        <v>0.77</v>
      </c>
      <c r="U205" s="2" t="s">
        <v>2290</v>
      </c>
      <c r="V205" s="165">
        <v>0.02</v>
      </c>
      <c r="W205" s="167">
        <v>7.6300000000000007E-2</v>
      </c>
      <c r="X205" s="4" t="s">
        <v>411</v>
      </c>
      <c r="Y205" s="4" t="s">
        <v>136</v>
      </c>
      <c r="Z205" s="153">
        <v>1000</v>
      </c>
      <c r="AA205" s="153">
        <v>3.9790000000000001</v>
      </c>
      <c r="AB205" s="153">
        <v>95.575999999999993</v>
      </c>
      <c r="AC205" s="11"/>
      <c r="AD205" s="153">
        <v>3.8159999999999998</v>
      </c>
      <c r="AG205" s="2" t="s">
        <v>37</v>
      </c>
      <c r="AH205" s="167">
        <v>3.0000000000000001E-6</v>
      </c>
      <c r="AI205" s="167">
        <v>5.6012474876991304E-3</v>
      </c>
      <c r="AJ205" s="167">
        <v>3.8262928936429001E-4</v>
      </c>
      <c r="AK205" s="161"/>
      <c r="AL205" s="153"/>
    </row>
    <row r="206" spans="1:38">
      <c r="A206" s="2" t="s">
        <v>26</v>
      </c>
      <c r="B206" s="2">
        <v>1477</v>
      </c>
      <c r="C206" s="2" t="s">
        <v>1498</v>
      </c>
      <c r="D206" s="2" t="s">
        <v>1499</v>
      </c>
      <c r="E206" s="4" t="s">
        <v>1305</v>
      </c>
      <c r="F206" s="2" t="s">
        <v>2291</v>
      </c>
      <c r="G206" s="2" t="s">
        <v>2292</v>
      </c>
      <c r="H206" s="2" t="s">
        <v>319</v>
      </c>
      <c r="I206" s="2" t="s">
        <v>755</v>
      </c>
      <c r="J206" s="2" t="s">
        <v>31</v>
      </c>
      <c r="K206" s="2" t="s">
        <v>31</v>
      </c>
      <c r="L206" s="2" t="s">
        <v>325</v>
      </c>
      <c r="M206" s="2" t="s">
        <v>164</v>
      </c>
      <c r="N206" s="2" t="s">
        <v>464</v>
      </c>
      <c r="O206" s="2" t="s">
        <v>136</v>
      </c>
      <c r="P206" s="2" t="s">
        <v>2253</v>
      </c>
      <c r="Q206" s="2" t="s">
        <v>77</v>
      </c>
      <c r="R206" s="2" t="s">
        <v>405</v>
      </c>
      <c r="S206" s="2" t="s">
        <v>1178</v>
      </c>
      <c r="T206" s="153">
        <v>5.15</v>
      </c>
      <c r="U206" s="2" t="s">
        <v>2293</v>
      </c>
      <c r="V206" s="165">
        <v>4.3749999999999997E-2</v>
      </c>
      <c r="W206" s="167">
        <v>5.2049999999999999E-2</v>
      </c>
      <c r="X206" s="4" t="s">
        <v>411</v>
      </c>
      <c r="Y206" s="4" t="s">
        <v>136</v>
      </c>
      <c r="Z206" s="153">
        <v>5000</v>
      </c>
      <c r="AA206" s="153">
        <v>3.9790000000000001</v>
      </c>
      <c r="AB206" s="153">
        <v>96.337000000000003</v>
      </c>
      <c r="AC206" s="11"/>
      <c r="AD206" s="153">
        <v>19.507999999999999</v>
      </c>
      <c r="AG206" s="2" t="s">
        <v>37</v>
      </c>
      <c r="AH206" s="167">
        <v>3.0000000000000001E-6</v>
      </c>
      <c r="AI206" s="167">
        <v>2.8631487262242301E-2</v>
      </c>
      <c r="AJ206" s="167">
        <v>1.95585816349898E-3</v>
      </c>
      <c r="AK206" s="161"/>
      <c r="AL206" s="153"/>
    </row>
    <row r="207" spans="1:38">
      <c r="A207" s="2" t="s">
        <v>26</v>
      </c>
      <c r="B207" s="2">
        <v>1477</v>
      </c>
      <c r="C207" s="2" t="s">
        <v>1498</v>
      </c>
      <c r="D207" s="2" t="s">
        <v>1499</v>
      </c>
      <c r="E207" s="4" t="s">
        <v>1305</v>
      </c>
      <c r="F207" s="2" t="s">
        <v>2294</v>
      </c>
      <c r="G207" s="2" t="s">
        <v>2295</v>
      </c>
      <c r="H207" s="2" t="s">
        <v>319</v>
      </c>
      <c r="I207" s="2" t="s">
        <v>755</v>
      </c>
      <c r="J207" s="2" t="s">
        <v>31</v>
      </c>
      <c r="K207" s="2" t="s">
        <v>31</v>
      </c>
      <c r="L207" s="2" t="s">
        <v>325</v>
      </c>
      <c r="M207" s="2" t="s">
        <v>164</v>
      </c>
      <c r="N207" s="2" t="s">
        <v>464</v>
      </c>
      <c r="O207" s="2" t="s">
        <v>136</v>
      </c>
      <c r="P207" s="2" t="s">
        <v>2253</v>
      </c>
      <c r="Q207" s="2" t="s">
        <v>77</v>
      </c>
      <c r="R207" s="2" t="s">
        <v>405</v>
      </c>
      <c r="S207" s="2" t="s">
        <v>78</v>
      </c>
      <c r="T207" s="153">
        <v>4.3</v>
      </c>
      <c r="U207" s="2" t="s">
        <v>2296</v>
      </c>
      <c r="V207" s="165">
        <v>5.1249999999999997E-2</v>
      </c>
      <c r="W207" s="167">
        <v>6.1269999999999998E-2</v>
      </c>
      <c r="X207" s="4" t="s">
        <v>411</v>
      </c>
      <c r="Y207" s="4" t="s">
        <v>136</v>
      </c>
      <c r="Z207" s="153">
        <v>3000</v>
      </c>
      <c r="AA207" s="153">
        <v>3.681</v>
      </c>
      <c r="AB207" s="153">
        <v>96.216999999999999</v>
      </c>
      <c r="AC207" s="11"/>
      <c r="AD207" s="153">
        <v>10.847</v>
      </c>
      <c r="AG207" s="2" t="s">
        <v>37</v>
      </c>
      <c r="AH207" s="167">
        <v>3.0000000000000001E-6</v>
      </c>
      <c r="AI207" s="167">
        <v>1.5920072328265401E-2</v>
      </c>
      <c r="AJ207" s="167">
        <v>1.08752308748538E-3</v>
      </c>
      <c r="AK207" s="161"/>
      <c r="AL207" s="153"/>
    </row>
    <row r="208" spans="1:38">
      <c r="A208" s="2" t="s">
        <v>26</v>
      </c>
      <c r="B208" s="2">
        <v>1477</v>
      </c>
      <c r="C208" s="2" t="s">
        <v>1534</v>
      </c>
      <c r="D208" s="2" t="s">
        <v>1535</v>
      </c>
      <c r="E208" s="4" t="s">
        <v>1305</v>
      </c>
      <c r="F208" s="2" t="s">
        <v>2307</v>
      </c>
      <c r="G208" s="2" t="s">
        <v>2308</v>
      </c>
      <c r="H208" s="2" t="s">
        <v>319</v>
      </c>
      <c r="I208" s="2" t="s">
        <v>966</v>
      </c>
      <c r="J208" s="2" t="s">
        <v>73</v>
      </c>
      <c r="K208" s="2" t="s">
        <v>31</v>
      </c>
      <c r="L208" s="2" t="s">
        <v>325</v>
      </c>
      <c r="M208" s="2" t="s">
        <v>40</v>
      </c>
      <c r="N208" s="2" t="s">
        <v>451</v>
      </c>
      <c r="O208" s="2" t="s">
        <v>136</v>
      </c>
      <c r="P208" s="2" t="s">
        <v>1724</v>
      </c>
      <c r="Q208" s="2" t="s">
        <v>412</v>
      </c>
      <c r="R208" s="2" t="s">
        <v>405</v>
      </c>
      <c r="S208" s="2" t="s">
        <v>35</v>
      </c>
      <c r="T208" s="153">
        <v>2.8290000000000002</v>
      </c>
      <c r="U208" s="2" t="s">
        <v>2309</v>
      </c>
      <c r="V208" s="165">
        <v>5.2499999999999998E-2</v>
      </c>
      <c r="W208" s="167">
        <v>6.0940000000000001E-2</v>
      </c>
      <c r="X208" s="4" t="s">
        <v>411</v>
      </c>
      <c r="Y208" s="4" t="s">
        <v>136</v>
      </c>
      <c r="Z208" s="153">
        <v>20000</v>
      </c>
      <c r="AA208" s="153">
        <v>1</v>
      </c>
      <c r="AB208" s="153">
        <v>99.03</v>
      </c>
      <c r="AC208" s="11"/>
      <c r="AD208" s="153">
        <v>19.806000000000001</v>
      </c>
      <c r="AG208" s="2" t="s">
        <v>37</v>
      </c>
      <c r="AH208" s="167">
        <v>6.0999999999999999E-5</v>
      </c>
      <c r="AI208" s="167">
        <v>2.9069383810848899E-2</v>
      </c>
      <c r="AJ208" s="167">
        <v>1.9857715079059802E-3</v>
      </c>
      <c r="AK208" s="161"/>
      <c r="AL208" s="153"/>
    </row>
    <row r="209" spans="1:38">
      <c r="A209" s="2" t="s">
        <v>26</v>
      </c>
      <c r="B209" s="2">
        <v>9962</v>
      </c>
      <c r="C209" s="2" t="s">
        <v>1710</v>
      </c>
      <c r="D209" s="2" t="s">
        <v>1711</v>
      </c>
      <c r="E209" s="4" t="s">
        <v>1305</v>
      </c>
      <c r="F209" s="2" t="s">
        <v>1712</v>
      </c>
      <c r="G209" s="2" t="s">
        <v>1713</v>
      </c>
      <c r="H209" s="2" t="s">
        <v>319</v>
      </c>
      <c r="I209" s="2" t="s">
        <v>755</v>
      </c>
      <c r="J209" s="2" t="s">
        <v>31</v>
      </c>
      <c r="K209" s="2" t="s">
        <v>31</v>
      </c>
      <c r="L209" s="2" t="s">
        <v>325</v>
      </c>
      <c r="M209" s="2" t="s">
        <v>164</v>
      </c>
      <c r="N209" s="2" t="s">
        <v>484</v>
      </c>
      <c r="O209" s="2" t="s">
        <v>136</v>
      </c>
      <c r="P209" s="2" t="s">
        <v>1714</v>
      </c>
      <c r="Q209" s="2" t="s">
        <v>77</v>
      </c>
      <c r="R209" s="2" t="s">
        <v>405</v>
      </c>
      <c r="S209" s="2" t="s">
        <v>78</v>
      </c>
      <c r="T209" s="153">
        <v>1.1399999999999999</v>
      </c>
      <c r="U209" s="2" t="s">
        <v>1715</v>
      </c>
      <c r="V209" s="165">
        <v>6.1249999999999999E-2</v>
      </c>
      <c r="W209" s="167">
        <v>7.5679999999999997E-2</v>
      </c>
      <c r="X209" s="4" t="s">
        <v>411</v>
      </c>
      <c r="Y209" s="4" t="s">
        <v>136</v>
      </c>
      <c r="Z209" s="153">
        <v>11000</v>
      </c>
      <c r="AA209" s="153">
        <v>3.681</v>
      </c>
      <c r="AB209" s="153">
        <v>98.581000000000003</v>
      </c>
      <c r="AC209" s="11"/>
      <c r="AD209" s="153">
        <v>40.536000000000001</v>
      </c>
      <c r="AG209" s="2" t="s">
        <v>37</v>
      </c>
      <c r="AH209" s="167">
        <v>1.8E-5</v>
      </c>
      <c r="AI209" s="167">
        <v>6.3649675430045198E-3</v>
      </c>
      <c r="AJ209" s="167">
        <v>1.3132469125687299E-3</v>
      </c>
      <c r="AK209" s="161"/>
      <c r="AL209" s="153"/>
    </row>
    <row r="210" spans="1:38">
      <c r="A210" s="2" t="s">
        <v>26</v>
      </c>
      <c r="B210" s="2">
        <v>9962</v>
      </c>
      <c r="C210" s="2" t="s">
        <v>1716</v>
      </c>
      <c r="D210" s="2" t="s">
        <v>1717</v>
      </c>
      <c r="E210" s="4" t="s">
        <v>1305</v>
      </c>
      <c r="F210" s="2" t="s">
        <v>1718</v>
      </c>
      <c r="G210" s="2" t="s">
        <v>1719</v>
      </c>
      <c r="H210" s="2" t="s">
        <v>319</v>
      </c>
      <c r="I210" s="2" t="s">
        <v>966</v>
      </c>
      <c r="J210" s="2" t="s">
        <v>31</v>
      </c>
      <c r="K210" s="2" t="s">
        <v>31</v>
      </c>
      <c r="L210" s="2" t="s">
        <v>325</v>
      </c>
      <c r="M210" s="2" t="s">
        <v>40</v>
      </c>
      <c r="N210" s="2" t="s">
        <v>444</v>
      </c>
      <c r="O210" s="2" t="s">
        <v>136</v>
      </c>
      <c r="P210" s="2" t="s">
        <v>1720</v>
      </c>
      <c r="Q210" s="2" t="s">
        <v>104</v>
      </c>
      <c r="R210" s="2" t="s">
        <v>405</v>
      </c>
      <c r="S210" s="2" t="s">
        <v>35</v>
      </c>
      <c r="T210" s="153">
        <v>1.9119999999999999</v>
      </c>
      <c r="U210" s="2" t="s">
        <v>1721</v>
      </c>
      <c r="V210" s="165">
        <v>3.5000000000000003E-2</v>
      </c>
      <c r="W210" s="167">
        <v>5.6559999999999999E-2</v>
      </c>
      <c r="X210" s="4" t="s">
        <v>411</v>
      </c>
      <c r="Y210" s="4" t="s">
        <v>136</v>
      </c>
      <c r="Z210" s="153">
        <v>29564</v>
      </c>
      <c r="AA210" s="153">
        <v>1</v>
      </c>
      <c r="AB210" s="153">
        <v>96.19</v>
      </c>
      <c r="AC210" s="11"/>
      <c r="AD210" s="153">
        <v>28.437999999999999</v>
      </c>
      <c r="AG210" s="2" t="s">
        <v>37</v>
      </c>
      <c r="AH210" s="167">
        <v>1.18E-4</v>
      </c>
      <c r="AI210" s="167">
        <v>4.4652274609819102E-3</v>
      </c>
      <c r="AJ210" s="167">
        <v>9.2128453718454801E-4</v>
      </c>
      <c r="AK210" s="161"/>
      <c r="AL210" s="153"/>
    </row>
    <row r="211" spans="1:38">
      <c r="A211" s="2" t="s">
        <v>26</v>
      </c>
      <c r="B211" s="2">
        <v>9962</v>
      </c>
      <c r="C211" s="2" t="s">
        <v>1716</v>
      </c>
      <c r="D211" s="2" t="s">
        <v>1717</v>
      </c>
      <c r="E211" s="4" t="s">
        <v>1305</v>
      </c>
      <c r="F211" s="2" t="s">
        <v>1722</v>
      </c>
      <c r="G211" s="2" t="s">
        <v>1723</v>
      </c>
      <c r="H211" s="2" t="s">
        <v>319</v>
      </c>
      <c r="I211" s="2" t="s">
        <v>754</v>
      </c>
      <c r="J211" s="2" t="s">
        <v>31</v>
      </c>
      <c r="K211" s="2" t="s">
        <v>31</v>
      </c>
      <c r="L211" s="2" t="s">
        <v>325</v>
      </c>
      <c r="M211" s="2" t="s">
        <v>40</v>
      </c>
      <c r="N211" s="2" t="s">
        <v>444</v>
      </c>
      <c r="O211" s="2" t="s">
        <v>136</v>
      </c>
      <c r="P211" s="2" t="s">
        <v>1724</v>
      </c>
      <c r="Q211" s="2" t="s">
        <v>412</v>
      </c>
      <c r="R211" s="2" t="s">
        <v>405</v>
      </c>
      <c r="S211" s="2" t="s">
        <v>35</v>
      </c>
      <c r="T211" s="153">
        <v>3.2690000000000001</v>
      </c>
      <c r="U211" s="2" t="s">
        <v>1725</v>
      </c>
      <c r="V211" s="165">
        <v>3.85E-2</v>
      </c>
      <c r="W211" s="167">
        <v>3.1759999999999997E-2</v>
      </c>
      <c r="X211" s="4" t="s">
        <v>411</v>
      </c>
      <c r="Y211" s="4" t="s">
        <v>136</v>
      </c>
      <c r="Z211" s="153">
        <v>17000</v>
      </c>
      <c r="AA211" s="153">
        <v>1</v>
      </c>
      <c r="AB211" s="153">
        <v>106.03</v>
      </c>
      <c r="AC211" s="11"/>
      <c r="AD211" s="153">
        <v>18.024999999999999</v>
      </c>
      <c r="AG211" s="2" t="s">
        <v>37</v>
      </c>
      <c r="AH211" s="167">
        <v>9.6000000000000002E-5</v>
      </c>
      <c r="AI211" s="167">
        <v>2.83027184698398E-3</v>
      </c>
      <c r="AJ211" s="167">
        <v>5.8395360850927401E-4</v>
      </c>
      <c r="AK211" s="161"/>
      <c r="AL211" s="153"/>
    </row>
    <row r="212" spans="1:38">
      <c r="A212" s="2" t="s">
        <v>26</v>
      </c>
      <c r="B212" s="2">
        <v>9962</v>
      </c>
      <c r="C212" s="2" t="s">
        <v>1716</v>
      </c>
      <c r="D212" s="2" t="s">
        <v>1717</v>
      </c>
      <c r="E212" s="4" t="s">
        <v>1305</v>
      </c>
      <c r="F212" s="2" t="s">
        <v>1726</v>
      </c>
      <c r="G212" s="2" t="s">
        <v>1723</v>
      </c>
      <c r="H212" s="2" t="s">
        <v>319</v>
      </c>
      <c r="I212" s="2" t="s">
        <v>754</v>
      </c>
      <c r="J212" s="2" t="s">
        <v>31</v>
      </c>
      <c r="K212" s="2" t="s">
        <v>31</v>
      </c>
      <c r="L212" s="23" t="s">
        <v>327</v>
      </c>
      <c r="M212" s="2" t="s">
        <v>40</v>
      </c>
      <c r="N212" s="2" t="s">
        <v>444</v>
      </c>
      <c r="O212" s="2" t="s">
        <v>136</v>
      </c>
      <c r="P212" s="2" t="s">
        <v>1724</v>
      </c>
      <c r="Q212" s="2" t="s">
        <v>412</v>
      </c>
      <c r="R212" s="2" t="s">
        <v>405</v>
      </c>
      <c r="S212" s="2" t="s">
        <v>35</v>
      </c>
      <c r="T212" s="153">
        <v>3.45</v>
      </c>
      <c r="U212" s="2" t="s">
        <v>1725</v>
      </c>
      <c r="V212" s="165">
        <v>3.85E-2</v>
      </c>
      <c r="W212" s="167">
        <v>2.9700000000000001E-2</v>
      </c>
      <c r="X212" s="4" t="s">
        <v>411</v>
      </c>
      <c r="Y212" s="4" t="s">
        <v>136</v>
      </c>
      <c r="Z212" s="153">
        <v>26000</v>
      </c>
      <c r="AA212" s="153">
        <v>1</v>
      </c>
      <c r="AB212" s="153">
        <v>105.578</v>
      </c>
      <c r="AC212" s="11"/>
      <c r="AD212" s="153">
        <v>27.45</v>
      </c>
      <c r="AG212" s="2" t="s">
        <v>37</v>
      </c>
      <c r="AH212" s="167">
        <v>1.47E-4</v>
      </c>
      <c r="AI212" s="167">
        <v>4.3101941786042501E-3</v>
      </c>
      <c r="AJ212" s="167">
        <v>8.8929741736779001E-4</v>
      </c>
      <c r="AK212" s="161"/>
      <c r="AL212" s="153"/>
    </row>
    <row r="213" spans="1:38">
      <c r="A213" s="2" t="s">
        <v>26</v>
      </c>
      <c r="B213" s="2">
        <v>9962</v>
      </c>
      <c r="C213" s="2" t="s">
        <v>1727</v>
      </c>
      <c r="D213" s="2" t="s">
        <v>1728</v>
      </c>
      <c r="E213" s="4" t="s">
        <v>1305</v>
      </c>
      <c r="F213" s="2" t="s">
        <v>1733</v>
      </c>
      <c r="G213" s="2" t="s">
        <v>1734</v>
      </c>
      <c r="H213" s="2" t="s">
        <v>319</v>
      </c>
      <c r="I213" s="2" t="s">
        <v>754</v>
      </c>
      <c r="J213" s="2" t="s">
        <v>31</v>
      </c>
      <c r="K213" s="2" t="s">
        <v>31</v>
      </c>
      <c r="L213" s="2" t="s">
        <v>325</v>
      </c>
      <c r="M213" s="2" t="s">
        <v>40</v>
      </c>
      <c r="N213" s="2" t="s">
        <v>462</v>
      </c>
      <c r="O213" s="2" t="s">
        <v>136</v>
      </c>
      <c r="P213" s="2" t="s">
        <v>1731</v>
      </c>
      <c r="Q213" s="2" t="s">
        <v>104</v>
      </c>
      <c r="R213" s="2" t="s">
        <v>405</v>
      </c>
      <c r="S213" s="2" t="s">
        <v>35</v>
      </c>
      <c r="T213" s="153">
        <v>3.66</v>
      </c>
      <c r="U213" s="2" t="s">
        <v>62</v>
      </c>
      <c r="V213" s="165">
        <v>2.4500000000000001E-2</v>
      </c>
      <c r="W213" s="167">
        <v>3.526E-2</v>
      </c>
      <c r="X213" s="4" t="s">
        <v>411</v>
      </c>
      <c r="Y213" s="4" t="s">
        <v>136</v>
      </c>
      <c r="Z213" s="153">
        <v>11478.26</v>
      </c>
      <c r="AA213" s="153">
        <v>1</v>
      </c>
      <c r="AB213" s="153">
        <v>107.38</v>
      </c>
      <c r="AC213" s="11"/>
      <c r="AD213" s="153">
        <v>12.324999999999999</v>
      </c>
      <c r="AG213" s="2" t="s">
        <v>37</v>
      </c>
      <c r="AH213" s="167">
        <v>2.1999999999999999E-5</v>
      </c>
      <c r="AI213" s="167">
        <v>1.93530726180621E-3</v>
      </c>
      <c r="AJ213" s="167">
        <v>3.9930074572526903E-4</v>
      </c>
      <c r="AK213" s="161"/>
      <c r="AL213" s="153"/>
    </row>
    <row r="214" spans="1:38">
      <c r="A214" s="2" t="s">
        <v>26</v>
      </c>
      <c r="B214" s="2">
        <v>9962</v>
      </c>
      <c r="C214" s="2" t="s">
        <v>1735</v>
      </c>
      <c r="D214" s="2" t="s">
        <v>1736</v>
      </c>
      <c r="E214" s="4" t="s">
        <v>1305</v>
      </c>
      <c r="F214" s="2" t="s">
        <v>1737</v>
      </c>
      <c r="G214" s="2" t="s">
        <v>1738</v>
      </c>
      <c r="H214" s="2" t="s">
        <v>319</v>
      </c>
      <c r="I214" s="2" t="s">
        <v>754</v>
      </c>
      <c r="J214" s="2" t="s">
        <v>31</v>
      </c>
      <c r="K214" s="2" t="s">
        <v>31</v>
      </c>
      <c r="L214" s="2" t="s">
        <v>325</v>
      </c>
      <c r="M214" s="2" t="s">
        <v>40</v>
      </c>
      <c r="N214" s="2" t="s">
        <v>453</v>
      </c>
      <c r="O214" s="2" t="s">
        <v>136</v>
      </c>
      <c r="P214" s="2" t="s">
        <v>1739</v>
      </c>
      <c r="Q214" s="2" t="s">
        <v>412</v>
      </c>
      <c r="R214" s="2" t="s">
        <v>405</v>
      </c>
      <c r="S214" s="2" t="s">
        <v>35</v>
      </c>
      <c r="T214" s="153">
        <v>5.6740000000000004</v>
      </c>
      <c r="U214" s="2" t="s">
        <v>1740</v>
      </c>
      <c r="V214" s="165">
        <v>5.1499999999999997E-2</v>
      </c>
      <c r="W214" s="167">
        <v>2.9309999999999999E-2</v>
      </c>
      <c r="X214" s="4" t="s">
        <v>411</v>
      </c>
      <c r="Y214" s="4" t="s">
        <v>136</v>
      </c>
      <c r="Z214" s="153">
        <v>65000</v>
      </c>
      <c r="AA214" s="153">
        <v>1</v>
      </c>
      <c r="AB214" s="153">
        <v>154.27000000000001</v>
      </c>
      <c r="AC214" s="11"/>
      <c r="AD214" s="153">
        <v>100.27500000000001</v>
      </c>
      <c r="AG214" s="2" t="s">
        <v>37</v>
      </c>
      <c r="AH214" s="167">
        <v>2.0999999999999999E-5</v>
      </c>
      <c r="AI214" s="167">
        <v>1.5745095705002599E-2</v>
      </c>
      <c r="AJ214" s="167">
        <v>3.24859446383497E-3</v>
      </c>
      <c r="AK214" s="161"/>
      <c r="AL214" s="153"/>
    </row>
    <row r="215" spans="1:38">
      <c r="A215" s="2" t="s">
        <v>26</v>
      </c>
      <c r="B215" s="2">
        <v>9962</v>
      </c>
      <c r="C215" s="2" t="s">
        <v>1391</v>
      </c>
      <c r="D215" s="2" t="s">
        <v>1392</v>
      </c>
      <c r="E215" s="4" t="s">
        <v>1305</v>
      </c>
      <c r="F215" s="2" t="s">
        <v>1741</v>
      </c>
      <c r="G215" s="2" t="s">
        <v>1742</v>
      </c>
      <c r="H215" s="2" t="s">
        <v>319</v>
      </c>
      <c r="I215" s="2" t="s">
        <v>754</v>
      </c>
      <c r="J215" s="2" t="s">
        <v>31</v>
      </c>
      <c r="K215" s="2" t="s">
        <v>31</v>
      </c>
      <c r="L215" s="2" t="s">
        <v>325</v>
      </c>
      <c r="M215" s="2" t="s">
        <v>40</v>
      </c>
      <c r="N215" s="2" t="s">
        <v>437</v>
      </c>
      <c r="O215" s="2" t="s">
        <v>136</v>
      </c>
      <c r="P215" s="2" t="s">
        <v>1724</v>
      </c>
      <c r="Q215" s="2" t="s">
        <v>412</v>
      </c>
      <c r="R215" s="2" t="s">
        <v>407</v>
      </c>
      <c r="S215" s="2" t="s">
        <v>35</v>
      </c>
      <c r="T215" s="153">
        <v>3.3180000000000001</v>
      </c>
      <c r="U215" s="2" t="s">
        <v>1743</v>
      </c>
      <c r="V215" s="165">
        <v>2.75E-2</v>
      </c>
      <c r="W215" s="167">
        <v>2.7689999999999999E-2</v>
      </c>
      <c r="X215" s="4" t="s">
        <v>411</v>
      </c>
      <c r="Y215" s="4" t="s">
        <v>136</v>
      </c>
      <c r="Z215" s="153">
        <v>69957.279999999999</v>
      </c>
      <c r="AA215" s="153">
        <v>1</v>
      </c>
      <c r="AB215" s="153">
        <v>110.77</v>
      </c>
      <c r="AC215" s="11"/>
      <c r="AD215" s="153">
        <v>77.492000000000004</v>
      </c>
      <c r="AG215" s="2" t="s">
        <v>37</v>
      </c>
      <c r="AH215" s="167">
        <v>7.7000000000000001E-5</v>
      </c>
      <c r="AI215" s="167">
        <v>1.21676172452699E-2</v>
      </c>
      <c r="AJ215" s="167">
        <v>2.5104740397664201E-3</v>
      </c>
      <c r="AK215" s="161"/>
      <c r="AL215" s="153"/>
    </row>
    <row r="216" spans="1:38">
      <c r="A216" s="2" t="s">
        <v>26</v>
      </c>
      <c r="B216" s="2">
        <v>9962</v>
      </c>
      <c r="C216" s="2" t="s">
        <v>1744</v>
      </c>
      <c r="D216" s="2" t="s">
        <v>1745</v>
      </c>
      <c r="E216" s="4" t="s">
        <v>1305</v>
      </c>
      <c r="F216" s="2" t="s">
        <v>1746</v>
      </c>
      <c r="G216" s="2" t="s">
        <v>1747</v>
      </c>
      <c r="H216" s="2" t="s">
        <v>319</v>
      </c>
      <c r="I216" s="2" t="s">
        <v>754</v>
      </c>
      <c r="J216" s="2" t="s">
        <v>31</v>
      </c>
      <c r="K216" s="2" t="s">
        <v>31</v>
      </c>
      <c r="L216" s="2" t="s">
        <v>325</v>
      </c>
      <c r="M216" s="2" t="s">
        <v>40</v>
      </c>
      <c r="N216" s="2" t="s">
        <v>461</v>
      </c>
      <c r="O216" s="2" t="s">
        <v>136</v>
      </c>
      <c r="P216" s="2" t="s">
        <v>1748</v>
      </c>
      <c r="Q216" s="2" t="s">
        <v>412</v>
      </c>
      <c r="R216" s="2" t="s">
        <v>405</v>
      </c>
      <c r="S216" s="2" t="s">
        <v>35</v>
      </c>
      <c r="T216" s="153">
        <v>2.698</v>
      </c>
      <c r="U216" s="2" t="s">
        <v>1749</v>
      </c>
      <c r="V216" s="165">
        <v>2.3400000000000001E-2</v>
      </c>
      <c r="W216" s="167">
        <v>2.1569999999999999E-2</v>
      </c>
      <c r="X216" s="4" t="s">
        <v>411</v>
      </c>
      <c r="Y216" s="4" t="s">
        <v>136</v>
      </c>
      <c r="Z216" s="153">
        <v>36858.379999999997</v>
      </c>
      <c r="AA216" s="153">
        <v>1</v>
      </c>
      <c r="AB216" s="153">
        <v>111.84</v>
      </c>
      <c r="AC216" s="11"/>
      <c r="AD216" s="153">
        <v>41.222000000000001</v>
      </c>
      <c r="AG216" s="2" t="s">
        <v>37</v>
      </c>
      <c r="AH216" s="167">
        <v>1.4E-5</v>
      </c>
      <c r="AI216" s="167">
        <v>6.47267602908094E-3</v>
      </c>
      <c r="AJ216" s="167">
        <v>1.33546978108166E-3</v>
      </c>
      <c r="AK216" s="161"/>
      <c r="AL216" s="153"/>
    </row>
    <row r="217" spans="1:38">
      <c r="A217" s="2" t="s">
        <v>26</v>
      </c>
      <c r="B217" s="2">
        <v>9962</v>
      </c>
      <c r="C217" s="2" t="s">
        <v>1411</v>
      </c>
      <c r="D217" s="2" t="s">
        <v>1412</v>
      </c>
      <c r="E217" s="4" t="s">
        <v>1305</v>
      </c>
      <c r="F217" s="2" t="s">
        <v>1750</v>
      </c>
      <c r="G217" s="2" t="s">
        <v>1751</v>
      </c>
      <c r="H217" s="2" t="s">
        <v>319</v>
      </c>
      <c r="I217" s="2" t="s">
        <v>967</v>
      </c>
      <c r="J217" s="2" t="s">
        <v>31</v>
      </c>
      <c r="K217" s="2" t="s">
        <v>31</v>
      </c>
      <c r="L217" s="2" t="s">
        <v>325</v>
      </c>
      <c r="M217" s="2" t="s">
        <v>40</v>
      </c>
      <c r="N217" s="2" t="s">
        <v>458</v>
      </c>
      <c r="O217" s="2" t="s">
        <v>136</v>
      </c>
      <c r="P217" s="2" t="s">
        <v>1752</v>
      </c>
      <c r="Q217" s="23" t="s">
        <v>1752</v>
      </c>
      <c r="R217" s="23" t="s">
        <v>1752</v>
      </c>
      <c r="S217" s="2" t="s">
        <v>35</v>
      </c>
      <c r="T217" s="153">
        <v>3.847</v>
      </c>
      <c r="U217" s="2" t="s">
        <v>1753</v>
      </c>
      <c r="V217" s="165">
        <v>4.8500000000000001E-2</v>
      </c>
      <c r="W217" s="167">
        <v>4.8070000000000002E-2</v>
      </c>
      <c r="X217" s="4" t="s">
        <v>411</v>
      </c>
      <c r="Y217" s="4" t="s">
        <v>136</v>
      </c>
      <c r="Z217" s="153">
        <v>33000</v>
      </c>
      <c r="AA217" s="153">
        <v>1</v>
      </c>
      <c r="AB217" s="153">
        <v>101.6</v>
      </c>
      <c r="AC217" s="11"/>
      <c r="AD217" s="153">
        <v>33.527999999999999</v>
      </c>
      <c r="AG217" s="2" t="s">
        <v>37</v>
      </c>
      <c r="AH217" s="167">
        <v>1.34E-4</v>
      </c>
      <c r="AI217" s="167">
        <v>5.2645119575302698E-3</v>
      </c>
      <c r="AJ217" s="167">
        <v>1.0861962810802101E-3</v>
      </c>
      <c r="AK217" s="161"/>
      <c r="AL217" s="153"/>
    </row>
    <row r="218" spans="1:38">
      <c r="A218" s="2" t="s">
        <v>26</v>
      </c>
      <c r="B218" s="2">
        <v>9962</v>
      </c>
      <c r="C218" s="2" t="s">
        <v>1754</v>
      </c>
      <c r="D218" s="2" t="s">
        <v>1755</v>
      </c>
      <c r="E218" s="4" t="s">
        <v>1305</v>
      </c>
      <c r="F218" s="2" t="s">
        <v>1756</v>
      </c>
      <c r="G218" s="2" t="s">
        <v>1757</v>
      </c>
      <c r="H218" s="2" t="s">
        <v>319</v>
      </c>
      <c r="I218" s="2" t="s">
        <v>754</v>
      </c>
      <c r="J218" s="2" t="s">
        <v>31</v>
      </c>
      <c r="K218" s="2" t="s">
        <v>31</v>
      </c>
      <c r="L218" s="2" t="s">
        <v>325</v>
      </c>
      <c r="M218" s="2" t="s">
        <v>40</v>
      </c>
      <c r="N218" s="2" t="s">
        <v>475</v>
      </c>
      <c r="O218" s="2" t="s">
        <v>136</v>
      </c>
      <c r="P218" s="2" t="s">
        <v>1758</v>
      </c>
      <c r="Q218" s="2" t="s">
        <v>412</v>
      </c>
      <c r="R218" s="2" t="s">
        <v>405</v>
      </c>
      <c r="S218" s="2" t="s">
        <v>35</v>
      </c>
      <c r="T218" s="153">
        <v>2.036</v>
      </c>
      <c r="U218" s="2" t="s">
        <v>1759</v>
      </c>
      <c r="V218" s="165">
        <v>3.2000000000000001E-2</v>
      </c>
      <c r="W218" s="167">
        <v>2.9739999999999999E-2</v>
      </c>
      <c r="X218" s="4" t="s">
        <v>411</v>
      </c>
      <c r="Y218" s="4" t="s">
        <v>136</v>
      </c>
      <c r="Z218" s="153">
        <v>20400</v>
      </c>
      <c r="AA218" s="153">
        <v>1</v>
      </c>
      <c r="AB218" s="153">
        <v>104.3</v>
      </c>
      <c r="AC218" s="11"/>
      <c r="AD218" s="153">
        <v>21.277000000000001</v>
      </c>
      <c r="AG218" s="2" t="s">
        <v>37</v>
      </c>
      <c r="AH218" s="167">
        <v>5.5999999999999999E-5</v>
      </c>
      <c r="AI218" s="167">
        <v>3.34091129273333E-3</v>
      </c>
      <c r="AJ218" s="167">
        <v>6.8931088975781197E-4</v>
      </c>
      <c r="AK218" s="161"/>
      <c r="AL218" s="153"/>
    </row>
    <row r="219" spans="1:38">
      <c r="A219" s="2" t="s">
        <v>26</v>
      </c>
      <c r="B219" s="2">
        <v>9962</v>
      </c>
      <c r="C219" s="2" t="s">
        <v>1754</v>
      </c>
      <c r="D219" s="2" t="s">
        <v>1755</v>
      </c>
      <c r="E219" s="4" t="s">
        <v>1305</v>
      </c>
      <c r="F219" s="2" t="s">
        <v>1760</v>
      </c>
      <c r="G219" s="2" t="s">
        <v>1761</v>
      </c>
      <c r="H219" s="2" t="s">
        <v>319</v>
      </c>
      <c r="I219" s="2" t="s">
        <v>966</v>
      </c>
      <c r="J219" s="2" t="s">
        <v>31</v>
      </c>
      <c r="K219" s="2" t="s">
        <v>31</v>
      </c>
      <c r="L219" s="2" t="s">
        <v>325</v>
      </c>
      <c r="M219" s="2" t="s">
        <v>40</v>
      </c>
      <c r="N219" s="2" t="s">
        <v>475</v>
      </c>
      <c r="O219" s="2" t="s">
        <v>136</v>
      </c>
      <c r="P219" s="2" t="s">
        <v>1758</v>
      </c>
      <c r="Q219" s="2" t="s">
        <v>412</v>
      </c>
      <c r="R219" s="2" t="s">
        <v>405</v>
      </c>
      <c r="S219" s="2" t="s">
        <v>35</v>
      </c>
      <c r="T219" s="153">
        <v>2.0590000000000002</v>
      </c>
      <c r="U219" s="2" t="s">
        <v>1762</v>
      </c>
      <c r="V219" s="165">
        <v>5.7000000000000002E-2</v>
      </c>
      <c r="W219" s="167">
        <v>5.9130000000000002E-2</v>
      </c>
      <c r="X219" s="4" t="s">
        <v>411</v>
      </c>
      <c r="Y219" s="4" t="s">
        <v>136</v>
      </c>
      <c r="Z219" s="153">
        <v>19550</v>
      </c>
      <c r="AA219" s="153">
        <v>1</v>
      </c>
      <c r="AB219" s="153">
        <v>100.07</v>
      </c>
      <c r="AC219" s="11"/>
      <c r="AD219" s="153">
        <v>19.564</v>
      </c>
      <c r="AG219" s="2" t="s">
        <v>37</v>
      </c>
      <c r="AH219" s="167">
        <v>4.8999999999999998E-5</v>
      </c>
      <c r="AI219" s="167">
        <v>3.0718579580009402E-3</v>
      </c>
      <c r="AJ219" s="167">
        <v>6.3379867248940399E-4</v>
      </c>
      <c r="AK219" s="161"/>
      <c r="AL219" s="153"/>
    </row>
    <row r="220" spans="1:38">
      <c r="A220" s="2" t="s">
        <v>26</v>
      </c>
      <c r="B220" s="2">
        <v>9962</v>
      </c>
      <c r="C220" s="2" t="s">
        <v>1763</v>
      </c>
      <c r="D220" s="2" t="s">
        <v>1764</v>
      </c>
      <c r="E220" s="4" t="s">
        <v>1305</v>
      </c>
      <c r="F220" s="2" t="s">
        <v>1765</v>
      </c>
      <c r="G220" s="2" t="s">
        <v>1766</v>
      </c>
      <c r="H220" s="2" t="s">
        <v>319</v>
      </c>
      <c r="I220" s="2" t="s">
        <v>754</v>
      </c>
      <c r="J220" s="2" t="s">
        <v>31</v>
      </c>
      <c r="K220" s="2" t="s">
        <v>31</v>
      </c>
      <c r="L220" s="2" t="s">
        <v>325</v>
      </c>
      <c r="M220" s="2" t="s">
        <v>40</v>
      </c>
      <c r="N220" s="2" t="s">
        <v>475</v>
      </c>
      <c r="O220" s="2" t="s">
        <v>136</v>
      </c>
      <c r="P220" s="2" t="s">
        <v>1758</v>
      </c>
      <c r="Q220" s="2" t="s">
        <v>412</v>
      </c>
      <c r="R220" s="2" t="s">
        <v>405</v>
      </c>
      <c r="S220" s="2" t="s">
        <v>35</v>
      </c>
      <c r="T220" s="153">
        <v>2.9870000000000001</v>
      </c>
      <c r="U220" s="2" t="s">
        <v>1767</v>
      </c>
      <c r="V220" s="165">
        <v>3.2300000000000002E-2</v>
      </c>
      <c r="W220" s="167">
        <v>2.8750000000000001E-2</v>
      </c>
      <c r="X220" s="4" t="s">
        <v>411</v>
      </c>
      <c r="Y220" s="4" t="s">
        <v>136</v>
      </c>
      <c r="Z220" s="153">
        <v>20160</v>
      </c>
      <c r="AA220" s="153">
        <v>1</v>
      </c>
      <c r="AB220" s="153">
        <v>104.51</v>
      </c>
      <c r="AC220" s="11"/>
      <c r="AD220" s="153">
        <v>21.068999999999999</v>
      </c>
      <c r="AG220" s="2" t="s">
        <v>37</v>
      </c>
      <c r="AH220" s="167">
        <v>4.3000000000000002E-5</v>
      </c>
      <c r="AI220" s="167">
        <v>3.3082539837684401E-3</v>
      </c>
      <c r="AJ220" s="167">
        <v>6.82572896220345E-4</v>
      </c>
      <c r="AK220" s="161"/>
      <c r="AL220" s="153"/>
    </row>
    <row r="221" spans="1:38">
      <c r="A221" s="2" t="s">
        <v>26</v>
      </c>
      <c r="B221" s="2">
        <v>9962</v>
      </c>
      <c r="C221" s="2" t="s">
        <v>1768</v>
      </c>
      <c r="D221" s="2" t="s">
        <v>1769</v>
      </c>
      <c r="E221" s="4" t="s">
        <v>1305</v>
      </c>
      <c r="F221" s="2" t="s">
        <v>1770</v>
      </c>
      <c r="G221" s="2" t="s">
        <v>1771</v>
      </c>
      <c r="H221" s="2" t="s">
        <v>319</v>
      </c>
      <c r="I221" s="2" t="s">
        <v>754</v>
      </c>
      <c r="J221" s="2" t="s">
        <v>31</v>
      </c>
      <c r="K221" s="2" t="s">
        <v>31</v>
      </c>
      <c r="L221" s="2" t="s">
        <v>325</v>
      </c>
      <c r="M221" s="2" t="s">
        <v>40</v>
      </c>
      <c r="N221" s="2" t="s">
        <v>461</v>
      </c>
      <c r="O221" s="2" t="s">
        <v>136</v>
      </c>
      <c r="P221" s="2" t="s">
        <v>1772</v>
      </c>
      <c r="Q221" s="2" t="s">
        <v>412</v>
      </c>
      <c r="R221" s="2" t="s">
        <v>405</v>
      </c>
      <c r="S221" s="2" t="s">
        <v>35</v>
      </c>
      <c r="T221" s="153">
        <v>2.855</v>
      </c>
      <c r="U221" s="2" t="s">
        <v>1773</v>
      </c>
      <c r="V221" s="165">
        <v>2.4899999999999999E-2</v>
      </c>
      <c r="W221" s="167">
        <v>3.2489999999999998E-2</v>
      </c>
      <c r="X221" s="4" t="s">
        <v>411</v>
      </c>
      <c r="Y221" s="4" t="s">
        <v>136</v>
      </c>
      <c r="Z221" s="153">
        <v>42000</v>
      </c>
      <c r="AA221" s="153">
        <v>1</v>
      </c>
      <c r="AB221" s="153">
        <v>103.02</v>
      </c>
      <c r="AC221" s="11"/>
      <c r="AD221" s="153">
        <v>43.268000000000001</v>
      </c>
      <c r="AG221" s="2" t="s">
        <v>37</v>
      </c>
      <c r="AH221" s="167">
        <v>2.24E-4</v>
      </c>
      <c r="AI221" s="167">
        <v>6.7939337026724804E-3</v>
      </c>
      <c r="AJ221" s="167">
        <v>1.40175301742696E-3</v>
      </c>
      <c r="AK221" s="161"/>
      <c r="AL221" s="153"/>
    </row>
    <row r="222" spans="1:38">
      <c r="A222" s="2" t="s">
        <v>26</v>
      </c>
      <c r="B222" s="2">
        <v>9962</v>
      </c>
      <c r="C222" s="2" t="s">
        <v>2317</v>
      </c>
      <c r="D222" s="2" t="s">
        <v>2318</v>
      </c>
      <c r="E222" s="4" t="s">
        <v>1305</v>
      </c>
      <c r="F222" s="2" t="s">
        <v>2319</v>
      </c>
      <c r="G222" s="2" t="s">
        <v>2320</v>
      </c>
      <c r="H222" s="2" t="s">
        <v>319</v>
      </c>
      <c r="I222" s="2" t="s">
        <v>966</v>
      </c>
      <c r="J222" s="2" t="s">
        <v>31</v>
      </c>
      <c r="K222" s="2" t="s">
        <v>31</v>
      </c>
      <c r="L222" s="2" t="s">
        <v>325</v>
      </c>
      <c r="M222" s="2" t="s">
        <v>40</v>
      </c>
      <c r="N222" s="2" t="s">
        <v>438</v>
      </c>
      <c r="O222" s="2" t="s">
        <v>136</v>
      </c>
      <c r="P222" s="2" t="s">
        <v>2083</v>
      </c>
      <c r="Q222" s="2" t="s">
        <v>104</v>
      </c>
      <c r="R222" s="2" t="s">
        <v>407</v>
      </c>
      <c r="S222" s="2" t="s">
        <v>35</v>
      </c>
      <c r="T222" s="153">
        <v>3.82</v>
      </c>
      <c r="U222" s="2" t="s">
        <v>62</v>
      </c>
      <c r="V222" s="165">
        <v>5.5E-2</v>
      </c>
      <c r="W222" s="167">
        <v>6.694E-2</v>
      </c>
      <c r="X222" s="4" t="s">
        <v>411</v>
      </c>
      <c r="Y222" s="4" t="s">
        <v>136</v>
      </c>
      <c r="Z222" s="153">
        <v>26000</v>
      </c>
      <c r="AA222" s="153">
        <v>1</v>
      </c>
      <c r="AB222" s="153">
        <v>96.08</v>
      </c>
      <c r="AC222" s="11"/>
      <c r="AD222" s="153">
        <v>24.981000000000002</v>
      </c>
      <c r="AG222" s="2" t="s">
        <v>37</v>
      </c>
      <c r="AH222" s="167">
        <v>0</v>
      </c>
      <c r="AI222" s="167">
        <v>3.9224445331863603E-3</v>
      </c>
      <c r="AJ222" s="167">
        <v>8.0929527733263496E-4</v>
      </c>
      <c r="AK222" s="161"/>
      <c r="AL222" s="153"/>
    </row>
    <row r="223" spans="1:38">
      <c r="A223" s="2" t="s">
        <v>26</v>
      </c>
      <c r="B223" s="2">
        <v>9962</v>
      </c>
      <c r="C223" s="2" t="s">
        <v>1779</v>
      </c>
      <c r="D223" s="2" t="s">
        <v>1780</v>
      </c>
      <c r="E223" s="4" t="s">
        <v>1305</v>
      </c>
      <c r="F223" s="2" t="s">
        <v>1781</v>
      </c>
      <c r="G223" s="2" t="s">
        <v>1782</v>
      </c>
      <c r="H223" s="2" t="s">
        <v>319</v>
      </c>
      <c r="I223" s="2" t="s">
        <v>966</v>
      </c>
      <c r="J223" s="2" t="s">
        <v>31</v>
      </c>
      <c r="K223" s="2" t="s">
        <v>31</v>
      </c>
      <c r="L223" s="2" t="s">
        <v>325</v>
      </c>
      <c r="M223" s="2" t="s">
        <v>40</v>
      </c>
      <c r="N223" s="2" t="s">
        <v>448</v>
      </c>
      <c r="O223" s="2" t="s">
        <v>136</v>
      </c>
      <c r="P223" s="2" t="s">
        <v>1758</v>
      </c>
      <c r="Q223" s="2" t="s">
        <v>412</v>
      </c>
      <c r="R223" s="2" t="s">
        <v>405</v>
      </c>
      <c r="S223" s="2" t="s">
        <v>35</v>
      </c>
      <c r="T223" s="153">
        <v>3.41</v>
      </c>
      <c r="U223" s="2" t="s">
        <v>1783</v>
      </c>
      <c r="V223" s="165">
        <v>0.04</v>
      </c>
      <c r="W223" s="167">
        <v>5.0200000000000002E-2</v>
      </c>
      <c r="X223" s="4" t="s">
        <v>411</v>
      </c>
      <c r="Y223" s="4" t="s">
        <v>136</v>
      </c>
      <c r="Z223" s="153">
        <v>20125</v>
      </c>
      <c r="AA223" s="153">
        <v>1</v>
      </c>
      <c r="AB223" s="153">
        <v>97.7</v>
      </c>
      <c r="AC223" s="11"/>
      <c r="AD223" s="153">
        <v>19.661999999999999</v>
      </c>
      <c r="AG223" s="2" t="s">
        <v>37</v>
      </c>
      <c r="AH223" s="167">
        <v>2.5999999999999998E-5</v>
      </c>
      <c r="AI223" s="167">
        <v>3.08731484648517E-3</v>
      </c>
      <c r="AJ223" s="167">
        <v>6.3698780282552805E-4</v>
      </c>
      <c r="AK223" s="161"/>
      <c r="AL223" s="153"/>
    </row>
    <row r="224" spans="1:38">
      <c r="A224" s="2" t="s">
        <v>26</v>
      </c>
      <c r="B224" s="2">
        <v>9962</v>
      </c>
      <c r="C224" s="2" t="s">
        <v>1784</v>
      </c>
      <c r="D224" s="2" t="s">
        <v>1785</v>
      </c>
      <c r="E224" s="4" t="s">
        <v>34</v>
      </c>
      <c r="F224" s="2" t="s">
        <v>1786</v>
      </c>
      <c r="G224" s="2" t="s">
        <v>1787</v>
      </c>
      <c r="H224" s="2" t="s">
        <v>319</v>
      </c>
      <c r="I224" s="2" t="s">
        <v>966</v>
      </c>
      <c r="J224" s="2" t="s">
        <v>31</v>
      </c>
      <c r="K224" s="2" t="s">
        <v>74</v>
      </c>
      <c r="L224" s="2" t="s">
        <v>325</v>
      </c>
      <c r="M224" s="2" t="s">
        <v>40</v>
      </c>
      <c r="N224" s="2" t="s">
        <v>462</v>
      </c>
      <c r="O224" s="2" t="s">
        <v>136</v>
      </c>
      <c r="P224" s="2" t="s">
        <v>1752</v>
      </c>
      <c r="Q224" s="23" t="s">
        <v>1752</v>
      </c>
      <c r="R224" s="23" t="s">
        <v>1752</v>
      </c>
      <c r="S224" s="2" t="s">
        <v>35</v>
      </c>
      <c r="T224" s="153">
        <v>2.1360000000000001</v>
      </c>
      <c r="U224" s="2" t="s">
        <v>1788</v>
      </c>
      <c r="V224" s="165">
        <v>4.4999999999999998E-2</v>
      </c>
      <c r="W224" s="167">
        <v>6.9360000000000005E-2</v>
      </c>
      <c r="X224" s="4" t="s">
        <v>411</v>
      </c>
      <c r="Y224" s="4" t="s">
        <v>136</v>
      </c>
      <c r="Z224" s="153">
        <v>58000</v>
      </c>
      <c r="AA224" s="153">
        <v>1</v>
      </c>
      <c r="AB224" s="153">
        <v>96.39</v>
      </c>
      <c r="AC224" s="11"/>
      <c r="AD224" s="153">
        <v>55.905999999999999</v>
      </c>
      <c r="AG224" s="2" t="s">
        <v>37</v>
      </c>
      <c r="AH224" s="167">
        <v>1.6100000000000001E-4</v>
      </c>
      <c r="AI224" s="167">
        <v>8.7783004772154297E-3</v>
      </c>
      <c r="AJ224" s="167">
        <v>1.81117592845761E-3</v>
      </c>
      <c r="AK224" s="161"/>
      <c r="AL224" s="153"/>
    </row>
    <row r="225" spans="1:38">
      <c r="A225" s="2" t="s">
        <v>26</v>
      </c>
      <c r="B225" s="2">
        <v>9962</v>
      </c>
      <c r="C225" s="2" t="s">
        <v>1789</v>
      </c>
      <c r="D225" s="2" t="s">
        <v>1790</v>
      </c>
      <c r="E225" s="4" t="s">
        <v>1305</v>
      </c>
      <c r="F225" s="2" t="s">
        <v>1791</v>
      </c>
      <c r="G225" s="2" t="s">
        <v>1792</v>
      </c>
      <c r="H225" s="2" t="s">
        <v>319</v>
      </c>
      <c r="I225" s="2" t="s">
        <v>966</v>
      </c>
      <c r="J225" s="2" t="s">
        <v>31</v>
      </c>
      <c r="K225" s="2" t="s">
        <v>296</v>
      </c>
      <c r="L225" s="2" t="s">
        <v>325</v>
      </c>
      <c r="M225" s="2" t="s">
        <v>40</v>
      </c>
      <c r="N225" s="2" t="s">
        <v>462</v>
      </c>
      <c r="O225" s="2" t="s">
        <v>136</v>
      </c>
      <c r="P225" s="2" t="s">
        <v>1752</v>
      </c>
      <c r="Q225" s="23" t="s">
        <v>1752</v>
      </c>
      <c r="R225" s="23" t="s">
        <v>1752</v>
      </c>
      <c r="S225" s="2" t="s">
        <v>35</v>
      </c>
      <c r="T225" s="153">
        <v>0.93400000000000005</v>
      </c>
      <c r="U225" s="2" t="s">
        <v>1793</v>
      </c>
      <c r="V225" s="165">
        <v>7.2499999999999995E-2</v>
      </c>
      <c r="W225" s="167">
        <v>6.3920000000000005E-2</v>
      </c>
      <c r="X225" s="4" t="s">
        <v>411</v>
      </c>
      <c r="Y225" s="4" t="s">
        <v>136</v>
      </c>
      <c r="Z225" s="153">
        <v>20370</v>
      </c>
      <c r="AA225" s="153">
        <v>1</v>
      </c>
      <c r="AB225" s="153">
        <v>101.2</v>
      </c>
      <c r="AC225" s="11"/>
      <c r="AD225" s="153">
        <v>20.614000000000001</v>
      </c>
      <c r="AG225" s="2" t="s">
        <v>37</v>
      </c>
      <c r="AH225" s="167">
        <v>1.34E-4</v>
      </c>
      <c r="AI225" s="167">
        <v>3.23684579687993E-3</v>
      </c>
      <c r="AJ225" s="167">
        <v>6.6783965833187799E-4</v>
      </c>
      <c r="AK225" s="161"/>
      <c r="AL225" s="153"/>
    </row>
    <row r="226" spans="1:38">
      <c r="A226" s="2" t="s">
        <v>26</v>
      </c>
      <c r="B226" s="2">
        <v>9962</v>
      </c>
      <c r="C226" s="2" t="s">
        <v>1794</v>
      </c>
      <c r="D226" s="2" t="s">
        <v>1795</v>
      </c>
      <c r="E226" s="4" t="s">
        <v>34</v>
      </c>
      <c r="F226" s="2" t="s">
        <v>1796</v>
      </c>
      <c r="G226" s="2" t="s">
        <v>1797</v>
      </c>
      <c r="H226" s="2" t="s">
        <v>319</v>
      </c>
      <c r="I226" s="2" t="s">
        <v>966</v>
      </c>
      <c r="J226" s="2" t="s">
        <v>31</v>
      </c>
      <c r="K226" s="2" t="s">
        <v>74</v>
      </c>
      <c r="L226" s="2" t="s">
        <v>325</v>
      </c>
      <c r="M226" s="2" t="s">
        <v>40</v>
      </c>
      <c r="N226" s="2" t="s">
        <v>440</v>
      </c>
      <c r="O226" s="2" t="s">
        <v>136</v>
      </c>
      <c r="P226" s="2" t="s">
        <v>1758</v>
      </c>
      <c r="Q226" s="2" t="s">
        <v>412</v>
      </c>
      <c r="R226" s="2" t="s">
        <v>405</v>
      </c>
      <c r="S226" s="2" t="s">
        <v>35</v>
      </c>
      <c r="T226" s="153">
        <v>1.206</v>
      </c>
      <c r="U226" s="2" t="s">
        <v>1798</v>
      </c>
      <c r="V226" s="165">
        <v>4.7500000000000001E-2</v>
      </c>
      <c r="W226" s="167">
        <v>6.3960000000000003E-2</v>
      </c>
      <c r="X226" s="4" t="s">
        <v>411</v>
      </c>
      <c r="Y226" s="4" t="s">
        <v>136</v>
      </c>
      <c r="Z226" s="153">
        <v>138411.29</v>
      </c>
      <c r="AA226" s="153">
        <v>1</v>
      </c>
      <c r="AB226" s="153">
        <v>98.34</v>
      </c>
      <c r="AC226" s="11"/>
      <c r="AD226" s="153">
        <v>136.114</v>
      </c>
      <c r="AG226" s="2" t="s">
        <v>37</v>
      </c>
      <c r="AH226" s="167">
        <v>2.52E-4</v>
      </c>
      <c r="AI226" s="167">
        <v>2.1372345629540601E-2</v>
      </c>
      <c r="AJ226" s="167">
        <v>4.4096323701121503E-3</v>
      </c>
      <c r="AK226" s="161"/>
      <c r="AL226" s="153"/>
    </row>
    <row r="227" spans="1:38">
      <c r="A227" s="2" t="s">
        <v>26</v>
      </c>
      <c r="B227" s="2">
        <v>9962</v>
      </c>
      <c r="C227" s="2" t="s">
        <v>1799</v>
      </c>
      <c r="D227" s="2" t="s">
        <v>1800</v>
      </c>
      <c r="E227" s="4" t="s">
        <v>1305</v>
      </c>
      <c r="F227" s="2" t="s">
        <v>1801</v>
      </c>
      <c r="G227" s="2" t="s">
        <v>1802</v>
      </c>
      <c r="H227" s="2" t="s">
        <v>319</v>
      </c>
      <c r="I227" s="2" t="s">
        <v>966</v>
      </c>
      <c r="J227" s="2" t="s">
        <v>31</v>
      </c>
      <c r="K227" s="2" t="s">
        <v>31</v>
      </c>
      <c r="L227" s="23" t="s">
        <v>327</v>
      </c>
      <c r="M227" s="2" t="s">
        <v>40</v>
      </c>
      <c r="N227" s="2" t="s">
        <v>1803</v>
      </c>
      <c r="O227" s="2" t="s">
        <v>136</v>
      </c>
      <c r="P227" s="2" t="s">
        <v>1752</v>
      </c>
      <c r="Q227" s="23" t="s">
        <v>1752</v>
      </c>
      <c r="R227" s="23" t="s">
        <v>1752</v>
      </c>
      <c r="S227" s="2" t="s">
        <v>35</v>
      </c>
      <c r="T227" s="153">
        <v>1.62</v>
      </c>
      <c r="U227" s="2" t="s">
        <v>1804</v>
      </c>
      <c r="V227" s="165">
        <v>6.5000000000000002E-2</v>
      </c>
      <c r="W227" s="167">
        <v>7.7499999999999999E-2</v>
      </c>
      <c r="X227" s="4" t="s">
        <v>411</v>
      </c>
      <c r="Y227" s="4" t="s">
        <v>136</v>
      </c>
      <c r="Z227" s="153">
        <v>37484</v>
      </c>
      <c r="AA227" s="153">
        <v>1</v>
      </c>
      <c r="AB227" s="153">
        <v>99.29</v>
      </c>
      <c r="AC227" s="11"/>
      <c r="AD227" s="153">
        <v>37.218000000000004</v>
      </c>
      <c r="AG227" s="2" t="s">
        <v>37</v>
      </c>
      <c r="AH227" s="167">
        <v>3.4099999999999999E-4</v>
      </c>
      <c r="AI227" s="167">
        <v>5.8438883308258999E-3</v>
      </c>
      <c r="AJ227" s="167">
        <v>1.20573565473845E-3</v>
      </c>
      <c r="AK227" s="161"/>
      <c r="AL227" s="153"/>
    </row>
    <row r="228" spans="1:38">
      <c r="A228" s="2" t="s">
        <v>26</v>
      </c>
      <c r="B228" s="2">
        <v>9962</v>
      </c>
      <c r="C228" s="2" t="s">
        <v>1799</v>
      </c>
      <c r="D228" s="2" t="s">
        <v>1800</v>
      </c>
      <c r="E228" s="4" t="s">
        <v>1305</v>
      </c>
      <c r="F228" s="2" t="s">
        <v>1805</v>
      </c>
      <c r="G228" s="2" t="s">
        <v>1802</v>
      </c>
      <c r="H228" s="2" t="s">
        <v>319</v>
      </c>
      <c r="I228" s="2" t="s">
        <v>966</v>
      </c>
      <c r="J228" s="2" t="s">
        <v>31</v>
      </c>
      <c r="K228" s="2" t="s">
        <v>31</v>
      </c>
      <c r="L228" s="2" t="s">
        <v>325</v>
      </c>
      <c r="M228" s="2" t="s">
        <v>40</v>
      </c>
      <c r="N228" s="2" t="s">
        <v>461</v>
      </c>
      <c r="O228" s="2" t="s">
        <v>136</v>
      </c>
      <c r="P228" s="2" t="s">
        <v>1752</v>
      </c>
      <c r="Q228" s="23" t="s">
        <v>1752</v>
      </c>
      <c r="R228" s="23" t="s">
        <v>1752</v>
      </c>
      <c r="S228" s="2" t="s">
        <v>35</v>
      </c>
      <c r="T228" s="153">
        <v>1.3859999999999999</v>
      </c>
      <c r="U228" s="2" t="s">
        <v>1804</v>
      </c>
      <c r="V228" s="165">
        <v>6.5000000000000002E-2</v>
      </c>
      <c r="W228" s="167">
        <v>6.9199999999999998E-2</v>
      </c>
      <c r="X228" s="4" t="s">
        <v>411</v>
      </c>
      <c r="Y228" s="4" t="s">
        <v>136</v>
      </c>
      <c r="Z228" s="153">
        <v>22000</v>
      </c>
      <c r="AA228" s="153">
        <v>1</v>
      </c>
      <c r="AB228" s="153">
        <v>101.5</v>
      </c>
      <c r="AC228" s="11"/>
      <c r="AD228" s="153">
        <v>22.33</v>
      </c>
      <c r="AG228" s="2" t="s">
        <v>37</v>
      </c>
      <c r="AH228" s="167">
        <v>2.0000000000000001E-4</v>
      </c>
      <c r="AI228" s="167">
        <v>3.50622023418191E-3</v>
      </c>
      <c r="AJ228" s="167">
        <v>7.2341812683491896E-4</v>
      </c>
      <c r="AK228" s="161"/>
      <c r="AL228" s="153"/>
    </row>
    <row r="229" spans="1:38">
      <c r="A229" s="2" t="s">
        <v>26</v>
      </c>
      <c r="B229" s="2">
        <v>9962</v>
      </c>
      <c r="C229" s="2" t="s">
        <v>1423</v>
      </c>
      <c r="D229" s="2" t="s">
        <v>1424</v>
      </c>
      <c r="E229" s="4" t="s">
        <v>1305</v>
      </c>
      <c r="F229" s="2" t="s">
        <v>1806</v>
      </c>
      <c r="G229" s="2" t="s">
        <v>1807</v>
      </c>
      <c r="H229" s="2" t="s">
        <v>319</v>
      </c>
      <c r="I229" s="2" t="s">
        <v>966</v>
      </c>
      <c r="J229" s="2" t="s">
        <v>31</v>
      </c>
      <c r="K229" s="2" t="s">
        <v>31</v>
      </c>
      <c r="L229" s="2" t="s">
        <v>325</v>
      </c>
      <c r="M229" s="2" t="s">
        <v>40</v>
      </c>
      <c r="N229" s="2" t="s">
        <v>438</v>
      </c>
      <c r="O229" s="2" t="s">
        <v>136</v>
      </c>
      <c r="P229" s="2" t="s">
        <v>1731</v>
      </c>
      <c r="Q229" s="2" t="s">
        <v>104</v>
      </c>
      <c r="R229" s="2" t="s">
        <v>405</v>
      </c>
      <c r="S229" s="2" t="s">
        <v>35</v>
      </c>
      <c r="T229" s="153">
        <v>1.9910000000000001</v>
      </c>
      <c r="U229" s="2" t="s">
        <v>1808</v>
      </c>
      <c r="V229" s="165">
        <v>3.4500000000000003E-2</v>
      </c>
      <c r="W229" s="167">
        <v>5.0560000000000001E-2</v>
      </c>
      <c r="X229" s="4" t="s">
        <v>411</v>
      </c>
      <c r="Y229" s="4" t="s">
        <v>136</v>
      </c>
      <c r="Z229" s="153">
        <v>32521.73</v>
      </c>
      <c r="AA229" s="153">
        <v>1</v>
      </c>
      <c r="AB229" s="153">
        <v>97.31</v>
      </c>
      <c r="AC229" s="11"/>
      <c r="AD229" s="153">
        <v>31.646999999999998</v>
      </c>
      <c r="AG229" s="2" t="s">
        <v>37</v>
      </c>
      <c r="AH229" s="167">
        <v>7.3999999999999996E-5</v>
      </c>
      <c r="AI229" s="167">
        <v>4.96914398662831E-3</v>
      </c>
      <c r="AJ229" s="167">
        <v>1.0252547172406601E-3</v>
      </c>
      <c r="AK229" s="161"/>
      <c r="AL229" s="153"/>
    </row>
    <row r="230" spans="1:38">
      <c r="A230" s="2" t="s">
        <v>26</v>
      </c>
      <c r="B230" s="2">
        <v>9962</v>
      </c>
      <c r="C230" s="2" t="s">
        <v>1423</v>
      </c>
      <c r="D230" s="2" t="s">
        <v>1424</v>
      </c>
      <c r="E230" s="4" t="s">
        <v>1305</v>
      </c>
      <c r="F230" s="2" t="s">
        <v>1809</v>
      </c>
      <c r="G230" s="2" t="s">
        <v>1810</v>
      </c>
      <c r="H230" s="2" t="s">
        <v>319</v>
      </c>
      <c r="I230" s="2" t="s">
        <v>966</v>
      </c>
      <c r="J230" s="2" t="s">
        <v>31</v>
      </c>
      <c r="K230" s="2" t="s">
        <v>31</v>
      </c>
      <c r="L230" s="2" t="s">
        <v>325</v>
      </c>
      <c r="M230" s="2" t="s">
        <v>40</v>
      </c>
      <c r="N230" s="2" t="s">
        <v>438</v>
      </c>
      <c r="O230" s="2" t="s">
        <v>136</v>
      </c>
      <c r="P230" s="2" t="s">
        <v>1731</v>
      </c>
      <c r="Q230" s="2" t="s">
        <v>104</v>
      </c>
      <c r="R230" s="2" t="s">
        <v>405</v>
      </c>
      <c r="S230" s="2" t="s">
        <v>35</v>
      </c>
      <c r="T230" s="153">
        <v>4.2329999999999997</v>
      </c>
      <c r="U230" s="2" t="s">
        <v>1811</v>
      </c>
      <c r="V230" s="165">
        <v>1.4999999999999999E-2</v>
      </c>
      <c r="W230" s="167">
        <v>5.4089999999999999E-2</v>
      </c>
      <c r="X230" s="4" t="s">
        <v>411</v>
      </c>
      <c r="Y230" s="4" t="s">
        <v>136</v>
      </c>
      <c r="Z230" s="153">
        <v>31000</v>
      </c>
      <c r="AA230" s="153">
        <v>1</v>
      </c>
      <c r="AB230" s="153">
        <v>85.27</v>
      </c>
      <c r="AC230" s="11"/>
      <c r="AD230" s="153">
        <v>26.434000000000001</v>
      </c>
      <c r="AG230" s="2" t="s">
        <v>37</v>
      </c>
      <c r="AH230" s="167">
        <v>8.0000000000000007E-5</v>
      </c>
      <c r="AI230" s="167">
        <v>4.15057652504676E-3</v>
      </c>
      <c r="AJ230" s="167">
        <v>8.5636443077994598E-4</v>
      </c>
      <c r="AK230" s="161"/>
      <c r="AL230" s="153"/>
    </row>
    <row r="231" spans="1:38">
      <c r="A231" s="2" t="s">
        <v>26</v>
      </c>
      <c r="B231" s="2">
        <v>9962</v>
      </c>
      <c r="C231" s="2" t="s">
        <v>1427</v>
      </c>
      <c r="D231" s="2" t="s">
        <v>1428</v>
      </c>
      <c r="E231" s="4" t="s">
        <v>1305</v>
      </c>
      <c r="F231" s="2" t="s">
        <v>1812</v>
      </c>
      <c r="G231" s="2" t="s">
        <v>1813</v>
      </c>
      <c r="H231" s="2" t="s">
        <v>319</v>
      </c>
      <c r="I231" s="2" t="s">
        <v>967</v>
      </c>
      <c r="J231" s="2" t="s">
        <v>31</v>
      </c>
      <c r="K231" s="2" t="s">
        <v>31</v>
      </c>
      <c r="L231" s="2" t="s">
        <v>325</v>
      </c>
      <c r="M231" s="2" t="s">
        <v>40</v>
      </c>
      <c r="N231" s="2" t="s">
        <v>438</v>
      </c>
      <c r="O231" s="2" t="s">
        <v>136</v>
      </c>
      <c r="P231" s="2" t="s">
        <v>1731</v>
      </c>
      <c r="Q231" s="2" t="s">
        <v>104</v>
      </c>
      <c r="R231" s="2" t="s">
        <v>405</v>
      </c>
      <c r="S231" s="2" t="s">
        <v>35</v>
      </c>
      <c r="T231" s="153">
        <v>3.32</v>
      </c>
      <c r="U231" s="2" t="s">
        <v>1814</v>
      </c>
      <c r="V231" s="165">
        <v>1.25E-3</v>
      </c>
      <c r="W231" s="167">
        <v>5.484E-2</v>
      </c>
      <c r="X231" s="4" t="s">
        <v>411</v>
      </c>
      <c r="Y231" s="4" t="s">
        <v>136</v>
      </c>
      <c r="Z231" s="153">
        <v>9000</v>
      </c>
      <c r="AA231" s="153">
        <v>1</v>
      </c>
      <c r="AB231" s="153">
        <v>84.5</v>
      </c>
      <c r="AC231" s="11"/>
      <c r="AD231" s="153">
        <v>7.6050000000000004</v>
      </c>
      <c r="AG231" s="2" t="s">
        <v>37</v>
      </c>
      <c r="AH231" s="167">
        <v>1.5999999999999999E-5</v>
      </c>
      <c r="AI231" s="167">
        <v>1.1941247147762399E-3</v>
      </c>
      <c r="AJ231" s="167">
        <v>2.4637684077830502E-4</v>
      </c>
      <c r="AK231" s="161"/>
      <c r="AL231" s="153"/>
    </row>
    <row r="232" spans="1:38">
      <c r="A232" s="2" t="s">
        <v>26</v>
      </c>
      <c r="B232" s="2">
        <v>9962</v>
      </c>
      <c r="C232" s="2" t="s">
        <v>1815</v>
      </c>
      <c r="D232" s="2" t="s">
        <v>1816</v>
      </c>
      <c r="E232" s="4" t="s">
        <v>1305</v>
      </c>
      <c r="F232" s="2" t="s">
        <v>1817</v>
      </c>
      <c r="G232" s="2" t="s">
        <v>1818</v>
      </c>
      <c r="H232" s="2" t="s">
        <v>319</v>
      </c>
      <c r="I232" s="2" t="s">
        <v>966</v>
      </c>
      <c r="J232" s="2" t="s">
        <v>31</v>
      </c>
      <c r="K232" s="2" t="s">
        <v>31</v>
      </c>
      <c r="L232" s="2" t="s">
        <v>325</v>
      </c>
      <c r="M232" s="2" t="s">
        <v>40</v>
      </c>
      <c r="N232" s="2" t="s">
        <v>440</v>
      </c>
      <c r="O232" s="2" t="s">
        <v>136</v>
      </c>
      <c r="P232" s="2" t="s">
        <v>1720</v>
      </c>
      <c r="Q232" s="2" t="s">
        <v>104</v>
      </c>
      <c r="R232" s="2" t="s">
        <v>405</v>
      </c>
      <c r="S232" s="2" t="s">
        <v>35</v>
      </c>
      <c r="T232" s="153">
        <v>0.37</v>
      </c>
      <c r="U232" s="2" t="s">
        <v>1819</v>
      </c>
      <c r="V232" s="165">
        <v>3.2399999999999998E-2</v>
      </c>
      <c r="W232" s="167">
        <v>8.9459999999999998E-2</v>
      </c>
      <c r="X232" s="4" t="s">
        <v>411</v>
      </c>
      <c r="Y232" s="4" t="s">
        <v>136</v>
      </c>
      <c r="Z232" s="153">
        <v>10883.85</v>
      </c>
      <c r="AA232" s="153">
        <v>1</v>
      </c>
      <c r="AB232" s="153">
        <v>98.07</v>
      </c>
      <c r="AC232" s="11"/>
      <c r="AD232" s="153">
        <v>10.673999999999999</v>
      </c>
      <c r="AG232" s="2" t="s">
        <v>37</v>
      </c>
      <c r="AH232" s="167">
        <v>4.1E-5</v>
      </c>
      <c r="AI232" s="167">
        <v>1.67598138900366E-3</v>
      </c>
      <c r="AJ232" s="167">
        <v>3.4579553937407202E-4</v>
      </c>
      <c r="AK232" s="161"/>
      <c r="AL232" s="153"/>
    </row>
    <row r="233" spans="1:38">
      <c r="A233" s="2" t="s">
        <v>26</v>
      </c>
      <c r="B233" s="2">
        <v>9962</v>
      </c>
      <c r="C233" s="2" t="s">
        <v>1815</v>
      </c>
      <c r="D233" s="2" t="s">
        <v>1816</v>
      </c>
      <c r="E233" s="4" t="s">
        <v>1305</v>
      </c>
      <c r="F233" s="2" t="s">
        <v>1820</v>
      </c>
      <c r="G233" s="2" t="s">
        <v>1821</v>
      </c>
      <c r="H233" s="2" t="s">
        <v>319</v>
      </c>
      <c r="I233" s="2" t="s">
        <v>754</v>
      </c>
      <c r="J233" s="2" t="s">
        <v>31</v>
      </c>
      <c r="K233" s="2" t="s">
        <v>31</v>
      </c>
      <c r="L233" s="2" t="s">
        <v>325</v>
      </c>
      <c r="M233" s="2" t="s">
        <v>40</v>
      </c>
      <c r="N233" s="2" t="s">
        <v>440</v>
      </c>
      <c r="O233" s="2" t="s">
        <v>136</v>
      </c>
      <c r="P233" s="2" t="s">
        <v>1720</v>
      </c>
      <c r="Q233" s="2" t="s">
        <v>104</v>
      </c>
      <c r="R233" s="2" t="s">
        <v>405</v>
      </c>
      <c r="S233" s="2" t="s">
        <v>35</v>
      </c>
      <c r="T233" s="153">
        <v>1.694</v>
      </c>
      <c r="U233" s="2" t="s">
        <v>1822</v>
      </c>
      <c r="V233" s="165">
        <v>1.2500000000000001E-2</v>
      </c>
      <c r="W233" s="167">
        <v>4.546E-2</v>
      </c>
      <c r="X233" s="4" t="s">
        <v>411</v>
      </c>
      <c r="Y233" s="4" t="s">
        <v>136</v>
      </c>
      <c r="Z233" s="153">
        <v>17888.88</v>
      </c>
      <c r="AA233" s="153">
        <v>1</v>
      </c>
      <c r="AB233" s="153">
        <v>100.5</v>
      </c>
      <c r="AC233" s="11"/>
      <c r="AD233" s="153">
        <v>17.978000000000002</v>
      </c>
      <c r="AG233" s="2" t="s">
        <v>37</v>
      </c>
      <c r="AH233" s="167">
        <v>1.08E-4</v>
      </c>
      <c r="AI233" s="167">
        <v>2.822927218449E-3</v>
      </c>
      <c r="AJ233" s="167">
        <v>5.8243823381453296E-4</v>
      </c>
      <c r="AK233" s="161"/>
      <c r="AL233" s="153"/>
    </row>
    <row r="234" spans="1:38">
      <c r="A234" s="2" t="s">
        <v>26</v>
      </c>
      <c r="B234" s="2">
        <v>9962</v>
      </c>
      <c r="C234" s="2" t="s">
        <v>1823</v>
      </c>
      <c r="D234" s="2" t="s">
        <v>1824</v>
      </c>
      <c r="E234" s="4" t="s">
        <v>1305</v>
      </c>
      <c r="F234" s="2" t="s">
        <v>1830</v>
      </c>
      <c r="G234" s="2" t="s">
        <v>1831</v>
      </c>
      <c r="H234" s="2" t="s">
        <v>319</v>
      </c>
      <c r="I234" s="2" t="s">
        <v>966</v>
      </c>
      <c r="J234" s="2" t="s">
        <v>31</v>
      </c>
      <c r="K234" s="2" t="s">
        <v>31</v>
      </c>
      <c r="L234" s="2" t="s">
        <v>325</v>
      </c>
      <c r="M234" s="2" t="s">
        <v>40</v>
      </c>
      <c r="N234" s="2" t="s">
        <v>462</v>
      </c>
      <c r="O234" s="2" t="s">
        <v>136</v>
      </c>
      <c r="P234" s="2" t="s">
        <v>1731</v>
      </c>
      <c r="Q234" s="2" t="s">
        <v>104</v>
      </c>
      <c r="R234" s="2" t="s">
        <v>405</v>
      </c>
      <c r="S234" s="2" t="s">
        <v>35</v>
      </c>
      <c r="T234" s="153">
        <v>3.0419999999999998</v>
      </c>
      <c r="U234" s="2" t="s">
        <v>1832</v>
      </c>
      <c r="V234" s="165">
        <v>2.3E-2</v>
      </c>
      <c r="W234" s="167">
        <v>5.1999999999999998E-2</v>
      </c>
      <c r="X234" s="4" t="s">
        <v>411</v>
      </c>
      <c r="Y234" s="4" t="s">
        <v>136</v>
      </c>
      <c r="Z234" s="153">
        <v>63900</v>
      </c>
      <c r="AA234" s="153">
        <v>1</v>
      </c>
      <c r="AB234" s="153">
        <v>91.96</v>
      </c>
      <c r="AC234" s="11"/>
      <c r="AD234" s="153">
        <v>58.762</v>
      </c>
      <c r="AG234" s="2" t="s">
        <v>37</v>
      </c>
      <c r="AH234" s="167">
        <v>1.11E-4</v>
      </c>
      <c r="AI234" s="167">
        <v>9.2267826304478408E-3</v>
      </c>
      <c r="AJ234" s="167">
        <v>1.9037086553089699E-3</v>
      </c>
      <c r="AK234" s="161"/>
      <c r="AL234" s="153"/>
    </row>
    <row r="235" spans="1:38">
      <c r="A235" s="2" t="s">
        <v>26</v>
      </c>
      <c r="B235" s="2">
        <v>9962</v>
      </c>
      <c r="C235" s="2" t="s">
        <v>1833</v>
      </c>
      <c r="D235" s="2" t="s">
        <v>1834</v>
      </c>
      <c r="E235" s="4" t="s">
        <v>1305</v>
      </c>
      <c r="F235" s="2" t="s">
        <v>1835</v>
      </c>
      <c r="G235" s="2" t="s">
        <v>1836</v>
      </c>
      <c r="H235" s="2" t="s">
        <v>319</v>
      </c>
      <c r="I235" s="2" t="s">
        <v>966</v>
      </c>
      <c r="J235" s="2" t="s">
        <v>31</v>
      </c>
      <c r="K235" s="2" t="s">
        <v>31</v>
      </c>
      <c r="L235" s="2" t="s">
        <v>325</v>
      </c>
      <c r="M235" s="2" t="s">
        <v>40</v>
      </c>
      <c r="N235" s="2" t="s">
        <v>444</v>
      </c>
      <c r="O235" s="2" t="s">
        <v>136</v>
      </c>
      <c r="P235" s="2" t="s">
        <v>1752</v>
      </c>
      <c r="Q235" s="23" t="s">
        <v>1752</v>
      </c>
      <c r="R235" s="23" t="s">
        <v>1752</v>
      </c>
      <c r="S235" s="2" t="s">
        <v>35</v>
      </c>
      <c r="T235" s="153">
        <v>2.4129999999999998</v>
      </c>
      <c r="U235" s="2" t="s">
        <v>1822</v>
      </c>
      <c r="V235" s="165">
        <v>8.5000000000000006E-2</v>
      </c>
      <c r="W235" s="167">
        <v>7.0470000000000005E-2</v>
      </c>
      <c r="X235" s="4" t="s">
        <v>411</v>
      </c>
      <c r="Y235" s="4" t="s">
        <v>136</v>
      </c>
      <c r="Z235" s="153">
        <v>24000</v>
      </c>
      <c r="AA235" s="153">
        <v>1</v>
      </c>
      <c r="AB235" s="153">
        <v>108.4</v>
      </c>
      <c r="AC235" s="11"/>
      <c r="AD235" s="153">
        <v>26.015999999999998</v>
      </c>
      <c r="AG235" s="2" t="s">
        <v>37</v>
      </c>
      <c r="AH235" s="167">
        <v>2.4899999999999998E-4</v>
      </c>
      <c r="AI235" s="167">
        <v>4.0849899512976498E-3</v>
      </c>
      <c r="AJ235" s="167">
        <v>8.4283233263489701E-4</v>
      </c>
      <c r="AK235" s="161"/>
      <c r="AL235" s="153"/>
    </row>
    <row r="236" spans="1:38">
      <c r="A236" s="2" t="s">
        <v>26</v>
      </c>
      <c r="B236" s="2">
        <v>9962</v>
      </c>
      <c r="C236" s="2" t="s">
        <v>1837</v>
      </c>
      <c r="D236" s="2" t="s">
        <v>1838</v>
      </c>
      <c r="E236" s="4" t="s">
        <v>1305</v>
      </c>
      <c r="F236" s="2" t="s">
        <v>1839</v>
      </c>
      <c r="G236" s="2" t="s">
        <v>1840</v>
      </c>
      <c r="H236" s="2" t="s">
        <v>319</v>
      </c>
      <c r="I236" s="2" t="s">
        <v>754</v>
      </c>
      <c r="J236" s="2" t="s">
        <v>31</v>
      </c>
      <c r="K236" s="2" t="s">
        <v>31</v>
      </c>
      <c r="L236" s="2" t="s">
        <v>325</v>
      </c>
      <c r="M236" s="2" t="s">
        <v>40</v>
      </c>
      <c r="N236" s="2" t="s">
        <v>448</v>
      </c>
      <c r="O236" s="2" t="s">
        <v>136</v>
      </c>
      <c r="P236" s="2" t="s">
        <v>1724</v>
      </c>
      <c r="Q236" s="2" t="s">
        <v>412</v>
      </c>
      <c r="R236" s="2" t="s">
        <v>407</v>
      </c>
      <c r="S236" s="2" t="s">
        <v>35</v>
      </c>
      <c r="T236" s="153">
        <v>3.0790000000000002</v>
      </c>
      <c r="U236" s="2" t="s">
        <v>1841</v>
      </c>
      <c r="V236" s="165">
        <v>2.8799999999999999E-2</v>
      </c>
      <c r="W236" s="167">
        <v>3.0550000000000001E-2</v>
      </c>
      <c r="X236" s="4" t="s">
        <v>411</v>
      </c>
      <c r="Y236" s="4" t="s">
        <v>136</v>
      </c>
      <c r="Z236" s="153">
        <v>42666.67</v>
      </c>
      <c r="AA236" s="153">
        <v>1</v>
      </c>
      <c r="AB236" s="153">
        <v>111.23</v>
      </c>
      <c r="AC236" s="11"/>
      <c r="AD236" s="153">
        <v>47.457999999999998</v>
      </c>
      <c r="AG236" s="2" t="s">
        <v>37</v>
      </c>
      <c r="AH236" s="167">
        <v>2.1100000000000001E-4</v>
      </c>
      <c r="AI236" s="167">
        <v>7.4517993895983903E-3</v>
      </c>
      <c r="AJ236" s="167">
        <v>1.5374866368685701E-3</v>
      </c>
      <c r="AK236" s="161"/>
      <c r="AL236" s="153"/>
    </row>
    <row r="237" spans="1:38">
      <c r="A237" s="2" t="s">
        <v>26</v>
      </c>
      <c r="B237" s="2">
        <v>9962</v>
      </c>
      <c r="C237" s="2" t="s">
        <v>1842</v>
      </c>
      <c r="D237" s="2" t="s">
        <v>1843</v>
      </c>
      <c r="E237" s="4" t="s">
        <v>34</v>
      </c>
      <c r="F237" s="2" t="s">
        <v>1844</v>
      </c>
      <c r="G237" s="2" t="s">
        <v>1845</v>
      </c>
      <c r="H237" s="2" t="s">
        <v>319</v>
      </c>
      <c r="I237" s="2" t="s">
        <v>966</v>
      </c>
      <c r="J237" s="2" t="s">
        <v>31</v>
      </c>
      <c r="K237" s="2" t="s">
        <v>31</v>
      </c>
      <c r="L237" s="2" t="s">
        <v>325</v>
      </c>
      <c r="M237" s="2" t="s">
        <v>40</v>
      </c>
      <c r="N237" s="2" t="s">
        <v>462</v>
      </c>
      <c r="O237" s="2" t="s">
        <v>136</v>
      </c>
      <c r="P237" s="2" t="s">
        <v>1720</v>
      </c>
      <c r="Q237" s="2" t="s">
        <v>104</v>
      </c>
      <c r="R237" s="2" t="s">
        <v>405</v>
      </c>
      <c r="S237" s="2" t="s">
        <v>35</v>
      </c>
      <c r="T237" s="153">
        <v>1.44</v>
      </c>
      <c r="U237" s="2" t="s">
        <v>1846</v>
      </c>
      <c r="V237" s="165">
        <v>7.0000000000000007E-2</v>
      </c>
      <c r="W237" s="167">
        <v>6.7129999999999995E-2</v>
      </c>
      <c r="X237" s="4" t="s">
        <v>411</v>
      </c>
      <c r="Y237" s="4" t="s">
        <v>136</v>
      </c>
      <c r="Z237" s="153">
        <v>69724.149999999994</v>
      </c>
      <c r="AA237" s="153">
        <v>1</v>
      </c>
      <c r="AB237" s="153">
        <v>100.59</v>
      </c>
      <c r="AC237" s="11"/>
      <c r="AD237" s="153">
        <v>70.135999999999996</v>
      </c>
      <c r="AG237" s="2" t="s">
        <v>37</v>
      </c>
      <c r="AH237" s="167">
        <v>1.16E-4</v>
      </c>
      <c r="AI237" s="167">
        <v>1.1012565520458E-2</v>
      </c>
      <c r="AJ237" s="167">
        <v>2.2721589028520798E-3</v>
      </c>
      <c r="AK237" s="161"/>
      <c r="AL237" s="153"/>
    </row>
    <row r="238" spans="1:38">
      <c r="A238" s="2" t="s">
        <v>26</v>
      </c>
      <c r="B238" s="2">
        <v>9962</v>
      </c>
      <c r="C238" s="2" t="s">
        <v>1842</v>
      </c>
      <c r="D238" s="2" t="s">
        <v>1843</v>
      </c>
      <c r="E238" s="4" t="s">
        <v>34</v>
      </c>
      <c r="F238" s="2" t="s">
        <v>1847</v>
      </c>
      <c r="G238" s="2" t="s">
        <v>1848</v>
      </c>
      <c r="H238" s="2" t="s">
        <v>319</v>
      </c>
      <c r="I238" s="2" t="s">
        <v>966</v>
      </c>
      <c r="J238" s="2" t="s">
        <v>31</v>
      </c>
      <c r="K238" s="2" t="s">
        <v>31</v>
      </c>
      <c r="L238" s="23" t="s">
        <v>327</v>
      </c>
      <c r="M238" s="2" t="s">
        <v>40</v>
      </c>
      <c r="N238" s="2" t="s">
        <v>444</v>
      </c>
      <c r="O238" s="2" t="s">
        <v>136</v>
      </c>
      <c r="P238" s="2" t="s">
        <v>1720</v>
      </c>
      <c r="Q238" s="2" t="s">
        <v>104</v>
      </c>
      <c r="R238" s="2" t="s">
        <v>405</v>
      </c>
      <c r="S238" s="2" t="s">
        <v>35</v>
      </c>
      <c r="T238" s="153">
        <v>3.15</v>
      </c>
      <c r="U238" s="2" t="s">
        <v>1849</v>
      </c>
      <c r="V238" s="165">
        <v>6.5000000000000002E-2</v>
      </c>
      <c r="W238" s="167">
        <v>8.9200000000000002E-2</v>
      </c>
      <c r="X238" s="4" t="s">
        <v>411</v>
      </c>
      <c r="Y238" s="4" t="s">
        <v>136</v>
      </c>
      <c r="Z238" s="153">
        <v>89000</v>
      </c>
      <c r="AA238" s="153">
        <v>1</v>
      </c>
      <c r="AB238" s="153">
        <v>98.662999999999997</v>
      </c>
      <c r="AC238" s="11"/>
      <c r="AD238" s="153">
        <v>87.81</v>
      </c>
      <c r="AG238" s="2" t="s">
        <v>37</v>
      </c>
      <c r="AH238" s="167">
        <v>0</v>
      </c>
      <c r="AI238" s="167">
        <v>1.37877941871442E-2</v>
      </c>
      <c r="AJ238" s="167">
        <v>2.8447557705617199E-3</v>
      </c>
      <c r="AK238" s="161"/>
      <c r="AL238" s="153"/>
    </row>
    <row r="239" spans="1:38">
      <c r="A239" s="2" t="s">
        <v>26</v>
      </c>
      <c r="B239" s="2">
        <v>9962</v>
      </c>
      <c r="C239" s="2" t="s">
        <v>1744</v>
      </c>
      <c r="D239" s="2" t="s">
        <v>1745</v>
      </c>
      <c r="E239" s="4" t="s">
        <v>1305</v>
      </c>
      <c r="F239" s="2" t="s">
        <v>1855</v>
      </c>
      <c r="G239" s="2" t="s">
        <v>1856</v>
      </c>
      <c r="H239" s="2" t="s">
        <v>319</v>
      </c>
      <c r="I239" s="2" t="s">
        <v>754</v>
      </c>
      <c r="J239" s="2" t="s">
        <v>31</v>
      </c>
      <c r="K239" s="2" t="s">
        <v>31</v>
      </c>
      <c r="L239" s="2" t="s">
        <v>325</v>
      </c>
      <c r="M239" s="2" t="s">
        <v>40</v>
      </c>
      <c r="N239" s="2" t="s">
        <v>461</v>
      </c>
      <c r="O239" s="2" t="s">
        <v>136</v>
      </c>
      <c r="P239" s="2" t="s">
        <v>1748</v>
      </c>
      <c r="Q239" s="2" t="s">
        <v>412</v>
      </c>
      <c r="R239" s="2" t="s">
        <v>405</v>
      </c>
      <c r="S239" s="2" t="s">
        <v>35</v>
      </c>
      <c r="T239" s="153">
        <v>5.4580000000000002</v>
      </c>
      <c r="U239" s="2" t="s">
        <v>1857</v>
      </c>
      <c r="V239" s="165">
        <v>6.4999999999999997E-3</v>
      </c>
      <c r="W239" s="167">
        <v>2.6950000000000002E-2</v>
      </c>
      <c r="X239" s="4" t="s">
        <v>411</v>
      </c>
      <c r="Y239" s="4" t="s">
        <v>136</v>
      </c>
      <c r="Z239" s="153">
        <v>30000</v>
      </c>
      <c r="AA239" s="153">
        <v>1</v>
      </c>
      <c r="AB239" s="153">
        <v>99.03</v>
      </c>
      <c r="AC239" s="11"/>
      <c r="AD239" s="153">
        <v>29.709</v>
      </c>
      <c r="AG239" s="2" t="s">
        <v>37</v>
      </c>
      <c r="AH239" s="167">
        <v>1.2999999999999999E-5</v>
      </c>
      <c r="AI239" s="167">
        <v>4.6648587970134501E-3</v>
      </c>
      <c r="AJ239" s="167">
        <v>9.6247331527714297E-4</v>
      </c>
      <c r="AK239" s="161"/>
      <c r="AL239" s="153"/>
    </row>
    <row r="240" spans="1:38">
      <c r="A240" s="2" t="s">
        <v>26</v>
      </c>
      <c r="B240" s="2">
        <v>9962</v>
      </c>
      <c r="C240" s="2" t="s">
        <v>1858</v>
      </c>
      <c r="D240" s="2" t="s">
        <v>1859</v>
      </c>
      <c r="E240" s="4" t="s">
        <v>1305</v>
      </c>
      <c r="F240" s="2" t="s">
        <v>1860</v>
      </c>
      <c r="G240" s="2" t="s">
        <v>1861</v>
      </c>
      <c r="H240" s="2" t="s">
        <v>319</v>
      </c>
      <c r="I240" s="2" t="s">
        <v>966</v>
      </c>
      <c r="J240" s="2" t="s">
        <v>31</v>
      </c>
      <c r="K240" s="2" t="s">
        <v>31</v>
      </c>
      <c r="L240" s="2" t="s">
        <v>325</v>
      </c>
      <c r="M240" s="2" t="s">
        <v>40</v>
      </c>
      <c r="N240" s="2" t="s">
        <v>437</v>
      </c>
      <c r="O240" s="2" t="s">
        <v>136</v>
      </c>
      <c r="P240" s="2" t="s">
        <v>1758</v>
      </c>
      <c r="Q240" s="2" t="s">
        <v>412</v>
      </c>
      <c r="R240" s="2" t="s">
        <v>405</v>
      </c>
      <c r="S240" s="2" t="s">
        <v>35</v>
      </c>
      <c r="T240" s="153">
        <v>3.6160000000000001</v>
      </c>
      <c r="U240" s="2" t="s">
        <v>1862</v>
      </c>
      <c r="V240" s="165">
        <v>0.05</v>
      </c>
      <c r="W240" s="167">
        <v>5.287E-2</v>
      </c>
      <c r="X240" s="4" t="s">
        <v>411</v>
      </c>
      <c r="Y240" s="4" t="s">
        <v>136</v>
      </c>
      <c r="Z240" s="153">
        <v>26374.92</v>
      </c>
      <c r="AA240" s="153">
        <v>1</v>
      </c>
      <c r="AB240" s="153">
        <v>99.32</v>
      </c>
      <c r="AC240" s="11"/>
      <c r="AD240" s="153">
        <v>26.196000000000002</v>
      </c>
      <c r="AG240" s="2" t="s">
        <v>37</v>
      </c>
      <c r="AH240" s="167">
        <v>2.5000000000000001E-5</v>
      </c>
      <c r="AI240" s="167">
        <v>4.1131858256745297E-3</v>
      </c>
      <c r="AJ240" s="167">
        <v>8.4864982419670702E-4</v>
      </c>
      <c r="AK240" s="161"/>
      <c r="AL240" s="153"/>
    </row>
    <row r="241" spans="1:38">
      <c r="A241" s="2" t="s">
        <v>26</v>
      </c>
      <c r="B241" s="2">
        <v>9962</v>
      </c>
      <c r="C241" s="2" t="s">
        <v>1863</v>
      </c>
      <c r="D241" s="2" t="s">
        <v>1864</v>
      </c>
      <c r="E241" s="4" t="s">
        <v>1305</v>
      </c>
      <c r="F241" s="2" t="s">
        <v>2333</v>
      </c>
      <c r="G241" s="2" t="s">
        <v>2334</v>
      </c>
      <c r="H241" s="2" t="s">
        <v>319</v>
      </c>
      <c r="I241" s="2" t="s">
        <v>754</v>
      </c>
      <c r="J241" s="2" t="s">
        <v>31</v>
      </c>
      <c r="K241" s="2" t="s">
        <v>31</v>
      </c>
      <c r="L241" s="2" t="s">
        <v>325</v>
      </c>
      <c r="M241" s="2" t="s">
        <v>40</v>
      </c>
      <c r="N241" s="2" t="s">
        <v>445</v>
      </c>
      <c r="O241" s="2" t="s">
        <v>136</v>
      </c>
      <c r="P241" s="2" t="s">
        <v>76</v>
      </c>
      <c r="Q241" s="2" t="s">
        <v>104</v>
      </c>
      <c r="R241" s="2" t="s">
        <v>405</v>
      </c>
      <c r="S241" s="2" t="s">
        <v>35</v>
      </c>
      <c r="T241" s="153">
        <v>0.22700000000000001</v>
      </c>
      <c r="U241" s="2" t="s">
        <v>2335</v>
      </c>
      <c r="V241" s="165">
        <v>5.0000000000000001E-3</v>
      </c>
      <c r="W241" s="167">
        <v>7.1900000000000002E-3</v>
      </c>
      <c r="X241" s="4" t="s">
        <v>411</v>
      </c>
      <c r="Y241" s="4" t="s">
        <v>136</v>
      </c>
      <c r="Z241" s="153">
        <v>13000.26</v>
      </c>
      <c r="AA241" s="153">
        <v>1</v>
      </c>
      <c r="AB241" s="153">
        <v>112.22</v>
      </c>
      <c r="AC241" s="11"/>
      <c r="AD241" s="153">
        <v>14.589</v>
      </c>
      <c r="AG241" s="2" t="s">
        <v>37</v>
      </c>
      <c r="AH241" s="167">
        <v>5.8E-5</v>
      </c>
      <c r="AI241" s="167">
        <v>2.2907240271059699E-3</v>
      </c>
      <c r="AJ241" s="167">
        <v>4.7263182974910899E-4</v>
      </c>
      <c r="AK241" s="161"/>
      <c r="AL241" s="153"/>
    </row>
    <row r="242" spans="1:38">
      <c r="A242" s="2" t="s">
        <v>26</v>
      </c>
      <c r="B242" s="2">
        <v>9962</v>
      </c>
      <c r="C242" s="2" t="s">
        <v>1863</v>
      </c>
      <c r="D242" s="2" t="s">
        <v>1864</v>
      </c>
      <c r="E242" s="4" t="s">
        <v>1305</v>
      </c>
      <c r="F242" s="2" t="s">
        <v>1865</v>
      </c>
      <c r="G242" s="2" t="s">
        <v>1866</v>
      </c>
      <c r="H242" s="2" t="s">
        <v>319</v>
      </c>
      <c r="I242" s="2" t="s">
        <v>754</v>
      </c>
      <c r="J242" s="2" t="s">
        <v>31</v>
      </c>
      <c r="K242" s="2" t="s">
        <v>31</v>
      </c>
      <c r="L242" s="2" t="s">
        <v>325</v>
      </c>
      <c r="M242" s="2" t="s">
        <v>40</v>
      </c>
      <c r="N242" s="2" t="s">
        <v>445</v>
      </c>
      <c r="O242" s="2" t="s">
        <v>136</v>
      </c>
      <c r="P242" s="2" t="s">
        <v>1867</v>
      </c>
      <c r="Q242" s="2" t="s">
        <v>104</v>
      </c>
      <c r="R242" s="2" t="s">
        <v>405</v>
      </c>
      <c r="S242" s="2" t="s">
        <v>35</v>
      </c>
      <c r="T242" s="153">
        <v>3.9329999999999998</v>
      </c>
      <c r="U242" s="2" t="s">
        <v>1868</v>
      </c>
      <c r="V242" s="165">
        <v>1.09E-2</v>
      </c>
      <c r="W242" s="167">
        <v>2.5860000000000001E-2</v>
      </c>
      <c r="X242" s="4" t="s">
        <v>411</v>
      </c>
      <c r="Y242" s="4" t="s">
        <v>136</v>
      </c>
      <c r="Z242" s="153">
        <v>50000</v>
      </c>
      <c r="AA242" s="153">
        <v>1</v>
      </c>
      <c r="AB242" s="153">
        <v>102.9</v>
      </c>
      <c r="AC242" s="11"/>
      <c r="AD242" s="153">
        <v>51.45</v>
      </c>
      <c r="AG242" s="2" t="s">
        <v>37</v>
      </c>
      <c r="AH242" s="167">
        <v>5.5000000000000002E-5</v>
      </c>
      <c r="AI242" s="167">
        <v>8.0785952104191205E-3</v>
      </c>
      <c r="AJ242" s="167">
        <v>1.6668097906698E-3</v>
      </c>
      <c r="AK242" s="161"/>
      <c r="AL242" s="153"/>
    </row>
    <row r="243" spans="1:38">
      <c r="A243" s="2" t="s">
        <v>26</v>
      </c>
      <c r="B243" s="2">
        <v>9962</v>
      </c>
      <c r="C243" s="2" t="s">
        <v>1583</v>
      </c>
      <c r="D243" s="2" t="s">
        <v>1584</v>
      </c>
      <c r="E243" s="4" t="s">
        <v>1305</v>
      </c>
      <c r="F243" s="2" t="s">
        <v>1869</v>
      </c>
      <c r="G243" s="2" t="s">
        <v>1870</v>
      </c>
      <c r="H243" s="2" t="s">
        <v>319</v>
      </c>
      <c r="I243" s="2" t="s">
        <v>966</v>
      </c>
      <c r="J243" s="2" t="s">
        <v>31</v>
      </c>
      <c r="K243" s="2" t="s">
        <v>31</v>
      </c>
      <c r="L243" s="2" t="s">
        <v>325</v>
      </c>
      <c r="M243" s="2" t="s">
        <v>40</v>
      </c>
      <c r="N243" s="2" t="s">
        <v>437</v>
      </c>
      <c r="O243" s="2" t="s">
        <v>136</v>
      </c>
      <c r="P243" s="2" t="s">
        <v>1720</v>
      </c>
      <c r="Q243" s="2" t="s">
        <v>104</v>
      </c>
      <c r="R243" s="2" t="s">
        <v>405</v>
      </c>
      <c r="S243" s="2" t="s">
        <v>35</v>
      </c>
      <c r="T243" s="153">
        <v>3.07</v>
      </c>
      <c r="U243" s="2" t="s">
        <v>1871</v>
      </c>
      <c r="V243" s="165">
        <v>7.2499999999999995E-2</v>
      </c>
      <c r="W243" s="167">
        <v>6.232E-2</v>
      </c>
      <c r="X243" s="4" t="s">
        <v>411</v>
      </c>
      <c r="Y243" s="4" t="s">
        <v>136</v>
      </c>
      <c r="Z243" s="153">
        <v>108000</v>
      </c>
      <c r="AA243" s="153">
        <v>1</v>
      </c>
      <c r="AB243" s="153">
        <v>108.29</v>
      </c>
      <c r="AC243" s="11"/>
      <c r="AD243" s="153">
        <v>116.953</v>
      </c>
      <c r="AG243" s="2" t="s">
        <v>37</v>
      </c>
      <c r="AH243" s="167">
        <v>1.8599999999999999E-4</v>
      </c>
      <c r="AI243" s="167">
        <v>1.8363800998312699E-2</v>
      </c>
      <c r="AJ243" s="167">
        <v>3.7888967698768302E-3</v>
      </c>
      <c r="AK243" s="161"/>
      <c r="AL243" s="153"/>
    </row>
    <row r="244" spans="1:38">
      <c r="A244" s="2" t="s">
        <v>26</v>
      </c>
      <c r="B244" s="2">
        <v>9962</v>
      </c>
      <c r="C244" s="2" t="s">
        <v>1458</v>
      </c>
      <c r="D244" s="2" t="s">
        <v>1459</v>
      </c>
      <c r="E244" s="4" t="s">
        <v>1305</v>
      </c>
      <c r="F244" s="2" t="s">
        <v>1872</v>
      </c>
      <c r="G244" s="2" t="s">
        <v>1873</v>
      </c>
      <c r="H244" s="2" t="s">
        <v>319</v>
      </c>
      <c r="I244" s="2" t="s">
        <v>754</v>
      </c>
      <c r="J244" s="2" t="s">
        <v>31</v>
      </c>
      <c r="K244" s="2" t="s">
        <v>31</v>
      </c>
      <c r="L244" s="2" t="s">
        <v>325</v>
      </c>
      <c r="M244" s="2" t="s">
        <v>40</v>
      </c>
      <c r="N244" s="2" t="s">
        <v>461</v>
      </c>
      <c r="O244" s="2" t="s">
        <v>136</v>
      </c>
      <c r="P244" s="2" t="s">
        <v>1748</v>
      </c>
      <c r="Q244" s="2" t="s">
        <v>412</v>
      </c>
      <c r="R244" s="2" t="s">
        <v>405</v>
      </c>
      <c r="S244" s="2" t="s">
        <v>35</v>
      </c>
      <c r="T244" s="153">
        <v>3.839</v>
      </c>
      <c r="U244" s="2" t="s">
        <v>1874</v>
      </c>
      <c r="V244" s="165">
        <v>5.0000000000000001E-3</v>
      </c>
      <c r="W244" s="167">
        <v>2.52E-2</v>
      </c>
      <c r="X244" s="4" t="s">
        <v>411</v>
      </c>
      <c r="Y244" s="4" t="s">
        <v>136</v>
      </c>
      <c r="Z244" s="153">
        <v>43483.83</v>
      </c>
      <c r="AA244" s="153">
        <v>1</v>
      </c>
      <c r="AB244" s="153">
        <v>103.12</v>
      </c>
      <c r="AC244" s="11"/>
      <c r="AD244" s="153">
        <v>44.841000000000001</v>
      </c>
      <c r="AG244" s="2" t="s">
        <v>37</v>
      </c>
      <c r="AH244" s="167">
        <v>2.4000000000000001E-5</v>
      </c>
      <c r="AI244" s="167">
        <v>7.0407862877485397E-3</v>
      </c>
      <c r="AJ244" s="167">
        <v>1.4526846825172299E-3</v>
      </c>
      <c r="AK244" s="161"/>
      <c r="AL244" s="153"/>
    </row>
    <row r="245" spans="1:38">
      <c r="A245" s="2" t="s">
        <v>26</v>
      </c>
      <c r="B245" s="2">
        <v>9962</v>
      </c>
      <c r="C245" s="2" t="s">
        <v>1458</v>
      </c>
      <c r="D245" s="2" t="s">
        <v>1459</v>
      </c>
      <c r="E245" s="4" t="s">
        <v>1305</v>
      </c>
      <c r="F245" s="2" t="s">
        <v>1875</v>
      </c>
      <c r="G245" s="2" t="s">
        <v>1876</v>
      </c>
      <c r="H245" s="2" t="s">
        <v>319</v>
      </c>
      <c r="I245" s="2" t="s">
        <v>754</v>
      </c>
      <c r="J245" s="2" t="s">
        <v>31</v>
      </c>
      <c r="K245" s="2" t="s">
        <v>31</v>
      </c>
      <c r="L245" s="2" t="s">
        <v>325</v>
      </c>
      <c r="M245" s="2" t="s">
        <v>40</v>
      </c>
      <c r="N245" s="2" t="s">
        <v>461</v>
      </c>
      <c r="O245" s="2" t="s">
        <v>136</v>
      </c>
      <c r="P245" s="2" t="s">
        <v>1748</v>
      </c>
      <c r="Q245" s="2" t="s">
        <v>412</v>
      </c>
      <c r="R245" s="2" t="s">
        <v>405</v>
      </c>
      <c r="S245" s="2" t="s">
        <v>35</v>
      </c>
      <c r="T245" s="153">
        <v>1.466</v>
      </c>
      <c r="U245" s="2" t="s">
        <v>1846</v>
      </c>
      <c r="V245" s="165">
        <v>4.7500000000000001E-2</v>
      </c>
      <c r="W245" s="167">
        <v>1.567E-2</v>
      </c>
      <c r="X245" s="4" t="s">
        <v>411</v>
      </c>
      <c r="Y245" s="4" t="s">
        <v>136</v>
      </c>
      <c r="Z245" s="153">
        <v>54719.02</v>
      </c>
      <c r="AA245" s="153">
        <v>1</v>
      </c>
      <c r="AB245" s="153">
        <v>141.47999999999999</v>
      </c>
      <c r="AC245" s="11"/>
      <c r="AD245" s="153">
        <v>77.415999999999997</v>
      </c>
      <c r="AG245" s="2" t="s">
        <v>37</v>
      </c>
      <c r="AH245" s="167">
        <v>4.1999999999999998E-5</v>
      </c>
      <c r="AI245" s="167">
        <v>1.21558079626423E-2</v>
      </c>
      <c r="AJ245" s="167">
        <v>2.5080374988342602E-3</v>
      </c>
      <c r="AK245" s="161"/>
      <c r="AL245" s="153"/>
    </row>
    <row r="246" spans="1:38">
      <c r="A246" s="2" t="s">
        <v>26</v>
      </c>
      <c r="B246" s="2">
        <v>9962</v>
      </c>
      <c r="C246" s="2" t="s">
        <v>1877</v>
      </c>
      <c r="D246" s="2" t="s">
        <v>1878</v>
      </c>
      <c r="E246" s="4" t="s">
        <v>1305</v>
      </c>
      <c r="F246" s="2" t="s">
        <v>1879</v>
      </c>
      <c r="G246" s="2" t="s">
        <v>1880</v>
      </c>
      <c r="H246" s="2" t="s">
        <v>319</v>
      </c>
      <c r="I246" s="2" t="s">
        <v>966</v>
      </c>
      <c r="J246" s="2" t="s">
        <v>31</v>
      </c>
      <c r="K246" s="2" t="s">
        <v>31</v>
      </c>
      <c r="L246" s="23" t="s">
        <v>327</v>
      </c>
      <c r="M246" s="2" t="s">
        <v>40</v>
      </c>
      <c r="N246" s="2" t="s">
        <v>444</v>
      </c>
      <c r="O246" s="2" t="s">
        <v>136</v>
      </c>
      <c r="P246" s="2" t="s">
        <v>1752</v>
      </c>
      <c r="Q246" s="23" t="s">
        <v>1752</v>
      </c>
      <c r="R246" s="23" t="s">
        <v>1752</v>
      </c>
      <c r="S246" s="2" t="s">
        <v>35</v>
      </c>
      <c r="T246" s="153">
        <v>1.61</v>
      </c>
      <c r="U246" s="2" t="s">
        <v>1822</v>
      </c>
      <c r="V246" s="165">
        <v>6.25E-2</v>
      </c>
      <c r="W246" s="167">
        <v>6.4699999999999994E-2</v>
      </c>
      <c r="X246" s="4" t="s">
        <v>411</v>
      </c>
      <c r="Y246" s="4" t="s">
        <v>136</v>
      </c>
      <c r="Z246" s="153">
        <v>11943</v>
      </c>
      <c r="AA246" s="153">
        <v>1</v>
      </c>
      <c r="AB246" s="153">
        <v>100.23</v>
      </c>
      <c r="AC246" s="11"/>
      <c r="AD246" s="153">
        <v>11.97</v>
      </c>
      <c r="AG246" s="2" t="s">
        <v>37</v>
      </c>
      <c r="AH246" s="167">
        <v>0</v>
      </c>
      <c r="AI246" s="167">
        <v>1.8795835320118801E-3</v>
      </c>
      <c r="AJ246" s="167">
        <v>3.8780359108704198E-4</v>
      </c>
      <c r="AK246" s="161"/>
      <c r="AL246" s="153"/>
    </row>
    <row r="247" spans="1:38">
      <c r="A247" s="2" t="s">
        <v>26</v>
      </c>
      <c r="B247" s="2">
        <v>9962</v>
      </c>
      <c r="C247" s="2" t="s">
        <v>1877</v>
      </c>
      <c r="D247" s="2" t="s">
        <v>1878</v>
      </c>
      <c r="E247" s="4" t="s">
        <v>1305</v>
      </c>
      <c r="F247" s="2" t="s">
        <v>1881</v>
      </c>
      <c r="G247" s="2" t="s">
        <v>1882</v>
      </c>
      <c r="H247" s="2" t="s">
        <v>319</v>
      </c>
      <c r="I247" s="2" t="s">
        <v>966</v>
      </c>
      <c r="J247" s="2" t="s">
        <v>31</v>
      </c>
      <c r="K247" s="2" t="s">
        <v>31</v>
      </c>
      <c r="L247" s="2" t="s">
        <v>325</v>
      </c>
      <c r="M247" s="2" t="s">
        <v>40</v>
      </c>
      <c r="N247" s="2" t="s">
        <v>444</v>
      </c>
      <c r="O247" s="2" t="s">
        <v>136</v>
      </c>
      <c r="P247" s="2" t="s">
        <v>1752</v>
      </c>
      <c r="Q247" s="23" t="s">
        <v>1752</v>
      </c>
      <c r="R247" s="23" t="s">
        <v>1752</v>
      </c>
      <c r="S247" s="2" t="s">
        <v>35</v>
      </c>
      <c r="T247" s="153">
        <v>2.0339999999999998</v>
      </c>
      <c r="U247" s="2" t="s">
        <v>1788</v>
      </c>
      <c r="V247" s="165">
        <v>3.8699999999999998E-2</v>
      </c>
      <c r="W247" s="167">
        <v>5.9580000000000001E-2</v>
      </c>
      <c r="X247" s="4" t="s">
        <v>411</v>
      </c>
      <c r="Y247" s="4" t="s">
        <v>136</v>
      </c>
      <c r="Z247" s="153">
        <v>7692.31</v>
      </c>
      <c r="AA247" s="153">
        <v>1</v>
      </c>
      <c r="AB247" s="153">
        <v>97.05</v>
      </c>
      <c r="AC247" s="11"/>
      <c r="AD247" s="153">
        <v>7.4649999999999999</v>
      </c>
      <c r="AG247" s="2" t="s">
        <v>37</v>
      </c>
      <c r="AH247" s="167">
        <v>2.4000000000000001E-5</v>
      </c>
      <c r="AI247" s="167">
        <v>1.1722028861171801E-3</v>
      </c>
      <c r="AJ247" s="167">
        <v>2.41853836755133E-4</v>
      </c>
      <c r="AK247" s="161"/>
      <c r="AL247" s="153"/>
    </row>
    <row r="248" spans="1:38">
      <c r="A248" s="2" t="s">
        <v>26</v>
      </c>
      <c r="B248" s="2">
        <v>9962</v>
      </c>
      <c r="C248" s="2" t="s">
        <v>1877</v>
      </c>
      <c r="D248" s="2" t="s">
        <v>1878</v>
      </c>
      <c r="E248" s="4" t="s">
        <v>1305</v>
      </c>
      <c r="F248" s="2" t="s">
        <v>1883</v>
      </c>
      <c r="G248" s="2" t="s">
        <v>1882</v>
      </c>
      <c r="H248" s="2" t="s">
        <v>319</v>
      </c>
      <c r="I248" s="2" t="s">
        <v>966</v>
      </c>
      <c r="J248" s="2" t="s">
        <v>31</v>
      </c>
      <c r="K248" s="2" t="s">
        <v>31</v>
      </c>
      <c r="L248" s="23" t="s">
        <v>327</v>
      </c>
      <c r="M248" s="2" t="s">
        <v>40</v>
      </c>
      <c r="N248" s="2" t="s">
        <v>444</v>
      </c>
      <c r="O248" s="2" t="s">
        <v>136</v>
      </c>
      <c r="P248" s="2" t="s">
        <v>1752</v>
      </c>
      <c r="Q248" s="23" t="s">
        <v>1752</v>
      </c>
      <c r="R248" s="23" t="s">
        <v>1752</v>
      </c>
      <c r="S248" s="2" t="s">
        <v>35</v>
      </c>
      <c r="T248" s="153">
        <v>2.2799999999999998</v>
      </c>
      <c r="U248" s="2" t="s">
        <v>1788</v>
      </c>
      <c r="V248" s="165">
        <v>3.8699999999999998E-2</v>
      </c>
      <c r="W248" s="167">
        <v>5.8299999999999998E-2</v>
      </c>
      <c r="X248" s="4" t="s">
        <v>411</v>
      </c>
      <c r="Y248" s="4" t="s">
        <v>136</v>
      </c>
      <c r="Z248" s="153">
        <v>17000</v>
      </c>
      <c r="AA248" s="153">
        <v>1</v>
      </c>
      <c r="AB248" s="153">
        <v>96.995000000000005</v>
      </c>
      <c r="AC248" s="11"/>
      <c r="AD248" s="153">
        <v>16.489000000000001</v>
      </c>
      <c r="AG248" s="2" t="s">
        <v>37</v>
      </c>
      <c r="AH248" s="167">
        <v>5.1999999999999997E-5</v>
      </c>
      <c r="AI248" s="167">
        <v>2.5891101566250102E-3</v>
      </c>
      <c r="AJ248" s="167">
        <v>5.34196112786952E-4</v>
      </c>
      <c r="AK248" s="161"/>
      <c r="AL248" s="153"/>
    </row>
    <row r="249" spans="1:38">
      <c r="A249" s="2" t="s">
        <v>26</v>
      </c>
      <c r="B249" s="2">
        <v>9962</v>
      </c>
      <c r="C249" s="2" t="s">
        <v>1877</v>
      </c>
      <c r="D249" s="2" t="s">
        <v>1878</v>
      </c>
      <c r="E249" s="4" t="s">
        <v>1305</v>
      </c>
      <c r="F249" s="2" t="s">
        <v>1884</v>
      </c>
      <c r="G249" s="2" t="s">
        <v>1885</v>
      </c>
      <c r="H249" s="2" t="s">
        <v>319</v>
      </c>
      <c r="I249" s="2" t="s">
        <v>966</v>
      </c>
      <c r="J249" s="2" t="s">
        <v>31</v>
      </c>
      <c r="K249" s="2" t="s">
        <v>31</v>
      </c>
      <c r="L249" s="23" t="s">
        <v>327</v>
      </c>
      <c r="M249" s="2" t="s">
        <v>40</v>
      </c>
      <c r="N249" s="2" t="s">
        <v>444</v>
      </c>
      <c r="O249" s="2" t="s">
        <v>136</v>
      </c>
      <c r="P249" s="2" t="s">
        <v>1752</v>
      </c>
      <c r="Q249" s="23" t="s">
        <v>1752</v>
      </c>
      <c r="R249" s="23" t="s">
        <v>1752</v>
      </c>
      <c r="S249" s="2" t="s">
        <v>35</v>
      </c>
      <c r="T249" s="153">
        <v>2.12</v>
      </c>
      <c r="U249" s="2" t="s">
        <v>1822</v>
      </c>
      <c r="V249" s="165">
        <v>4.19E-2</v>
      </c>
      <c r="W249" s="167">
        <v>7.4999999999999997E-2</v>
      </c>
      <c r="X249" s="4" t="s">
        <v>411</v>
      </c>
      <c r="Y249" s="4" t="s">
        <v>136</v>
      </c>
      <c r="Z249" s="153">
        <v>17574</v>
      </c>
      <c r="AA249" s="153">
        <v>1</v>
      </c>
      <c r="AB249" s="153">
        <v>92.72</v>
      </c>
      <c r="AC249" s="11"/>
      <c r="AD249" s="153">
        <v>16.295000000000002</v>
      </c>
      <c r="AG249" s="2" t="s">
        <v>37</v>
      </c>
      <c r="AH249" s="167">
        <v>0</v>
      </c>
      <c r="AI249" s="167">
        <v>2.5585535650478899E-3</v>
      </c>
      <c r="AJ249" s="167">
        <v>5.2789154810910395E-4</v>
      </c>
      <c r="AK249" s="161"/>
      <c r="AL249" s="153"/>
    </row>
    <row r="250" spans="1:38">
      <c r="A250" s="2" t="s">
        <v>26</v>
      </c>
      <c r="B250" s="2">
        <v>9962</v>
      </c>
      <c r="C250" s="2" t="s">
        <v>1886</v>
      </c>
      <c r="D250" s="2" t="s">
        <v>1887</v>
      </c>
      <c r="E250" s="4" t="s">
        <v>34</v>
      </c>
      <c r="F250" s="2" t="s">
        <v>1888</v>
      </c>
      <c r="G250" s="2" t="s">
        <v>1889</v>
      </c>
      <c r="H250" s="2" t="s">
        <v>319</v>
      </c>
      <c r="I250" s="2" t="s">
        <v>966</v>
      </c>
      <c r="J250" s="2" t="s">
        <v>31</v>
      </c>
      <c r="K250" s="2" t="s">
        <v>74</v>
      </c>
      <c r="L250" s="2" t="s">
        <v>325</v>
      </c>
      <c r="M250" s="2" t="s">
        <v>40</v>
      </c>
      <c r="N250" s="2" t="s">
        <v>462</v>
      </c>
      <c r="O250" s="2" t="s">
        <v>136</v>
      </c>
      <c r="P250" s="2" t="s">
        <v>1890</v>
      </c>
      <c r="Q250" s="2" t="s">
        <v>412</v>
      </c>
      <c r="R250" s="2" t="s">
        <v>405</v>
      </c>
      <c r="S250" s="2" t="s">
        <v>35</v>
      </c>
      <c r="T250" s="153">
        <v>2.42</v>
      </c>
      <c r="U250" s="2" t="s">
        <v>1891</v>
      </c>
      <c r="V250" s="165">
        <v>7.1915999999999994E-2</v>
      </c>
      <c r="W250" s="167">
        <v>0.10178</v>
      </c>
      <c r="X250" s="4" t="s">
        <v>411</v>
      </c>
      <c r="Y250" s="4" t="s">
        <v>136</v>
      </c>
      <c r="Z250" s="153">
        <v>56000</v>
      </c>
      <c r="AA250" s="153">
        <v>1</v>
      </c>
      <c r="AB250" s="153">
        <v>111.01</v>
      </c>
      <c r="AC250" s="11"/>
      <c r="AD250" s="153">
        <v>62.165999999999997</v>
      </c>
      <c r="AG250" s="2" t="s">
        <v>37</v>
      </c>
      <c r="AH250" s="167">
        <v>3.86E-4</v>
      </c>
      <c r="AI250" s="167">
        <v>9.7611412713864195E-3</v>
      </c>
      <c r="AJ250" s="167">
        <v>2.0139597808136499E-3</v>
      </c>
      <c r="AK250" s="161"/>
      <c r="AL250" s="153"/>
    </row>
    <row r="251" spans="1:38">
      <c r="A251" s="2" t="s">
        <v>26</v>
      </c>
      <c r="B251" s="2">
        <v>9962</v>
      </c>
      <c r="C251" s="2" t="s">
        <v>1898</v>
      </c>
      <c r="D251" s="2" t="s">
        <v>1899</v>
      </c>
      <c r="E251" s="4" t="s">
        <v>1305</v>
      </c>
      <c r="F251" s="2" t="s">
        <v>1900</v>
      </c>
      <c r="G251" s="2" t="s">
        <v>1901</v>
      </c>
      <c r="H251" s="2" t="s">
        <v>319</v>
      </c>
      <c r="I251" s="2" t="s">
        <v>967</v>
      </c>
      <c r="J251" s="2" t="s">
        <v>31</v>
      </c>
      <c r="K251" s="2" t="s">
        <v>31</v>
      </c>
      <c r="L251" s="2" t="s">
        <v>325</v>
      </c>
      <c r="M251" s="2" t="s">
        <v>40</v>
      </c>
      <c r="N251" s="2" t="s">
        <v>444</v>
      </c>
      <c r="O251" s="2" t="s">
        <v>136</v>
      </c>
      <c r="P251" s="2" t="s">
        <v>1752</v>
      </c>
      <c r="Q251" s="23" t="s">
        <v>1752</v>
      </c>
      <c r="R251" s="23" t="s">
        <v>1752</v>
      </c>
      <c r="S251" s="2" t="s">
        <v>35</v>
      </c>
      <c r="T251" s="153">
        <v>3.9950000000000001</v>
      </c>
      <c r="U251" s="2" t="s">
        <v>1743</v>
      </c>
      <c r="V251" s="165">
        <v>7.0000000000000007E-2</v>
      </c>
      <c r="W251" s="167">
        <v>2.546E-2</v>
      </c>
      <c r="X251" s="4" t="s">
        <v>411</v>
      </c>
      <c r="Y251" s="4" t="s">
        <v>136</v>
      </c>
      <c r="Z251" s="153">
        <v>11000</v>
      </c>
      <c r="AA251" s="153">
        <v>1</v>
      </c>
      <c r="AB251" s="153">
        <v>118.9</v>
      </c>
      <c r="AC251" s="11"/>
      <c r="AD251" s="153">
        <v>13.079000000000001</v>
      </c>
      <c r="AG251" s="2" t="s">
        <v>37</v>
      </c>
      <c r="AH251" s="167">
        <v>0</v>
      </c>
      <c r="AI251" s="167">
        <v>2.0536432800208298E-3</v>
      </c>
      <c r="AJ251" s="167">
        <v>4.23716331431881E-4</v>
      </c>
      <c r="AK251" s="161"/>
      <c r="AL251" s="153"/>
    </row>
    <row r="252" spans="1:38">
      <c r="A252" s="2" t="s">
        <v>26</v>
      </c>
      <c r="B252" s="2">
        <v>9962</v>
      </c>
      <c r="C252" s="2" t="s">
        <v>1902</v>
      </c>
      <c r="D252" s="2" t="s">
        <v>1903</v>
      </c>
      <c r="E252" s="4" t="s">
        <v>34</v>
      </c>
      <c r="F252" s="2" t="s">
        <v>1904</v>
      </c>
      <c r="G252" s="2" t="s">
        <v>1905</v>
      </c>
      <c r="H252" s="2" t="s">
        <v>319</v>
      </c>
      <c r="I252" s="2" t="s">
        <v>966</v>
      </c>
      <c r="J252" s="2" t="s">
        <v>31</v>
      </c>
      <c r="K252" s="2" t="s">
        <v>74</v>
      </c>
      <c r="L252" s="2" t="s">
        <v>325</v>
      </c>
      <c r="M252" s="2" t="s">
        <v>40</v>
      </c>
      <c r="N252" s="2" t="s">
        <v>462</v>
      </c>
      <c r="O252" s="2" t="s">
        <v>136</v>
      </c>
      <c r="P252" s="2" t="s">
        <v>1724</v>
      </c>
      <c r="Q252" s="2" t="s">
        <v>412</v>
      </c>
      <c r="R252" s="2" t="s">
        <v>405</v>
      </c>
      <c r="S252" s="2" t="s">
        <v>35</v>
      </c>
      <c r="T252" s="153">
        <v>2.0030000000000001</v>
      </c>
      <c r="U252" s="2" t="s">
        <v>1753</v>
      </c>
      <c r="V252" s="165">
        <v>7.7499999999999999E-2</v>
      </c>
      <c r="W252" s="167">
        <v>7.9750000000000001E-2</v>
      </c>
      <c r="X252" s="4" t="s">
        <v>411</v>
      </c>
      <c r="Y252" s="4" t="s">
        <v>136</v>
      </c>
      <c r="Z252" s="153">
        <v>70000</v>
      </c>
      <c r="AA252" s="153">
        <v>1</v>
      </c>
      <c r="AB252" s="153">
        <v>101.82</v>
      </c>
      <c r="AC252" s="11"/>
      <c r="AD252" s="153">
        <v>71.274000000000001</v>
      </c>
      <c r="AG252" s="2" t="s">
        <v>37</v>
      </c>
      <c r="AH252" s="167">
        <v>1.7899999999999999E-4</v>
      </c>
      <c r="AI252" s="167">
        <v>1.1191327405780599E-2</v>
      </c>
      <c r="AJ252" s="167">
        <v>2.3090418079727698E-3</v>
      </c>
      <c r="AK252" s="161"/>
      <c r="AL252" s="153"/>
    </row>
    <row r="253" spans="1:38">
      <c r="A253" s="2" t="s">
        <v>26</v>
      </c>
      <c r="B253" s="2">
        <v>9962</v>
      </c>
      <c r="C253" s="2" t="s">
        <v>1902</v>
      </c>
      <c r="D253" s="2" t="s">
        <v>1903</v>
      </c>
      <c r="E253" s="4" t="s">
        <v>34</v>
      </c>
      <c r="F253" s="2" t="s">
        <v>1906</v>
      </c>
      <c r="G253" s="2" t="s">
        <v>1907</v>
      </c>
      <c r="H253" s="2" t="s">
        <v>319</v>
      </c>
      <c r="I253" s="2" t="s">
        <v>966</v>
      </c>
      <c r="J253" s="2" t="s">
        <v>31</v>
      </c>
      <c r="K253" s="2" t="s">
        <v>31</v>
      </c>
      <c r="L253" s="2" t="s">
        <v>325</v>
      </c>
      <c r="M253" s="2" t="s">
        <v>40</v>
      </c>
      <c r="N253" s="2" t="s">
        <v>462</v>
      </c>
      <c r="O253" s="2" t="s">
        <v>136</v>
      </c>
      <c r="P253" s="2" t="s">
        <v>1772</v>
      </c>
      <c r="Q253" s="2" t="s">
        <v>412</v>
      </c>
      <c r="R253" s="2" t="s">
        <v>405</v>
      </c>
      <c r="S253" s="2" t="s">
        <v>35</v>
      </c>
      <c r="T253" s="153">
        <v>2.4140000000000001</v>
      </c>
      <c r="U253" s="2" t="s">
        <v>1908</v>
      </c>
      <c r="V253" s="165">
        <v>6.8000000000000005E-2</v>
      </c>
      <c r="W253" s="167">
        <v>6.3850000000000004E-2</v>
      </c>
      <c r="X253" s="4" t="s">
        <v>411</v>
      </c>
      <c r="Y253" s="4" t="s">
        <v>136</v>
      </c>
      <c r="Z253" s="153">
        <v>31520</v>
      </c>
      <c r="AA253" s="153">
        <v>1</v>
      </c>
      <c r="AB253" s="153">
        <v>102.93</v>
      </c>
      <c r="AC253" s="11"/>
      <c r="AD253" s="153">
        <v>32.444000000000003</v>
      </c>
      <c r="AG253" s="2" t="s">
        <v>37</v>
      </c>
      <c r="AH253" s="167">
        <v>1.01E-4</v>
      </c>
      <c r="AI253" s="167">
        <v>5.0942311863685199E-3</v>
      </c>
      <c r="AJ253" s="167">
        <v>1.0510632351554501E-3</v>
      </c>
      <c r="AK253" s="161"/>
      <c r="AL253" s="153"/>
    </row>
    <row r="254" spans="1:38">
      <c r="A254" s="2" t="s">
        <v>26</v>
      </c>
      <c r="B254" s="2">
        <v>9962</v>
      </c>
      <c r="C254" s="2" t="s">
        <v>1902</v>
      </c>
      <c r="D254" s="2" t="s">
        <v>1903</v>
      </c>
      <c r="E254" s="4" t="s">
        <v>34</v>
      </c>
      <c r="F254" s="2" t="s">
        <v>2321</v>
      </c>
      <c r="G254" s="2" t="s">
        <v>2322</v>
      </c>
      <c r="H254" s="2" t="s">
        <v>319</v>
      </c>
      <c r="I254" s="2" t="s">
        <v>966</v>
      </c>
      <c r="J254" s="2" t="s">
        <v>31</v>
      </c>
      <c r="K254" s="2" t="s">
        <v>74</v>
      </c>
      <c r="L254" s="2" t="s">
        <v>325</v>
      </c>
      <c r="M254" s="2" t="s">
        <v>40</v>
      </c>
      <c r="N254" s="2" t="s">
        <v>462</v>
      </c>
      <c r="O254" s="2" t="s">
        <v>136</v>
      </c>
      <c r="P254" s="2" t="s">
        <v>1724</v>
      </c>
      <c r="Q254" s="2" t="s">
        <v>412</v>
      </c>
      <c r="R254" s="2" t="s">
        <v>405</v>
      </c>
      <c r="S254" s="2" t="s">
        <v>35</v>
      </c>
      <c r="T254" s="153">
        <v>1.0529999999999999</v>
      </c>
      <c r="U254" s="2" t="s">
        <v>2323</v>
      </c>
      <c r="V254" s="165">
        <v>7.3999999999999996E-2</v>
      </c>
      <c r="W254" s="167">
        <v>6.1710000000000001E-2</v>
      </c>
      <c r="X254" s="4" t="s">
        <v>411</v>
      </c>
      <c r="Y254" s="4" t="s">
        <v>136</v>
      </c>
      <c r="Z254" s="153">
        <v>37500</v>
      </c>
      <c r="AA254" s="153">
        <v>1</v>
      </c>
      <c r="AB254" s="153">
        <v>104.2</v>
      </c>
      <c r="AC254" s="11"/>
      <c r="AD254" s="153">
        <v>39.075000000000003</v>
      </c>
      <c r="AG254" s="2" t="s">
        <v>37</v>
      </c>
      <c r="AH254" s="167">
        <v>8.1000000000000004E-5</v>
      </c>
      <c r="AI254" s="167">
        <v>6.1354928638897403E-3</v>
      </c>
      <c r="AJ254" s="167">
        <v>1.26590073023173E-3</v>
      </c>
      <c r="AK254" s="161"/>
      <c r="AL254" s="153"/>
    </row>
    <row r="255" spans="1:38">
      <c r="A255" s="2" t="s">
        <v>26</v>
      </c>
      <c r="B255" s="2">
        <v>9962</v>
      </c>
      <c r="C255" s="2" t="s">
        <v>1909</v>
      </c>
      <c r="D255" s="2" t="s">
        <v>1910</v>
      </c>
      <c r="E255" s="4" t="s">
        <v>1305</v>
      </c>
      <c r="F255" s="2" t="s">
        <v>1911</v>
      </c>
      <c r="G255" s="2" t="s">
        <v>1912</v>
      </c>
      <c r="H255" s="2" t="s">
        <v>319</v>
      </c>
      <c r="I255" s="2" t="s">
        <v>754</v>
      </c>
      <c r="J255" s="2" t="s">
        <v>31</v>
      </c>
      <c r="K255" s="2" t="s">
        <v>31</v>
      </c>
      <c r="L255" s="2" t="s">
        <v>325</v>
      </c>
      <c r="M255" s="2" t="s">
        <v>40</v>
      </c>
      <c r="N255" s="2" t="s">
        <v>445</v>
      </c>
      <c r="O255" s="2" t="s">
        <v>136</v>
      </c>
      <c r="P255" s="2" t="s">
        <v>76</v>
      </c>
      <c r="Q255" s="2" t="s">
        <v>104</v>
      </c>
      <c r="R255" s="2" t="s">
        <v>405</v>
      </c>
      <c r="S255" s="2" t="s">
        <v>35</v>
      </c>
      <c r="T255" s="153">
        <v>4.2549999999999999</v>
      </c>
      <c r="U255" s="2" t="s">
        <v>1913</v>
      </c>
      <c r="V255" s="165">
        <v>2E-3</v>
      </c>
      <c r="W255" s="167">
        <v>1.9359999999999999E-2</v>
      </c>
      <c r="X255" s="4" t="s">
        <v>411</v>
      </c>
      <c r="Y255" s="4" t="s">
        <v>136</v>
      </c>
      <c r="Z255" s="153">
        <v>42943.44</v>
      </c>
      <c r="AA255" s="153">
        <v>1</v>
      </c>
      <c r="AB255" s="153">
        <v>101.27</v>
      </c>
      <c r="AC255" s="11"/>
      <c r="AD255" s="153">
        <v>43.488999999999997</v>
      </c>
      <c r="AG255" s="2" t="s">
        <v>37</v>
      </c>
      <c r="AH255" s="167">
        <v>1.0000000000000001E-5</v>
      </c>
      <c r="AI255" s="167">
        <v>6.8285439571515701E-3</v>
      </c>
      <c r="AJ255" s="167">
        <v>1.40889395090868E-3</v>
      </c>
      <c r="AK255" s="161"/>
      <c r="AL255" s="153"/>
    </row>
    <row r="256" spans="1:38">
      <c r="A256" s="2" t="s">
        <v>26</v>
      </c>
      <c r="B256" s="2">
        <v>9962</v>
      </c>
      <c r="C256" s="2" t="s">
        <v>1909</v>
      </c>
      <c r="D256" s="2" t="s">
        <v>1910</v>
      </c>
      <c r="E256" s="4" t="s">
        <v>1305</v>
      </c>
      <c r="F256" s="2" t="s">
        <v>2336</v>
      </c>
      <c r="G256" s="2" t="s">
        <v>2337</v>
      </c>
      <c r="H256" s="2" t="s">
        <v>319</v>
      </c>
      <c r="I256" s="2" t="s">
        <v>966</v>
      </c>
      <c r="J256" s="2" t="s">
        <v>31</v>
      </c>
      <c r="K256" s="2" t="s">
        <v>31</v>
      </c>
      <c r="L256" s="2" t="s">
        <v>325</v>
      </c>
      <c r="M256" s="2" t="s">
        <v>40</v>
      </c>
      <c r="N256" s="2" t="s">
        <v>445</v>
      </c>
      <c r="O256" s="2" t="s">
        <v>136</v>
      </c>
      <c r="P256" s="2" t="s">
        <v>76</v>
      </c>
      <c r="Q256" s="2" t="s">
        <v>104</v>
      </c>
      <c r="R256" s="2" t="s">
        <v>405</v>
      </c>
      <c r="S256" s="2" t="s">
        <v>35</v>
      </c>
      <c r="T256" s="153">
        <v>0.67900000000000005</v>
      </c>
      <c r="U256" s="2" t="s">
        <v>2338</v>
      </c>
      <c r="V256" s="165">
        <v>1.8700000000000001E-2</v>
      </c>
      <c r="W256" s="167">
        <v>4.36E-2</v>
      </c>
      <c r="X256" s="4" t="s">
        <v>411</v>
      </c>
      <c r="Y256" s="4" t="s">
        <v>136</v>
      </c>
      <c r="Z256" s="153">
        <v>16716.93</v>
      </c>
      <c r="AA256" s="153">
        <v>1</v>
      </c>
      <c r="AB256" s="153">
        <v>98.97</v>
      </c>
      <c r="AC256" s="11"/>
      <c r="AD256" s="153">
        <v>16.545000000000002</v>
      </c>
      <c r="AG256" s="2" t="s">
        <v>37</v>
      </c>
      <c r="AH256" s="167">
        <v>6.0000000000000002E-5</v>
      </c>
      <c r="AI256" s="167">
        <v>2.5978290132441899E-3</v>
      </c>
      <c r="AJ256" s="167">
        <v>5.3599502400824195E-4</v>
      </c>
      <c r="AK256" s="161"/>
      <c r="AL256" s="153"/>
    </row>
    <row r="257" spans="1:38">
      <c r="A257" s="2" t="s">
        <v>26</v>
      </c>
      <c r="B257" s="2">
        <v>9962</v>
      </c>
      <c r="C257" s="2" t="s">
        <v>1909</v>
      </c>
      <c r="D257" s="2" t="s">
        <v>1910</v>
      </c>
      <c r="E257" s="4" t="s">
        <v>1305</v>
      </c>
      <c r="F257" s="2" t="s">
        <v>1914</v>
      </c>
      <c r="G257" s="2" t="s">
        <v>1915</v>
      </c>
      <c r="H257" s="2" t="s">
        <v>319</v>
      </c>
      <c r="I257" s="2" t="s">
        <v>966</v>
      </c>
      <c r="J257" s="2" t="s">
        <v>31</v>
      </c>
      <c r="K257" s="2" t="s">
        <v>31</v>
      </c>
      <c r="L257" s="2" t="s">
        <v>325</v>
      </c>
      <c r="M257" s="2" t="s">
        <v>40</v>
      </c>
      <c r="N257" s="2" t="s">
        <v>445</v>
      </c>
      <c r="O257" s="2" t="s">
        <v>136</v>
      </c>
      <c r="P257" s="2" t="s">
        <v>76</v>
      </c>
      <c r="Q257" s="2" t="s">
        <v>104</v>
      </c>
      <c r="R257" s="2" t="s">
        <v>405</v>
      </c>
      <c r="S257" s="2" t="s">
        <v>35</v>
      </c>
      <c r="T257" s="153">
        <v>3.411</v>
      </c>
      <c r="U257" s="2" t="s">
        <v>1916</v>
      </c>
      <c r="V257" s="165">
        <v>2.6800000000000001E-2</v>
      </c>
      <c r="W257" s="167">
        <v>4.4720000000000003E-2</v>
      </c>
      <c r="X257" s="4" t="s">
        <v>411</v>
      </c>
      <c r="Y257" s="4" t="s">
        <v>136</v>
      </c>
      <c r="Z257" s="153">
        <v>114918.96</v>
      </c>
      <c r="AA257" s="153">
        <v>1</v>
      </c>
      <c r="AB257" s="153">
        <v>95.02</v>
      </c>
      <c r="AC257" s="11"/>
      <c r="AD257" s="153">
        <v>109.196</v>
      </c>
      <c r="AG257" s="2" t="s">
        <v>37</v>
      </c>
      <c r="AH257" s="167">
        <v>5.0000000000000002E-5</v>
      </c>
      <c r="AI257" s="167">
        <v>1.7145777426670498E-2</v>
      </c>
      <c r="AJ257" s="167">
        <v>3.5375890162885099E-3</v>
      </c>
      <c r="AK257" s="161"/>
      <c r="AL257" s="153"/>
    </row>
    <row r="258" spans="1:38">
      <c r="A258" s="2" t="s">
        <v>26</v>
      </c>
      <c r="B258" s="2">
        <v>9962</v>
      </c>
      <c r="C258" s="2" t="s">
        <v>1909</v>
      </c>
      <c r="D258" s="2" t="s">
        <v>1910</v>
      </c>
      <c r="E258" s="4" t="s">
        <v>1305</v>
      </c>
      <c r="F258" s="2" t="s">
        <v>2339</v>
      </c>
      <c r="G258" s="2" t="s">
        <v>2340</v>
      </c>
      <c r="H258" s="2" t="s">
        <v>319</v>
      </c>
      <c r="I258" s="2" t="s">
        <v>754</v>
      </c>
      <c r="J258" s="2" t="s">
        <v>31</v>
      </c>
      <c r="K258" s="2" t="s">
        <v>31</v>
      </c>
      <c r="L258" s="2" t="s">
        <v>325</v>
      </c>
      <c r="M258" s="2" t="s">
        <v>40</v>
      </c>
      <c r="N258" s="2" t="s">
        <v>445</v>
      </c>
      <c r="O258" s="2" t="s">
        <v>136</v>
      </c>
      <c r="P258" s="2" t="s">
        <v>1867</v>
      </c>
      <c r="Q258" s="2" t="s">
        <v>104</v>
      </c>
      <c r="R258" s="2" t="s">
        <v>405</v>
      </c>
      <c r="S258" s="2" t="s">
        <v>35</v>
      </c>
      <c r="T258" s="153">
        <v>3.5739999999999998</v>
      </c>
      <c r="U258" s="2" t="s">
        <v>2341</v>
      </c>
      <c r="V258" s="165">
        <v>2E-3</v>
      </c>
      <c r="W258" s="167">
        <v>2.6440000000000002E-2</v>
      </c>
      <c r="X258" s="4" t="s">
        <v>411</v>
      </c>
      <c r="Y258" s="4" t="s">
        <v>136</v>
      </c>
      <c r="Z258" s="153">
        <v>50000</v>
      </c>
      <c r="AA258" s="153">
        <v>1</v>
      </c>
      <c r="AB258" s="153">
        <v>99.7</v>
      </c>
      <c r="AC258" s="11"/>
      <c r="AD258" s="153">
        <v>49.85</v>
      </c>
      <c r="AG258" s="2" t="s">
        <v>37</v>
      </c>
      <c r="AH258" s="167">
        <v>8.7000000000000001E-5</v>
      </c>
      <c r="AI258" s="167">
        <v>7.8273658161203807E-3</v>
      </c>
      <c r="AJ258" s="167">
        <v>1.6149750838656801E-3</v>
      </c>
      <c r="AK258" s="161"/>
      <c r="AL258" s="153"/>
    </row>
    <row r="259" spans="1:38">
      <c r="A259" s="2" t="s">
        <v>26</v>
      </c>
      <c r="B259" s="2">
        <v>9962</v>
      </c>
      <c r="C259" s="2" t="s">
        <v>1917</v>
      </c>
      <c r="D259" s="2" t="s">
        <v>1918</v>
      </c>
      <c r="E259" s="4" t="s">
        <v>1305</v>
      </c>
      <c r="F259" s="2" t="s">
        <v>1919</v>
      </c>
      <c r="G259" s="2" t="s">
        <v>1920</v>
      </c>
      <c r="H259" s="2" t="s">
        <v>319</v>
      </c>
      <c r="I259" s="2" t="s">
        <v>754</v>
      </c>
      <c r="J259" s="2" t="s">
        <v>31</v>
      </c>
      <c r="K259" s="2" t="s">
        <v>31</v>
      </c>
      <c r="L259" s="2" t="s">
        <v>325</v>
      </c>
      <c r="M259" s="2" t="s">
        <v>40</v>
      </c>
      <c r="N259" s="2" t="s">
        <v>437</v>
      </c>
      <c r="O259" s="2" t="s">
        <v>136</v>
      </c>
      <c r="P259" s="2" t="s">
        <v>1720</v>
      </c>
      <c r="Q259" s="2" t="s">
        <v>104</v>
      </c>
      <c r="R259" s="2" t="s">
        <v>405</v>
      </c>
      <c r="S259" s="2" t="s">
        <v>35</v>
      </c>
      <c r="T259" s="153">
        <v>3.9649999999999999</v>
      </c>
      <c r="U259" s="2" t="s">
        <v>1921</v>
      </c>
      <c r="V259" s="165">
        <v>1.7999999999999999E-2</v>
      </c>
      <c r="W259" s="167">
        <v>3.1009999999999999E-2</v>
      </c>
      <c r="X259" s="4" t="s">
        <v>411</v>
      </c>
      <c r="Y259" s="4" t="s">
        <v>136</v>
      </c>
      <c r="Z259" s="153">
        <v>26480.3</v>
      </c>
      <c r="AA259" s="153">
        <v>1</v>
      </c>
      <c r="AB259" s="153">
        <v>106.25</v>
      </c>
      <c r="AC259" s="11"/>
      <c r="AD259" s="153">
        <v>28.135000000000002</v>
      </c>
      <c r="AG259" s="2" t="s">
        <v>37</v>
      </c>
      <c r="AH259" s="167">
        <v>2.4000000000000001E-5</v>
      </c>
      <c r="AI259" s="167">
        <v>4.4177619299779498E-3</v>
      </c>
      <c r="AJ259" s="167">
        <v>9.1149124890409195E-4</v>
      </c>
      <c r="AK259" s="161"/>
      <c r="AL259" s="153"/>
    </row>
    <row r="260" spans="1:38">
      <c r="A260" s="2" t="s">
        <v>26</v>
      </c>
      <c r="B260" s="2">
        <v>9962</v>
      </c>
      <c r="C260" s="2" t="s">
        <v>1922</v>
      </c>
      <c r="D260" s="2" t="s">
        <v>1923</v>
      </c>
      <c r="E260" s="4" t="s">
        <v>1305</v>
      </c>
      <c r="F260" s="2" t="s">
        <v>1924</v>
      </c>
      <c r="G260" s="2" t="s">
        <v>1925</v>
      </c>
      <c r="H260" s="2" t="s">
        <v>319</v>
      </c>
      <c r="I260" s="2" t="s">
        <v>754</v>
      </c>
      <c r="J260" s="2" t="s">
        <v>31</v>
      </c>
      <c r="K260" s="2" t="s">
        <v>31</v>
      </c>
      <c r="L260" s="2" t="s">
        <v>325</v>
      </c>
      <c r="M260" s="2" t="s">
        <v>40</v>
      </c>
      <c r="N260" s="2" t="s">
        <v>461</v>
      </c>
      <c r="O260" s="2" t="s">
        <v>136</v>
      </c>
      <c r="P260" s="2" t="s">
        <v>1772</v>
      </c>
      <c r="Q260" s="2" t="s">
        <v>412</v>
      </c>
      <c r="R260" s="2" t="s">
        <v>405</v>
      </c>
      <c r="S260" s="2" t="s">
        <v>35</v>
      </c>
      <c r="T260" s="153">
        <v>3.665</v>
      </c>
      <c r="U260" s="2" t="s">
        <v>1926</v>
      </c>
      <c r="V260" s="165">
        <v>2.7E-2</v>
      </c>
      <c r="W260" s="167">
        <v>2.8670000000000001E-2</v>
      </c>
      <c r="X260" s="4" t="s">
        <v>411</v>
      </c>
      <c r="Y260" s="4" t="s">
        <v>136</v>
      </c>
      <c r="Z260" s="153">
        <v>19000</v>
      </c>
      <c r="AA260" s="153">
        <v>1</v>
      </c>
      <c r="AB260" s="153">
        <v>103.46</v>
      </c>
      <c r="AC260" s="11"/>
      <c r="AD260" s="153">
        <v>19.657</v>
      </c>
      <c r="AG260" s="2" t="s">
        <v>37</v>
      </c>
      <c r="AH260" s="167">
        <v>5.1E-5</v>
      </c>
      <c r="AI260" s="167">
        <v>3.0865729346801298E-3</v>
      </c>
      <c r="AJ260" s="167">
        <v>6.3683472845699695E-4</v>
      </c>
      <c r="AK260" s="161"/>
      <c r="AL260" s="153"/>
    </row>
    <row r="261" spans="1:38">
      <c r="A261" s="2" t="s">
        <v>26</v>
      </c>
      <c r="B261" s="2">
        <v>9962</v>
      </c>
      <c r="C261" s="2" t="s">
        <v>1922</v>
      </c>
      <c r="D261" s="2" t="s">
        <v>1923</v>
      </c>
      <c r="E261" s="4" t="s">
        <v>1305</v>
      </c>
      <c r="F261" s="2" t="s">
        <v>1927</v>
      </c>
      <c r="G261" s="2" t="s">
        <v>1928</v>
      </c>
      <c r="H261" s="2" t="s">
        <v>319</v>
      </c>
      <c r="I261" s="2" t="s">
        <v>754</v>
      </c>
      <c r="J261" s="2" t="s">
        <v>31</v>
      </c>
      <c r="K261" s="2" t="s">
        <v>31</v>
      </c>
      <c r="L261" s="2" t="s">
        <v>325</v>
      </c>
      <c r="M261" s="2" t="s">
        <v>40</v>
      </c>
      <c r="N261" s="2" t="s">
        <v>461</v>
      </c>
      <c r="O261" s="2" t="s">
        <v>136</v>
      </c>
      <c r="P261" s="2" t="s">
        <v>1772</v>
      </c>
      <c r="Q261" s="2" t="s">
        <v>412</v>
      </c>
      <c r="R261" s="2" t="s">
        <v>405</v>
      </c>
      <c r="S261" s="2" t="s">
        <v>35</v>
      </c>
      <c r="T261" s="153">
        <v>3.2709999999999999</v>
      </c>
      <c r="U261" s="2" t="s">
        <v>1849</v>
      </c>
      <c r="V261" s="165">
        <v>1.7999999999999999E-2</v>
      </c>
      <c r="W261" s="167">
        <v>2.4129999999999999E-2</v>
      </c>
      <c r="X261" s="4" t="s">
        <v>411</v>
      </c>
      <c r="Y261" s="4" t="s">
        <v>136</v>
      </c>
      <c r="Z261" s="153">
        <v>35555.56</v>
      </c>
      <c r="AA261" s="153">
        <v>1</v>
      </c>
      <c r="AB261" s="153">
        <v>110.59</v>
      </c>
      <c r="AC261" s="11"/>
      <c r="AD261" s="153">
        <v>39.320999999999998</v>
      </c>
      <c r="AG261" s="2" t="s">
        <v>37</v>
      </c>
      <c r="AH261" s="167">
        <v>4.1999999999999998E-5</v>
      </c>
      <c r="AI261" s="167">
        <v>6.1741027085402004E-3</v>
      </c>
      <c r="AJ261" s="167">
        <v>1.2738668760037799E-3</v>
      </c>
      <c r="AK261" s="161"/>
      <c r="AL261" s="153"/>
    </row>
    <row r="262" spans="1:38">
      <c r="A262" s="2" t="s">
        <v>26</v>
      </c>
      <c r="B262" s="2">
        <v>9962</v>
      </c>
      <c r="C262" s="2" t="s">
        <v>1360</v>
      </c>
      <c r="D262" s="2" t="s">
        <v>1361</v>
      </c>
      <c r="E262" s="4" t="s">
        <v>1305</v>
      </c>
      <c r="F262" s="2" t="s">
        <v>2342</v>
      </c>
      <c r="G262" s="2" t="s">
        <v>2343</v>
      </c>
      <c r="H262" s="2" t="s">
        <v>319</v>
      </c>
      <c r="I262" s="2" t="s">
        <v>754</v>
      </c>
      <c r="J262" s="2" t="s">
        <v>31</v>
      </c>
      <c r="K262" s="2" t="s">
        <v>31</v>
      </c>
      <c r="L262" s="2" t="s">
        <v>325</v>
      </c>
      <c r="M262" s="2" t="s">
        <v>40</v>
      </c>
      <c r="N262" s="2" t="s">
        <v>442</v>
      </c>
      <c r="O262" s="2" t="s">
        <v>136</v>
      </c>
      <c r="P262" s="2" t="s">
        <v>1984</v>
      </c>
      <c r="Q262" s="2" t="s">
        <v>104</v>
      </c>
      <c r="R262" s="2" t="s">
        <v>405</v>
      </c>
      <c r="S262" s="2" t="s">
        <v>35</v>
      </c>
      <c r="T262" s="153">
        <v>4.7969999999999997</v>
      </c>
      <c r="U262" s="2" t="s">
        <v>2344</v>
      </c>
      <c r="V262" s="165">
        <v>4.4000000000000003E-3</v>
      </c>
      <c r="W262" s="167">
        <v>2.2110000000000001E-2</v>
      </c>
      <c r="X262" s="4" t="s">
        <v>411</v>
      </c>
      <c r="Y262" s="4" t="s">
        <v>136</v>
      </c>
      <c r="Z262" s="153">
        <v>105416.67</v>
      </c>
      <c r="AA262" s="153">
        <v>1</v>
      </c>
      <c r="AB262" s="153">
        <v>102.43</v>
      </c>
      <c r="AC262" s="11"/>
      <c r="AD262" s="153">
        <v>107.97799999999999</v>
      </c>
      <c r="AG262" s="2" t="s">
        <v>37</v>
      </c>
      <c r="AH262" s="167">
        <v>1.3899999999999999E-4</v>
      </c>
      <c r="AI262" s="167">
        <v>1.6954576044131999E-2</v>
      </c>
      <c r="AJ262" s="167">
        <v>3.4981395417073499E-3</v>
      </c>
      <c r="AK262" s="161"/>
      <c r="AL262" s="153"/>
    </row>
    <row r="263" spans="1:38">
      <c r="A263" s="2" t="s">
        <v>26</v>
      </c>
      <c r="B263" s="2">
        <v>9962</v>
      </c>
      <c r="C263" s="2" t="s">
        <v>2345</v>
      </c>
      <c r="D263" s="2" t="s">
        <v>2346</v>
      </c>
      <c r="E263" s="4" t="s">
        <v>1305</v>
      </c>
      <c r="F263" s="2" t="s">
        <v>2347</v>
      </c>
      <c r="G263" s="2" t="s">
        <v>2348</v>
      </c>
      <c r="H263" s="2" t="s">
        <v>319</v>
      </c>
      <c r="I263" s="2" t="s">
        <v>966</v>
      </c>
      <c r="J263" s="2" t="s">
        <v>31</v>
      </c>
      <c r="K263" s="2" t="s">
        <v>31</v>
      </c>
      <c r="L263" s="2" t="s">
        <v>325</v>
      </c>
      <c r="M263" s="2" t="s">
        <v>40</v>
      </c>
      <c r="N263" s="2" t="s">
        <v>442</v>
      </c>
      <c r="O263" s="2" t="s">
        <v>136</v>
      </c>
      <c r="P263" s="2" t="s">
        <v>1867</v>
      </c>
      <c r="Q263" s="2" t="s">
        <v>104</v>
      </c>
      <c r="R263" s="2" t="s">
        <v>405</v>
      </c>
      <c r="S263" s="2" t="s">
        <v>35</v>
      </c>
      <c r="T263" s="153">
        <v>5.1349999999999998</v>
      </c>
      <c r="U263" s="2" t="s">
        <v>1926</v>
      </c>
      <c r="V263" s="165">
        <v>3.95E-2</v>
      </c>
      <c r="W263" s="167">
        <v>4.8919999999999998E-2</v>
      </c>
      <c r="X263" s="4" t="s">
        <v>411</v>
      </c>
      <c r="Y263" s="4" t="s">
        <v>136</v>
      </c>
      <c r="Z263" s="153">
        <v>20000</v>
      </c>
      <c r="AA263" s="153">
        <v>1</v>
      </c>
      <c r="AB263" s="153">
        <v>96.59</v>
      </c>
      <c r="AC263" s="11"/>
      <c r="AD263" s="153">
        <v>19.318000000000001</v>
      </c>
      <c r="AG263" s="2" t="s">
        <v>37</v>
      </c>
      <c r="AH263" s="167">
        <v>8.2999999999999998E-5</v>
      </c>
      <c r="AI263" s="167">
        <v>3.0332808994145101E-3</v>
      </c>
      <c r="AJ263" s="167">
        <v>6.2583929127617397E-4</v>
      </c>
      <c r="AK263" s="161"/>
      <c r="AL263" s="153"/>
    </row>
    <row r="264" spans="1:38">
      <c r="A264" s="2" t="s">
        <v>26</v>
      </c>
      <c r="B264" s="2">
        <v>9962</v>
      </c>
      <c r="C264" s="2" t="s">
        <v>1929</v>
      </c>
      <c r="D264" s="2" t="s">
        <v>1930</v>
      </c>
      <c r="E264" s="4" t="s">
        <v>1305</v>
      </c>
      <c r="F264" s="2" t="s">
        <v>1931</v>
      </c>
      <c r="G264" s="2" t="s">
        <v>1932</v>
      </c>
      <c r="H264" s="2" t="s">
        <v>319</v>
      </c>
      <c r="I264" s="2" t="s">
        <v>966</v>
      </c>
      <c r="J264" s="2" t="s">
        <v>31</v>
      </c>
      <c r="K264" s="2" t="s">
        <v>31</v>
      </c>
      <c r="L264" s="2" t="s">
        <v>325</v>
      </c>
      <c r="M264" s="2" t="s">
        <v>40</v>
      </c>
      <c r="N264" s="2" t="s">
        <v>444</v>
      </c>
      <c r="O264" s="2" t="s">
        <v>136</v>
      </c>
      <c r="P264" s="2" t="s">
        <v>1752</v>
      </c>
      <c r="Q264" s="23" t="s">
        <v>1752</v>
      </c>
      <c r="R264" s="23" t="s">
        <v>1752</v>
      </c>
      <c r="S264" s="2" t="s">
        <v>35</v>
      </c>
      <c r="T264" s="153">
        <v>0.73899999999999999</v>
      </c>
      <c r="U264" s="2" t="s">
        <v>1933</v>
      </c>
      <c r="V264" s="165">
        <v>4.8399999999999999E-2</v>
      </c>
      <c r="W264" s="167">
        <v>6.7040000000000002E-2</v>
      </c>
      <c r="X264" s="4" t="s">
        <v>411</v>
      </c>
      <c r="Y264" s="4" t="s">
        <v>136</v>
      </c>
      <c r="Z264" s="153">
        <v>7700</v>
      </c>
      <c r="AA264" s="153">
        <v>1</v>
      </c>
      <c r="AB264" s="153">
        <v>99.95</v>
      </c>
      <c r="AC264" s="11"/>
      <c r="AD264" s="153">
        <v>7.6959999999999997</v>
      </c>
      <c r="AG264" s="2" t="s">
        <v>37</v>
      </c>
      <c r="AH264" s="167">
        <v>1.2799999999999999E-4</v>
      </c>
      <c r="AI264" s="167">
        <v>1.2084369393327E-3</v>
      </c>
      <c r="AJ264" s="167">
        <v>2.4932979923155199E-4</v>
      </c>
      <c r="AK264" s="161"/>
      <c r="AL264" s="153"/>
    </row>
    <row r="265" spans="1:38">
      <c r="A265" s="2" t="s">
        <v>26</v>
      </c>
      <c r="B265" s="2">
        <v>9962</v>
      </c>
      <c r="C265" s="2" t="s">
        <v>1482</v>
      </c>
      <c r="D265" s="2" t="s">
        <v>1483</v>
      </c>
      <c r="E265" s="4" t="s">
        <v>1305</v>
      </c>
      <c r="F265" s="2" t="s">
        <v>1934</v>
      </c>
      <c r="G265" s="2" t="s">
        <v>1935</v>
      </c>
      <c r="H265" s="2" t="s">
        <v>319</v>
      </c>
      <c r="I265" s="2" t="s">
        <v>966</v>
      </c>
      <c r="J265" s="2" t="s">
        <v>31</v>
      </c>
      <c r="K265" s="2" t="s">
        <v>31</v>
      </c>
      <c r="L265" s="2" t="s">
        <v>325</v>
      </c>
      <c r="M265" s="2" t="s">
        <v>40</v>
      </c>
      <c r="N265" s="2" t="s">
        <v>461</v>
      </c>
      <c r="O265" s="2" t="s">
        <v>136</v>
      </c>
      <c r="P265" s="2" t="s">
        <v>1752</v>
      </c>
      <c r="Q265" s="23" t="s">
        <v>1752</v>
      </c>
      <c r="R265" s="23" t="s">
        <v>1752</v>
      </c>
      <c r="S265" s="2" t="s">
        <v>35</v>
      </c>
      <c r="T265" s="153">
        <v>2.0259999999999998</v>
      </c>
      <c r="U265" s="2" t="s">
        <v>1936</v>
      </c>
      <c r="V265" s="165">
        <v>2.9000000000000001E-2</v>
      </c>
      <c r="W265" s="167">
        <v>6.9419999999999996E-2</v>
      </c>
      <c r="X265" s="4" t="s">
        <v>411</v>
      </c>
      <c r="Y265" s="4" t="s">
        <v>136</v>
      </c>
      <c r="Z265" s="153">
        <v>52200</v>
      </c>
      <c r="AA265" s="153">
        <v>1</v>
      </c>
      <c r="AB265" s="153">
        <v>93.16</v>
      </c>
      <c r="AC265" s="11"/>
      <c r="AD265" s="153">
        <v>48.63</v>
      </c>
      <c r="AG265" s="2" t="s">
        <v>37</v>
      </c>
      <c r="AH265" s="167">
        <v>3.48E-4</v>
      </c>
      <c r="AI265" s="167">
        <v>7.6357280341492898E-3</v>
      </c>
      <c r="AJ265" s="167">
        <v>1.5754355695155101E-3</v>
      </c>
      <c r="AK265" s="161"/>
      <c r="AL265" s="153"/>
    </row>
    <row r="266" spans="1:38">
      <c r="A266" s="2" t="s">
        <v>26</v>
      </c>
      <c r="B266" s="2">
        <v>9962</v>
      </c>
      <c r="C266" s="2" t="s">
        <v>1482</v>
      </c>
      <c r="D266" s="2" t="s">
        <v>1483</v>
      </c>
      <c r="E266" s="4" t="s">
        <v>1305</v>
      </c>
      <c r="F266" s="2" t="s">
        <v>1937</v>
      </c>
      <c r="G266" s="2" t="s">
        <v>1938</v>
      </c>
      <c r="H266" s="2" t="s">
        <v>319</v>
      </c>
      <c r="I266" s="2" t="s">
        <v>754</v>
      </c>
      <c r="J266" s="2" t="s">
        <v>31</v>
      </c>
      <c r="K266" s="2" t="s">
        <v>31</v>
      </c>
      <c r="L266" s="2" t="s">
        <v>325</v>
      </c>
      <c r="M266" s="2" t="s">
        <v>40</v>
      </c>
      <c r="N266" s="2" t="s">
        <v>444</v>
      </c>
      <c r="O266" s="2" t="s">
        <v>136</v>
      </c>
      <c r="P266" s="2" t="s">
        <v>1752</v>
      </c>
      <c r="Q266" s="23" t="s">
        <v>1752</v>
      </c>
      <c r="R266" s="23" t="s">
        <v>1752</v>
      </c>
      <c r="S266" s="2" t="s">
        <v>35</v>
      </c>
      <c r="T266" s="153">
        <v>2.1030000000000002</v>
      </c>
      <c r="U266" s="2" t="s">
        <v>1908</v>
      </c>
      <c r="V266" s="165">
        <v>3.5000000000000003E-2</v>
      </c>
      <c r="W266" s="167">
        <v>4.3380000000000002E-2</v>
      </c>
      <c r="X266" s="4" t="s">
        <v>411</v>
      </c>
      <c r="Y266" s="4" t="s">
        <v>136</v>
      </c>
      <c r="Z266" s="153">
        <v>21600</v>
      </c>
      <c r="AA266" s="153">
        <v>1</v>
      </c>
      <c r="AB266" s="153">
        <v>105</v>
      </c>
      <c r="AC266" s="11"/>
      <c r="AD266" s="153">
        <v>22.68</v>
      </c>
      <c r="AG266" s="2" t="s">
        <v>37</v>
      </c>
      <c r="AH266" s="167">
        <v>1.1400000000000001E-4</v>
      </c>
      <c r="AI266" s="167">
        <v>3.5611766641847598E-3</v>
      </c>
      <c r="AJ266" s="167">
        <v>7.3475696894831897E-4</v>
      </c>
      <c r="AK266" s="161"/>
      <c r="AL266" s="153"/>
    </row>
    <row r="267" spans="1:38">
      <c r="A267" s="2" t="s">
        <v>26</v>
      </c>
      <c r="B267" s="2">
        <v>9962</v>
      </c>
      <c r="C267" s="2" t="s">
        <v>1482</v>
      </c>
      <c r="D267" s="2" t="s">
        <v>1483</v>
      </c>
      <c r="E267" s="4" t="s">
        <v>1305</v>
      </c>
      <c r="F267" s="2" t="s">
        <v>1939</v>
      </c>
      <c r="G267" s="2" t="s">
        <v>1940</v>
      </c>
      <c r="H267" s="2" t="s">
        <v>319</v>
      </c>
      <c r="I267" s="2" t="s">
        <v>966</v>
      </c>
      <c r="J267" s="2" t="s">
        <v>31</v>
      </c>
      <c r="K267" s="2" t="s">
        <v>31</v>
      </c>
      <c r="L267" s="2" t="s">
        <v>325</v>
      </c>
      <c r="M267" s="2" t="s">
        <v>40</v>
      </c>
      <c r="N267" s="2" t="s">
        <v>444</v>
      </c>
      <c r="O267" s="2" t="s">
        <v>136</v>
      </c>
      <c r="P267" s="2" t="s">
        <v>1752</v>
      </c>
      <c r="Q267" s="23" t="s">
        <v>1752</v>
      </c>
      <c r="R267" s="23" t="s">
        <v>1752</v>
      </c>
      <c r="S267" s="2" t="s">
        <v>35</v>
      </c>
      <c r="T267" s="153">
        <v>0.86399999999999999</v>
      </c>
      <c r="U267" s="2" t="s">
        <v>1941</v>
      </c>
      <c r="V267" s="165">
        <v>5.62E-2</v>
      </c>
      <c r="W267" s="167">
        <v>6.4380000000000007E-2</v>
      </c>
      <c r="X267" s="4" t="s">
        <v>411</v>
      </c>
      <c r="Y267" s="4" t="s">
        <v>136</v>
      </c>
      <c r="Z267" s="153">
        <v>39000</v>
      </c>
      <c r="AA267" s="153">
        <v>1</v>
      </c>
      <c r="AB267" s="153">
        <v>100.8</v>
      </c>
      <c r="AC267" s="11"/>
      <c r="AD267" s="153">
        <v>39.311999999999998</v>
      </c>
      <c r="AG267" s="2" t="s">
        <v>37</v>
      </c>
      <c r="AH267" s="167">
        <v>1.8900000000000001E-4</v>
      </c>
      <c r="AI267" s="167">
        <v>6.17270621792024E-3</v>
      </c>
      <c r="AJ267" s="167">
        <v>1.27357874617709E-3</v>
      </c>
      <c r="AK267" s="161"/>
      <c r="AL267" s="153"/>
    </row>
    <row r="268" spans="1:38">
      <c r="A268" s="2" t="s">
        <v>26</v>
      </c>
      <c r="B268" s="2">
        <v>9962</v>
      </c>
      <c r="C268" s="2" t="s">
        <v>1482</v>
      </c>
      <c r="D268" s="2" t="s">
        <v>1483</v>
      </c>
      <c r="E268" s="4" t="s">
        <v>1305</v>
      </c>
      <c r="F268" s="2" t="s">
        <v>1942</v>
      </c>
      <c r="G268" s="2" t="s">
        <v>1943</v>
      </c>
      <c r="H268" s="2" t="s">
        <v>319</v>
      </c>
      <c r="I268" s="2" t="s">
        <v>967</v>
      </c>
      <c r="J268" s="2" t="s">
        <v>31</v>
      </c>
      <c r="K268" s="2" t="s">
        <v>31</v>
      </c>
      <c r="L268" s="2" t="s">
        <v>325</v>
      </c>
      <c r="M268" s="2" t="s">
        <v>40</v>
      </c>
      <c r="N268" s="2" t="s">
        <v>444</v>
      </c>
      <c r="O268" s="2" t="s">
        <v>136</v>
      </c>
      <c r="P268" s="2" t="s">
        <v>1890</v>
      </c>
      <c r="Q268" s="2" t="s">
        <v>412</v>
      </c>
      <c r="R268" s="2" t="s">
        <v>405</v>
      </c>
      <c r="S268" s="2" t="s">
        <v>35</v>
      </c>
      <c r="T268" s="153">
        <v>0.747</v>
      </c>
      <c r="U268" s="2" t="s">
        <v>1933</v>
      </c>
      <c r="V268" s="165">
        <v>1.4999999999999999E-2</v>
      </c>
      <c r="W268" s="167">
        <v>4.972E-2</v>
      </c>
      <c r="X268" s="4" t="s">
        <v>411</v>
      </c>
      <c r="Y268" s="4" t="s">
        <v>136</v>
      </c>
      <c r="Z268" s="153">
        <v>2.79</v>
      </c>
      <c r="AA268" s="153">
        <v>1</v>
      </c>
      <c r="AB268" s="153">
        <v>97.9</v>
      </c>
      <c r="AC268" s="11"/>
      <c r="AD268" s="153">
        <v>3.0000000000000001E-3</v>
      </c>
      <c r="AG268" s="2" t="s">
        <v>37</v>
      </c>
      <c r="AH268" s="167">
        <v>0</v>
      </c>
      <c r="AI268" s="167">
        <v>4.28881549925965E-7</v>
      </c>
      <c r="AJ268" s="167">
        <v>8.8488647819891003E-8</v>
      </c>
      <c r="AK268" s="161"/>
      <c r="AL268" s="153"/>
    </row>
    <row r="269" spans="1:38">
      <c r="A269" s="2" t="s">
        <v>26</v>
      </c>
      <c r="B269" s="2">
        <v>9962</v>
      </c>
      <c r="C269" s="2" t="s">
        <v>1478</v>
      </c>
      <c r="D269" s="2" t="s">
        <v>1479</v>
      </c>
      <c r="E269" s="4" t="s">
        <v>1305</v>
      </c>
      <c r="F269" s="2" t="s">
        <v>2326</v>
      </c>
      <c r="G269" s="2" t="s">
        <v>2327</v>
      </c>
      <c r="H269" s="2" t="s">
        <v>319</v>
      </c>
      <c r="I269" s="2" t="s">
        <v>966</v>
      </c>
      <c r="J269" s="2" t="s">
        <v>31</v>
      </c>
      <c r="K269" s="2" t="s">
        <v>284</v>
      </c>
      <c r="L269" s="2" t="s">
        <v>325</v>
      </c>
      <c r="M269" s="2" t="s">
        <v>40</v>
      </c>
      <c r="N269" s="2" t="s">
        <v>444</v>
      </c>
      <c r="O269" s="2" t="s">
        <v>136</v>
      </c>
      <c r="P269" s="2" t="s">
        <v>1752</v>
      </c>
      <c r="Q269" s="23" t="s">
        <v>1752</v>
      </c>
      <c r="R269" s="23" t="s">
        <v>1752</v>
      </c>
      <c r="S269" s="2" t="s">
        <v>35</v>
      </c>
      <c r="T269" s="153">
        <v>1.8759999999999999</v>
      </c>
      <c r="U269" s="2" t="s">
        <v>2328</v>
      </c>
      <c r="V269" s="165">
        <v>8.2400000000000001E-2</v>
      </c>
      <c r="W269" s="167">
        <v>0.10780000000000001</v>
      </c>
      <c r="X269" s="4" t="s">
        <v>411</v>
      </c>
      <c r="Y269" s="4" t="s">
        <v>136</v>
      </c>
      <c r="Z269" s="153">
        <v>84000</v>
      </c>
      <c r="AA269" s="153">
        <v>1</v>
      </c>
      <c r="AB269" s="153">
        <v>98</v>
      </c>
      <c r="AC269" s="11"/>
      <c r="AD269" s="153">
        <v>82.32</v>
      </c>
      <c r="AG269" s="2" t="s">
        <v>37</v>
      </c>
      <c r="AH269" s="167">
        <v>2.0470000000000002E-3</v>
      </c>
      <c r="AI269" s="167">
        <v>1.29257523366706E-2</v>
      </c>
      <c r="AJ269" s="167">
        <v>2.6668956650716799E-3</v>
      </c>
      <c r="AK269" s="161"/>
      <c r="AL269" s="153"/>
    </row>
    <row r="270" spans="1:38">
      <c r="A270" s="2" t="s">
        <v>26</v>
      </c>
      <c r="B270" s="2">
        <v>9962</v>
      </c>
      <c r="C270" s="2" t="s">
        <v>2349</v>
      </c>
      <c r="D270" s="2" t="s">
        <v>2350</v>
      </c>
      <c r="E270" s="4" t="s">
        <v>1305</v>
      </c>
      <c r="F270" s="2" t="s">
        <v>2351</v>
      </c>
      <c r="G270" s="2" t="s">
        <v>2352</v>
      </c>
      <c r="H270" s="2" t="s">
        <v>319</v>
      </c>
      <c r="I270" s="2" t="s">
        <v>754</v>
      </c>
      <c r="J270" s="2" t="s">
        <v>31</v>
      </c>
      <c r="K270" s="2" t="s">
        <v>31</v>
      </c>
      <c r="L270" s="2" t="s">
        <v>325</v>
      </c>
      <c r="M270" s="2" t="s">
        <v>40</v>
      </c>
      <c r="N270" s="2" t="s">
        <v>437</v>
      </c>
      <c r="O270" s="2" t="s">
        <v>136</v>
      </c>
      <c r="P270" s="2" t="s">
        <v>2136</v>
      </c>
      <c r="Q270" s="2" t="s">
        <v>104</v>
      </c>
      <c r="R270" s="2" t="s">
        <v>405</v>
      </c>
      <c r="S270" s="2" t="s">
        <v>35</v>
      </c>
      <c r="T270" s="153">
        <v>1.383</v>
      </c>
      <c r="U270" s="2" t="s">
        <v>2353</v>
      </c>
      <c r="V270" s="165">
        <v>4.4999999999999998E-2</v>
      </c>
      <c r="W270" s="167">
        <v>1.524E-2</v>
      </c>
      <c r="X270" s="4" t="s">
        <v>411</v>
      </c>
      <c r="Y270" s="4" t="s">
        <v>136</v>
      </c>
      <c r="Z270" s="153">
        <v>50000</v>
      </c>
      <c r="AA270" s="153">
        <v>1</v>
      </c>
      <c r="AB270" s="153">
        <v>118.26</v>
      </c>
      <c r="AC270" s="11"/>
      <c r="AD270" s="153">
        <v>59.13</v>
      </c>
      <c r="AG270" s="2" t="s">
        <v>37</v>
      </c>
      <c r="AH270" s="167">
        <v>1.7E-5</v>
      </c>
      <c r="AI270" s="167">
        <v>9.2844963030531205E-3</v>
      </c>
      <c r="AJ270" s="167">
        <v>1.9156163833295499E-3</v>
      </c>
      <c r="AK270" s="161"/>
      <c r="AL270" s="153"/>
    </row>
    <row r="271" spans="1:38">
      <c r="A271" s="2" t="s">
        <v>26</v>
      </c>
      <c r="B271" s="2">
        <v>9962</v>
      </c>
      <c r="C271" s="2" t="s">
        <v>2349</v>
      </c>
      <c r="D271" s="2" t="s">
        <v>2350</v>
      </c>
      <c r="E271" s="4" t="s">
        <v>1305</v>
      </c>
      <c r="F271" s="2" t="s">
        <v>2354</v>
      </c>
      <c r="G271" s="2" t="s">
        <v>2355</v>
      </c>
      <c r="H271" s="2" t="s">
        <v>319</v>
      </c>
      <c r="I271" s="2" t="s">
        <v>754</v>
      </c>
      <c r="J271" s="2" t="s">
        <v>31</v>
      </c>
      <c r="K271" s="2" t="s">
        <v>31</v>
      </c>
      <c r="L271" s="2" t="s">
        <v>325</v>
      </c>
      <c r="M271" s="2" t="s">
        <v>40</v>
      </c>
      <c r="N271" s="2" t="s">
        <v>437</v>
      </c>
      <c r="O271" s="2" t="s">
        <v>136</v>
      </c>
      <c r="P271" s="2" t="s">
        <v>2136</v>
      </c>
      <c r="Q271" s="2" t="s">
        <v>104</v>
      </c>
      <c r="R271" s="2" t="s">
        <v>405</v>
      </c>
      <c r="S271" s="2" t="s">
        <v>35</v>
      </c>
      <c r="T271" s="153">
        <v>6.24</v>
      </c>
      <c r="U271" s="2" t="s">
        <v>2356</v>
      </c>
      <c r="V271" s="165">
        <v>2.3900000000000001E-2</v>
      </c>
      <c r="W271" s="167">
        <v>2.4760000000000001E-2</v>
      </c>
      <c r="X271" s="4" t="s">
        <v>411</v>
      </c>
      <c r="Y271" s="4" t="s">
        <v>136</v>
      </c>
      <c r="Z271" s="153">
        <v>55000</v>
      </c>
      <c r="AA271" s="153">
        <v>1</v>
      </c>
      <c r="AB271" s="153">
        <v>110.76</v>
      </c>
      <c r="AC271" s="11"/>
      <c r="AD271" s="153">
        <v>60.917999999999999</v>
      </c>
      <c r="AG271" s="2" t="s">
        <v>37</v>
      </c>
      <c r="AH271" s="167">
        <v>1.4E-5</v>
      </c>
      <c r="AI271" s="167">
        <v>9.5652451511819697E-3</v>
      </c>
      <c r="AJ271" s="167">
        <v>1.97354166818314E-3</v>
      </c>
      <c r="AK271" s="161"/>
      <c r="AL271" s="153"/>
    </row>
    <row r="272" spans="1:38">
      <c r="A272" s="2" t="s">
        <v>26</v>
      </c>
      <c r="B272" s="2">
        <v>9962</v>
      </c>
      <c r="C272" s="2" t="s">
        <v>1944</v>
      </c>
      <c r="D272" s="2" t="s">
        <v>1945</v>
      </c>
      <c r="E272" s="4" t="s">
        <v>34</v>
      </c>
      <c r="F272" s="2" t="s">
        <v>1946</v>
      </c>
      <c r="G272" s="2" t="s">
        <v>1947</v>
      </c>
      <c r="H272" s="2" t="s">
        <v>319</v>
      </c>
      <c r="I272" s="2" t="s">
        <v>755</v>
      </c>
      <c r="J272" s="2" t="s">
        <v>31</v>
      </c>
      <c r="K272" s="2" t="s">
        <v>74</v>
      </c>
      <c r="L272" s="2" t="s">
        <v>325</v>
      </c>
      <c r="M272" s="2" t="s">
        <v>40</v>
      </c>
      <c r="N272" s="2" t="s">
        <v>462</v>
      </c>
      <c r="O272" s="2" t="s">
        <v>136</v>
      </c>
      <c r="P272" s="2" t="s">
        <v>1739</v>
      </c>
      <c r="Q272" s="2" t="s">
        <v>412</v>
      </c>
      <c r="R272" s="2" t="s">
        <v>405</v>
      </c>
      <c r="S272" s="2" t="s">
        <v>78</v>
      </c>
      <c r="T272" s="153">
        <v>3.04</v>
      </c>
      <c r="U272" s="2" t="s">
        <v>1948</v>
      </c>
      <c r="V272" s="165">
        <v>4.7199999999999999E-2</v>
      </c>
      <c r="W272" s="167">
        <v>7.2169999999999998E-2</v>
      </c>
      <c r="X272" s="4" t="s">
        <v>411</v>
      </c>
      <c r="Y272" s="4" t="s">
        <v>136</v>
      </c>
      <c r="Z272" s="153">
        <v>29000</v>
      </c>
      <c r="AA272" s="153">
        <v>3.681</v>
      </c>
      <c r="AB272" s="153">
        <v>108.5</v>
      </c>
      <c r="AC272" s="11"/>
      <c r="AD272" s="153">
        <v>31.465</v>
      </c>
      <c r="AG272" s="2" t="s">
        <v>37</v>
      </c>
      <c r="AH272" s="167">
        <v>8.7999999999999998E-5</v>
      </c>
      <c r="AI272" s="167">
        <v>4.9405830572563196E-3</v>
      </c>
      <c r="AJ272" s="167">
        <v>1.01936190599466E-3</v>
      </c>
      <c r="AK272" s="161"/>
      <c r="AL272" s="153"/>
    </row>
    <row r="273" spans="1:38">
      <c r="A273" s="2" t="s">
        <v>26</v>
      </c>
      <c r="B273" s="2">
        <v>9962</v>
      </c>
      <c r="C273" s="2" t="s">
        <v>1949</v>
      </c>
      <c r="D273" s="2" t="s">
        <v>1950</v>
      </c>
      <c r="E273" s="4" t="s">
        <v>1305</v>
      </c>
      <c r="F273" s="2" t="s">
        <v>1951</v>
      </c>
      <c r="G273" s="2" t="s">
        <v>1952</v>
      </c>
      <c r="H273" s="2" t="s">
        <v>319</v>
      </c>
      <c r="I273" s="2" t="s">
        <v>966</v>
      </c>
      <c r="J273" s="2" t="s">
        <v>31</v>
      </c>
      <c r="K273" s="2" t="s">
        <v>31</v>
      </c>
      <c r="L273" s="2" t="s">
        <v>325</v>
      </c>
      <c r="M273" s="2" t="s">
        <v>40</v>
      </c>
      <c r="N273" s="2" t="s">
        <v>444</v>
      </c>
      <c r="O273" s="2" t="s">
        <v>136</v>
      </c>
      <c r="P273" s="2" t="s">
        <v>1752</v>
      </c>
      <c r="Q273" s="23" t="s">
        <v>1752</v>
      </c>
      <c r="R273" s="23" t="s">
        <v>1752</v>
      </c>
      <c r="S273" s="2" t="s">
        <v>35</v>
      </c>
      <c r="T273" s="153">
        <v>1.944</v>
      </c>
      <c r="U273" s="2" t="s">
        <v>1953</v>
      </c>
      <c r="V273" s="165">
        <v>5.6000000000000001E-2</v>
      </c>
      <c r="W273" s="167">
        <v>6.8479999999999999E-2</v>
      </c>
      <c r="X273" s="4" t="s">
        <v>411</v>
      </c>
      <c r="Y273" s="4" t="s">
        <v>136</v>
      </c>
      <c r="Z273" s="153">
        <v>29000</v>
      </c>
      <c r="AA273" s="153">
        <v>1</v>
      </c>
      <c r="AB273" s="153">
        <v>99.2</v>
      </c>
      <c r="AC273" s="11"/>
      <c r="AD273" s="153">
        <v>28.768000000000001</v>
      </c>
      <c r="AG273" s="2" t="s">
        <v>37</v>
      </c>
      <c r="AH273" s="167">
        <v>1.7100000000000001E-4</v>
      </c>
      <c r="AI273" s="167">
        <v>4.5171045094914899E-3</v>
      </c>
      <c r="AJ273" s="167">
        <v>9.3198802833797403E-4</v>
      </c>
      <c r="AK273" s="161"/>
      <c r="AL273" s="153"/>
    </row>
    <row r="274" spans="1:38">
      <c r="A274" s="2" t="s">
        <v>26</v>
      </c>
      <c r="B274" s="2">
        <v>9962</v>
      </c>
      <c r="C274" s="2" t="s">
        <v>1949</v>
      </c>
      <c r="D274" s="2" t="s">
        <v>1950</v>
      </c>
      <c r="E274" s="4" t="s">
        <v>1305</v>
      </c>
      <c r="F274" s="2" t="s">
        <v>1954</v>
      </c>
      <c r="G274" s="2" t="s">
        <v>1955</v>
      </c>
      <c r="H274" s="2" t="s">
        <v>319</v>
      </c>
      <c r="I274" s="2" t="s">
        <v>966</v>
      </c>
      <c r="J274" s="2" t="s">
        <v>31</v>
      </c>
      <c r="K274" s="2" t="s">
        <v>31</v>
      </c>
      <c r="L274" s="2" t="s">
        <v>325</v>
      </c>
      <c r="M274" s="2" t="s">
        <v>40</v>
      </c>
      <c r="N274" s="2" t="s">
        <v>444</v>
      </c>
      <c r="O274" s="2" t="s">
        <v>136</v>
      </c>
      <c r="P274" s="2" t="s">
        <v>1752</v>
      </c>
      <c r="Q274" s="23" t="s">
        <v>1752</v>
      </c>
      <c r="R274" s="23" t="s">
        <v>1752</v>
      </c>
      <c r="S274" s="2" t="s">
        <v>35</v>
      </c>
      <c r="T274" s="153">
        <v>1.9790000000000001</v>
      </c>
      <c r="U274" s="2" t="s">
        <v>1953</v>
      </c>
      <c r="V274" s="165">
        <v>8.8900000000000007E-2</v>
      </c>
      <c r="W274" s="167">
        <v>6.7559999999999995E-2</v>
      </c>
      <c r="X274" s="4" t="s">
        <v>411</v>
      </c>
      <c r="Y274" s="4" t="s">
        <v>136</v>
      </c>
      <c r="Z274" s="153">
        <v>21326</v>
      </c>
      <c r="AA274" s="153">
        <v>1</v>
      </c>
      <c r="AB274" s="153">
        <v>106.57</v>
      </c>
      <c r="AC274" s="11"/>
      <c r="AD274" s="153">
        <v>22.727</v>
      </c>
      <c r="AG274" s="2" t="s">
        <v>37</v>
      </c>
      <c r="AH274" s="167">
        <v>0</v>
      </c>
      <c r="AI274" s="167">
        <v>3.5685750872137901E-3</v>
      </c>
      <c r="AJ274" s="167">
        <v>7.3628344274965498E-4</v>
      </c>
      <c r="AK274" s="161"/>
      <c r="AL274" s="153"/>
    </row>
    <row r="275" spans="1:38">
      <c r="A275" s="2" t="s">
        <v>26</v>
      </c>
      <c r="B275" s="2">
        <v>9962</v>
      </c>
      <c r="C275" s="2" t="s">
        <v>1959</v>
      </c>
      <c r="D275" s="2" t="s">
        <v>1960</v>
      </c>
      <c r="E275" s="4" t="s">
        <v>1305</v>
      </c>
      <c r="F275" s="2" t="s">
        <v>1961</v>
      </c>
      <c r="G275" s="2" t="s">
        <v>1962</v>
      </c>
      <c r="H275" s="2" t="s">
        <v>319</v>
      </c>
      <c r="I275" s="2" t="s">
        <v>754</v>
      </c>
      <c r="J275" s="2" t="s">
        <v>31</v>
      </c>
      <c r="K275" s="2" t="s">
        <v>31</v>
      </c>
      <c r="L275" s="2" t="s">
        <v>325</v>
      </c>
      <c r="M275" s="2" t="s">
        <v>40</v>
      </c>
      <c r="N275" s="2" t="s">
        <v>459</v>
      </c>
      <c r="O275" s="2" t="s">
        <v>136</v>
      </c>
      <c r="P275" s="2" t="s">
        <v>1739</v>
      </c>
      <c r="Q275" s="2" t="s">
        <v>412</v>
      </c>
      <c r="R275" s="2" t="s">
        <v>405</v>
      </c>
      <c r="S275" s="2" t="s">
        <v>35</v>
      </c>
      <c r="T275" s="153">
        <v>3.3039999999999998</v>
      </c>
      <c r="U275" s="2" t="s">
        <v>1963</v>
      </c>
      <c r="V275" s="165">
        <v>2.1999999999999999E-2</v>
      </c>
      <c r="W275" s="167">
        <v>2.6200000000000001E-2</v>
      </c>
      <c r="X275" s="4" t="s">
        <v>411</v>
      </c>
      <c r="Y275" s="4" t="s">
        <v>136</v>
      </c>
      <c r="Z275" s="153">
        <v>52137.93</v>
      </c>
      <c r="AA275" s="153">
        <v>1</v>
      </c>
      <c r="AB275" s="153">
        <v>102.62</v>
      </c>
      <c r="AC275" s="11"/>
      <c r="AD275" s="153">
        <v>53.503999999999998</v>
      </c>
      <c r="AG275" s="2" t="s">
        <v>37</v>
      </c>
      <c r="AH275" s="167">
        <v>2.61E-4</v>
      </c>
      <c r="AI275" s="167">
        <v>8.40110211557904E-3</v>
      </c>
      <c r="AJ275" s="167">
        <v>1.73335077373402E-3</v>
      </c>
      <c r="AK275" s="161"/>
      <c r="AL275" s="153"/>
    </row>
    <row r="276" spans="1:38">
      <c r="A276" s="2" t="s">
        <v>26</v>
      </c>
      <c r="B276" s="2">
        <v>9962</v>
      </c>
      <c r="C276" s="2" t="s">
        <v>1964</v>
      </c>
      <c r="D276" s="2" t="s">
        <v>1965</v>
      </c>
      <c r="E276" s="4" t="s">
        <v>1305</v>
      </c>
      <c r="F276" s="2" t="s">
        <v>1966</v>
      </c>
      <c r="G276" s="2" t="s">
        <v>1967</v>
      </c>
      <c r="H276" s="2" t="s">
        <v>319</v>
      </c>
      <c r="I276" s="2" t="s">
        <v>754</v>
      </c>
      <c r="J276" s="2" t="s">
        <v>31</v>
      </c>
      <c r="K276" s="2" t="s">
        <v>31</v>
      </c>
      <c r="L276" s="2" t="s">
        <v>325</v>
      </c>
      <c r="M276" s="2" t="s">
        <v>40</v>
      </c>
      <c r="N276" s="2" t="s">
        <v>445</v>
      </c>
      <c r="O276" s="2" t="s">
        <v>136</v>
      </c>
      <c r="P276" s="2" t="s">
        <v>1739</v>
      </c>
      <c r="Q276" s="2" t="s">
        <v>104</v>
      </c>
      <c r="R276" s="2" t="s">
        <v>405</v>
      </c>
      <c r="S276" s="2" t="s">
        <v>35</v>
      </c>
      <c r="T276" s="153">
        <v>0.16400000000000001</v>
      </c>
      <c r="U276" s="2" t="s">
        <v>1968</v>
      </c>
      <c r="V276" s="165">
        <v>6.7999999999999996E-3</v>
      </c>
      <c r="W276" s="167">
        <v>1.25E-3</v>
      </c>
      <c r="X276" s="4" t="s">
        <v>411</v>
      </c>
      <c r="Y276" s="4" t="s">
        <v>136</v>
      </c>
      <c r="Z276" s="153">
        <v>10513.34</v>
      </c>
      <c r="AA276" s="153">
        <v>1</v>
      </c>
      <c r="AB276" s="153">
        <v>113.14</v>
      </c>
      <c r="AC276" s="11"/>
      <c r="AD276" s="153">
        <v>11.895</v>
      </c>
      <c r="AG276" s="2" t="s">
        <v>37</v>
      </c>
      <c r="AH276" s="167">
        <v>4.6999999999999997E-5</v>
      </c>
      <c r="AI276" s="167">
        <v>1.8677010059665899E-3</v>
      </c>
      <c r="AJ276" s="167">
        <v>3.8535193826445401E-4</v>
      </c>
      <c r="AK276" s="161"/>
      <c r="AL276" s="153"/>
    </row>
    <row r="277" spans="1:38">
      <c r="A277" s="2" t="s">
        <v>26</v>
      </c>
      <c r="B277" s="2">
        <v>9962</v>
      </c>
      <c r="C277" s="2" t="s">
        <v>1964</v>
      </c>
      <c r="D277" s="2" t="s">
        <v>1965</v>
      </c>
      <c r="E277" s="4" t="s">
        <v>1305</v>
      </c>
      <c r="F277" s="2" t="s">
        <v>1969</v>
      </c>
      <c r="G277" s="2" t="s">
        <v>1970</v>
      </c>
      <c r="H277" s="2" t="s">
        <v>319</v>
      </c>
      <c r="I277" s="2" t="s">
        <v>754</v>
      </c>
      <c r="J277" s="2" t="s">
        <v>31</v>
      </c>
      <c r="K277" s="2" t="s">
        <v>31</v>
      </c>
      <c r="L277" s="2" t="s">
        <v>325</v>
      </c>
      <c r="M277" s="2" t="s">
        <v>40</v>
      </c>
      <c r="N277" s="2" t="s">
        <v>445</v>
      </c>
      <c r="O277" s="2" t="s">
        <v>136</v>
      </c>
      <c r="P277" s="2" t="s">
        <v>1739</v>
      </c>
      <c r="Q277" s="2" t="s">
        <v>412</v>
      </c>
      <c r="R277" s="2" t="s">
        <v>405</v>
      </c>
      <c r="S277" s="2" t="s">
        <v>35</v>
      </c>
      <c r="T277" s="153">
        <v>5.0140000000000002</v>
      </c>
      <c r="U277" s="2" t="s">
        <v>1971</v>
      </c>
      <c r="V277" s="165">
        <v>2.5899999999999999E-2</v>
      </c>
      <c r="W277" s="167">
        <v>2.1850000000000001E-2</v>
      </c>
      <c r="X277" s="4" t="s">
        <v>411</v>
      </c>
      <c r="Y277" s="4" t="s">
        <v>136</v>
      </c>
      <c r="Z277" s="153">
        <v>25000</v>
      </c>
      <c r="AA277" s="153">
        <v>1</v>
      </c>
      <c r="AB277" s="153">
        <v>102.82</v>
      </c>
      <c r="AC277" s="11"/>
      <c r="AD277" s="153">
        <v>25.704999999999998</v>
      </c>
      <c r="AG277" s="2" t="s">
        <v>37</v>
      </c>
      <c r="AH277" s="167">
        <v>0</v>
      </c>
      <c r="AI277" s="167">
        <v>4.03615723778083E-3</v>
      </c>
      <c r="AJ277" s="167">
        <v>8.3275696149984798E-4</v>
      </c>
      <c r="AK277" s="161"/>
      <c r="AL277" s="153"/>
    </row>
    <row r="278" spans="1:38">
      <c r="A278" s="2" t="s">
        <v>26</v>
      </c>
      <c r="B278" s="2">
        <v>9962</v>
      </c>
      <c r="C278" s="2" t="s">
        <v>1972</v>
      </c>
      <c r="D278" s="2" t="s">
        <v>1973</v>
      </c>
      <c r="E278" s="4" t="s">
        <v>1305</v>
      </c>
      <c r="F278" s="2" t="s">
        <v>1974</v>
      </c>
      <c r="G278" s="2" t="s">
        <v>1975</v>
      </c>
      <c r="H278" s="2" t="s">
        <v>319</v>
      </c>
      <c r="I278" s="2" t="s">
        <v>754</v>
      </c>
      <c r="J278" s="2" t="s">
        <v>31</v>
      </c>
      <c r="K278" s="2" t="s">
        <v>31</v>
      </c>
      <c r="L278" s="2" t="s">
        <v>325</v>
      </c>
      <c r="M278" s="2" t="s">
        <v>40</v>
      </c>
      <c r="N278" s="2" t="s">
        <v>461</v>
      </c>
      <c r="O278" s="2" t="s">
        <v>136</v>
      </c>
      <c r="P278" s="2" t="s">
        <v>1752</v>
      </c>
      <c r="Q278" s="23" t="s">
        <v>1752</v>
      </c>
      <c r="R278" s="23" t="s">
        <v>1752</v>
      </c>
      <c r="S278" s="2" t="s">
        <v>35</v>
      </c>
      <c r="T278" s="153">
        <v>3.4340000000000002</v>
      </c>
      <c r="U278" s="2" t="s">
        <v>1849</v>
      </c>
      <c r="V278" s="165">
        <v>4.4999999999999998E-2</v>
      </c>
      <c r="W278" s="167">
        <v>3.8449999999999998E-2</v>
      </c>
      <c r="X278" s="4" t="s">
        <v>411</v>
      </c>
      <c r="Y278" s="4" t="s">
        <v>136</v>
      </c>
      <c r="Z278" s="153">
        <v>42000</v>
      </c>
      <c r="AA278" s="153">
        <v>1</v>
      </c>
      <c r="AB278" s="153">
        <v>104.19</v>
      </c>
      <c r="AC278" s="11"/>
      <c r="AD278" s="153">
        <v>43.76</v>
      </c>
      <c r="AG278" s="2" t="s">
        <v>37</v>
      </c>
      <c r="AH278" s="167">
        <v>0</v>
      </c>
      <c r="AI278" s="167">
        <v>6.8710925303964799E-3</v>
      </c>
      <c r="AJ278" s="167">
        <v>1.41767275175417E-3</v>
      </c>
      <c r="AK278" s="161"/>
      <c r="AL278" s="153"/>
    </row>
    <row r="279" spans="1:38">
      <c r="A279" s="2" t="s">
        <v>26</v>
      </c>
      <c r="B279" s="2">
        <v>9962</v>
      </c>
      <c r="C279" s="2" t="s">
        <v>1976</v>
      </c>
      <c r="D279" s="2" t="s">
        <v>1977</v>
      </c>
      <c r="E279" s="4" t="s">
        <v>1305</v>
      </c>
      <c r="F279" s="2" t="s">
        <v>1978</v>
      </c>
      <c r="G279" s="2" t="s">
        <v>1979</v>
      </c>
      <c r="H279" s="2" t="s">
        <v>319</v>
      </c>
      <c r="I279" s="2" t="s">
        <v>966</v>
      </c>
      <c r="J279" s="2" t="s">
        <v>31</v>
      </c>
      <c r="K279" s="2" t="s">
        <v>31</v>
      </c>
      <c r="L279" s="2" t="s">
        <v>325</v>
      </c>
      <c r="M279" s="2" t="s">
        <v>40</v>
      </c>
      <c r="N279" s="2" t="s">
        <v>444</v>
      </c>
      <c r="O279" s="2" t="s">
        <v>136</v>
      </c>
      <c r="P279" s="2" t="s">
        <v>1752</v>
      </c>
      <c r="Q279" s="23" t="s">
        <v>1752</v>
      </c>
      <c r="R279" s="23" t="s">
        <v>1752</v>
      </c>
      <c r="S279" s="2" t="s">
        <v>35</v>
      </c>
      <c r="T279" s="153">
        <v>2.1629999999999998</v>
      </c>
      <c r="U279" s="2" t="s">
        <v>1822</v>
      </c>
      <c r="V279" s="165">
        <v>3.95E-2</v>
      </c>
      <c r="W279" s="167">
        <v>7.1110000000000007E-2</v>
      </c>
      <c r="X279" s="4" t="s">
        <v>411</v>
      </c>
      <c r="Y279" s="4" t="s">
        <v>136</v>
      </c>
      <c r="Z279" s="153">
        <v>39000</v>
      </c>
      <c r="AA279" s="153">
        <v>1</v>
      </c>
      <c r="AB279" s="153">
        <v>94.72</v>
      </c>
      <c r="AC279" s="11"/>
      <c r="AD279" s="153">
        <v>36.941000000000003</v>
      </c>
      <c r="AG279" s="2" t="s">
        <v>37</v>
      </c>
      <c r="AH279" s="167">
        <v>4.6999999999999997E-5</v>
      </c>
      <c r="AI279" s="167">
        <v>5.8003842555695E-3</v>
      </c>
      <c r="AJ279" s="167">
        <v>1.1967597106933899E-3</v>
      </c>
      <c r="AK279" s="161"/>
      <c r="AL279" s="153"/>
    </row>
    <row r="280" spans="1:38">
      <c r="A280" s="2" t="s">
        <v>26</v>
      </c>
      <c r="B280" s="2">
        <v>9962</v>
      </c>
      <c r="C280" s="2" t="s">
        <v>1980</v>
      </c>
      <c r="D280" s="2" t="s">
        <v>1981</v>
      </c>
      <c r="E280" s="4" t="s">
        <v>1305</v>
      </c>
      <c r="F280" s="2" t="s">
        <v>1982</v>
      </c>
      <c r="G280" s="2" t="s">
        <v>1983</v>
      </c>
      <c r="H280" s="2" t="s">
        <v>319</v>
      </c>
      <c r="I280" s="2" t="s">
        <v>754</v>
      </c>
      <c r="J280" s="2" t="s">
        <v>31</v>
      </c>
      <c r="K280" s="2" t="s">
        <v>31</v>
      </c>
      <c r="L280" s="2" t="s">
        <v>325</v>
      </c>
      <c r="M280" s="2" t="s">
        <v>40</v>
      </c>
      <c r="N280" s="2" t="s">
        <v>461</v>
      </c>
      <c r="O280" s="2" t="s">
        <v>136</v>
      </c>
      <c r="P280" s="2" t="s">
        <v>1984</v>
      </c>
      <c r="Q280" s="2" t="s">
        <v>104</v>
      </c>
      <c r="R280" s="2" t="s">
        <v>405</v>
      </c>
      <c r="S280" s="2" t="s">
        <v>35</v>
      </c>
      <c r="T280" s="153">
        <v>2.5910000000000002</v>
      </c>
      <c r="U280" s="2" t="s">
        <v>1985</v>
      </c>
      <c r="V280" s="165">
        <v>1.5800000000000002E-2</v>
      </c>
      <c r="W280" s="167">
        <v>2.0109999999999999E-2</v>
      </c>
      <c r="X280" s="4" t="s">
        <v>411</v>
      </c>
      <c r="Y280" s="4" t="s">
        <v>136</v>
      </c>
      <c r="Z280" s="153">
        <v>17349.43</v>
      </c>
      <c r="AA280" s="153">
        <v>1</v>
      </c>
      <c r="AB280" s="153">
        <v>112.1</v>
      </c>
      <c r="AC280" s="11"/>
      <c r="AD280" s="153">
        <v>19.449000000000002</v>
      </c>
      <c r="AG280" s="2" t="s">
        <v>37</v>
      </c>
      <c r="AH280" s="167">
        <v>3.6999999999999998E-5</v>
      </c>
      <c r="AI280" s="167">
        <v>3.0538049324739299E-3</v>
      </c>
      <c r="AJ280" s="167">
        <v>6.3007389622374505E-4</v>
      </c>
      <c r="AK280" s="161"/>
      <c r="AL280" s="153"/>
    </row>
    <row r="281" spans="1:38">
      <c r="A281" s="2" t="s">
        <v>26</v>
      </c>
      <c r="B281" s="2">
        <v>9962</v>
      </c>
      <c r="C281" s="2" t="s">
        <v>1980</v>
      </c>
      <c r="D281" s="2" t="s">
        <v>1981</v>
      </c>
      <c r="E281" s="4" t="s">
        <v>1305</v>
      </c>
      <c r="F281" s="2" t="s">
        <v>1986</v>
      </c>
      <c r="G281" s="2" t="s">
        <v>1987</v>
      </c>
      <c r="H281" s="2" t="s">
        <v>319</v>
      </c>
      <c r="I281" s="2" t="s">
        <v>754</v>
      </c>
      <c r="J281" s="2" t="s">
        <v>31</v>
      </c>
      <c r="K281" s="2" t="s">
        <v>31</v>
      </c>
      <c r="L281" s="2" t="s">
        <v>325</v>
      </c>
      <c r="M281" s="2" t="s">
        <v>40</v>
      </c>
      <c r="N281" s="2" t="s">
        <v>461</v>
      </c>
      <c r="O281" s="2" t="s">
        <v>136</v>
      </c>
      <c r="P281" s="2" t="s">
        <v>1984</v>
      </c>
      <c r="Q281" s="2" t="s">
        <v>104</v>
      </c>
      <c r="R281" s="2" t="s">
        <v>405</v>
      </c>
      <c r="S281" s="2" t="s">
        <v>35</v>
      </c>
      <c r="T281" s="153">
        <v>5.2309999999999999</v>
      </c>
      <c r="U281" s="2" t="s">
        <v>1988</v>
      </c>
      <c r="V281" s="165">
        <v>8.3999999999999995E-3</v>
      </c>
      <c r="W281" s="167">
        <v>2.6040000000000001E-2</v>
      </c>
      <c r="X281" s="4" t="s">
        <v>411</v>
      </c>
      <c r="Y281" s="4" t="s">
        <v>136</v>
      </c>
      <c r="Z281" s="153">
        <v>48351.65</v>
      </c>
      <c r="AA281" s="153">
        <v>1</v>
      </c>
      <c r="AB281" s="153">
        <v>101.26</v>
      </c>
      <c r="AC281" s="11"/>
      <c r="AD281" s="153">
        <v>48.960999999999999</v>
      </c>
      <c r="AG281" s="2" t="s">
        <v>37</v>
      </c>
      <c r="AH281" s="167">
        <v>1.08E-4</v>
      </c>
      <c r="AI281" s="167">
        <v>7.6877577657530798E-3</v>
      </c>
      <c r="AJ281" s="167">
        <v>1.5861705628880201E-3</v>
      </c>
      <c r="AK281" s="161"/>
      <c r="AL281" s="153"/>
    </row>
    <row r="282" spans="1:38">
      <c r="A282" s="2" t="s">
        <v>26</v>
      </c>
      <c r="B282" s="2">
        <v>9962</v>
      </c>
      <c r="C282" s="2" t="s">
        <v>2357</v>
      </c>
      <c r="D282" s="2" t="s">
        <v>2358</v>
      </c>
      <c r="E282" s="4" t="s">
        <v>1305</v>
      </c>
      <c r="F282" s="2" t="s">
        <v>2359</v>
      </c>
      <c r="G282" s="2" t="s">
        <v>2360</v>
      </c>
      <c r="H282" s="2" t="s">
        <v>319</v>
      </c>
      <c r="I282" s="2" t="s">
        <v>966</v>
      </c>
      <c r="J282" s="2" t="s">
        <v>31</v>
      </c>
      <c r="K282" s="2" t="s">
        <v>31</v>
      </c>
      <c r="L282" s="2" t="s">
        <v>325</v>
      </c>
      <c r="M282" s="2" t="s">
        <v>40</v>
      </c>
      <c r="N282" s="2" t="s">
        <v>442</v>
      </c>
      <c r="O282" s="2" t="s">
        <v>136</v>
      </c>
      <c r="P282" s="2" t="s">
        <v>1739</v>
      </c>
      <c r="Q282" s="2" t="s">
        <v>412</v>
      </c>
      <c r="R282" s="2" t="s">
        <v>407</v>
      </c>
      <c r="S282" s="2" t="s">
        <v>35</v>
      </c>
      <c r="T282" s="153">
        <v>3.6509999999999998</v>
      </c>
      <c r="U282" s="2" t="s">
        <v>2361</v>
      </c>
      <c r="V282" s="165">
        <v>4.7E-2</v>
      </c>
      <c r="W282" s="167">
        <v>4.7649999999999998E-2</v>
      </c>
      <c r="X282" s="4" t="s">
        <v>411</v>
      </c>
      <c r="Y282" s="4" t="s">
        <v>136</v>
      </c>
      <c r="Z282" s="153">
        <v>50000</v>
      </c>
      <c r="AA282" s="153">
        <v>1</v>
      </c>
      <c r="AB282" s="153">
        <v>100.19</v>
      </c>
      <c r="AC282" s="11"/>
      <c r="AD282" s="153">
        <v>50.094999999999999</v>
      </c>
      <c r="AG282" s="2" t="s">
        <v>37</v>
      </c>
      <c r="AH282" s="167">
        <v>1E-4</v>
      </c>
      <c r="AI282" s="167">
        <v>7.8658353171223699E-3</v>
      </c>
      <c r="AJ282" s="167">
        <v>1.6229122733450599E-3</v>
      </c>
      <c r="AK282" s="161"/>
      <c r="AL282" s="153"/>
    </row>
    <row r="283" spans="1:38">
      <c r="A283" s="2" t="s">
        <v>26</v>
      </c>
      <c r="B283" s="2">
        <v>9962</v>
      </c>
      <c r="C283" s="2" t="s">
        <v>2362</v>
      </c>
      <c r="D283" s="2" t="s">
        <v>2363</v>
      </c>
      <c r="E283" s="4" t="s">
        <v>1305</v>
      </c>
      <c r="F283" s="2" t="s">
        <v>2364</v>
      </c>
      <c r="G283" s="2" t="s">
        <v>2365</v>
      </c>
      <c r="H283" s="2" t="s">
        <v>319</v>
      </c>
      <c r="I283" s="2" t="s">
        <v>966</v>
      </c>
      <c r="J283" s="2" t="s">
        <v>31</v>
      </c>
      <c r="K283" s="2" t="s">
        <v>31</v>
      </c>
      <c r="L283" s="2" t="s">
        <v>325</v>
      </c>
      <c r="M283" s="2" t="s">
        <v>40</v>
      </c>
      <c r="N283" s="2" t="s">
        <v>442</v>
      </c>
      <c r="O283" s="2" t="s">
        <v>136</v>
      </c>
      <c r="P283" s="2" t="s">
        <v>1867</v>
      </c>
      <c r="Q283" s="2" t="s">
        <v>104</v>
      </c>
      <c r="R283" s="2" t="s">
        <v>405</v>
      </c>
      <c r="S283" s="2" t="s">
        <v>35</v>
      </c>
      <c r="T283" s="153">
        <v>7.2050000000000001</v>
      </c>
      <c r="U283" s="2" t="s">
        <v>2366</v>
      </c>
      <c r="V283" s="165">
        <v>2.5000000000000001E-2</v>
      </c>
      <c r="W283" s="167">
        <v>5.4949999999999999E-2</v>
      </c>
      <c r="X283" s="4" t="s">
        <v>411</v>
      </c>
      <c r="Y283" s="4" t="s">
        <v>136</v>
      </c>
      <c r="Z283" s="153">
        <v>80000</v>
      </c>
      <c r="AA283" s="153">
        <v>1</v>
      </c>
      <c r="AB283" s="153">
        <v>81.239999999999995</v>
      </c>
      <c r="AC283" s="11"/>
      <c r="AD283" s="153">
        <v>64.992000000000004</v>
      </c>
      <c r="AG283" s="2" t="s">
        <v>37</v>
      </c>
      <c r="AH283" s="167">
        <v>6.0000000000000002E-5</v>
      </c>
      <c r="AI283" s="167">
        <v>1.0204937996415199E-2</v>
      </c>
      <c r="AJ283" s="167">
        <v>2.1055257903831201E-3</v>
      </c>
      <c r="AK283" s="161"/>
      <c r="AL283" s="153"/>
    </row>
    <row r="284" spans="1:38">
      <c r="A284" s="2" t="s">
        <v>26</v>
      </c>
      <c r="B284" s="2">
        <v>9962</v>
      </c>
      <c r="C284" s="2" t="s">
        <v>2362</v>
      </c>
      <c r="D284" s="2" t="s">
        <v>2363</v>
      </c>
      <c r="E284" s="4" t="s">
        <v>1305</v>
      </c>
      <c r="F284" s="2" t="s">
        <v>2367</v>
      </c>
      <c r="G284" s="2" t="s">
        <v>2368</v>
      </c>
      <c r="H284" s="2" t="s">
        <v>319</v>
      </c>
      <c r="I284" s="2" t="s">
        <v>754</v>
      </c>
      <c r="J284" s="2" t="s">
        <v>31</v>
      </c>
      <c r="K284" s="2" t="s">
        <v>31</v>
      </c>
      <c r="L284" s="2" t="s">
        <v>325</v>
      </c>
      <c r="M284" s="2" t="s">
        <v>40</v>
      </c>
      <c r="N284" s="2" t="s">
        <v>442</v>
      </c>
      <c r="O284" s="2" t="s">
        <v>136</v>
      </c>
      <c r="P284" s="2" t="s">
        <v>1867</v>
      </c>
      <c r="Q284" s="2" t="s">
        <v>104</v>
      </c>
      <c r="R284" s="2" t="s">
        <v>405</v>
      </c>
      <c r="S284" s="2" t="s">
        <v>35</v>
      </c>
      <c r="T284" s="153">
        <v>1.3129999999999999</v>
      </c>
      <c r="U284" s="2" t="s">
        <v>2369</v>
      </c>
      <c r="V284" s="165">
        <v>2.4799999999999999E-2</v>
      </c>
      <c r="W284" s="167">
        <v>1.8380000000000001E-2</v>
      </c>
      <c r="X284" s="4" t="s">
        <v>411</v>
      </c>
      <c r="Y284" s="4" t="s">
        <v>136</v>
      </c>
      <c r="Z284" s="153">
        <v>50000</v>
      </c>
      <c r="AA284" s="153">
        <v>1</v>
      </c>
      <c r="AB284" s="153">
        <v>112.96</v>
      </c>
      <c r="AC284" s="11"/>
      <c r="AD284" s="153">
        <v>56.48</v>
      </c>
      <c r="AG284" s="2" t="s">
        <v>37</v>
      </c>
      <c r="AH284" s="167">
        <v>1.18E-4</v>
      </c>
      <c r="AI284" s="167">
        <v>8.8683976187458203E-3</v>
      </c>
      <c r="AJ284" s="167">
        <v>1.82976515018523E-3</v>
      </c>
      <c r="AK284" s="161"/>
      <c r="AL284" s="153"/>
    </row>
    <row r="285" spans="1:38">
      <c r="A285" s="2" t="s">
        <v>26</v>
      </c>
      <c r="B285" s="2">
        <v>9962</v>
      </c>
      <c r="C285" s="2" t="s">
        <v>1176</v>
      </c>
      <c r="D285" s="2" t="s">
        <v>1364</v>
      </c>
      <c r="E285" s="4" t="s">
        <v>1305</v>
      </c>
      <c r="F285" s="2" t="s">
        <v>1991</v>
      </c>
      <c r="G285" s="2" t="s">
        <v>1992</v>
      </c>
      <c r="H285" s="2" t="s">
        <v>319</v>
      </c>
      <c r="I285" s="2" t="s">
        <v>754</v>
      </c>
      <c r="J285" s="2" t="s">
        <v>31</v>
      </c>
      <c r="K285" s="2" t="s">
        <v>31</v>
      </c>
      <c r="L285" s="2" t="s">
        <v>325</v>
      </c>
      <c r="M285" s="2" t="s">
        <v>40</v>
      </c>
      <c r="N285" s="2" t="s">
        <v>445</v>
      </c>
      <c r="O285" s="2" t="s">
        <v>136</v>
      </c>
      <c r="P285" s="2" t="s">
        <v>1175</v>
      </c>
      <c r="Q285" s="2" t="s">
        <v>412</v>
      </c>
      <c r="R285" s="2" t="s">
        <v>405</v>
      </c>
      <c r="S285" s="2" t="s">
        <v>35</v>
      </c>
      <c r="T285" s="153">
        <v>3.07</v>
      </c>
      <c r="U285" s="2" t="s">
        <v>1993</v>
      </c>
      <c r="V285" s="165">
        <v>1.8599999999999998E-2</v>
      </c>
      <c r="W285" s="167">
        <v>1.8350000000000002E-2</v>
      </c>
      <c r="X285" s="4" t="s">
        <v>411</v>
      </c>
      <c r="Y285" s="4" t="s">
        <v>136</v>
      </c>
      <c r="Z285" s="153">
        <v>42000</v>
      </c>
      <c r="AA285" s="153">
        <v>1</v>
      </c>
      <c r="AB285" s="153">
        <v>100.55</v>
      </c>
      <c r="AC285" s="11"/>
      <c r="AD285" s="153">
        <v>42.231000000000002</v>
      </c>
      <c r="AG285" s="2" t="s">
        <v>37</v>
      </c>
      <c r="AH285" s="167">
        <v>3.4E-5</v>
      </c>
      <c r="AI285" s="167">
        <v>6.6310428441440196E-3</v>
      </c>
      <c r="AJ285" s="167">
        <v>1.3681446894028399E-3</v>
      </c>
      <c r="AK285" s="161"/>
      <c r="AL285" s="153"/>
    </row>
    <row r="286" spans="1:38">
      <c r="A286" s="2" t="s">
        <v>26</v>
      </c>
      <c r="B286" s="2">
        <v>9962</v>
      </c>
      <c r="C286" s="2" t="s">
        <v>1176</v>
      </c>
      <c r="D286" s="2" t="s">
        <v>1364</v>
      </c>
      <c r="E286" s="4" t="s">
        <v>1305</v>
      </c>
      <c r="F286" s="2" t="s">
        <v>1994</v>
      </c>
      <c r="G286" s="2" t="s">
        <v>1995</v>
      </c>
      <c r="H286" s="2" t="s">
        <v>319</v>
      </c>
      <c r="I286" s="2" t="s">
        <v>754</v>
      </c>
      <c r="J286" s="2" t="s">
        <v>31</v>
      </c>
      <c r="K286" s="2" t="s">
        <v>31</v>
      </c>
      <c r="L286" s="2" t="s">
        <v>325</v>
      </c>
      <c r="M286" s="2" t="s">
        <v>40</v>
      </c>
      <c r="N286" s="2" t="s">
        <v>445</v>
      </c>
      <c r="O286" s="2" t="s">
        <v>136</v>
      </c>
      <c r="P286" s="2" t="s">
        <v>1175</v>
      </c>
      <c r="Q286" s="2" t="s">
        <v>412</v>
      </c>
      <c r="R286" s="2" t="s">
        <v>405</v>
      </c>
      <c r="S286" s="2" t="s">
        <v>35</v>
      </c>
      <c r="T286" s="153">
        <v>3.6459999999999999</v>
      </c>
      <c r="U286" s="2" t="s">
        <v>1996</v>
      </c>
      <c r="V286" s="165">
        <v>1E-3</v>
      </c>
      <c r="W286" s="167">
        <v>1.8010000000000002E-2</v>
      </c>
      <c r="X286" s="4" t="s">
        <v>411</v>
      </c>
      <c r="Y286" s="4" t="s">
        <v>136</v>
      </c>
      <c r="Z286" s="153">
        <v>28000</v>
      </c>
      <c r="AA286" s="153">
        <v>1</v>
      </c>
      <c r="AB286" s="153">
        <v>102.55</v>
      </c>
      <c r="AC286" s="11"/>
      <c r="AD286" s="153">
        <v>28.713999999999999</v>
      </c>
      <c r="AG286" s="2" t="s">
        <v>37</v>
      </c>
      <c r="AH286" s="167">
        <v>9.0000000000000002E-6</v>
      </c>
      <c r="AI286" s="167">
        <v>4.5086255174339096E-3</v>
      </c>
      <c r="AJ286" s="167">
        <v>9.3023860698333502E-4</v>
      </c>
      <c r="AK286" s="161"/>
      <c r="AL286" s="153"/>
    </row>
    <row r="287" spans="1:38">
      <c r="A287" s="2" t="s">
        <v>26</v>
      </c>
      <c r="B287" s="2">
        <v>9962</v>
      </c>
      <c r="C287" s="2" t="s">
        <v>1176</v>
      </c>
      <c r="D287" s="2" t="s">
        <v>1364</v>
      </c>
      <c r="E287" s="4" t="s">
        <v>1305</v>
      </c>
      <c r="F287" s="2" t="s">
        <v>1997</v>
      </c>
      <c r="G287" s="2" t="s">
        <v>1998</v>
      </c>
      <c r="H287" s="2" t="s">
        <v>319</v>
      </c>
      <c r="I287" s="2" t="s">
        <v>754</v>
      </c>
      <c r="J287" s="2" t="s">
        <v>31</v>
      </c>
      <c r="K287" s="2" t="s">
        <v>31</v>
      </c>
      <c r="L287" s="2" t="s">
        <v>325</v>
      </c>
      <c r="M287" s="2" t="s">
        <v>40</v>
      </c>
      <c r="N287" s="2" t="s">
        <v>445</v>
      </c>
      <c r="O287" s="2" t="s">
        <v>136</v>
      </c>
      <c r="P287" s="2" t="s">
        <v>1175</v>
      </c>
      <c r="Q287" s="2" t="s">
        <v>412</v>
      </c>
      <c r="R287" s="2" t="s">
        <v>405</v>
      </c>
      <c r="S287" s="2" t="s">
        <v>35</v>
      </c>
      <c r="T287" s="153">
        <v>5.54</v>
      </c>
      <c r="U287" s="2" t="s">
        <v>1999</v>
      </c>
      <c r="V287" s="165">
        <v>2.0199999999999999E-2</v>
      </c>
      <c r="W287" s="167">
        <v>2.0369999999999999E-2</v>
      </c>
      <c r="X287" s="4" t="s">
        <v>411</v>
      </c>
      <c r="Y287" s="4" t="s">
        <v>136</v>
      </c>
      <c r="Z287" s="153">
        <v>42000</v>
      </c>
      <c r="AA287" s="153">
        <v>1</v>
      </c>
      <c r="AB287" s="153">
        <v>100.75</v>
      </c>
      <c r="AC287" s="11"/>
      <c r="AD287" s="153">
        <v>42.314999999999998</v>
      </c>
      <c r="AG287" s="2" t="s">
        <v>37</v>
      </c>
      <c r="AH287" s="167">
        <v>2.0000000000000002E-5</v>
      </c>
      <c r="AI287" s="167">
        <v>6.64423238734471E-3</v>
      </c>
      <c r="AJ287" s="167">
        <v>1.3708660115100599E-3</v>
      </c>
      <c r="AK287" s="161"/>
      <c r="AL287" s="153"/>
    </row>
    <row r="288" spans="1:38">
      <c r="A288" s="2" t="s">
        <v>26</v>
      </c>
      <c r="B288" s="2">
        <v>9962</v>
      </c>
      <c r="C288" s="2" t="s">
        <v>1176</v>
      </c>
      <c r="D288" s="2" t="s">
        <v>1364</v>
      </c>
      <c r="E288" s="4" t="s">
        <v>1305</v>
      </c>
      <c r="F288" s="2" t="s">
        <v>2000</v>
      </c>
      <c r="G288" s="2" t="s">
        <v>2001</v>
      </c>
      <c r="H288" s="2" t="s">
        <v>319</v>
      </c>
      <c r="I288" s="2" t="s">
        <v>754</v>
      </c>
      <c r="J288" s="2" t="s">
        <v>31</v>
      </c>
      <c r="K288" s="2" t="s">
        <v>31</v>
      </c>
      <c r="L288" s="2" t="s">
        <v>325</v>
      </c>
      <c r="M288" s="2" t="s">
        <v>40</v>
      </c>
      <c r="N288" s="2" t="s">
        <v>445</v>
      </c>
      <c r="O288" s="2" t="s">
        <v>136</v>
      </c>
      <c r="P288" s="2" t="s">
        <v>1175</v>
      </c>
      <c r="Q288" s="2" t="s">
        <v>412</v>
      </c>
      <c r="R288" s="2" t="s">
        <v>405</v>
      </c>
      <c r="S288" s="2" t="s">
        <v>35</v>
      </c>
      <c r="T288" s="153">
        <v>5.6390000000000002</v>
      </c>
      <c r="U288" s="2" t="s">
        <v>2002</v>
      </c>
      <c r="V288" s="165">
        <v>1E-3</v>
      </c>
      <c r="W288" s="167">
        <v>2.069E-2</v>
      </c>
      <c r="X288" s="4" t="s">
        <v>411</v>
      </c>
      <c r="Y288" s="4" t="s">
        <v>136</v>
      </c>
      <c r="Z288" s="153">
        <v>29000</v>
      </c>
      <c r="AA288" s="153">
        <v>1</v>
      </c>
      <c r="AB288" s="153">
        <v>97.7</v>
      </c>
      <c r="AC288" s="11"/>
      <c r="AD288" s="153">
        <v>28.332999999999998</v>
      </c>
      <c r="AG288" s="2" t="s">
        <v>37</v>
      </c>
      <c r="AH288" s="167">
        <v>2.9E-5</v>
      </c>
      <c r="AI288" s="167">
        <v>4.4488015179165201E-3</v>
      </c>
      <c r="AJ288" s="167">
        <v>9.1789546742560501E-4</v>
      </c>
      <c r="AK288" s="161"/>
      <c r="AL288" s="153"/>
    </row>
    <row r="289" spans="1:38">
      <c r="A289" s="2" t="s">
        <v>26</v>
      </c>
      <c r="B289" s="2">
        <v>9962</v>
      </c>
      <c r="C289" s="2" t="s">
        <v>1176</v>
      </c>
      <c r="D289" s="2" t="s">
        <v>1364</v>
      </c>
      <c r="E289" s="4" t="s">
        <v>1305</v>
      </c>
      <c r="F289" s="2" t="s">
        <v>2003</v>
      </c>
      <c r="G289" s="2" t="s">
        <v>2004</v>
      </c>
      <c r="H289" s="2" t="s">
        <v>319</v>
      </c>
      <c r="I289" s="2" t="s">
        <v>754</v>
      </c>
      <c r="J289" s="2" t="s">
        <v>31</v>
      </c>
      <c r="K289" s="2" t="s">
        <v>31</v>
      </c>
      <c r="L289" s="2" t="s">
        <v>325</v>
      </c>
      <c r="M289" s="2" t="s">
        <v>40</v>
      </c>
      <c r="N289" s="2" t="s">
        <v>445</v>
      </c>
      <c r="O289" s="2" t="s">
        <v>136</v>
      </c>
      <c r="P289" s="2" t="s">
        <v>1748</v>
      </c>
      <c r="Q289" s="2" t="s">
        <v>412</v>
      </c>
      <c r="R289" s="2" t="s">
        <v>405</v>
      </c>
      <c r="S289" s="2" t="s">
        <v>35</v>
      </c>
      <c r="T289" s="153">
        <v>0.91200000000000003</v>
      </c>
      <c r="U289" s="2" t="s">
        <v>2005</v>
      </c>
      <c r="V289" s="165">
        <v>2.4199999999999999E-2</v>
      </c>
      <c r="W289" s="167">
        <v>1.8509999999999999E-2</v>
      </c>
      <c r="X289" s="4" t="s">
        <v>411</v>
      </c>
      <c r="Y289" s="4" t="s">
        <v>136</v>
      </c>
      <c r="Z289" s="153">
        <v>50000</v>
      </c>
      <c r="AA289" s="153">
        <v>1</v>
      </c>
      <c r="AB289" s="153">
        <v>112.35</v>
      </c>
      <c r="AC289" s="11"/>
      <c r="AD289" s="153">
        <v>56.174999999999997</v>
      </c>
      <c r="AG289" s="2" t="s">
        <v>37</v>
      </c>
      <c r="AH289" s="167">
        <v>3.4999999999999997E-5</v>
      </c>
      <c r="AI289" s="167">
        <v>8.8205070154576196E-3</v>
      </c>
      <c r="AJ289" s="167">
        <v>1.8198841592007001E-3</v>
      </c>
      <c r="AK289" s="161"/>
      <c r="AL289" s="153"/>
    </row>
    <row r="290" spans="1:38">
      <c r="A290" s="2" t="s">
        <v>26</v>
      </c>
      <c r="B290" s="2">
        <v>9962</v>
      </c>
      <c r="C290" s="2" t="s">
        <v>1176</v>
      </c>
      <c r="D290" s="2" t="s">
        <v>1364</v>
      </c>
      <c r="E290" s="4" t="s">
        <v>1305</v>
      </c>
      <c r="F290" s="2" t="s">
        <v>2006</v>
      </c>
      <c r="G290" s="2" t="s">
        <v>2007</v>
      </c>
      <c r="H290" s="2" t="s">
        <v>319</v>
      </c>
      <c r="I290" s="2" t="s">
        <v>754</v>
      </c>
      <c r="J290" s="2" t="s">
        <v>31</v>
      </c>
      <c r="K290" s="2" t="s">
        <v>31</v>
      </c>
      <c r="L290" s="2" t="s">
        <v>325</v>
      </c>
      <c r="M290" s="2" t="s">
        <v>40</v>
      </c>
      <c r="N290" s="2" t="s">
        <v>445</v>
      </c>
      <c r="O290" s="2" t="s">
        <v>136</v>
      </c>
      <c r="P290" s="2" t="s">
        <v>1984</v>
      </c>
      <c r="Q290" s="2" t="s">
        <v>104</v>
      </c>
      <c r="R290" s="2" t="s">
        <v>405</v>
      </c>
      <c r="S290" s="2" t="s">
        <v>35</v>
      </c>
      <c r="T290" s="153">
        <v>3.899</v>
      </c>
      <c r="U290" s="2" t="s">
        <v>2008</v>
      </c>
      <c r="V290" s="165">
        <v>1.4999999999999999E-2</v>
      </c>
      <c r="W290" s="167">
        <v>2.6530000000000001E-2</v>
      </c>
      <c r="X290" s="4" t="s">
        <v>411</v>
      </c>
      <c r="Y290" s="4" t="s">
        <v>136</v>
      </c>
      <c r="Z290" s="153">
        <v>50000</v>
      </c>
      <c r="AA290" s="153">
        <v>1</v>
      </c>
      <c r="AB290" s="153">
        <v>103</v>
      </c>
      <c r="AC290" s="11"/>
      <c r="AD290" s="153">
        <v>51.5</v>
      </c>
      <c r="AG290" s="2" t="s">
        <v>37</v>
      </c>
      <c r="AH290" s="167">
        <v>3.6000000000000001E-5</v>
      </c>
      <c r="AI290" s="167">
        <v>8.0864461289909591E-3</v>
      </c>
      <c r="AJ290" s="167">
        <v>1.66842962525743E-3</v>
      </c>
      <c r="AK290" s="161"/>
      <c r="AL290" s="153"/>
    </row>
    <row r="291" spans="1:38">
      <c r="A291" s="2" t="s">
        <v>26</v>
      </c>
      <c r="B291" s="2">
        <v>9962</v>
      </c>
      <c r="C291" s="2" t="s">
        <v>2009</v>
      </c>
      <c r="D291" s="2" t="s">
        <v>2010</v>
      </c>
      <c r="E291" s="4" t="s">
        <v>1305</v>
      </c>
      <c r="F291" s="2" t="s">
        <v>2011</v>
      </c>
      <c r="G291" s="2" t="s">
        <v>2012</v>
      </c>
      <c r="H291" s="2" t="s">
        <v>319</v>
      </c>
      <c r="I291" s="2" t="s">
        <v>754</v>
      </c>
      <c r="J291" s="2" t="s">
        <v>31</v>
      </c>
      <c r="K291" s="2" t="s">
        <v>31</v>
      </c>
      <c r="L291" s="2" t="s">
        <v>325</v>
      </c>
      <c r="M291" s="2" t="s">
        <v>40</v>
      </c>
      <c r="N291" s="2" t="s">
        <v>448</v>
      </c>
      <c r="O291" s="2" t="s">
        <v>136</v>
      </c>
      <c r="P291" s="2" t="s">
        <v>1731</v>
      </c>
      <c r="Q291" s="2" t="s">
        <v>104</v>
      </c>
      <c r="R291" s="2" t="s">
        <v>405</v>
      </c>
      <c r="S291" s="2" t="s">
        <v>35</v>
      </c>
      <c r="T291" s="153">
        <v>3.4660000000000002</v>
      </c>
      <c r="U291" s="2" t="s">
        <v>2013</v>
      </c>
      <c r="V291" s="165">
        <v>3.73E-2</v>
      </c>
      <c r="W291" s="167">
        <v>3.4209999999999997E-2</v>
      </c>
      <c r="X291" s="4" t="s">
        <v>411</v>
      </c>
      <c r="Y291" s="4" t="s">
        <v>136</v>
      </c>
      <c r="Z291" s="153">
        <v>27000</v>
      </c>
      <c r="AA291" s="153">
        <v>1</v>
      </c>
      <c r="AB291" s="153">
        <v>105.42</v>
      </c>
      <c r="AC291" s="11"/>
      <c r="AD291" s="153">
        <v>28.463000000000001</v>
      </c>
      <c r="AG291" s="2" t="s">
        <v>37</v>
      </c>
      <c r="AH291" s="167">
        <v>1.15E-4</v>
      </c>
      <c r="AI291" s="167">
        <v>4.4692767135518698E-3</v>
      </c>
      <c r="AJ291" s="167">
        <v>9.2211999603013998E-4</v>
      </c>
      <c r="AK291" s="161"/>
      <c r="AL291" s="153"/>
    </row>
    <row r="292" spans="1:38">
      <c r="A292" s="2" t="s">
        <v>26</v>
      </c>
      <c r="B292" s="2">
        <v>9962</v>
      </c>
      <c r="C292" s="2" t="s">
        <v>2014</v>
      </c>
      <c r="D292" s="2" t="s">
        <v>2015</v>
      </c>
      <c r="E292" s="4" t="s">
        <v>1305</v>
      </c>
      <c r="F292" s="2" t="s">
        <v>2016</v>
      </c>
      <c r="G292" s="2" t="s">
        <v>2017</v>
      </c>
      <c r="H292" s="2" t="s">
        <v>319</v>
      </c>
      <c r="I292" s="2" t="s">
        <v>966</v>
      </c>
      <c r="J292" s="2" t="s">
        <v>73</v>
      </c>
      <c r="K292" s="2" t="s">
        <v>31</v>
      </c>
      <c r="L292" s="2" t="s">
        <v>325</v>
      </c>
      <c r="M292" s="2" t="s">
        <v>40</v>
      </c>
      <c r="N292" s="2" t="s">
        <v>444</v>
      </c>
      <c r="O292" s="2" t="s">
        <v>136</v>
      </c>
      <c r="P292" s="2" t="s">
        <v>1752</v>
      </c>
      <c r="Q292" s="23" t="s">
        <v>1752</v>
      </c>
      <c r="R292" s="23" t="s">
        <v>1752</v>
      </c>
      <c r="S292" s="2" t="s">
        <v>35</v>
      </c>
      <c r="T292" s="153">
        <v>3.8239999999999998</v>
      </c>
      <c r="U292" s="2" t="s">
        <v>2018</v>
      </c>
      <c r="V292" s="165">
        <v>8.1500000000000003E-2</v>
      </c>
      <c r="W292" s="167">
        <v>6.8169999999999994E-2</v>
      </c>
      <c r="X292" s="4" t="s">
        <v>411</v>
      </c>
      <c r="Y292" s="4" t="s">
        <v>136</v>
      </c>
      <c r="Z292" s="153">
        <v>28000</v>
      </c>
      <c r="AA292" s="153">
        <v>1</v>
      </c>
      <c r="AB292" s="153">
        <v>105.58</v>
      </c>
      <c r="AC292" s="11"/>
      <c r="AD292" s="153">
        <v>29.562000000000001</v>
      </c>
      <c r="AG292" s="2" t="s">
        <v>37</v>
      </c>
      <c r="AH292" s="167">
        <v>0</v>
      </c>
      <c r="AI292" s="167">
        <v>4.6418399037608197E-3</v>
      </c>
      <c r="AJ292" s="167">
        <v>9.57723960266216E-4</v>
      </c>
      <c r="AK292" s="161"/>
      <c r="AL292" s="153"/>
    </row>
    <row r="293" spans="1:38">
      <c r="A293" s="2" t="s">
        <v>26</v>
      </c>
      <c r="B293" s="2">
        <v>9962</v>
      </c>
      <c r="C293" s="2" t="s">
        <v>2019</v>
      </c>
      <c r="D293" s="2" t="s">
        <v>2020</v>
      </c>
      <c r="E293" s="4" t="s">
        <v>1305</v>
      </c>
      <c r="F293" s="2" t="s">
        <v>2021</v>
      </c>
      <c r="G293" s="2" t="s">
        <v>2022</v>
      </c>
      <c r="H293" s="2" t="s">
        <v>319</v>
      </c>
      <c r="I293" s="2" t="s">
        <v>966</v>
      </c>
      <c r="J293" s="2" t="s">
        <v>73</v>
      </c>
      <c r="K293" s="2" t="s">
        <v>74</v>
      </c>
      <c r="L293" s="2" t="s">
        <v>325</v>
      </c>
      <c r="M293" s="2" t="s">
        <v>40</v>
      </c>
      <c r="N293" s="2" t="s">
        <v>462</v>
      </c>
      <c r="O293" s="2" t="s">
        <v>136</v>
      </c>
      <c r="P293" s="2" t="s">
        <v>1896</v>
      </c>
      <c r="Q293" s="2" t="s">
        <v>104</v>
      </c>
      <c r="R293" s="2" t="s">
        <v>405</v>
      </c>
      <c r="S293" s="2" t="s">
        <v>35</v>
      </c>
      <c r="T293" s="153">
        <v>1.607</v>
      </c>
      <c r="U293" s="2" t="s">
        <v>2023</v>
      </c>
      <c r="V293" s="165">
        <v>3.95E-2</v>
      </c>
      <c r="W293" s="167">
        <v>5.9790000000000003E-2</v>
      </c>
      <c r="X293" s="4" t="s">
        <v>411</v>
      </c>
      <c r="Y293" s="4" t="s">
        <v>136</v>
      </c>
      <c r="Z293" s="153">
        <v>13000</v>
      </c>
      <c r="AA293" s="153">
        <v>1</v>
      </c>
      <c r="AB293" s="153">
        <v>98.29</v>
      </c>
      <c r="AC293" s="11"/>
      <c r="AD293" s="153">
        <v>12.778</v>
      </c>
      <c r="AG293" s="2" t="s">
        <v>37</v>
      </c>
      <c r="AH293" s="167">
        <v>2.0999999999999999E-5</v>
      </c>
      <c r="AI293" s="167">
        <v>2.0063336447069501E-3</v>
      </c>
      <c r="AJ293" s="167">
        <v>4.1395520820683201E-4</v>
      </c>
      <c r="AK293" s="161"/>
      <c r="AL293" s="153"/>
    </row>
    <row r="294" spans="1:38">
      <c r="A294" s="2" t="s">
        <v>26</v>
      </c>
      <c r="B294" s="2">
        <v>9962</v>
      </c>
      <c r="C294" s="2" t="s">
        <v>1367</v>
      </c>
      <c r="D294" s="2" t="s">
        <v>1368</v>
      </c>
      <c r="E294" s="4" t="s">
        <v>1305</v>
      </c>
      <c r="F294" s="2" t="s">
        <v>2024</v>
      </c>
      <c r="G294" s="2" t="s">
        <v>2025</v>
      </c>
      <c r="H294" s="2" t="s">
        <v>319</v>
      </c>
      <c r="I294" s="2" t="s">
        <v>754</v>
      </c>
      <c r="J294" s="2" t="s">
        <v>31</v>
      </c>
      <c r="K294" s="2" t="s">
        <v>31</v>
      </c>
      <c r="L294" s="2" t="s">
        <v>325</v>
      </c>
      <c r="M294" s="2" t="s">
        <v>40</v>
      </c>
      <c r="N294" s="2" t="s">
        <v>461</v>
      </c>
      <c r="O294" s="2" t="s">
        <v>136</v>
      </c>
      <c r="P294" s="2" t="s">
        <v>1984</v>
      </c>
      <c r="Q294" s="2" t="s">
        <v>104</v>
      </c>
      <c r="R294" s="2" t="s">
        <v>405</v>
      </c>
      <c r="S294" s="2" t="s">
        <v>35</v>
      </c>
      <c r="T294" s="153">
        <v>3.903</v>
      </c>
      <c r="U294" s="2" t="s">
        <v>1926</v>
      </c>
      <c r="V294" s="165">
        <v>2.81E-2</v>
      </c>
      <c r="W294" s="167">
        <v>2.4490000000000001E-2</v>
      </c>
      <c r="X294" s="4" t="s">
        <v>411</v>
      </c>
      <c r="Y294" s="4" t="s">
        <v>136</v>
      </c>
      <c r="Z294" s="153">
        <v>27187.5</v>
      </c>
      <c r="AA294" s="153">
        <v>1</v>
      </c>
      <c r="AB294" s="153">
        <v>115.32</v>
      </c>
      <c r="AC294" s="11"/>
      <c r="AD294" s="153">
        <v>31.353000000000002</v>
      </c>
      <c r="AG294" s="2" t="s">
        <v>37</v>
      </c>
      <c r="AH294" s="167">
        <v>2.0000000000000002E-5</v>
      </c>
      <c r="AI294" s="167">
        <v>4.9229381177661197E-3</v>
      </c>
      <c r="AJ294" s="167">
        <v>1.01572132775896E-3</v>
      </c>
      <c r="AK294" s="161"/>
      <c r="AL294" s="153"/>
    </row>
    <row r="295" spans="1:38">
      <c r="A295" s="2" t="s">
        <v>26</v>
      </c>
      <c r="B295" s="2">
        <v>9962</v>
      </c>
      <c r="C295" s="2" t="s">
        <v>1367</v>
      </c>
      <c r="D295" s="2" t="s">
        <v>1368</v>
      </c>
      <c r="E295" s="4" t="s">
        <v>1305</v>
      </c>
      <c r="F295" s="2" t="s">
        <v>2370</v>
      </c>
      <c r="G295" s="2" t="s">
        <v>2371</v>
      </c>
      <c r="H295" s="2" t="s">
        <v>319</v>
      </c>
      <c r="I295" s="2" t="s">
        <v>754</v>
      </c>
      <c r="J295" s="2" t="s">
        <v>31</v>
      </c>
      <c r="K295" s="2" t="s">
        <v>31</v>
      </c>
      <c r="L295" s="2" t="s">
        <v>325</v>
      </c>
      <c r="M295" s="2" t="s">
        <v>40</v>
      </c>
      <c r="N295" s="2" t="s">
        <v>461</v>
      </c>
      <c r="O295" s="2" t="s">
        <v>136</v>
      </c>
      <c r="P295" s="2" t="s">
        <v>1984</v>
      </c>
      <c r="Q295" s="2" t="s">
        <v>104</v>
      </c>
      <c r="R295" s="2" t="s">
        <v>405</v>
      </c>
      <c r="S295" s="2" t="s">
        <v>35</v>
      </c>
      <c r="T295" s="153">
        <v>2.1539999999999999</v>
      </c>
      <c r="U295" s="2" t="s">
        <v>1753</v>
      </c>
      <c r="V295" s="165">
        <v>3.6999999999999998E-2</v>
      </c>
      <c r="W295" s="167">
        <v>2.189E-2</v>
      </c>
      <c r="X295" s="4" t="s">
        <v>411</v>
      </c>
      <c r="Y295" s="4" t="s">
        <v>136</v>
      </c>
      <c r="Z295" s="153">
        <v>8771.89</v>
      </c>
      <c r="AA295" s="153">
        <v>1</v>
      </c>
      <c r="AB295" s="153">
        <v>116.15</v>
      </c>
      <c r="AC295" s="11"/>
      <c r="AD295" s="153">
        <v>10.189</v>
      </c>
      <c r="AG295" s="2" t="s">
        <v>37</v>
      </c>
      <c r="AH295" s="167">
        <v>2.3E-5</v>
      </c>
      <c r="AI295" s="167">
        <v>1.5997895652008899E-3</v>
      </c>
      <c r="AJ295" s="167">
        <v>3.3007532136888402E-4</v>
      </c>
      <c r="AK295" s="161"/>
      <c r="AL295" s="153"/>
    </row>
    <row r="296" spans="1:38">
      <c r="A296" s="2" t="s">
        <v>26</v>
      </c>
      <c r="B296" s="2">
        <v>9962</v>
      </c>
      <c r="C296" s="2" t="s">
        <v>2026</v>
      </c>
      <c r="D296" s="2" t="s">
        <v>2027</v>
      </c>
      <c r="E296" s="4" t="s">
        <v>1305</v>
      </c>
      <c r="F296" s="2" t="s">
        <v>2028</v>
      </c>
      <c r="G296" s="2" t="s">
        <v>2029</v>
      </c>
      <c r="H296" s="2" t="s">
        <v>319</v>
      </c>
      <c r="I296" s="2" t="s">
        <v>754</v>
      </c>
      <c r="J296" s="2" t="s">
        <v>31</v>
      </c>
      <c r="K296" s="2" t="s">
        <v>31</v>
      </c>
      <c r="L296" s="2" t="s">
        <v>325</v>
      </c>
      <c r="M296" s="2" t="s">
        <v>40</v>
      </c>
      <c r="N296" s="2" t="s">
        <v>461</v>
      </c>
      <c r="O296" s="2" t="s">
        <v>136</v>
      </c>
      <c r="P296" s="2" t="s">
        <v>1758</v>
      </c>
      <c r="Q296" s="2" t="s">
        <v>412</v>
      </c>
      <c r="R296" s="2" t="s">
        <v>405</v>
      </c>
      <c r="S296" s="2" t="s">
        <v>35</v>
      </c>
      <c r="T296" s="153">
        <v>2.077</v>
      </c>
      <c r="U296" s="2" t="s">
        <v>2030</v>
      </c>
      <c r="V296" s="165">
        <v>2.0500000000000001E-2</v>
      </c>
      <c r="W296" s="167">
        <v>2.3279999999999999E-2</v>
      </c>
      <c r="X296" s="4" t="s">
        <v>411</v>
      </c>
      <c r="Y296" s="4" t="s">
        <v>136</v>
      </c>
      <c r="Z296" s="153">
        <v>46976.56</v>
      </c>
      <c r="AA296" s="153">
        <v>1</v>
      </c>
      <c r="AB296" s="153">
        <v>112.41</v>
      </c>
      <c r="AC296" s="11"/>
      <c r="AD296" s="153">
        <v>52.805999999999997</v>
      </c>
      <c r="AG296" s="2" t="s">
        <v>37</v>
      </c>
      <c r="AH296" s="167">
        <v>6.0999999999999999E-5</v>
      </c>
      <c r="AI296" s="167">
        <v>8.2915672506094495E-3</v>
      </c>
      <c r="AJ296" s="167">
        <v>1.7107510790351701E-3</v>
      </c>
      <c r="AK296" s="161"/>
      <c r="AL296" s="153"/>
    </row>
    <row r="297" spans="1:38">
      <c r="A297" s="2" t="s">
        <v>26</v>
      </c>
      <c r="B297" s="2">
        <v>9962</v>
      </c>
      <c r="C297" s="2" t="s">
        <v>2031</v>
      </c>
      <c r="D297" s="2" t="s">
        <v>2032</v>
      </c>
      <c r="E297" s="4" t="s">
        <v>1305</v>
      </c>
      <c r="F297" s="2" t="s">
        <v>2033</v>
      </c>
      <c r="G297" s="2" t="s">
        <v>2034</v>
      </c>
      <c r="H297" s="2" t="s">
        <v>319</v>
      </c>
      <c r="I297" s="2" t="s">
        <v>754</v>
      </c>
      <c r="J297" s="2" t="s">
        <v>31</v>
      </c>
      <c r="K297" s="2" t="s">
        <v>31</v>
      </c>
      <c r="L297" s="2" t="s">
        <v>325</v>
      </c>
      <c r="M297" s="2" t="s">
        <v>40</v>
      </c>
      <c r="N297" s="2" t="s">
        <v>461</v>
      </c>
      <c r="O297" s="2" t="s">
        <v>136</v>
      </c>
      <c r="P297" s="2" t="s">
        <v>1724</v>
      </c>
      <c r="Q297" s="2" t="s">
        <v>412</v>
      </c>
      <c r="R297" s="2" t="s">
        <v>405</v>
      </c>
      <c r="S297" s="2" t="s">
        <v>35</v>
      </c>
      <c r="T297" s="153">
        <v>4.4800000000000004</v>
      </c>
      <c r="U297" s="2" t="s">
        <v>1743</v>
      </c>
      <c r="V297" s="165">
        <v>3.0000000000000001E-3</v>
      </c>
      <c r="W297" s="167">
        <v>3.0700000000000002E-2</v>
      </c>
      <c r="X297" s="4" t="s">
        <v>411</v>
      </c>
      <c r="Y297" s="4" t="s">
        <v>136</v>
      </c>
      <c r="Z297" s="153">
        <v>24000</v>
      </c>
      <c r="AA297" s="153">
        <v>1</v>
      </c>
      <c r="AB297" s="153">
        <v>97.4</v>
      </c>
      <c r="AC297" s="11"/>
      <c r="AD297" s="153">
        <v>23.376000000000001</v>
      </c>
      <c r="AG297" s="2" t="s">
        <v>37</v>
      </c>
      <c r="AH297" s="167">
        <v>6.6000000000000005E-5</v>
      </c>
      <c r="AI297" s="167">
        <v>3.67046145070471E-3</v>
      </c>
      <c r="AJ297" s="167">
        <v>7.5730506640810905E-4</v>
      </c>
      <c r="AK297" s="161"/>
      <c r="AL297" s="153"/>
    </row>
    <row r="298" spans="1:38">
      <c r="A298" s="2" t="s">
        <v>26</v>
      </c>
      <c r="B298" s="2">
        <v>9962</v>
      </c>
      <c r="C298" s="2" t="s">
        <v>2035</v>
      </c>
      <c r="D298" s="2" t="s">
        <v>2036</v>
      </c>
      <c r="E298" s="4" t="s">
        <v>1305</v>
      </c>
      <c r="F298" s="2" t="s">
        <v>2040</v>
      </c>
      <c r="G298" s="2" t="s">
        <v>2041</v>
      </c>
      <c r="H298" s="2" t="s">
        <v>319</v>
      </c>
      <c r="I298" s="2" t="s">
        <v>754</v>
      </c>
      <c r="J298" s="2" t="s">
        <v>31</v>
      </c>
      <c r="K298" s="2" t="s">
        <v>31</v>
      </c>
      <c r="L298" s="2" t="s">
        <v>325</v>
      </c>
      <c r="M298" s="2" t="s">
        <v>40</v>
      </c>
      <c r="N298" s="2" t="s">
        <v>445</v>
      </c>
      <c r="O298" s="2" t="s">
        <v>136</v>
      </c>
      <c r="P298" s="2" t="s">
        <v>76</v>
      </c>
      <c r="Q298" s="2" t="s">
        <v>104</v>
      </c>
      <c r="R298" s="2" t="s">
        <v>405</v>
      </c>
      <c r="S298" s="2" t="s">
        <v>35</v>
      </c>
      <c r="T298" s="153">
        <v>4.5510000000000002</v>
      </c>
      <c r="U298" s="2" t="s">
        <v>2042</v>
      </c>
      <c r="V298" s="165">
        <v>1E-3</v>
      </c>
      <c r="W298" s="167">
        <v>1.9689999999999999E-2</v>
      </c>
      <c r="X298" s="4" t="s">
        <v>411</v>
      </c>
      <c r="Y298" s="4" t="s">
        <v>136</v>
      </c>
      <c r="Z298" s="153">
        <v>58000</v>
      </c>
      <c r="AA298" s="153">
        <v>1</v>
      </c>
      <c r="AB298" s="153">
        <v>100.35</v>
      </c>
      <c r="AC298" s="11"/>
      <c r="AD298" s="153">
        <v>58.203000000000003</v>
      </c>
      <c r="AG298" s="2" t="s">
        <v>37</v>
      </c>
      <c r="AH298" s="167">
        <v>1.7E-5</v>
      </c>
      <c r="AI298" s="167">
        <v>9.1389402727312802E-3</v>
      </c>
      <c r="AJ298" s="167">
        <v>1.88558465007491E-3</v>
      </c>
      <c r="AK298" s="161"/>
      <c r="AL298" s="153"/>
    </row>
    <row r="299" spans="1:38">
      <c r="A299" s="2" t="s">
        <v>26</v>
      </c>
      <c r="B299" s="2">
        <v>9962</v>
      </c>
      <c r="C299" s="2" t="s">
        <v>2046</v>
      </c>
      <c r="D299" s="2" t="s">
        <v>2047</v>
      </c>
      <c r="E299" s="4" t="s">
        <v>1305</v>
      </c>
      <c r="F299" s="2" t="s">
        <v>2048</v>
      </c>
      <c r="G299" s="2" t="s">
        <v>2049</v>
      </c>
      <c r="H299" s="2" t="s">
        <v>319</v>
      </c>
      <c r="I299" s="2" t="s">
        <v>754</v>
      </c>
      <c r="J299" s="2" t="s">
        <v>31</v>
      </c>
      <c r="K299" s="2" t="s">
        <v>31</v>
      </c>
      <c r="L299" s="2" t="s">
        <v>325</v>
      </c>
      <c r="M299" s="2" t="s">
        <v>40</v>
      </c>
      <c r="N299" s="2" t="s">
        <v>440</v>
      </c>
      <c r="O299" s="2" t="s">
        <v>136</v>
      </c>
      <c r="P299" s="2" t="s">
        <v>1896</v>
      </c>
      <c r="Q299" s="2" t="s">
        <v>104</v>
      </c>
      <c r="R299" s="2" t="s">
        <v>405</v>
      </c>
      <c r="S299" s="2" t="s">
        <v>35</v>
      </c>
      <c r="T299" s="153">
        <v>1.044</v>
      </c>
      <c r="U299" s="2" t="s">
        <v>1897</v>
      </c>
      <c r="V299" s="165">
        <v>1.8499999999999999E-2</v>
      </c>
      <c r="W299" s="167">
        <v>1.9130000000000001E-2</v>
      </c>
      <c r="X299" s="4" t="s">
        <v>411</v>
      </c>
      <c r="Y299" s="4" t="s">
        <v>136</v>
      </c>
      <c r="Z299" s="153">
        <v>13522.4</v>
      </c>
      <c r="AA299" s="153">
        <v>1</v>
      </c>
      <c r="AB299" s="153">
        <v>111.87</v>
      </c>
      <c r="AC299" s="11"/>
      <c r="AD299" s="153">
        <v>15.128</v>
      </c>
      <c r="AG299" s="2" t="s">
        <v>37</v>
      </c>
      <c r="AH299" s="167">
        <v>2.3E-5</v>
      </c>
      <c r="AI299" s="167">
        <v>2.3752968082320801E-3</v>
      </c>
      <c r="AJ299" s="167">
        <v>4.9008124216964595E-4</v>
      </c>
      <c r="AK299" s="161"/>
      <c r="AL299" s="153"/>
    </row>
    <row r="300" spans="1:38">
      <c r="A300" s="2" t="s">
        <v>26</v>
      </c>
      <c r="B300" s="2">
        <v>9962</v>
      </c>
      <c r="C300" s="2" t="s">
        <v>2046</v>
      </c>
      <c r="D300" s="2" t="s">
        <v>2047</v>
      </c>
      <c r="E300" s="4" t="s">
        <v>1305</v>
      </c>
      <c r="F300" s="2" t="s">
        <v>2050</v>
      </c>
      <c r="G300" s="2" t="s">
        <v>2051</v>
      </c>
      <c r="H300" s="2" t="s">
        <v>319</v>
      </c>
      <c r="I300" s="2" t="s">
        <v>754</v>
      </c>
      <c r="J300" s="2" t="s">
        <v>31</v>
      </c>
      <c r="K300" s="2" t="s">
        <v>31</v>
      </c>
      <c r="L300" s="2" t="s">
        <v>325</v>
      </c>
      <c r="M300" s="2" t="s">
        <v>40</v>
      </c>
      <c r="N300" s="2" t="s">
        <v>440</v>
      </c>
      <c r="O300" s="2" t="s">
        <v>136</v>
      </c>
      <c r="P300" s="2" t="s">
        <v>1896</v>
      </c>
      <c r="Q300" s="2" t="s">
        <v>104</v>
      </c>
      <c r="R300" s="2" t="s">
        <v>405</v>
      </c>
      <c r="S300" s="2" t="s">
        <v>35</v>
      </c>
      <c r="T300" s="153">
        <v>3.4689999999999999</v>
      </c>
      <c r="U300" s="2" t="s">
        <v>2052</v>
      </c>
      <c r="V300" s="165">
        <v>0.01</v>
      </c>
      <c r="W300" s="167">
        <v>3.6119999999999999E-2</v>
      </c>
      <c r="X300" s="4" t="s">
        <v>411</v>
      </c>
      <c r="Y300" s="4" t="s">
        <v>136</v>
      </c>
      <c r="Z300" s="153">
        <v>66666</v>
      </c>
      <c r="AA300" s="153">
        <v>1</v>
      </c>
      <c r="AB300" s="153">
        <v>99.91</v>
      </c>
      <c r="AC300" s="11"/>
      <c r="AD300" s="153">
        <v>66.605999999999995</v>
      </c>
      <c r="AG300" s="2" t="s">
        <v>37</v>
      </c>
      <c r="AH300" s="167">
        <v>5.5999999999999999E-5</v>
      </c>
      <c r="AI300" s="167">
        <v>1.0458365742124999E-2</v>
      </c>
      <c r="AJ300" s="167">
        <v>2.1578140703097798E-3</v>
      </c>
      <c r="AK300" s="161"/>
      <c r="AL300" s="153"/>
    </row>
    <row r="301" spans="1:38">
      <c r="A301" s="2" t="s">
        <v>26</v>
      </c>
      <c r="B301" s="2">
        <v>9962</v>
      </c>
      <c r="C301" s="2" t="s">
        <v>2046</v>
      </c>
      <c r="D301" s="2" t="s">
        <v>2047</v>
      </c>
      <c r="E301" s="4" t="s">
        <v>1305</v>
      </c>
      <c r="F301" s="2" t="s">
        <v>2053</v>
      </c>
      <c r="G301" s="2" t="s">
        <v>2054</v>
      </c>
      <c r="H301" s="2" t="s">
        <v>319</v>
      </c>
      <c r="I301" s="2" t="s">
        <v>754</v>
      </c>
      <c r="J301" s="2" t="s">
        <v>31</v>
      </c>
      <c r="K301" s="2" t="s">
        <v>31</v>
      </c>
      <c r="L301" s="2" t="s">
        <v>325</v>
      </c>
      <c r="M301" s="2" t="s">
        <v>40</v>
      </c>
      <c r="N301" s="2" t="s">
        <v>440</v>
      </c>
      <c r="O301" s="2" t="s">
        <v>136</v>
      </c>
      <c r="P301" s="2" t="s">
        <v>1896</v>
      </c>
      <c r="Q301" s="2" t="s">
        <v>104</v>
      </c>
      <c r="R301" s="2" t="s">
        <v>405</v>
      </c>
      <c r="S301" s="2" t="s">
        <v>35</v>
      </c>
      <c r="T301" s="153">
        <v>2.129</v>
      </c>
      <c r="U301" s="2" t="s">
        <v>2055</v>
      </c>
      <c r="V301" s="165">
        <v>3.5400000000000001E-2</v>
      </c>
      <c r="W301" s="167">
        <v>3.2099999999999997E-2</v>
      </c>
      <c r="X301" s="4" t="s">
        <v>411</v>
      </c>
      <c r="Y301" s="4" t="s">
        <v>136</v>
      </c>
      <c r="Z301" s="153">
        <v>38000</v>
      </c>
      <c r="AA301" s="153">
        <v>1</v>
      </c>
      <c r="AB301" s="153">
        <v>104.17</v>
      </c>
      <c r="AC301" s="11"/>
      <c r="AD301" s="153">
        <v>39.585000000000001</v>
      </c>
      <c r="AG301" s="2" t="s">
        <v>37</v>
      </c>
      <c r="AH301" s="167">
        <v>5.5000000000000002E-5</v>
      </c>
      <c r="AI301" s="167">
        <v>6.2155094259739004E-3</v>
      </c>
      <c r="AJ301" s="167">
        <v>1.2824100843488401E-3</v>
      </c>
      <c r="AK301" s="161"/>
      <c r="AL301" s="153"/>
    </row>
    <row r="302" spans="1:38">
      <c r="A302" s="2" t="s">
        <v>26</v>
      </c>
      <c r="B302" s="2">
        <v>9962</v>
      </c>
      <c r="C302" s="2" t="s">
        <v>2046</v>
      </c>
      <c r="D302" s="2" t="s">
        <v>2047</v>
      </c>
      <c r="E302" s="4" t="s">
        <v>1305</v>
      </c>
      <c r="F302" s="2" t="s">
        <v>2056</v>
      </c>
      <c r="G302" s="2" t="s">
        <v>2057</v>
      </c>
      <c r="H302" s="2" t="s">
        <v>319</v>
      </c>
      <c r="I302" s="2" t="s">
        <v>754</v>
      </c>
      <c r="J302" s="2" t="s">
        <v>31</v>
      </c>
      <c r="K302" s="2" t="s">
        <v>31</v>
      </c>
      <c r="L302" s="2" t="s">
        <v>325</v>
      </c>
      <c r="M302" s="2" t="s">
        <v>40</v>
      </c>
      <c r="N302" s="2" t="s">
        <v>440</v>
      </c>
      <c r="O302" s="2" t="s">
        <v>136</v>
      </c>
      <c r="P302" s="2" t="s">
        <v>1896</v>
      </c>
      <c r="Q302" s="2" t="s">
        <v>104</v>
      </c>
      <c r="R302" s="2" t="s">
        <v>405</v>
      </c>
      <c r="S302" s="2" t="s">
        <v>35</v>
      </c>
      <c r="T302" s="153">
        <v>0.90300000000000002</v>
      </c>
      <c r="U302" s="2" t="s">
        <v>2058</v>
      </c>
      <c r="V302" s="165">
        <v>0.01</v>
      </c>
      <c r="W302" s="167">
        <v>2.2270000000000002E-2</v>
      </c>
      <c r="X302" s="4" t="s">
        <v>411</v>
      </c>
      <c r="Y302" s="4" t="s">
        <v>136</v>
      </c>
      <c r="Z302" s="153">
        <v>37186.239999999998</v>
      </c>
      <c r="AA302" s="153">
        <v>1</v>
      </c>
      <c r="AB302" s="153">
        <v>109.27</v>
      </c>
      <c r="AC302" s="11"/>
      <c r="AD302" s="153">
        <v>40.633000000000003</v>
      </c>
      <c r="AG302" s="2" t="s">
        <v>37</v>
      </c>
      <c r="AH302" s="167">
        <v>3.8999999999999999E-5</v>
      </c>
      <c r="AI302" s="167">
        <v>6.3801909923544399E-3</v>
      </c>
      <c r="AJ302" s="167">
        <v>1.3163878787594201E-3</v>
      </c>
      <c r="AK302" s="161"/>
      <c r="AL302" s="153"/>
    </row>
    <row r="303" spans="1:38">
      <c r="A303" s="2" t="s">
        <v>26</v>
      </c>
      <c r="B303" s="2">
        <v>9962</v>
      </c>
      <c r="C303" s="2" t="s">
        <v>1526</v>
      </c>
      <c r="D303" s="2" t="s">
        <v>1527</v>
      </c>
      <c r="E303" s="4" t="s">
        <v>1305</v>
      </c>
      <c r="F303" s="2" t="s">
        <v>2059</v>
      </c>
      <c r="G303" s="2" t="s">
        <v>2060</v>
      </c>
      <c r="H303" s="2" t="s">
        <v>319</v>
      </c>
      <c r="I303" s="2" t="s">
        <v>754</v>
      </c>
      <c r="J303" s="2" t="s">
        <v>31</v>
      </c>
      <c r="K303" s="2" t="s">
        <v>31</v>
      </c>
      <c r="L303" s="2" t="s">
        <v>325</v>
      </c>
      <c r="M303" s="2" t="s">
        <v>40</v>
      </c>
      <c r="N303" s="2" t="s">
        <v>461</v>
      </c>
      <c r="O303" s="2" t="s">
        <v>136</v>
      </c>
      <c r="P303" s="2" t="s">
        <v>1748</v>
      </c>
      <c r="Q303" s="2" t="s">
        <v>412</v>
      </c>
      <c r="R303" s="2" t="s">
        <v>405</v>
      </c>
      <c r="S303" s="2" t="s">
        <v>35</v>
      </c>
      <c r="T303" s="153">
        <v>4.7629999999999999</v>
      </c>
      <c r="U303" s="2" t="s">
        <v>1773</v>
      </c>
      <c r="V303" s="165">
        <v>1.43E-2</v>
      </c>
      <c r="W303" s="167">
        <v>2.5770000000000001E-2</v>
      </c>
      <c r="X303" s="4" t="s">
        <v>411</v>
      </c>
      <c r="Y303" s="4" t="s">
        <v>136</v>
      </c>
      <c r="Z303" s="153">
        <v>55000</v>
      </c>
      <c r="AA303" s="153">
        <v>1</v>
      </c>
      <c r="AB303" s="153">
        <v>105.95</v>
      </c>
      <c r="AC303" s="11"/>
      <c r="AD303" s="153">
        <v>58.273000000000003</v>
      </c>
      <c r="AG303" s="2" t="s">
        <v>37</v>
      </c>
      <c r="AH303" s="167">
        <v>4.8000000000000001E-5</v>
      </c>
      <c r="AI303" s="167">
        <v>9.1498530495461305E-3</v>
      </c>
      <c r="AJ303" s="167">
        <v>1.8878362201517199E-3</v>
      </c>
      <c r="AK303" s="161"/>
      <c r="AL303" s="153"/>
    </row>
    <row r="304" spans="1:38">
      <c r="A304" s="2" t="s">
        <v>26</v>
      </c>
      <c r="B304" s="2">
        <v>9962</v>
      </c>
      <c r="C304" s="2" t="s">
        <v>1526</v>
      </c>
      <c r="D304" s="2" t="s">
        <v>1527</v>
      </c>
      <c r="E304" s="4" t="s">
        <v>1305</v>
      </c>
      <c r="F304" s="2" t="s">
        <v>2372</v>
      </c>
      <c r="G304" s="2" t="s">
        <v>2373</v>
      </c>
      <c r="H304" s="2" t="s">
        <v>319</v>
      </c>
      <c r="I304" s="2" t="s">
        <v>754</v>
      </c>
      <c r="J304" s="2" t="s">
        <v>31</v>
      </c>
      <c r="K304" s="2" t="s">
        <v>31</v>
      </c>
      <c r="L304" s="2" t="s">
        <v>325</v>
      </c>
      <c r="M304" s="2" t="s">
        <v>40</v>
      </c>
      <c r="N304" s="2" t="s">
        <v>461</v>
      </c>
      <c r="O304" s="2" t="s">
        <v>136</v>
      </c>
      <c r="P304" s="2" t="s">
        <v>1748</v>
      </c>
      <c r="Q304" s="2" t="s">
        <v>412</v>
      </c>
      <c r="R304" s="2" t="s">
        <v>405</v>
      </c>
      <c r="S304" s="2" t="s">
        <v>35</v>
      </c>
      <c r="T304" s="153">
        <v>1.24</v>
      </c>
      <c r="U304" s="2" t="s">
        <v>2374</v>
      </c>
      <c r="V304" s="165">
        <v>2.3E-2</v>
      </c>
      <c r="W304" s="167">
        <v>1.95E-2</v>
      </c>
      <c r="X304" s="4" t="s">
        <v>411</v>
      </c>
      <c r="Y304" s="4" t="s">
        <v>136</v>
      </c>
      <c r="Z304" s="153">
        <v>53221.68</v>
      </c>
      <c r="AA304" s="153">
        <v>1</v>
      </c>
      <c r="AB304" s="153">
        <v>114.63</v>
      </c>
      <c r="AC304" s="11"/>
      <c r="AD304" s="153">
        <v>61.008000000000003</v>
      </c>
      <c r="AG304" s="2" t="s">
        <v>37</v>
      </c>
      <c r="AH304" s="167">
        <v>5.5000000000000002E-5</v>
      </c>
      <c r="AI304" s="167">
        <v>9.57937865491576E-3</v>
      </c>
      <c r="AJ304" s="167">
        <v>1.9764577522034901E-3</v>
      </c>
      <c r="AK304" s="161"/>
      <c r="AL304" s="153"/>
    </row>
    <row r="305" spans="1:38">
      <c r="A305" s="2" t="s">
        <v>26</v>
      </c>
      <c r="B305" s="2">
        <v>9962</v>
      </c>
      <c r="C305" s="2" t="s">
        <v>1526</v>
      </c>
      <c r="D305" s="2" t="s">
        <v>1527</v>
      </c>
      <c r="E305" s="4" t="s">
        <v>1305</v>
      </c>
      <c r="F305" s="2" t="s">
        <v>2064</v>
      </c>
      <c r="G305" s="2" t="s">
        <v>2065</v>
      </c>
      <c r="H305" s="2" t="s">
        <v>319</v>
      </c>
      <c r="I305" s="2" t="s">
        <v>754</v>
      </c>
      <c r="J305" s="2" t="s">
        <v>31</v>
      </c>
      <c r="K305" s="2" t="s">
        <v>31</v>
      </c>
      <c r="L305" s="2" t="s">
        <v>325</v>
      </c>
      <c r="M305" s="2" t="s">
        <v>40</v>
      </c>
      <c r="N305" s="2" t="s">
        <v>461</v>
      </c>
      <c r="O305" s="2" t="s">
        <v>136</v>
      </c>
      <c r="P305" s="2" t="s">
        <v>1748</v>
      </c>
      <c r="Q305" s="2" t="s">
        <v>412</v>
      </c>
      <c r="R305" s="2" t="s">
        <v>405</v>
      </c>
      <c r="S305" s="2" t="s">
        <v>35</v>
      </c>
      <c r="T305" s="153">
        <v>5.657</v>
      </c>
      <c r="U305" s="2" t="s">
        <v>2066</v>
      </c>
      <c r="V305" s="165">
        <v>2.5000000000000001E-3</v>
      </c>
      <c r="W305" s="167">
        <v>2.648E-2</v>
      </c>
      <c r="X305" s="4" t="s">
        <v>411</v>
      </c>
      <c r="Y305" s="4" t="s">
        <v>136</v>
      </c>
      <c r="Z305" s="153">
        <v>28800</v>
      </c>
      <c r="AA305" s="153">
        <v>1</v>
      </c>
      <c r="AB305" s="153">
        <v>95.66</v>
      </c>
      <c r="AC305" s="11"/>
      <c r="AD305" s="153">
        <v>27.55</v>
      </c>
      <c r="AG305" s="2" t="s">
        <v>37</v>
      </c>
      <c r="AH305" s="167">
        <v>2.1999999999999999E-5</v>
      </c>
      <c r="AI305" s="167">
        <v>4.3258686945512898E-3</v>
      </c>
      <c r="AJ305" s="167">
        <v>8.9253144951868205E-4</v>
      </c>
      <c r="AK305" s="161"/>
      <c r="AL305" s="153"/>
    </row>
    <row r="306" spans="1:38">
      <c r="A306" s="2" t="s">
        <v>26</v>
      </c>
      <c r="B306" s="2">
        <v>9962</v>
      </c>
      <c r="C306" s="2" t="s">
        <v>2067</v>
      </c>
      <c r="D306" s="2" t="s">
        <v>2068</v>
      </c>
      <c r="E306" s="4" t="s">
        <v>1305</v>
      </c>
      <c r="F306" s="2" t="s">
        <v>2069</v>
      </c>
      <c r="G306" s="2" t="s">
        <v>2070</v>
      </c>
      <c r="H306" s="2" t="s">
        <v>319</v>
      </c>
      <c r="I306" s="2" t="s">
        <v>966</v>
      </c>
      <c r="J306" s="2" t="s">
        <v>31</v>
      </c>
      <c r="K306" s="2" t="s">
        <v>31</v>
      </c>
      <c r="L306" s="2" t="s">
        <v>325</v>
      </c>
      <c r="M306" s="2" t="s">
        <v>40</v>
      </c>
      <c r="N306" s="2" t="s">
        <v>440</v>
      </c>
      <c r="O306" s="2" t="s">
        <v>136</v>
      </c>
      <c r="P306" s="2" t="s">
        <v>1890</v>
      </c>
      <c r="Q306" s="2" t="s">
        <v>412</v>
      </c>
      <c r="R306" s="2" t="s">
        <v>405</v>
      </c>
      <c r="S306" s="2" t="s">
        <v>35</v>
      </c>
      <c r="T306" s="153">
        <v>1.169</v>
      </c>
      <c r="U306" s="2" t="s">
        <v>2071</v>
      </c>
      <c r="V306" s="165">
        <v>3.4000000000000002E-2</v>
      </c>
      <c r="W306" s="167">
        <v>0.17133999999999999</v>
      </c>
      <c r="X306" s="4" t="s">
        <v>411</v>
      </c>
      <c r="Y306" s="4" t="s">
        <v>136</v>
      </c>
      <c r="Z306" s="153">
        <v>33000</v>
      </c>
      <c r="AA306" s="153">
        <v>1</v>
      </c>
      <c r="AB306" s="153">
        <v>86.38</v>
      </c>
      <c r="AC306" s="11"/>
      <c r="AD306" s="153">
        <v>28.504999999999999</v>
      </c>
      <c r="AG306" s="2" t="s">
        <v>37</v>
      </c>
      <c r="AH306" s="167">
        <v>1.34E-4</v>
      </c>
      <c r="AI306" s="167">
        <v>4.4758714851522103E-3</v>
      </c>
      <c r="AJ306" s="167">
        <v>9.2348065708374805E-4</v>
      </c>
      <c r="AK306" s="161"/>
      <c r="AL306" s="153"/>
    </row>
    <row r="307" spans="1:38">
      <c r="A307" s="2" t="s">
        <v>26</v>
      </c>
      <c r="B307" s="2">
        <v>9962</v>
      </c>
      <c r="C307" s="2" t="s">
        <v>2067</v>
      </c>
      <c r="D307" s="2" t="s">
        <v>2068</v>
      </c>
      <c r="E307" s="4" t="s">
        <v>1305</v>
      </c>
      <c r="F307" s="2" t="s">
        <v>2072</v>
      </c>
      <c r="G307" s="2" t="s">
        <v>2073</v>
      </c>
      <c r="H307" s="2" t="s">
        <v>319</v>
      </c>
      <c r="I307" s="2" t="s">
        <v>966</v>
      </c>
      <c r="J307" s="2" t="s">
        <v>31</v>
      </c>
      <c r="K307" s="2" t="s">
        <v>31</v>
      </c>
      <c r="L307" s="2" t="s">
        <v>325</v>
      </c>
      <c r="M307" s="2" t="s">
        <v>40</v>
      </c>
      <c r="N307" s="2" t="s">
        <v>440</v>
      </c>
      <c r="O307" s="2" t="s">
        <v>136</v>
      </c>
      <c r="P307" s="2" t="s">
        <v>1890</v>
      </c>
      <c r="Q307" s="2" t="s">
        <v>412</v>
      </c>
      <c r="R307" s="2" t="s">
        <v>405</v>
      </c>
      <c r="S307" s="2" t="s">
        <v>35</v>
      </c>
      <c r="T307" s="153">
        <v>1.8029999999999999</v>
      </c>
      <c r="U307" s="2" t="s">
        <v>1822</v>
      </c>
      <c r="V307" s="165">
        <v>8.6999999999999994E-2</v>
      </c>
      <c r="W307" s="167">
        <v>0.20196</v>
      </c>
      <c r="X307" s="4" t="s">
        <v>411</v>
      </c>
      <c r="Y307" s="4" t="s">
        <v>136</v>
      </c>
      <c r="Z307" s="153">
        <v>26237</v>
      </c>
      <c r="AA307" s="153">
        <v>1</v>
      </c>
      <c r="AB307" s="153">
        <v>85.15</v>
      </c>
      <c r="AC307" s="11"/>
      <c r="AD307" s="153">
        <v>22.341000000000001</v>
      </c>
      <c r="AG307" s="2" t="s">
        <v>37</v>
      </c>
      <c r="AH307" s="167">
        <v>2.1599999999999999E-4</v>
      </c>
      <c r="AI307" s="167">
        <v>3.50791689619447E-3</v>
      </c>
      <c r="AJ307" s="167">
        <v>7.2376818928765203E-4</v>
      </c>
      <c r="AK307" s="161"/>
      <c r="AL307" s="153"/>
    </row>
    <row r="308" spans="1:38">
      <c r="A308" s="2" t="s">
        <v>26</v>
      </c>
      <c r="B308" s="2">
        <v>9962</v>
      </c>
      <c r="C308" s="2" t="s">
        <v>2074</v>
      </c>
      <c r="D308" s="2" t="s">
        <v>2075</v>
      </c>
      <c r="E308" s="4" t="s">
        <v>1305</v>
      </c>
      <c r="F308" s="2" t="s">
        <v>2076</v>
      </c>
      <c r="G308" s="2" t="s">
        <v>2077</v>
      </c>
      <c r="H308" s="2" t="s">
        <v>319</v>
      </c>
      <c r="I308" s="2" t="s">
        <v>966</v>
      </c>
      <c r="J308" s="2" t="s">
        <v>31</v>
      </c>
      <c r="K308" s="2" t="s">
        <v>31</v>
      </c>
      <c r="L308" s="2" t="s">
        <v>325</v>
      </c>
      <c r="M308" s="2" t="s">
        <v>40</v>
      </c>
      <c r="N308" s="2" t="s">
        <v>440</v>
      </c>
      <c r="O308" s="2" t="s">
        <v>136</v>
      </c>
      <c r="P308" s="2" t="s">
        <v>1720</v>
      </c>
      <c r="Q308" s="2" t="s">
        <v>104</v>
      </c>
      <c r="R308" s="2" t="s">
        <v>405</v>
      </c>
      <c r="S308" s="2" t="s">
        <v>35</v>
      </c>
      <c r="T308" s="153">
        <v>1.4410000000000001</v>
      </c>
      <c r="U308" s="2" t="s">
        <v>2078</v>
      </c>
      <c r="V308" s="165">
        <v>0.114</v>
      </c>
      <c r="W308" s="167">
        <v>6.4250000000000002E-2</v>
      </c>
      <c r="X308" s="4" t="s">
        <v>411</v>
      </c>
      <c r="Y308" s="4" t="s">
        <v>136</v>
      </c>
      <c r="Z308" s="153">
        <v>37000</v>
      </c>
      <c r="AA308" s="153">
        <v>1</v>
      </c>
      <c r="AB308" s="153">
        <v>100.84</v>
      </c>
      <c r="AC308" s="11"/>
      <c r="AD308" s="153">
        <v>37.311</v>
      </c>
      <c r="AG308" s="2" t="s">
        <v>37</v>
      </c>
      <c r="AH308" s="167">
        <v>1.16E-4</v>
      </c>
      <c r="AI308" s="167">
        <v>5.8584810530010901E-3</v>
      </c>
      <c r="AJ308" s="167">
        <v>1.20874648664184E-3</v>
      </c>
      <c r="AK308" s="161"/>
      <c r="AL308" s="153"/>
    </row>
    <row r="309" spans="1:38">
      <c r="A309" s="2" t="s">
        <v>26</v>
      </c>
      <c r="B309" s="2">
        <v>9962</v>
      </c>
      <c r="C309" s="2" t="s">
        <v>2079</v>
      </c>
      <c r="D309" s="2" t="s">
        <v>2080</v>
      </c>
      <c r="E309" s="4" t="s">
        <v>1305</v>
      </c>
      <c r="F309" s="2" t="s">
        <v>2081</v>
      </c>
      <c r="G309" s="2" t="s">
        <v>2082</v>
      </c>
      <c r="H309" s="2" t="s">
        <v>319</v>
      </c>
      <c r="I309" s="2" t="s">
        <v>754</v>
      </c>
      <c r="J309" s="2" t="s">
        <v>31</v>
      </c>
      <c r="K309" s="2" t="s">
        <v>31</v>
      </c>
      <c r="L309" s="2" t="s">
        <v>325</v>
      </c>
      <c r="M309" s="2" t="s">
        <v>40</v>
      </c>
      <c r="N309" s="2" t="s">
        <v>444</v>
      </c>
      <c r="O309" s="2" t="s">
        <v>136</v>
      </c>
      <c r="P309" s="2" t="s">
        <v>2083</v>
      </c>
      <c r="Q309" s="2" t="s">
        <v>104</v>
      </c>
      <c r="R309" s="2" t="s">
        <v>405</v>
      </c>
      <c r="S309" s="2" t="s">
        <v>35</v>
      </c>
      <c r="T309" s="153">
        <v>3.6669999999999998</v>
      </c>
      <c r="U309" s="2" t="s">
        <v>2084</v>
      </c>
      <c r="V309" s="165">
        <v>2.07E-2</v>
      </c>
      <c r="W309" s="167">
        <v>4.2130000000000001E-2</v>
      </c>
      <c r="X309" s="4" t="s">
        <v>411</v>
      </c>
      <c r="Y309" s="4" t="s">
        <v>136</v>
      </c>
      <c r="Z309" s="153">
        <v>20000</v>
      </c>
      <c r="AA309" s="153">
        <v>1</v>
      </c>
      <c r="AB309" s="153">
        <v>101.49</v>
      </c>
      <c r="AC309" s="11"/>
      <c r="AD309" s="153">
        <v>20.297999999999998</v>
      </c>
      <c r="AG309" s="2" t="s">
        <v>37</v>
      </c>
      <c r="AH309" s="167">
        <v>4.3000000000000002E-5</v>
      </c>
      <c r="AI309" s="167">
        <v>3.1871589034224998E-3</v>
      </c>
      <c r="AJ309" s="167">
        <v>6.5758804919369401E-4</v>
      </c>
      <c r="AK309" s="161"/>
      <c r="AL309" s="153"/>
    </row>
    <row r="310" spans="1:38">
      <c r="A310" s="2" t="s">
        <v>26</v>
      </c>
      <c r="B310" s="2">
        <v>9962</v>
      </c>
      <c r="C310" s="2" t="s">
        <v>2079</v>
      </c>
      <c r="D310" s="2" t="s">
        <v>2080</v>
      </c>
      <c r="E310" s="4" t="s">
        <v>1305</v>
      </c>
      <c r="F310" s="2" t="s">
        <v>2085</v>
      </c>
      <c r="G310" s="2" t="s">
        <v>2082</v>
      </c>
      <c r="H310" s="2" t="s">
        <v>319</v>
      </c>
      <c r="I310" s="2" t="s">
        <v>754</v>
      </c>
      <c r="J310" s="2" t="s">
        <v>31</v>
      </c>
      <c r="K310" s="2" t="s">
        <v>31</v>
      </c>
      <c r="L310" s="23" t="s">
        <v>327</v>
      </c>
      <c r="M310" s="2" t="s">
        <v>40</v>
      </c>
      <c r="N310" s="2" t="s">
        <v>444</v>
      </c>
      <c r="O310" s="2" t="s">
        <v>136</v>
      </c>
      <c r="P310" s="2" t="s">
        <v>2083</v>
      </c>
      <c r="Q310" s="2" t="s">
        <v>104</v>
      </c>
      <c r="R310" s="2" t="s">
        <v>405</v>
      </c>
      <c r="S310" s="2" t="s">
        <v>35</v>
      </c>
      <c r="T310" s="158" t="s">
        <v>2845</v>
      </c>
      <c r="U310" s="2" t="s">
        <v>2084</v>
      </c>
      <c r="V310" s="165">
        <v>1.8200000000000001E-2</v>
      </c>
      <c r="W310" s="167">
        <v>4.2099999999999999E-2</v>
      </c>
      <c r="X310" s="4" t="s">
        <v>411</v>
      </c>
      <c r="Y310" s="4" t="s">
        <v>136</v>
      </c>
      <c r="Z310" s="153">
        <v>68000</v>
      </c>
      <c r="AA310" s="153">
        <v>1</v>
      </c>
      <c r="AB310" s="153">
        <v>100.203</v>
      </c>
      <c r="AC310" s="11"/>
      <c r="AD310" s="153">
        <v>68.138000000000005</v>
      </c>
      <c r="AG310" s="2" t="s">
        <v>37</v>
      </c>
      <c r="AH310" s="167">
        <v>0</v>
      </c>
      <c r="AI310" s="167">
        <v>1.06989240736899E-2</v>
      </c>
      <c r="AJ310" s="167">
        <v>2.20744707850438E-3</v>
      </c>
      <c r="AK310" s="161"/>
      <c r="AL310" s="153"/>
    </row>
    <row r="311" spans="1:38">
      <c r="A311" s="2" t="s">
        <v>26</v>
      </c>
      <c r="B311" s="2">
        <v>9962</v>
      </c>
      <c r="C311" s="2" t="s">
        <v>1534</v>
      </c>
      <c r="D311" s="2" t="s">
        <v>1535</v>
      </c>
      <c r="E311" s="4" t="s">
        <v>1305</v>
      </c>
      <c r="F311" s="2" t="s">
        <v>2086</v>
      </c>
      <c r="G311" s="2" t="s">
        <v>2087</v>
      </c>
      <c r="H311" s="2" t="s">
        <v>319</v>
      </c>
      <c r="I311" s="2" t="s">
        <v>966</v>
      </c>
      <c r="J311" s="2" t="s">
        <v>31</v>
      </c>
      <c r="K311" s="2" t="s">
        <v>74</v>
      </c>
      <c r="L311" s="23" t="s">
        <v>327</v>
      </c>
      <c r="M311" s="2" t="s">
        <v>40</v>
      </c>
      <c r="N311" s="2" t="s">
        <v>451</v>
      </c>
      <c r="O311" s="2" t="s">
        <v>136</v>
      </c>
      <c r="P311" s="2" t="s">
        <v>1724</v>
      </c>
      <c r="Q311" s="2" t="s">
        <v>412</v>
      </c>
      <c r="R311" s="2" t="s">
        <v>405</v>
      </c>
      <c r="S311" s="2" t="s">
        <v>35</v>
      </c>
      <c r="T311" s="153">
        <v>3.52</v>
      </c>
      <c r="U311" s="2" t="s">
        <v>2088</v>
      </c>
      <c r="V311" s="165">
        <v>6.5000000000000002E-2</v>
      </c>
      <c r="W311" s="167">
        <v>6.1499999999999999E-2</v>
      </c>
      <c r="X311" s="4" t="s">
        <v>411</v>
      </c>
      <c r="Y311" s="4" t="s">
        <v>136</v>
      </c>
      <c r="Z311" s="153">
        <v>56000</v>
      </c>
      <c r="AA311" s="153">
        <v>1</v>
      </c>
      <c r="AB311" s="153">
        <v>101.78</v>
      </c>
      <c r="AC311" s="11"/>
      <c r="AD311" s="153">
        <v>56.997</v>
      </c>
      <c r="AG311" s="2" t="s">
        <v>37</v>
      </c>
      <c r="AH311" s="167">
        <v>0</v>
      </c>
      <c r="AI311" s="167">
        <v>8.9495535061331101E-3</v>
      </c>
      <c r="AJ311" s="167">
        <v>1.8465095746977001E-3</v>
      </c>
      <c r="AK311" s="161"/>
      <c r="AL311" s="153"/>
    </row>
    <row r="312" spans="1:38">
      <c r="A312" s="2" t="s">
        <v>26</v>
      </c>
      <c r="B312" s="2">
        <v>9962</v>
      </c>
      <c r="C312" s="2" t="s">
        <v>1534</v>
      </c>
      <c r="D312" s="2" t="s">
        <v>1535</v>
      </c>
      <c r="E312" s="4" t="s">
        <v>1305</v>
      </c>
      <c r="F312" s="2" t="s">
        <v>2089</v>
      </c>
      <c r="G312" s="2" t="s">
        <v>2090</v>
      </c>
      <c r="H312" s="2" t="s">
        <v>319</v>
      </c>
      <c r="I312" s="2" t="s">
        <v>966</v>
      </c>
      <c r="J312" s="2" t="s">
        <v>31</v>
      </c>
      <c r="K312" s="2" t="s">
        <v>31</v>
      </c>
      <c r="L312" s="2" t="s">
        <v>325</v>
      </c>
      <c r="M312" s="2" t="s">
        <v>32</v>
      </c>
      <c r="N312" s="2" t="s">
        <v>451</v>
      </c>
      <c r="O312" s="2" t="s">
        <v>136</v>
      </c>
      <c r="P312" s="2" t="s">
        <v>1724</v>
      </c>
      <c r="Q312" s="2" t="s">
        <v>412</v>
      </c>
      <c r="R312" s="2" t="s">
        <v>405</v>
      </c>
      <c r="S312" s="2" t="s">
        <v>35</v>
      </c>
      <c r="T312" s="153">
        <v>4.1399999999999997</v>
      </c>
      <c r="U312" s="2" t="s">
        <v>1767</v>
      </c>
      <c r="V312" s="165">
        <v>6.7000000000000004E-2</v>
      </c>
      <c r="W312" s="167">
        <v>6.089E-2</v>
      </c>
      <c r="X312" s="4" t="s">
        <v>411</v>
      </c>
      <c r="Y312" s="4" t="s">
        <v>136</v>
      </c>
      <c r="Z312" s="153">
        <v>48000</v>
      </c>
      <c r="AA312" s="153">
        <v>1</v>
      </c>
      <c r="AB312" s="153">
        <v>103.21</v>
      </c>
      <c r="AC312" s="11"/>
      <c r="AD312" s="153">
        <v>49.540999999999997</v>
      </c>
      <c r="AG312" s="2" t="s">
        <v>37</v>
      </c>
      <c r="AH312" s="167">
        <v>0</v>
      </c>
      <c r="AI312" s="167">
        <v>7.7788157356721401E-3</v>
      </c>
      <c r="AJ312" s="167">
        <v>1.60495802677579E-3</v>
      </c>
      <c r="AK312" s="161"/>
      <c r="AL312" s="153"/>
    </row>
    <row r="313" spans="1:38">
      <c r="A313" s="2" t="s">
        <v>26</v>
      </c>
      <c r="B313" s="2">
        <v>9962</v>
      </c>
      <c r="C313" s="2" t="s">
        <v>1318</v>
      </c>
      <c r="D313" s="2" t="s">
        <v>1319</v>
      </c>
      <c r="E313" s="4" t="s">
        <v>1305</v>
      </c>
      <c r="F313" s="2" t="s">
        <v>2091</v>
      </c>
      <c r="G313" s="2" t="s">
        <v>2092</v>
      </c>
      <c r="H313" s="2" t="s">
        <v>319</v>
      </c>
      <c r="I313" s="2" t="s">
        <v>754</v>
      </c>
      <c r="J313" s="2" t="s">
        <v>31</v>
      </c>
      <c r="K313" s="2" t="s">
        <v>31</v>
      </c>
      <c r="L313" s="2" t="s">
        <v>325</v>
      </c>
      <c r="M313" s="2" t="s">
        <v>40</v>
      </c>
      <c r="N313" s="2" t="s">
        <v>438</v>
      </c>
      <c r="O313" s="2" t="s">
        <v>136</v>
      </c>
      <c r="P313" s="2" t="s">
        <v>1752</v>
      </c>
      <c r="Q313" s="23" t="s">
        <v>1752</v>
      </c>
      <c r="R313" s="23" t="s">
        <v>1752</v>
      </c>
      <c r="S313" s="2" t="s">
        <v>35</v>
      </c>
      <c r="T313" s="153">
        <v>2.7650000000000001</v>
      </c>
      <c r="U313" s="2" t="s">
        <v>1849</v>
      </c>
      <c r="V313" s="165">
        <v>1.4800000000000001E-2</v>
      </c>
      <c r="W313" s="167">
        <v>3.6080000000000001E-2</v>
      </c>
      <c r="X313" s="4" t="s">
        <v>411</v>
      </c>
      <c r="Y313" s="4" t="s">
        <v>136</v>
      </c>
      <c r="Z313" s="153">
        <v>47040</v>
      </c>
      <c r="AA313" s="153">
        <v>1</v>
      </c>
      <c r="AB313" s="153">
        <v>103.65</v>
      </c>
      <c r="AC313" s="11"/>
      <c r="AD313" s="153">
        <v>48.756999999999998</v>
      </c>
      <c r="AG313" s="2" t="s">
        <v>37</v>
      </c>
      <c r="AH313" s="167">
        <v>5.3999999999999998E-5</v>
      </c>
      <c r="AI313" s="167">
        <v>7.6557384554051897E-3</v>
      </c>
      <c r="AJ313" s="167">
        <v>1.57956420391245E-3</v>
      </c>
      <c r="AK313" s="161"/>
      <c r="AL313" s="153"/>
    </row>
    <row r="314" spans="1:38">
      <c r="A314" s="2" t="s">
        <v>26</v>
      </c>
      <c r="B314" s="2">
        <v>9962</v>
      </c>
      <c r="C314" s="2" t="s">
        <v>1552</v>
      </c>
      <c r="D314" s="2" t="s">
        <v>1553</v>
      </c>
      <c r="E314" s="4" t="s">
        <v>1305</v>
      </c>
      <c r="F314" s="2" t="s">
        <v>2095</v>
      </c>
      <c r="G314" s="2" t="s">
        <v>2096</v>
      </c>
      <c r="H314" s="2" t="s">
        <v>319</v>
      </c>
      <c r="I314" s="2" t="s">
        <v>754</v>
      </c>
      <c r="J314" s="2" t="s">
        <v>31</v>
      </c>
      <c r="K314" s="2" t="s">
        <v>31</v>
      </c>
      <c r="L314" s="2" t="s">
        <v>325</v>
      </c>
      <c r="M314" s="2" t="s">
        <v>40</v>
      </c>
      <c r="N314" s="2" t="s">
        <v>461</v>
      </c>
      <c r="O314" s="2" t="s">
        <v>136</v>
      </c>
      <c r="P314" s="2" t="s">
        <v>1772</v>
      </c>
      <c r="Q314" s="2" t="s">
        <v>412</v>
      </c>
      <c r="R314" s="2" t="s">
        <v>405</v>
      </c>
      <c r="S314" s="2" t="s">
        <v>35</v>
      </c>
      <c r="T314" s="153">
        <v>4.4139999999999997</v>
      </c>
      <c r="U314" s="2" t="s">
        <v>1773</v>
      </c>
      <c r="V314" s="165">
        <v>3.6200000000000003E-2</v>
      </c>
      <c r="W314" s="167">
        <v>3.5619999999999999E-2</v>
      </c>
      <c r="X314" s="4" t="s">
        <v>411</v>
      </c>
      <c r="Y314" s="4" t="s">
        <v>136</v>
      </c>
      <c r="Z314" s="153">
        <v>20370</v>
      </c>
      <c r="AA314" s="153">
        <v>1</v>
      </c>
      <c r="AB314" s="153">
        <v>103.98</v>
      </c>
      <c r="AC314" s="11"/>
      <c r="AD314" s="153">
        <v>21.181000000000001</v>
      </c>
      <c r="AG314" s="2" t="s">
        <v>37</v>
      </c>
      <c r="AH314" s="167">
        <v>1.1E-5</v>
      </c>
      <c r="AI314" s="167">
        <v>3.3257631023673401E-3</v>
      </c>
      <c r="AJ314" s="167">
        <v>6.8618545131767395E-4</v>
      </c>
      <c r="AK314" s="161"/>
      <c r="AL314" s="153"/>
    </row>
    <row r="315" spans="1:38">
      <c r="A315" s="2" t="s">
        <v>26</v>
      </c>
      <c r="B315" s="2">
        <v>9962</v>
      </c>
      <c r="C315" s="2" t="s">
        <v>2097</v>
      </c>
      <c r="D315" s="2" t="s">
        <v>2098</v>
      </c>
      <c r="E315" s="4" t="s">
        <v>311</v>
      </c>
      <c r="F315" s="2" t="s">
        <v>2099</v>
      </c>
      <c r="G315" s="2" t="s">
        <v>2100</v>
      </c>
      <c r="H315" s="2" t="s">
        <v>319</v>
      </c>
      <c r="I315" s="2" t="s">
        <v>966</v>
      </c>
      <c r="J315" s="2" t="s">
        <v>31</v>
      </c>
      <c r="K315" s="2" t="s">
        <v>31</v>
      </c>
      <c r="L315" s="2" t="s">
        <v>325</v>
      </c>
      <c r="M315" s="2" t="s">
        <v>40</v>
      </c>
      <c r="N315" s="2" t="s">
        <v>462</v>
      </c>
      <c r="O315" s="2" t="s">
        <v>136</v>
      </c>
      <c r="P315" s="2" t="s">
        <v>1748</v>
      </c>
      <c r="Q315" s="2" t="s">
        <v>412</v>
      </c>
      <c r="R315" s="2" t="s">
        <v>405</v>
      </c>
      <c r="S315" s="2" t="s">
        <v>35</v>
      </c>
      <c r="T315" s="153">
        <v>2.8650000000000002</v>
      </c>
      <c r="U315" s="2" t="s">
        <v>1822</v>
      </c>
      <c r="V315" s="165">
        <v>6.3500000000000001E-2</v>
      </c>
      <c r="W315" s="167">
        <v>5.8930000000000003E-2</v>
      </c>
      <c r="X315" s="4" t="s">
        <v>411</v>
      </c>
      <c r="Y315" s="4" t="s">
        <v>136</v>
      </c>
      <c r="Z315" s="153">
        <v>25000</v>
      </c>
      <c r="AA315" s="153">
        <v>1</v>
      </c>
      <c r="AB315" s="153">
        <v>103.15</v>
      </c>
      <c r="AC315" s="11"/>
      <c r="AD315" s="153">
        <v>25.788</v>
      </c>
      <c r="AG315" s="2" t="s">
        <v>37</v>
      </c>
      <c r="AH315" s="167">
        <v>6.0999999999999999E-5</v>
      </c>
      <c r="AI315" s="167">
        <v>4.0491112534243598E-3</v>
      </c>
      <c r="AJ315" s="167">
        <v>8.3542968856943503E-4</v>
      </c>
      <c r="AK315" s="161"/>
      <c r="AL315" s="153"/>
    </row>
    <row r="316" spans="1:38">
      <c r="A316" s="2" t="s">
        <v>26</v>
      </c>
      <c r="B316" s="2">
        <v>9962</v>
      </c>
      <c r="C316" s="2" t="s">
        <v>1559</v>
      </c>
      <c r="D316" s="2" t="s">
        <v>1560</v>
      </c>
      <c r="E316" s="4" t="s">
        <v>1305</v>
      </c>
      <c r="F316" s="2" t="s">
        <v>2101</v>
      </c>
      <c r="G316" s="2" t="s">
        <v>2102</v>
      </c>
      <c r="H316" s="2" t="s">
        <v>319</v>
      </c>
      <c r="I316" s="2" t="s">
        <v>754</v>
      </c>
      <c r="J316" s="2" t="s">
        <v>31</v>
      </c>
      <c r="K316" s="2" t="s">
        <v>31</v>
      </c>
      <c r="L316" s="2" t="s">
        <v>325</v>
      </c>
      <c r="M316" s="2" t="s">
        <v>40</v>
      </c>
      <c r="N316" s="2" t="s">
        <v>438</v>
      </c>
      <c r="O316" s="2" t="s">
        <v>136</v>
      </c>
      <c r="P316" s="2" t="s">
        <v>1752</v>
      </c>
      <c r="Q316" s="23" t="s">
        <v>1752</v>
      </c>
      <c r="R316" s="23" t="s">
        <v>1752</v>
      </c>
      <c r="S316" s="2" t="s">
        <v>35</v>
      </c>
      <c r="T316" s="153">
        <v>2.57</v>
      </c>
      <c r="U316" s="2" t="s">
        <v>1849</v>
      </c>
      <c r="V316" s="165">
        <v>2.3E-2</v>
      </c>
      <c r="W316" s="167">
        <v>4.7849999999999997E-2</v>
      </c>
      <c r="X316" s="4" t="s">
        <v>411</v>
      </c>
      <c r="Y316" s="4" t="s">
        <v>136</v>
      </c>
      <c r="Z316" s="153">
        <v>35100</v>
      </c>
      <c r="AA316" s="153">
        <v>1</v>
      </c>
      <c r="AB316" s="153">
        <v>102.88</v>
      </c>
      <c r="AC316" s="11"/>
      <c r="AD316" s="153">
        <v>36.110999999999997</v>
      </c>
      <c r="AG316" s="2" t="s">
        <v>37</v>
      </c>
      <c r="AH316" s="167">
        <v>1.45E-4</v>
      </c>
      <c r="AI316" s="167">
        <v>5.6700715687467403E-3</v>
      </c>
      <c r="AJ316" s="167">
        <v>1.1698730482740899E-3</v>
      </c>
      <c r="AK316" s="161"/>
      <c r="AL316" s="153"/>
    </row>
    <row r="317" spans="1:38">
      <c r="A317" s="2" t="s">
        <v>26</v>
      </c>
      <c r="B317" s="2">
        <v>9962</v>
      </c>
      <c r="C317" s="2" t="s">
        <v>2103</v>
      </c>
      <c r="D317" s="2" t="s">
        <v>2104</v>
      </c>
      <c r="E317" s="4" t="s">
        <v>1305</v>
      </c>
      <c r="F317" s="2" t="s">
        <v>2105</v>
      </c>
      <c r="G317" s="2" t="s">
        <v>2106</v>
      </c>
      <c r="H317" s="2" t="s">
        <v>319</v>
      </c>
      <c r="I317" s="2" t="s">
        <v>754</v>
      </c>
      <c r="J317" s="2" t="s">
        <v>31</v>
      </c>
      <c r="K317" s="2" t="s">
        <v>31</v>
      </c>
      <c r="L317" s="2" t="s">
        <v>325</v>
      </c>
      <c r="M317" s="2" t="s">
        <v>40</v>
      </c>
      <c r="N317" s="2" t="s">
        <v>438</v>
      </c>
      <c r="O317" s="2" t="s">
        <v>136</v>
      </c>
      <c r="P317" s="2" t="s">
        <v>1752</v>
      </c>
      <c r="Q317" s="23" t="s">
        <v>1752</v>
      </c>
      <c r="R317" s="23" t="s">
        <v>1752</v>
      </c>
      <c r="S317" s="2" t="s">
        <v>35</v>
      </c>
      <c r="T317" s="153">
        <v>2.57</v>
      </c>
      <c r="U317" s="2" t="s">
        <v>1849</v>
      </c>
      <c r="V317" s="165">
        <v>2.9499999999999998E-2</v>
      </c>
      <c r="W317" s="167">
        <v>3.9440000000000003E-2</v>
      </c>
      <c r="X317" s="4" t="s">
        <v>411</v>
      </c>
      <c r="Y317" s="4" t="s">
        <v>136</v>
      </c>
      <c r="Z317" s="153">
        <v>19000</v>
      </c>
      <c r="AA317" s="153">
        <v>1</v>
      </c>
      <c r="AB317" s="153">
        <v>105.44</v>
      </c>
      <c r="AC317" s="11"/>
      <c r="AD317" s="153">
        <v>20.033999999999999</v>
      </c>
      <c r="AG317" s="2" t="s">
        <v>37</v>
      </c>
      <c r="AH317" s="167">
        <v>1.0399999999999999E-4</v>
      </c>
      <c r="AI317" s="167">
        <v>3.1456432460146302E-3</v>
      </c>
      <c r="AJ317" s="167">
        <v>6.4902236389431395E-4</v>
      </c>
      <c r="AK317" s="161"/>
      <c r="AL317" s="153"/>
    </row>
    <row r="318" spans="1:38">
      <c r="A318" s="2" t="s">
        <v>26</v>
      </c>
      <c r="B318" s="2">
        <v>9962</v>
      </c>
      <c r="C318" s="2" t="s">
        <v>2107</v>
      </c>
      <c r="D318" s="2" t="s">
        <v>2108</v>
      </c>
      <c r="E318" s="4" t="s">
        <v>34</v>
      </c>
      <c r="F318" s="2" t="s">
        <v>2111</v>
      </c>
      <c r="G318" s="2" t="s">
        <v>2112</v>
      </c>
      <c r="H318" s="2" t="s">
        <v>319</v>
      </c>
      <c r="I318" s="2" t="s">
        <v>966</v>
      </c>
      <c r="J318" s="2" t="s">
        <v>31</v>
      </c>
      <c r="K318" s="2" t="s">
        <v>74</v>
      </c>
      <c r="L318" s="2" t="s">
        <v>325</v>
      </c>
      <c r="M318" s="2" t="s">
        <v>40</v>
      </c>
      <c r="N318" s="2" t="s">
        <v>462</v>
      </c>
      <c r="O318" s="2" t="s">
        <v>136</v>
      </c>
      <c r="P318" s="2" t="s">
        <v>1772</v>
      </c>
      <c r="Q318" s="2" t="s">
        <v>412</v>
      </c>
      <c r="R318" s="2" t="s">
        <v>405</v>
      </c>
      <c r="S318" s="2" t="s">
        <v>35</v>
      </c>
      <c r="T318" s="153">
        <v>2.15</v>
      </c>
      <c r="U318" s="2" t="s">
        <v>2078</v>
      </c>
      <c r="V318" s="165">
        <v>9.0999999999999998E-2</v>
      </c>
      <c r="W318" s="167">
        <v>6.9690000000000002E-2</v>
      </c>
      <c r="X318" s="4" t="s">
        <v>411</v>
      </c>
      <c r="Y318" s="4" t="s">
        <v>136</v>
      </c>
      <c r="Z318" s="153">
        <v>50000</v>
      </c>
      <c r="AA318" s="153">
        <v>1</v>
      </c>
      <c r="AB318" s="153">
        <v>104.76</v>
      </c>
      <c r="AC318" s="11"/>
      <c r="AD318" s="153">
        <v>52.38</v>
      </c>
      <c r="AG318" s="2" t="s">
        <v>37</v>
      </c>
      <c r="AH318" s="167">
        <v>3.2699999999999998E-4</v>
      </c>
      <c r="AI318" s="167">
        <v>8.22462229585527E-3</v>
      </c>
      <c r="AJ318" s="167">
        <v>1.6969387139996899E-3</v>
      </c>
      <c r="AK318" s="161"/>
      <c r="AL318" s="153"/>
    </row>
    <row r="319" spans="1:38">
      <c r="A319" s="2" t="s">
        <v>26</v>
      </c>
      <c r="B319" s="2">
        <v>9962</v>
      </c>
      <c r="C319" s="2" t="s">
        <v>2113</v>
      </c>
      <c r="D319" s="2" t="s">
        <v>2114</v>
      </c>
      <c r="E319" s="4" t="s">
        <v>34</v>
      </c>
      <c r="F319" s="2" t="s">
        <v>2115</v>
      </c>
      <c r="G319" s="2" t="s">
        <v>2116</v>
      </c>
      <c r="H319" s="2" t="s">
        <v>319</v>
      </c>
      <c r="I319" s="2" t="s">
        <v>755</v>
      </c>
      <c r="J319" s="2" t="s">
        <v>31</v>
      </c>
      <c r="K319" s="2" t="s">
        <v>74</v>
      </c>
      <c r="L319" s="23" t="s">
        <v>327</v>
      </c>
      <c r="M319" s="2" t="s">
        <v>40</v>
      </c>
      <c r="N319" s="2" t="s">
        <v>440</v>
      </c>
      <c r="O319" s="2" t="s">
        <v>136</v>
      </c>
      <c r="P319" s="2" t="s">
        <v>1896</v>
      </c>
      <c r="Q319" s="2" t="s">
        <v>104</v>
      </c>
      <c r="R319" s="2" t="s">
        <v>405</v>
      </c>
      <c r="S319" s="2" t="s">
        <v>35</v>
      </c>
      <c r="T319" s="153">
        <v>2.4</v>
      </c>
      <c r="U319" s="2" t="s">
        <v>2117</v>
      </c>
      <c r="V319" s="165">
        <v>8.9126999999999998E-2</v>
      </c>
      <c r="W319" s="167">
        <v>6.5500000000000003E-2</v>
      </c>
      <c r="X319" s="4" t="s">
        <v>411</v>
      </c>
      <c r="Y319" s="4" t="s">
        <v>136</v>
      </c>
      <c r="Z319" s="153">
        <v>33000</v>
      </c>
      <c r="AA319" s="153">
        <v>1</v>
      </c>
      <c r="AB319" s="153">
        <v>104.923</v>
      </c>
      <c r="AC319" s="11"/>
      <c r="AD319" s="153">
        <v>34.625</v>
      </c>
      <c r="AG319" s="2" t="s">
        <v>37</v>
      </c>
      <c r="AH319" s="167">
        <v>0</v>
      </c>
      <c r="AI319" s="167">
        <v>5.4366967334640599E-3</v>
      </c>
      <c r="AJ319" s="167">
        <v>1.12172216928917E-3</v>
      </c>
      <c r="AK319" s="161"/>
      <c r="AL319" s="153"/>
    </row>
    <row r="320" spans="1:38">
      <c r="A320" s="2" t="s">
        <v>26</v>
      </c>
      <c r="B320" s="2">
        <v>9962</v>
      </c>
      <c r="C320" s="2" t="s">
        <v>2118</v>
      </c>
      <c r="D320" s="2" t="s">
        <v>2119</v>
      </c>
      <c r="E320" s="4" t="s">
        <v>1305</v>
      </c>
      <c r="F320" s="2" t="s">
        <v>2120</v>
      </c>
      <c r="G320" s="2" t="s">
        <v>2121</v>
      </c>
      <c r="H320" s="2" t="s">
        <v>319</v>
      </c>
      <c r="I320" s="2" t="s">
        <v>966</v>
      </c>
      <c r="J320" s="2" t="s">
        <v>31</v>
      </c>
      <c r="K320" s="2" t="s">
        <v>31</v>
      </c>
      <c r="L320" s="2" t="s">
        <v>325</v>
      </c>
      <c r="M320" s="2" t="s">
        <v>40</v>
      </c>
      <c r="N320" s="2" t="s">
        <v>462</v>
      </c>
      <c r="O320" s="2" t="s">
        <v>136</v>
      </c>
      <c r="P320" s="2" t="s">
        <v>1752</v>
      </c>
      <c r="Q320" s="23" t="s">
        <v>1752</v>
      </c>
      <c r="R320" s="23" t="s">
        <v>1752</v>
      </c>
      <c r="S320" s="2" t="s">
        <v>35</v>
      </c>
      <c r="T320" s="153">
        <v>2.0870000000000002</v>
      </c>
      <c r="U320" s="2" t="s">
        <v>1788</v>
      </c>
      <c r="V320" s="165">
        <v>6.7500000000000004E-2</v>
      </c>
      <c r="W320" s="167">
        <v>7.4859999999999996E-2</v>
      </c>
      <c r="X320" s="4" t="s">
        <v>411</v>
      </c>
      <c r="Y320" s="4" t="s">
        <v>136</v>
      </c>
      <c r="Z320" s="153">
        <v>61000</v>
      </c>
      <c r="AA320" s="153">
        <v>1</v>
      </c>
      <c r="AB320" s="153">
        <v>100.49</v>
      </c>
      <c r="AC320" s="11"/>
      <c r="AD320" s="153">
        <v>61.298999999999999</v>
      </c>
      <c r="AG320" s="2" t="s">
        <v>37</v>
      </c>
      <c r="AH320" s="167">
        <v>2.1000000000000001E-4</v>
      </c>
      <c r="AI320" s="167">
        <v>9.6250534488622093E-3</v>
      </c>
      <c r="AJ320" s="167">
        <v>1.9858815680717E-3</v>
      </c>
      <c r="AK320" s="161"/>
      <c r="AL320" s="153"/>
    </row>
    <row r="321" spans="1:38">
      <c r="A321" s="2" t="s">
        <v>26</v>
      </c>
      <c r="B321" s="2">
        <v>9962</v>
      </c>
      <c r="C321" s="2" t="s">
        <v>2118</v>
      </c>
      <c r="D321" s="2" t="s">
        <v>2119</v>
      </c>
      <c r="E321" s="4" t="s">
        <v>1305</v>
      </c>
      <c r="F321" s="2" t="s">
        <v>2122</v>
      </c>
      <c r="G321" s="2" t="s">
        <v>2123</v>
      </c>
      <c r="H321" s="2" t="s">
        <v>319</v>
      </c>
      <c r="I321" s="2" t="s">
        <v>966</v>
      </c>
      <c r="J321" s="2" t="s">
        <v>31</v>
      </c>
      <c r="K321" s="2" t="s">
        <v>31</v>
      </c>
      <c r="L321" s="2" t="s">
        <v>325</v>
      </c>
      <c r="M321" s="2" t="s">
        <v>40</v>
      </c>
      <c r="N321" s="2" t="s">
        <v>462</v>
      </c>
      <c r="O321" s="2" t="s">
        <v>136</v>
      </c>
      <c r="P321" s="2" t="s">
        <v>1752</v>
      </c>
      <c r="Q321" s="23" t="s">
        <v>1752</v>
      </c>
      <c r="R321" s="23" t="s">
        <v>1752</v>
      </c>
      <c r="S321" s="2" t="s">
        <v>35</v>
      </c>
      <c r="T321" s="153">
        <v>0.748</v>
      </c>
      <c r="U321" s="2" t="s">
        <v>2124</v>
      </c>
      <c r="V321" s="165">
        <v>0.06</v>
      </c>
      <c r="W321" s="167">
        <v>0.14593</v>
      </c>
      <c r="X321" s="4" t="s">
        <v>411</v>
      </c>
      <c r="Y321" s="4" t="s">
        <v>136</v>
      </c>
      <c r="Z321" s="153">
        <v>5530.73</v>
      </c>
      <c r="AA321" s="153">
        <v>1</v>
      </c>
      <c r="AB321" s="153">
        <v>95.56</v>
      </c>
      <c r="AC321" s="11"/>
      <c r="AD321" s="153">
        <v>5.2850000000000001</v>
      </c>
      <c r="AG321" s="2" t="s">
        <v>37</v>
      </c>
      <c r="AH321" s="167">
        <v>3.1000000000000001E-5</v>
      </c>
      <c r="AI321" s="167">
        <v>8.2986809340114195E-4</v>
      </c>
      <c r="AJ321" s="167">
        <v>1.7122188041573399E-4</v>
      </c>
      <c r="AK321" s="161"/>
      <c r="AL321" s="153"/>
    </row>
    <row r="322" spans="1:38">
      <c r="A322" s="2" t="s">
        <v>26</v>
      </c>
      <c r="B322" s="2">
        <v>9962</v>
      </c>
      <c r="C322" s="2" t="s">
        <v>2125</v>
      </c>
      <c r="D322" s="2" t="s">
        <v>2126</v>
      </c>
      <c r="E322" s="4" t="s">
        <v>311</v>
      </c>
      <c r="F322" s="2" t="s">
        <v>2132</v>
      </c>
      <c r="G322" s="2" t="s">
        <v>2133</v>
      </c>
      <c r="H322" s="2" t="s">
        <v>319</v>
      </c>
      <c r="I322" s="2" t="s">
        <v>966</v>
      </c>
      <c r="J322" s="2" t="s">
        <v>31</v>
      </c>
      <c r="K322" s="2" t="s">
        <v>31</v>
      </c>
      <c r="L322" s="2" t="s">
        <v>325</v>
      </c>
      <c r="M322" s="2" t="s">
        <v>40</v>
      </c>
      <c r="N322" s="2" t="s">
        <v>462</v>
      </c>
      <c r="O322" s="2" t="s">
        <v>136</v>
      </c>
      <c r="P322" s="2" t="s">
        <v>1772</v>
      </c>
      <c r="Q322" s="2" t="s">
        <v>412</v>
      </c>
      <c r="R322" s="2" t="s">
        <v>407</v>
      </c>
      <c r="S322" s="2" t="s">
        <v>35</v>
      </c>
      <c r="T322" s="153">
        <v>2.6139999999999999</v>
      </c>
      <c r="U322" s="2" t="s">
        <v>1993</v>
      </c>
      <c r="V322" s="165">
        <v>7.2400000000000006E-2</v>
      </c>
      <c r="W322" s="167">
        <v>6.9650000000000004E-2</v>
      </c>
      <c r="X322" s="4" t="s">
        <v>411</v>
      </c>
      <c r="Y322" s="4" t="s">
        <v>136</v>
      </c>
      <c r="Z322" s="153">
        <v>20370</v>
      </c>
      <c r="AA322" s="153">
        <v>1</v>
      </c>
      <c r="AB322" s="153">
        <v>101.61</v>
      </c>
      <c r="AC322" s="11"/>
      <c r="AD322" s="153">
        <v>20.698</v>
      </c>
      <c r="AG322" s="2" t="s">
        <v>37</v>
      </c>
      <c r="AH322" s="167">
        <v>7.7999999999999999E-5</v>
      </c>
      <c r="AI322" s="167">
        <v>3.24995950020721E-3</v>
      </c>
      <c r="AJ322" s="167">
        <v>6.7054533283697699E-4</v>
      </c>
      <c r="AK322" s="161"/>
      <c r="AL322" s="153"/>
    </row>
    <row r="323" spans="1:38">
      <c r="A323" s="2" t="s">
        <v>26</v>
      </c>
      <c r="B323" s="2">
        <v>9962</v>
      </c>
      <c r="C323" s="2" t="s">
        <v>1371</v>
      </c>
      <c r="D323" s="2" t="s">
        <v>1372</v>
      </c>
      <c r="E323" s="4" t="s">
        <v>1305</v>
      </c>
      <c r="F323" s="2" t="s">
        <v>2134</v>
      </c>
      <c r="G323" s="2" t="s">
        <v>2135</v>
      </c>
      <c r="H323" s="2" t="s">
        <v>319</v>
      </c>
      <c r="I323" s="2" t="s">
        <v>754</v>
      </c>
      <c r="J323" s="2" t="s">
        <v>31</v>
      </c>
      <c r="K323" s="2" t="s">
        <v>31</v>
      </c>
      <c r="L323" s="2" t="s">
        <v>325</v>
      </c>
      <c r="M323" s="2" t="s">
        <v>40</v>
      </c>
      <c r="N323" s="2" t="s">
        <v>461</v>
      </c>
      <c r="O323" s="2" t="s">
        <v>136</v>
      </c>
      <c r="P323" s="2" t="s">
        <v>2136</v>
      </c>
      <c r="Q323" s="2" t="s">
        <v>104</v>
      </c>
      <c r="R323" s="2" t="s">
        <v>405</v>
      </c>
      <c r="S323" s="2" t="s">
        <v>35</v>
      </c>
      <c r="T323" s="153">
        <v>3.1419999999999999</v>
      </c>
      <c r="U323" s="2" t="s">
        <v>2137</v>
      </c>
      <c r="V323" s="165">
        <v>1.34E-2</v>
      </c>
      <c r="W323" s="167">
        <v>2.206E-2</v>
      </c>
      <c r="X323" s="4" t="s">
        <v>411</v>
      </c>
      <c r="Y323" s="4" t="s">
        <v>136</v>
      </c>
      <c r="Z323" s="153">
        <v>65000</v>
      </c>
      <c r="AA323" s="153">
        <v>1</v>
      </c>
      <c r="AB323" s="153">
        <v>110.26</v>
      </c>
      <c r="AC323" s="11"/>
      <c r="AD323" s="153">
        <v>71.668999999999997</v>
      </c>
      <c r="AG323" s="2" t="s">
        <v>37</v>
      </c>
      <c r="AH323" s="167">
        <v>2.0999999999999999E-5</v>
      </c>
      <c r="AI323" s="167">
        <v>1.1253349662498101E-2</v>
      </c>
      <c r="AJ323" s="167">
        <v>2.3218385012150401E-3</v>
      </c>
      <c r="AK323" s="161"/>
      <c r="AL323" s="153"/>
    </row>
    <row r="324" spans="1:38">
      <c r="A324" s="2" t="s">
        <v>26</v>
      </c>
      <c r="B324" s="2">
        <v>9962</v>
      </c>
      <c r="C324" s="2" t="s">
        <v>1371</v>
      </c>
      <c r="D324" s="2" t="s">
        <v>1372</v>
      </c>
      <c r="E324" s="4" t="s">
        <v>1305</v>
      </c>
      <c r="F324" s="2" t="s">
        <v>2138</v>
      </c>
      <c r="G324" s="2" t="s">
        <v>2139</v>
      </c>
      <c r="H324" s="2" t="s">
        <v>319</v>
      </c>
      <c r="I324" s="2" t="s">
        <v>754</v>
      </c>
      <c r="J324" s="2" t="s">
        <v>31</v>
      </c>
      <c r="K324" s="2" t="s">
        <v>31</v>
      </c>
      <c r="L324" s="2" t="s">
        <v>325</v>
      </c>
      <c r="M324" s="2" t="s">
        <v>40</v>
      </c>
      <c r="N324" s="2" t="s">
        <v>461</v>
      </c>
      <c r="O324" s="2" t="s">
        <v>136</v>
      </c>
      <c r="P324" s="2" t="s">
        <v>2136</v>
      </c>
      <c r="Q324" s="2" t="s">
        <v>104</v>
      </c>
      <c r="R324" s="2" t="s">
        <v>405</v>
      </c>
      <c r="S324" s="2" t="s">
        <v>35</v>
      </c>
      <c r="T324" s="153">
        <v>2.8639999999999999</v>
      </c>
      <c r="U324" s="2" t="s">
        <v>1753</v>
      </c>
      <c r="V324" s="165">
        <v>1.77E-2</v>
      </c>
      <c r="W324" s="167">
        <v>2.0539999999999999E-2</v>
      </c>
      <c r="X324" s="4" t="s">
        <v>411</v>
      </c>
      <c r="Y324" s="4" t="s">
        <v>136</v>
      </c>
      <c r="Z324" s="153">
        <v>64324.32</v>
      </c>
      <c r="AA324" s="153">
        <v>1</v>
      </c>
      <c r="AB324" s="153">
        <v>111.11</v>
      </c>
      <c r="AC324" s="11"/>
      <c r="AD324" s="153">
        <v>71.471000000000004</v>
      </c>
      <c r="AG324" s="2" t="s">
        <v>37</v>
      </c>
      <c r="AH324" s="167">
        <v>2.3E-5</v>
      </c>
      <c r="AI324" s="167">
        <v>1.1222221076860699E-2</v>
      </c>
      <c r="AJ324" s="167">
        <v>2.31541592031343E-3</v>
      </c>
      <c r="AK324" s="161"/>
      <c r="AL324" s="153"/>
    </row>
    <row r="325" spans="1:38">
      <c r="A325" s="2" t="s">
        <v>26</v>
      </c>
      <c r="B325" s="2">
        <v>9962</v>
      </c>
      <c r="C325" s="2" t="s">
        <v>1371</v>
      </c>
      <c r="D325" s="2" t="s">
        <v>1372</v>
      </c>
      <c r="E325" s="4" t="s">
        <v>1305</v>
      </c>
      <c r="F325" s="2" t="s">
        <v>2140</v>
      </c>
      <c r="G325" s="2" t="s">
        <v>2141</v>
      </c>
      <c r="H325" s="2" t="s">
        <v>319</v>
      </c>
      <c r="I325" s="2" t="s">
        <v>754</v>
      </c>
      <c r="J325" s="2" t="s">
        <v>31</v>
      </c>
      <c r="K325" s="2" t="s">
        <v>31</v>
      </c>
      <c r="L325" s="2" t="s">
        <v>325</v>
      </c>
      <c r="M325" s="2" t="s">
        <v>40</v>
      </c>
      <c r="N325" s="2" t="s">
        <v>461</v>
      </c>
      <c r="O325" s="2" t="s">
        <v>136</v>
      </c>
      <c r="P325" s="2" t="s">
        <v>1308</v>
      </c>
      <c r="Q325" s="2" t="s">
        <v>412</v>
      </c>
      <c r="R325" s="2" t="s">
        <v>405</v>
      </c>
      <c r="S325" s="2" t="s">
        <v>35</v>
      </c>
      <c r="T325" s="153">
        <v>7.2489999999999997</v>
      </c>
      <c r="U325" s="2" t="s">
        <v>2142</v>
      </c>
      <c r="V325" s="165">
        <v>8.9999999999999993E-3</v>
      </c>
      <c r="W325" s="167">
        <v>2.8979999999999999E-2</v>
      </c>
      <c r="X325" s="4" t="s">
        <v>411</v>
      </c>
      <c r="Y325" s="4" t="s">
        <v>136</v>
      </c>
      <c r="Z325" s="153">
        <v>29000</v>
      </c>
      <c r="AA325" s="153">
        <v>1</v>
      </c>
      <c r="AB325" s="153">
        <v>95.37</v>
      </c>
      <c r="AC325" s="11"/>
      <c r="AD325" s="153">
        <v>27.657</v>
      </c>
      <c r="AG325" s="2" t="s">
        <v>37</v>
      </c>
      <c r="AH325" s="167">
        <v>1.5E-5</v>
      </c>
      <c r="AI325" s="167">
        <v>4.34270420433673E-3</v>
      </c>
      <c r="AJ325" s="167">
        <v>8.9600502280839304E-4</v>
      </c>
      <c r="AK325" s="161"/>
      <c r="AL325" s="153"/>
    </row>
    <row r="326" spans="1:38">
      <c r="A326" s="2" t="s">
        <v>26</v>
      </c>
      <c r="B326" s="2">
        <v>9962</v>
      </c>
      <c r="C326" s="2" t="s">
        <v>1371</v>
      </c>
      <c r="D326" s="2" t="s">
        <v>1372</v>
      </c>
      <c r="E326" s="4" t="s">
        <v>1305</v>
      </c>
      <c r="F326" s="2" t="s">
        <v>2146</v>
      </c>
      <c r="G326" s="2" t="s">
        <v>2147</v>
      </c>
      <c r="H326" s="2" t="s">
        <v>319</v>
      </c>
      <c r="I326" s="2" t="s">
        <v>754</v>
      </c>
      <c r="J326" s="2" t="s">
        <v>31</v>
      </c>
      <c r="K326" s="2" t="s">
        <v>31</v>
      </c>
      <c r="L326" s="2" t="s">
        <v>325</v>
      </c>
      <c r="M326" s="2" t="s">
        <v>40</v>
      </c>
      <c r="N326" s="2" t="s">
        <v>461</v>
      </c>
      <c r="O326" s="2" t="s">
        <v>136</v>
      </c>
      <c r="P326" s="2" t="s">
        <v>1308</v>
      </c>
      <c r="Q326" s="2" t="s">
        <v>412</v>
      </c>
      <c r="R326" s="2" t="s">
        <v>405</v>
      </c>
      <c r="S326" s="2" t="s">
        <v>35</v>
      </c>
      <c r="T326" s="153">
        <v>0.998</v>
      </c>
      <c r="U326" s="2" t="s">
        <v>1941</v>
      </c>
      <c r="V326" s="165">
        <v>6.4999999999999997E-3</v>
      </c>
      <c r="W326" s="167">
        <v>1.6490000000000001E-2</v>
      </c>
      <c r="X326" s="4" t="s">
        <v>411</v>
      </c>
      <c r="Y326" s="4" t="s">
        <v>136</v>
      </c>
      <c r="Z326" s="153">
        <v>40000</v>
      </c>
      <c r="AA326" s="153">
        <v>1</v>
      </c>
      <c r="AB326" s="153">
        <v>110.63</v>
      </c>
      <c r="AC326" s="11"/>
      <c r="AD326" s="153">
        <v>44.615000000000002</v>
      </c>
      <c r="AG326" s="2" t="s">
        <v>37</v>
      </c>
      <c r="AH326" s="167">
        <v>1.3200000000000001E-4</v>
      </c>
      <c r="AI326" s="167">
        <v>7.0054013347722998E-3</v>
      </c>
      <c r="AJ326" s="167">
        <v>1.4453839099785701E-3</v>
      </c>
      <c r="AK326" s="161"/>
      <c r="AL326" s="153"/>
    </row>
    <row r="327" spans="1:38">
      <c r="A327" s="2" t="s">
        <v>26</v>
      </c>
      <c r="B327" s="2">
        <v>9962</v>
      </c>
      <c r="C327" s="2" t="s">
        <v>2148</v>
      </c>
      <c r="D327" s="2" t="s">
        <v>2149</v>
      </c>
      <c r="E327" s="4" t="s">
        <v>1305</v>
      </c>
      <c r="F327" s="2" t="s">
        <v>2150</v>
      </c>
      <c r="G327" s="2" t="s">
        <v>2151</v>
      </c>
      <c r="H327" s="2" t="s">
        <v>319</v>
      </c>
      <c r="I327" s="2" t="s">
        <v>966</v>
      </c>
      <c r="J327" s="2" t="s">
        <v>31</v>
      </c>
      <c r="K327" s="2" t="s">
        <v>31</v>
      </c>
      <c r="L327" s="2" t="s">
        <v>325</v>
      </c>
      <c r="M327" s="2" t="s">
        <v>40</v>
      </c>
      <c r="N327" s="2" t="s">
        <v>444</v>
      </c>
      <c r="O327" s="2" t="s">
        <v>136</v>
      </c>
      <c r="P327" s="2" t="s">
        <v>1752</v>
      </c>
      <c r="Q327" s="23" t="s">
        <v>1752</v>
      </c>
      <c r="R327" s="23" t="s">
        <v>1752</v>
      </c>
      <c r="S327" s="2" t="s">
        <v>35</v>
      </c>
      <c r="T327" s="153">
        <v>1.5680000000000001</v>
      </c>
      <c r="U327" s="2" t="s">
        <v>91</v>
      </c>
      <c r="V327" s="165">
        <v>0.06</v>
      </c>
      <c r="W327" s="167">
        <v>6.1800000000000001E-2</v>
      </c>
      <c r="X327" s="4" t="s">
        <v>411</v>
      </c>
      <c r="Y327" s="4" t="s">
        <v>136</v>
      </c>
      <c r="Z327" s="153">
        <v>34100</v>
      </c>
      <c r="AA327" s="153">
        <v>1</v>
      </c>
      <c r="AB327" s="153">
        <v>101.88</v>
      </c>
      <c r="AC327" s="11"/>
      <c r="AD327" s="153">
        <v>34.741</v>
      </c>
      <c r="AG327" s="2" t="s">
        <v>37</v>
      </c>
      <c r="AH327" s="167">
        <v>1.36E-4</v>
      </c>
      <c r="AI327" s="167">
        <v>5.4549878035527197E-3</v>
      </c>
      <c r="AJ327" s="167">
        <v>1.1254960599114199E-3</v>
      </c>
      <c r="AK327" s="161"/>
      <c r="AL327" s="153"/>
    </row>
    <row r="328" spans="1:38">
      <c r="A328" s="2" t="s">
        <v>26</v>
      </c>
      <c r="B328" s="2">
        <v>9962</v>
      </c>
      <c r="C328" s="2" t="s">
        <v>1575</v>
      </c>
      <c r="D328" s="2" t="s">
        <v>1576</v>
      </c>
      <c r="E328" s="4" t="s">
        <v>1305</v>
      </c>
      <c r="F328" s="2" t="s">
        <v>2152</v>
      </c>
      <c r="G328" s="2" t="s">
        <v>2153</v>
      </c>
      <c r="H328" s="2" t="s">
        <v>319</v>
      </c>
      <c r="I328" s="2" t="s">
        <v>754</v>
      </c>
      <c r="J328" s="2" t="s">
        <v>31</v>
      </c>
      <c r="K328" s="2" t="s">
        <v>31</v>
      </c>
      <c r="L328" s="2" t="s">
        <v>325</v>
      </c>
      <c r="M328" s="2" t="s">
        <v>40</v>
      </c>
      <c r="N328" s="2" t="s">
        <v>445</v>
      </c>
      <c r="O328" s="2" t="s">
        <v>136</v>
      </c>
      <c r="P328" s="2" t="s">
        <v>76</v>
      </c>
      <c r="Q328" s="2" t="s">
        <v>104</v>
      </c>
      <c r="R328" s="2" t="s">
        <v>405</v>
      </c>
      <c r="S328" s="2" t="s">
        <v>35</v>
      </c>
      <c r="T328" s="153">
        <v>4.0890000000000004</v>
      </c>
      <c r="U328" s="2" t="s">
        <v>2154</v>
      </c>
      <c r="V328" s="165">
        <v>1E-3</v>
      </c>
      <c r="W328" s="167">
        <v>1.9650000000000001E-2</v>
      </c>
      <c r="X328" s="4" t="s">
        <v>411</v>
      </c>
      <c r="Y328" s="4" t="s">
        <v>136</v>
      </c>
      <c r="Z328" s="153">
        <v>24811.200000000001</v>
      </c>
      <c r="AA328" s="153">
        <v>1</v>
      </c>
      <c r="AB328" s="153">
        <v>101.03</v>
      </c>
      <c r="AC328" s="11"/>
      <c r="AD328" s="153">
        <v>25.067</v>
      </c>
      <c r="AG328" s="2" t="s">
        <v>37</v>
      </c>
      <c r="AH328" s="167">
        <v>9.0000000000000002E-6</v>
      </c>
      <c r="AI328" s="167">
        <v>3.9359411038298103E-3</v>
      </c>
      <c r="AJ328" s="167">
        <v>8.1207994663503702E-4</v>
      </c>
      <c r="AK328" s="161"/>
      <c r="AL328" s="153"/>
    </row>
    <row r="329" spans="1:38">
      <c r="A329" s="2" t="s">
        <v>26</v>
      </c>
      <c r="B329" s="2">
        <v>9962</v>
      </c>
      <c r="C329" s="2" t="s">
        <v>1575</v>
      </c>
      <c r="D329" s="2" t="s">
        <v>1576</v>
      </c>
      <c r="E329" s="4" t="s">
        <v>1305</v>
      </c>
      <c r="F329" s="2" t="s">
        <v>2155</v>
      </c>
      <c r="G329" s="2" t="s">
        <v>2156</v>
      </c>
      <c r="H329" s="2" t="s">
        <v>319</v>
      </c>
      <c r="I329" s="2" t="s">
        <v>754</v>
      </c>
      <c r="J329" s="2" t="s">
        <v>31</v>
      </c>
      <c r="K329" s="2" t="s">
        <v>31</v>
      </c>
      <c r="L329" s="2" t="s">
        <v>325</v>
      </c>
      <c r="M329" s="2" t="s">
        <v>40</v>
      </c>
      <c r="N329" s="2" t="s">
        <v>445</v>
      </c>
      <c r="O329" s="2" t="s">
        <v>136</v>
      </c>
      <c r="P329" s="2" t="s">
        <v>76</v>
      </c>
      <c r="Q329" s="2" t="s">
        <v>104</v>
      </c>
      <c r="R329" s="2" t="s">
        <v>405</v>
      </c>
      <c r="S329" s="2" t="s">
        <v>35</v>
      </c>
      <c r="T329" s="153">
        <v>4.4530000000000003</v>
      </c>
      <c r="U329" s="2" t="s">
        <v>2157</v>
      </c>
      <c r="V329" s="165">
        <v>1.3899999999999999E-2</v>
      </c>
      <c r="W329" s="167">
        <v>1.992E-2</v>
      </c>
      <c r="X329" s="4" t="s">
        <v>411</v>
      </c>
      <c r="Y329" s="4" t="s">
        <v>136</v>
      </c>
      <c r="Z329" s="153">
        <v>38700</v>
      </c>
      <c r="AA329" s="153">
        <v>1</v>
      </c>
      <c r="AB329" s="153">
        <v>101.5</v>
      </c>
      <c r="AC329" s="11"/>
      <c r="AD329" s="153">
        <v>39.280999999999999</v>
      </c>
      <c r="AG329" s="2" t="s">
        <v>37</v>
      </c>
      <c r="AH329" s="167">
        <v>2.1999999999999999E-5</v>
      </c>
      <c r="AI329" s="167">
        <v>6.1677601392199901E-3</v>
      </c>
      <c r="AJ329" s="167">
        <v>1.2725582503868801E-3</v>
      </c>
      <c r="AK329" s="161"/>
      <c r="AL329" s="153"/>
    </row>
    <row r="330" spans="1:38">
      <c r="A330" s="2" t="s">
        <v>26</v>
      </c>
      <c r="B330" s="2">
        <v>9962</v>
      </c>
      <c r="C330" s="2" t="s">
        <v>1575</v>
      </c>
      <c r="D330" s="2" t="s">
        <v>1576</v>
      </c>
      <c r="E330" s="4" t="s">
        <v>1305</v>
      </c>
      <c r="F330" s="2" t="s">
        <v>2375</v>
      </c>
      <c r="G330" s="2" t="s">
        <v>2376</v>
      </c>
      <c r="H330" s="2" t="s">
        <v>319</v>
      </c>
      <c r="I330" s="2" t="s">
        <v>754</v>
      </c>
      <c r="J330" s="2" t="s">
        <v>31</v>
      </c>
      <c r="K330" s="2" t="s">
        <v>31</v>
      </c>
      <c r="L330" s="2" t="s">
        <v>325</v>
      </c>
      <c r="M330" s="2" t="s">
        <v>40</v>
      </c>
      <c r="N330" s="2" t="s">
        <v>445</v>
      </c>
      <c r="O330" s="2" t="s">
        <v>136</v>
      </c>
      <c r="P330" s="2" t="s">
        <v>76</v>
      </c>
      <c r="Q330" s="2" t="s">
        <v>104</v>
      </c>
      <c r="R330" s="2" t="s">
        <v>405</v>
      </c>
      <c r="S330" s="2" t="s">
        <v>35</v>
      </c>
      <c r="T330" s="153">
        <v>2.04</v>
      </c>
      <c r="U330" s="2" t="s">
        <v>2377</v>
      </c>
      <c r="V330" s="165">
        <v>6.0000000000000001E-3</v>
      </c>
      <c r="W330" s="167">
        <v>1.7319999999999999E-2</v>
      </c>
      <c r="X330" s="4" t="s">
        <v>411</v>
      </c>
      <c r="Y330" s="4" t="s">
        <v>136</v>
      </c>
      <c r="Z330" s="153">
        <v>46500</v>
      </c>
      <c r="AA330" s="153">
        <v>1</v>
      </c>
      <c r="AB330" s="153">
        <v>110.8</v>
      </c>
      <c r="AC330" s="11"/>
      <c r="AD330" s="153">
        <v>51.521999999999998</v>
      </c>
      <c r="AG330" s="2" t="s">
        <v>37</v>
      </c>
      <c r="AH330" s="167">
        <v>4.1999999999999998E-5</v>
      </c>
      <c r="AI330" s="167">
        <v>8.0899005331625702E-3</v>
      </c>
      <c r="AJ330" s="167">
        <v>1.66914235247598E-3</v>
      </c>
      <c r="AK330" s="161"/>
      <c r="AL330" s="153"/>
    </row>
    <row r="331" spans="1:38">
      <c r="A331" s="2" t="s">
        <v>26</v>
      </c>
      <c r="B331" s="2">
        <v>9962</v>
      </c>
      <c r="C331" s="2" t="s">
        <v>1575</v>
      </c>
      <c r="D331" s="2" t="s">
        <v>1576</v>
      </c>
      <c r="E331" s="4" t="s">
        <v>1305</v>
      </c>
      <c r="F331" s="2" t="s">
        <v>2158</v>
      </c>
      <c r="G331" s="2" t="s">
        <v>2159</v>
      </c>
      <c r="H331" s="2" t="s">
        <v>319</v>
      </c>
      <c r="I331" s="2" t="s">
        <v>754</v>
      </c>
      <c r="J331" s="2" t="s">
        <v>31</v>
      </c>
      <c r="K331" s="2" t="s">
        <v>31</v>
      </c>
      <c r="L331" s="2" t="s">
        <v>325</v>
      </c>
      <c r="M331" s="2" t="s">
        <v>40</v>
      </c>
      <c r="N331" s="2" t="s">
        <v>445</v>
      </c>
      <c r="O331" s="2" t="s">
        <v>136</v>
      </c>
      <c r="P331" s="2" t="s">
        <v>76</v>
      </c>
      <c r="Q331" s="2" t="s">
        <v>104</v>
      </c>
      <c r="R331" s="2" t="s">
        <v>405</v>
      </c>
      <c r="S331" s="2" t="s">
        <v>35</v>
      </c>
      <c r="T331" s="153">
        <v>3.54</v>
      </c>
      <c r="U331" s="2" t="s">
        <v>2160</v>
      </c>
      <c r="V331" s="165">
        <v>1.7500000000000002E-2</v>
      </c>
      <c r="W331" s="167">
        <v>1.8929999999999999E-2</v>
      </c>
      <c r="X331" s="4" t="s">
        <v>411</v>
      </c>
      <c r="Y331" s="4" t="s">
        <v>136</v>
      </c>
      <c r="Z331" s="153">
        <v>30008.12</v>
      </c>
      <c r="AA331" s="153">
        <v>1</v>
      </c>
      <c r="AB331" s="153">
        <v>111.16</v>
      </c>
      <c r="AC331" s="11"/>
      <c r="AD331" s="153">
        <v>33.356999999999999</v>
      </c>
      <c r="AG331" s="2" t="s">
        <v>37</v>
      </c>
      <c r="AH331" s="167">
        <v>1.0000000000000001E-5</v>
      </c>
      <c r="AI331" s="167">
        <v>5.2376659286397804E-3</v>
      </c>
      <c r="AJ331" s="167">
        <v>1.0806572953246699E-3</v>
      </c>
      <c r="AK331" s="161"/>
      <c r="AL331" s="153"/>
    </row>
    <row r="332" spans="1:38">
      <c r="A332" s="2" t="s">
        <v>26</v>
      </c>
      <c r="B332" s="2">
        <v>9962</v>
      </c>
      <c r="C332" s="2" t="s">
        <v>1575</v>
      </c>
      <c r="D332" s="2" t="s">
        <v>1576</v>
      </c>
      <c r="E332" s="4" t="s">
        <v>1305</v>
      </c>
      <c r="F332" s="2" t="s">
        <v>2378</v>
      </c>
      <c r="G332" s="2" t="s">
        <v>2379</v>
      </c>
      <c r="H332" s="2" t="s">
        <v>319</v>
      </c>
      <c r="I332" s="2" t="s">
        <v>754</v>
      </c>
      <c r="J332" s="2" t="s">
        <v>31</v>
      </c>
      <c r="K332" s="2" t="s">
        <v>31</v>
      </c>
      <c r="L332" s="2" t="s">
        <v>325</v>
      </c>
      <c r="M332" s="2" t="s">
        <v>40</v>
      </c>
      <c r="N332" s="2" t="s">
        <v>445</v>
      </c>
      <c r="O332" s="2" t="s">
        <v>136</v>
      </c>
      <c r="P332" s="2" t="s">
        <v>1984</v>
      </c>
      <c r="Q332" s="2" t="s">
        <v>104</v>
      </c>
      <c r="R332" s="2" t="s">
        <v>405</v>
      </c>
      <c r="S332" s="2" t="s">
        <v>35</v>
      </c>
      <c r="T332" s="153">
        <v>3.899</v>
      </c>
      <c r="U332" s="2" t="s">
        <v>2380</v>
      </c>
      <c r="V332" s="165">
        <v>8.3999999999999995E-3</v>
      </c>
      <c r="W332" s="167">
        <v>2.5999999999999999E-2</v>
      </c>
      <c r="X332" s="4" t="s">
        <v>411</v>
      </c>
      <c r="Y332" s="4" t="s">
        <v>136</v>
      </c>
      <c r="Z332" s="153">
        <v>50000</v>
      </c>
      <c r="AA332" s="153">
        <v>1</v>
      </c>
      <c r="AB332" s="153">
        <v>101.18</v>
      </c>
      <c r="AC332" s="11"/>
      <c r="AD332" s="153">
        <v>50.59</v>
      </c>
      <c r="AG332" s="2" t="s">
        <v>37</v>
      </c>
      <c r="AH332" s="167">
        <v>1.26E-4</v>
      </c>
      <c r="AI332" s="167">
        <v>7.9435594109835504E-3</v>
      </c>
      <c r="AJ332" s="167">
        <v>1.63894863576259E-3</v>
      </c>
      <c r="AK332" s="161"/>
      <c r="AL332" s="153"/>
    </row>
    <row r="333" spans="1:38">
      <c r="A333" s="2" t="s">
        <v>26</v>
      </c>
      <c r="B333" s="2">
        <v>9962</v>
      </c>
      <c r="C333" s="2" t="s">
        <v>1579</v>
      </c>
      <c r="D333" s="2" t="s">
        <v>1580</v>
      </c>
      <c r="E333" s="4" t="s">
        <v>1305</v>
      </c>
      <c r="F333" s="2" t="s">
        <v>2161</v>
      </c>
      <c r="G333" s="2" t="s">
        <v>2162</v>
      </c>
      <c r="H333" s="2" t="s">
        <v>319</v>
      </c>
      <c r="I333" s="2" t="s">
        <v>966</v>
      </c>
      <c r="J333" s="2" t="s">
        <v>31</v>
      </c>
      <c r="K333" s="2" t="s">
        <v>31</v>
      </c>
      <c r="L333" s="2" t="s">
        <v>325</v>
      </c>
      <c r="M333" s="2" t="s">
        <v>40</v>
      </c>
      <c r="N333" s="2" t="s">
        <v>474</v>
      </c>
      <c r="O333" s="2" t="s">
        <v>136</v>
      </c>
      <c r="P333" s="2" t="s">
        <v>1867</v>
      </c>
      <c r="Q333" s="2" t="s">
        <v>104</v>
      </c>
      <c r="R333" s="2" t="s">
        <v>405</v>
      </c>
      <c r="S333" s="2" t="s">
        <v>35</v>
      </c>
      <c r="T333" s="153">
        <v>1.8129999999999999</v>
      </c>
      <c r="U333" s="2" t="s">
        <v>1891</v>
      </c>
      <c r="V333" s="165">
        <v>2.29E-2</v>
      </c>
      <c r="W333" s="167">
        <v>4.5350000000000001E-2</v>
      </c>
      <c r="X333" s="4" t="s">
        <v>411</v>
      </c>
      <c r="Y333" s="4" t="s">
        <v>136</v>
      </c>
      <c r="Z333" s="153">
        <v>23692.3</v>
      </c>
      <c r="AA333" s="153">
        <v>1</v>
      </c>
      <c r="AB333" s="153">
        <v>96.89</v>
      </c>
      <c r="AC333" s="11"/>
      <c r="AD333" s="153">
        <v>22.954999999999998</v>
      </c>
      <c r="AG333" s="2" t="s">
        <v>37</v>
      </c>
      <c r="AH333" s="167">
        <v>4.8000000000000001E-5</v>
      </c>
      <c r="AI333" s="167">
        <v>3.60443043174469E-3</v>
      </c>
      <c r="AJ333" s="167">
        <v>7.4368126845515302E-4</v>
      </c>
      <c r="AK333" s="161"/>
      <c r="AL333" s="153"/>
    </row>
    <row r="334" spans="1:38">
      <c r="A334" s="2" t="s">
        <v>26</v>
      </c>
      <c r="B334" s="2">
        <v>9962</v>
      </c>
      <c r="C334" s="2" t="s">
        <v>2163</v>
      </c>
      <c r="D334" s="2" t="s">
        <v>2164</v>
      </c>
      <c r="E334" s="4" t="s">
        <v>1305</v>
      </c>
      <c r="F334" s="2" t="s">
        <v>2165</v>
      </c>
      <c r="G334" s="2" t="s">
        <v>2166</v>
      </c>
      <c r="H334" s="2" t="s">
        <v>319</v>
      </c>
      <c r="I334" s="2" t="s">
        <v>754</v>
      </c>
      <c r="J334" s="2" t="s">
        <v>31</v>
      </c>
      <c r="K334" s="2" t="s">
        <v>31</v>
      </c>
      <c r="L334" s="2" t="s">
        <v>325</v>
      </c>
      <c r="M334" s="2" t="s">
        <v>40</v>
      </c>
      <c r="N334" s="2" t="s">
        <v>442</v>
      </c>
      <c r="O334" s="2" t="s">
        <v>136</v>
      </c>
      <c r="P334" s="2" t="s">
        <v>1739</v>
      </c>
      <c r="Q334" s="2" t="s">
        <v>412</v>
      </c>
      <c r="R334" s="2" t="s">
        <v>405</v>
      </c>
      <c r="S334" s="2" t="s">
        <v>35</v>
      </c>
      <c r="T334" s="153">
        <v>7.2389999999999999</v>
      </c>
      <c r="U334" s="2" t="s">
        <v>2167</v>
      </c>
      <c r="V334" s="165">
        <v>2.0899999999999998E-2</v>
      </c>
      <c r="W334" s="167">
        <v>2.946E-2</v>
      </c>
      <c r="X334" s="4" t="s">
        <v>411</v>
      </c>
      <c r="Y334" s="4" t="s">
        <v>136</v>
      </c>
      <c r="Z334" s="153">
        <v>100000</v>
      </c>
      <c r="AA334" s="153">
        <v>1</v>
      </c>
      <c r="AB334" s="153">
        <v>104.02</v>
      </c>
      <c r="AC334" s="11"/>
      <c r="AD334" s="153">
        <v>104.02</v>
      </c>
      <c r="AG334" s="2" t="s">
        <v>37</v>
      </c>
      <c r="AH334" s="167">
        <v>8.2000000000000001E-5</v>
      </c>
      <c r="AI334" s="167">
        <v>1.6333050996847401E-2</v>
      </c>
      <c r="AJ334" s="167">
        <v>3.3699038761024801E-3</v>
      </c>
      <c r="AK334" s="161"/>
      <c r="AL334" s="153"/>
    </row>
    <row r="335" spans="1:38">
      <c r="A335" s="2" t="s">
        <v>26</v>
      </c>
      <c r="B335" s="2">
        <v>9962</v>
      </c>
      <c r="C335" s="2" t="s">
        <v>2313</v>
      </c>
      <c r="D335" s="2" t="s">
        <v>2314</v>
      </c>
      <c r="E335" s="4" t="s">
        <v>1305</v>
      </c>
      <c r="F335" s="2" t="s">
        <v>2331</v>
      </c>
      <c r="G335" s="2" t="s">
        <v>2332</v>
      </c>
      <c r="H335" s="2" t="s">
        <v>319</v>
      </c>
      <c r="I335" s="2" t="s">
        <v>966</v>
      </c>
      <c r="J335" s="2" t="s">
        <v>31</v>
      </c>
      <c r="K335" s="2" t="s">
        <v>74</v>
      </c>
      <c r="L335" s="2" t="s">
        <v>325</v>
      </c>
      <c r="M335" s="2" t="s">
        <v>40</v>
      </c>
      <c r="N335" s="2" t="s">
        <v>462</v>
      </c>
      <c r="O335" s="2" t="s">
        <v>136</v>
      </c>
      <c r="P335" s="2" t="s">
        <v>1748</v>
      </c>
      <c r="Q335" s="2" t="s">
        <v>412</v>
      </c>
      <c r="R335" s="2" t="s">
        <v>405</v>
      </c>
      <c r="S335" s="2" t="s">
        <v>35</v>
      </c>
      <c r="T335" s="153">
        <v>2.048</v>
      </c>
      <c r="U335" s="2" t="s">
        <v>1788</v>
      </c>
      <c r="V335" s="165">
        <v>0.09</v>
      </c>
      <c r="W335" s="167">
        <v>6.2280000000000002E-2</v>
      </c>
      <c r="X335" s="4" t="s">
        <v>411</v>
      </c>
      <c r="Y335" s="4" t="s">
        <v>136</v>
      </c>
      <c r="Z335" s="153">
        <v>29000</v>
      </c>
      <c r="AA335" s="153">
        <v>1</v>
      </c>
      <c r="AB335" s="153">
        <v>108.21</v>
      </c>
      <c r="AC335" s="11"/>
      <c r="AD335" s="153">
        <v>31.381</v>
      </c>
      <c r="AG335" s="2" t="s">
        <v>37</v>
      </c>
      <c r="AH335" s="167">
        <v>9.1000000000000003E-5</v>
      </c>
      <c r="AI335" s="167">
        <v>4.9273778122184897E-3</v>
      </c>
      <c r="AJ335" s="167">
        <v>1.0166373442182699E-3</v>
      </c>
      <c r="AK335" s="161"/>
      <c r="AL335" s="153"/>
    </row>
    <row r="336" spans="1:38">
      <c r="A336" s="2" t="s">
        <v>26</v>
      </c>
      <c r="B336" s="2">
        <v>9962</v>
      </c>
      <c r="C336" s="2" t="s">
        <v>1587</v>
      </c>
      <c r="D336" s="2" t="s">
        <v>1588</v>
      </c>
      <c r="E336" s="4" t="s">
        <v>1305</v>
      </c>
      <c r="F336" s="2" t="s">
        <v>2168</v>
      </c>
      <c r="G336" s="2" t="s">
        <v>2169</v>
      </c>
      <c r="H336" s="2" t="s">
        <v>319</v>
      </c>
      <c r="I336" s="2" t="s">
        <v>754</v>
      </c>
      <c r="J336" s="2" t="s">
        <v>31</v>
      </c>
      <c r="K336" s="2" t="s">
        <v>31</v>
      </c>
      <c r="L336" s="2" t="s">
        <v>325</v>
      </c>
      <c r="M336" s="2" t="s">
        <v>40</v>
      </c>
      <c r="N336" s="2" t="s">
        <v>458</v>
      </c>
      <c r="O336" s="2" t="s">
        <v>136</v>
      </c>
      <c r="P336" s="2" t="s">
        <v>1731</v>
      </c>
      <c r="Q336" s="2" t="s">
        <v>104</v>
      </c>
      <c r="R336" s="2" t="s">
        <v>405</v>
      </c>
      <c r="S336" s="2" t="s">
        <v>35</v>
      </c>
      <c r="T336" s="153">
        <v>3.6970000000000001</v>
      </c>
      <c r="U336" s="2" t="s">
        <v>2170</v>
      </c>
      <c r="V336" s="165">
        <v>3.2500000000000001E-2</v>
      </c>
      <c r="W336" s="167">
        <v>3.0530000000000002E-2</v>
      </c>
      <c r="X336" s="4" t="s">
        <v>411</v>
      </c>
      <c r="Y336" s="4" t="s">
        <v>136</v>
      </c>
      <c r="Z336" s="153">
        <v>48000</v>
      </c>
      <c r="AA336" s="153">
        <v>1</v>
      </c>
      <c r="AB336" s="153">
        <v>106.83</v>
      </c>
      <c r="AC336" s="11"/>
      <c r="AD336" s="153">
        <v>51.277999999999999</v>
      </c>
      <c r="AG336" s="2" t="s">
        <v>37</v>
      </c>
      <c r="AH336" s="167">
        <v>1.85E-4</v>
      </c>
      <c r="AI336" s="167">
        <v>8.0516508578805795E-3</v>
      </c>
      <c r="AJ336" s="167">
        <v>1.66125051836506E-3</v>
      </c>
      <c r="AK336" s="161"/>
      <c r="AL336" s="153"/>
    </row>
    <row r="337" spans="1:38">
      <c r="A337" s="2" t="s">
        <v>26</v>
      </c>
      <c r="B337" s="2">
        <v>9962</v>
      </c>
      <c r="C337" s="2" t="s">
        <v>2175</v>
      </c>
      <c r="D337" s="2" t="s">
        <v>2176</v>
      </c>
      <c r="E337" s="4" t="s">
        <v>1305</v>
      </c>
      <c r="F337" s="2" t="s">
        <v>2177</v>
      </c>
      <c r="G337" s="2" t="s">
        <v>2178</v>
      </c>
      <c r="H337" s="2" t="s">
        <v>319</v>
      </c>
      <c r="I337" s="2" t="s">
        <v>966</v>
      </c>
      <c r="J337" s="2" t="s">
        <v>31</v>
      </c>
      <c r="K337" s="2" t="s">
        <v>31</v>
      </c>
      <c r="L337" s="2" t="s">
        <v>325</v>
      </c>
      <c r="M337" s="2" t="s">
        <v>40</v>
      </c>
      <c r="N337" s="2" t="s">
        <v>444</v>
      </c>
      <c r="O337" s="2" t="s">
        <v>136</v>
      </c>
      <c r="P337" s="2" t="s">
        <v>1772</v>
      </c>
      <c r="Q337" s="2" t="s">
        <v>164</v>
      </c>
      <c r="R337" s="2" t="s">
        <v>407</v>
      </c>
      <c r="S337" s="2" t="s">
        <v>35</v>
      </c>
      <c r="T337" s="153">
        <v>3.27</v>
      </c>
      <c r="U337" s="2" t="s">
        <v>2179</v>
      </c>
      <c r="V337" s="165">
        <v>5.3400000000000003E-2</v>
      </c>
      <c r="W337" s="167">
        <v>5.7369999999999997E-2</v>
      </c>
      <c r="X337" s="4" t="s">
        <v>411</v>
      </c>
      <c r="Y337" s="4" t="s">
        <v>136</v>
      </c>
      <c r="Z337" s="153">
        <v>56000</v>
      </c>
      <c r="AA337" s="153">
        <v>1</v>
      </c>
      <c r="AB337" s="153">
        <v>100.93</v>
      </c>
      <c r="AC337" s="11"/>
      <c r="AD337" s="153">
        <v>56.521000000000001</v>
      </c>
      <c r="AG337" s="2" t="s">
        <v>37</v>
      </c>
      <c r="AH337" s="167">
        <v>1.3999999999999999E-4</v>
      </c>
      <c r="AI337" s="167">
        <v>8.87480396830043E-3</v>
      </c>
      <c r="AJ337" s="167">
        <v>1.8310869352087401E-3</v>
      </c>
      <c r="AK337" s="161"/>
      <c r="AL337" s="153"/>
    </row>
    <row r="338" spans="1:38">
      <c r="A338" s="2" t="s">
        <v>26</v>
      </c>
      <c r="B338" s="2">
        <v>9962</v>
      </c>
      <c r="C338" s="2" t="s">
        <v>2180</v>
      </c>
      <c r="D338" s="2" t="s">
        <v>2181</v>
      </c>
      <c r="E338" s="4" t="s">
        <v>1305</v>
      </c>
      <c r="F338" s="2" t="s">
        <v>2182</v>
      </c>
      <c r="G338" s="2" t="s">
        <v>2183</v>
      </c>
      <c r="H338" s="2" t="s">
        <v>319</v>
      </c>
      <c r="I338" s="2" t="s">
        <v>966</v>
      </c>
      <c r="J338" s="2" t="s">
        <v>31</v>
      </c>
      <c r="K338" s="2" t="s">
        <v>31</v>
      </c>
      <c r="L338" s="2" t="s">
        <v>325</v>
      </c>
      <c r="M338" s="2" t="s">
        <v>40</v>
      </c>
      <c r="N338" s="2" t="s">
        <v>444</v>
      </c>
      <c r="O338" s="2" t="s">
        <v>136</v>
      </c>
      <c r="P338" s="2" t="s">
        <v>1752</v>
      </c>
      <c r="Q338" s="23" t="s">
        <v>1752</v>
      </c>
      <c r="R338" s="23" t="s">
        <v>1752</v>
      </c>
      <c r="S338" s="2" t="s">
        <v>35</v>
      </c>
      <c r="T338" s="153">
        <v>0.76500000000000001</v>
      </c>
      <c r="U338" s="2" t="s">
        <v>2184</v>
      </c>
      <c r="V338" s="165">
        <v>4.3499999999999997E-2</v>
      </c>
      <c r="W338" s="167">
        <v>6.3810000000000006E-2</v>
      </c>
      <c r="X338" s="4" t="s">
        <v>411</v>
      </c>
      <c r="Y338" s="4" t="s">
        <v>136</v>
      </c>
      <c r="Z338" s="153">
        <v>24000</v>
      </c>
      <c r="AA338" s="153">
        <v>1</v>
      </c>
      <c r="AB338" s="153">
        <v>99.5</v>
      </c>
      <c r="AC338" s="11"/>
      <c r="AD338" s="153">
        <v>23.88</v>
      </c>
      <c r="AG338" s="2" t="s">
        <v>37</v>
      </c>
      <c r="AH338" s="167">
        <v>3.3300000000000002E-4</v>
      </c>
      <c r="AI338" s="167">
        <v>3.7495987099088199E-3</v>
      </c>
      <c r="AJ338" s="167">
        <v>7.7363299905140498E-4</v>
      </c>
      <c r="AK338" s="161"/>
      <c r="AL338" s="153"/>
    </row>
    <row r="339" spans="1:38">
      <c r="A339" s="2" t="s">
        <v>26</v>
      </c>
      <c r="B339" s="2">
        <v>9962</v>
      </c>
      <c r="C339" s="2" t="s">
        <v>2180</v>
      </c>
      <c r="D339" s="2" t="s">
        <v>2181</v>
      </c>
      <c r="E339" s="4" t="s">
        <v>1305</v>
      </c>
      <c r="F339" s="2" t="s">
        <v>2185</v>
      </c>
      <c r="G339" s="2" t="s">
        <v>2186</v>
      </c>
      <c r="H339" s="2" t="s">
        <v>319</v>
      </c>
      <c r="I339" s="2" t="s">
        <v>966</v>
      </c>
      <c r="J339" s="2" t="s">
        <v>31</v>
      </c>
      <c r="K339" s="2" t="s">
        <v>31</v>
      </c>
      <c r="L339" s="2" t="s">
        <v>325</v>
      </c>
      <c r="M339" s="2" t="s">
        <v>40</v>
      </c>
      <c r="N339" s="2" t="s">
        <v>444</v>
      </c>
      <c r="O339" s="2" t="s">
        <v>136</v>
      </c>
      <c r="P339" s="2" t="s">
        <v>1752</v>
      </c>
      <c r="Q339" s="23" t="s">
        <v>1752</v>
      </c>
      <c r="R339" s="23" t="s">
        <v>1752</v>
      </c>
      <c r="S339" s="2" t="s">
        <v>35</v>
      </c>
      <c r="T339" s="153">
        <v>0.76600000000000001</v>
      </c>
      <c r="U339" s="2" t="s">
        <v>2184</v>
      </c>
      <c r="V339" s="165">
        <v>0.06</v>
      </c>
      <c r="W339" s="167">
        <v>6.7349999999999993E-2</v>
      </c>
      <c r="X339" s="4" t="s">
        <v>411</v>
      </c>
      <c r="Y339" s="4" t="s">
        <v>136</v>
      </c>
      <c r="Z339" s="153">
        <v>8000</v>
      </c>
      <c r="AA339" s="153">
        <v>1</v>
      </c>
      <c r="AB339" s="153">
        <v>100.82</v>
      </c>
      <c r="AC339" s="11"/>
      <c r="AD339" s="153">
        <v>8.0660000000000007</v>
      </c>
      <c r="AG339" s="2" t="s">
        <v>37</v>
      </c>
      <c r="AH339" s="167">
        <v>0</v>
      </c>
      <c r="AI339" s="167">
        <v>1.2664473766599901E-3</v>
      </c>
      <c r="AJ339" s="167">
        <v>2.6129875699954002E-4</v>
      </c>
      <c r="AK339" s="161"/>
      <c r="AL339" s="153"/>
    </row>
    <row r="340" spans="1:38">
      <c r="A340" s="2" t="s">
        <v>26</v>
      </c>
      <c r="B340" s="2">
        <v>9962</v>
      </c>
      <c r="C340" s="2" t="s">
        <v>2187</v>
      </c>
      <c r="D340" s="2" t="s">
        <v>2188</v>
      </c>
      <c r="E340" s="4" t="s">
        <v>1305</v>
      </c>
      <c r="F340" s="2" t="s">
        <v>2189</v>
      </c>
      <c r="G340" s="2" t="s">
        <v>2190</v>
      </c>
      <c r="H340" s="2" t="s">
        <v>319</v>
      </c>
      <c r="I340" s="2" t="s">
        <v>966</v>
      </c>
      <c r="J340" s="2" t="s">
        <v>31</v>
      </c>
      <c r="K340" s="2" t="s">
        <v>31</v>
      </c>
      <c r="L340" s="2" t="s">
        <v>325</v>
      </c>
      <c r="M340" s="2" t="s">
        <v>40</v>
      </c>
      <c r="N340" s="2" t="s">
        <v>444</v>
      </c>
      <c r="O340" s="2" t="s">
        <v>136</v>
      </c>
      <c r="P340" s="2" t="s">
        <v>1752</v>
      </c>
      <c r="Q340" s="23" t="s">
        <v>1752</v>
      </c>
      <c r="R340" s="23" t="s">
        <v>1752</v>
      </c>
      <c r="S340" s="2" t="s">
        <v>35</v>
      </c>
      <c r="T340" s="153">
        <v>0.77700000000000002</v>
      </c>
      <c r="U340" s="2" t="s">
        <v>1715</v>
      </c>
      <c r="V340" s="165">
        <v>4.4900000000000002E-2</v>
      </c>
      <c r="W340" s="167">
        <v>5.5350000000000003E-2</v>
      </c>
      <c r="X340" s="4" t="s">
        <v>411</v>
      </c>
      <c r="Y340" s="4" t="s">
        <v>136</v>
      </c>
      <c r="Z340" s="153">
        <v>27030</v>
      </c>
      <c r="AA340" s="153">
        <v>1</v>
      </c>
      <c r="AB340" s="153">
        <v>100.4</v>
      </c>
      <c r="AC340" s="11"/>
      <c r="AD340" s="153">
        <v>27.138000000000002</v>
      </c>
      <c r="AG340" s="2" t="s">
        <v>37</v>
      </c>
      <c r="AH340" s="167">
        <v>2.5000000000000001E-4</v>
      </c>
      <c r="AI340" s="167">
        <v>4.2611834062542204E-3</v>
      </c>
      <c r="AJ340" s="167">
        <v>8.7918530838429303E-4</v>
      </c>
      <c r="AK340" s="161"/>
      <c r="AL340" s="153"/>
    </row>
    <row r="341" spans="1:38">
      <c r="A341" s="2" t="s">
        <v>26</v>
      </c>
      <c r="B341" s="2">
        <v>9962</v>
      </c>
      <c r="C341" s="2" t="s">
        <v>1599</v>
      </c>
      <c r="D341" s="2" t="s">
        <v>1600</v>
      </c>
      <c r="E341" s="4" t="s">
        <v>1305</v>
      </c>
      <c r="F341" s="2" t="s">
        <v>2381</v>
      </c>
      <c r="G341" s="2" t="s">
        <v>2382</v>
      </c>
      <c r="H341" s="2" t="s">
        <v>319</v>
      </c>
      <c r="I341" s="2" t="s">
        <v>754</v>
      </c>
      <c r="J341" s="2" t="s">
        <v>31</v>
      </c>
      <c r="K341" s="2" t="s">
        <v>31</v>
      </c>
      <c r="L341" s="2" t="s">
        <v>325</v>
      </c>
      <c r="M341" s="2" t="s">
        <v>40</v>
      </c>
      <c r="N341" s="2" t="s">
        <v>461</v>
      </c>
      <c r="O341" s="2" t="s">
        <v>136</v>
      </c>
      <c r="P341" s="2" t="s">
        <v>1748</v>
      </c>
      <c r="Q341" s="2" t="s">
        <v>412</v>
      </c>
      <c r="R341" s="2" t="s">
        <v>405</v>
      </c>
      <c r="S341" s="2" t="s">
        <v>35</v>
      </c>
      <c r="T341" s="153">
        <v>0.47099999999999997</v>
      </c>
      <c r="U341" s="2" t="s">
        <v>2383</v>
      </c>
      <c r="V341" s="165">
        <v>0.04</v>
      </c>
      <c r="W341" s="167">
        <v>1.1520000000000001E-2</v>
      </c>
      <c r="X341" s="4" t="s">
        <v>411</v>
      </c>
      <c r="Y341" s="4" t="s">
        <v>136</v>
      </c>
      <c r="Z341" s="153">
        <v>7373.47</v>
      </c>
      <c r="AA341" s="153">
        <v>1</v>
      </c>
      <c r="AB341" s="153">
        <v>112.74</v>
      </c>
      <c r="AC341" s="11"/>
      <c r="AD341" s="153">
        <v>8.3130000000000006</v>
      </c>
      <c r="AG341" s="2" t="s">
        <v>37</v>
      </c>
      <c r="AH341" s="167">
        <v>4.5000000000000003E-5</v>
      </c>
      <c r="AI341" s="167">
        <v>1.30527018124515E-3</v>
      </c>
      <c r="AJ341" s="167">
        <v>2.6930884156230498E-4</v>
      </c>
      <c r="AK341" s="161"/>
      <c r="AL341" s="153"/>
    </row>
    <row r="342" spans="1:38">
      <c r="A342" s="2" t="s">
        <v>26</v>
      </c>
      <c r="B342" s="2">
        <v>9962</v>
      </c>
      <c r="C342" s="2" t="s">
        <v>1383</v>
      </c>
      <c r="D342" s="2" t="s">
        <v>1384</v>
      </c>
      <c r="E342" s="4" t="s">
        <v>1305</v>
      </c>
      <c r="F342" s="2" t="s">
        <v>2195</v>
      </c>
      <c r="G342" s="2" t="s">
        <v>2196</v>
      </c>
      <c r="H342" s="2" t="s">
        <v>319</v>
      </c>
      <c r="I342" s="2" t="s">
        <v>754</v>
      </c>
      <c r="J342" s="2" t="s">
        <v>31</v>
      </c>
      <c r="K342" s="2" t="s">
        <v>31</v>
      </c>
      <c r="L342" s="2" t="s">
        <v>325</v>
      </c>
      <c r="M342" s="2" t="s">
        <v>40</v>
      </c>
      <c r="N342" s="2" t="s">
        <v>461</v>
      </c>
      <c r="O342" s="2" t="s">
        <v>136</v>
      </c>
      <c r="P342" s="2" t="s">
        <v>1724</v>
      </c>
      <c r="Q342" s="2" t="s">
        <v>412</v>
      </c>
      <c r="R342" s="2" t="s">
        <v>405</v>
      </c>
      <c r="S342" s="2" t="s">
        <v>35</v>
      </c>
      <c r="T342" s="153">
        <v>3.4420000000000002</v>
      </c>
      <c r="U342" s="2" t="s">
        <v>2197</v>
      </c>
      <c r="V342" s="165">
        <v>1.0800000000000001E-2</v>
      </c>
      <c r="W342" s="167">
        <v>3.1019999999999999E-2</v>
      </c>
      <c r="X342" s="4" t="s">
        <v>411</v>
      </c>
      <c r="Y342" s="4" t="s">
        <v>136</v>
      </c>
      <c r="Z342" s="153">
        <v>35797.5</v>
      </c>
      <c r="AA342" s="153">
        <v>1</v>
      </c>
      <c r="AB342" s="153">
        <v>104.57</v>
      </c>
      <c r="AC342" s="11"/>
      <c r="AD342" s="153">
        <v>37.433</v>
      </c>
      <c r="AG342" s="2" t="s">
        <v>37</v>
      </c>
      <c r="AH342" s="167">
        <v>1.34E-4</v>
      </c>
      <c r="AI342" s="167">
        <v>5.8777386889297201E-3</v>
      </c>
      <c r="AJ342" s="167">
        <v>1.21271980319935E-3</v>
      </c>
      <c r="AK342" s="161"/>
      <c r="AL342" s="153"/>
    </row>
    <row r="343" spans="1:38">
      <c r="A343" s="2" t="s">
        <v>26</v>
      </c>
      <c r="B343" s="2">
        <v>9962</v>
      </c>
      <c r="C343" s="2" t="s">
        <v>1383</v>
      </c>
      <c r="D343" s="2" t="s">
        <v>1384</v>
      </c>
      <c r="E343" s="4" t="s">
        <v>1305</v>
      </c>
      <c r="F343" s="2" t="s">
        <v>2198</v>
      </c>
      <c r="G343" s="2" t="s">
        <v>2199</v>
      </c>
      <c r="H343" s="2" t="s">
        <v>319</v>
      </c>
      <c r="I343" s="2" t="s">
        <v>754</v>
      </c>
      <c r="J343" s="2" t="s">
        <v>31</v>
      </c>
      <c r="K343" s="2" t="s">
        <v>31</v>
      </c>
      <c r="L343" s="2" t="s">
        <v>325</v>
      </c>
      <c r="M343" s="2" t="s">
        <v>40</v>
      </c>
      <c r="N343" s="2" t="s">
        <v>461</v>
      </c>
      <c r="O343" s="2" t="s">
        <v>136</v>
      </c>
      <c r="P343" s="2" t="s">
        <v>1890</v>
      </c>
      <c r="Q343" s="2" t="s">
        <v>412</v>
      </c>
      <c r="R343" s="2" t="s">
        <v>405</v>
      </c>
      <c r="S343" s="2" t="s">
        <v>35</v>
      </c>
      <c r="T343" s="153">
        <v>3.899</v>
      </c>
      <c r="U343" s="2" t="s">
        <v>1773</v>
      </c>
      <c r="V343" s="165">
        <v>9.4000000000000004E-3</v>
      </c>
      <c r="W343" s="167">
        <v>4.641E-2</v>
      </c>
      <c r="X343" s="4" t="s">
        <v>411</v>
      </c>
      <c r="Y343" s="4" t="s">
        <v>136</v>
      </c>
      <c r="Z343" s="153">
        <v>63920</v>
      </c>
      <c r="AA343" s="153">
        <v>1</v>
      </c>
      <c r="AB343" s="153">
        <v>94.91</v>
      </c>
      <c r="AC343" s="11"/>
      <c r="AD343" s="153">
        <v>60.665999999999997</v>
      </c>
      <c r="AG343" s="2" t="s">
        <v>37</v>
      </c>
      <c r="AH343" s="167">
        <v>1.6200000000000001E-4</v>
      </c>
      <c r="AI343" s="167">
        <v>9.5257506342512292E-3</v>
      </c>
      <c r="AJ343" s="167">
        <v>1.9653929931000001E-3</v>
      </c>
      <c r="AK343" s="161"/>
      <c r="AL343" s="153"/>
    </row>
    <row r="344" spans="1:38">
      <c r="A344" s="2" t="s">
        <v>26</v>
      </c>
      <c r="B344" s="2">
        <v>9962</v>
      </c>
      <c r="C344" s="2" t="s">
        <v>2200</v>
      </c>
      <c r="D344" s="2" t="s">
        <v>2201</v>
      </c>
      <c r="E344" s="4" t="s">
        <v>1305</v>
      </c>
      <c r="F344" s="2" t="s">
        <v>2202</v>
      </c>
      <c r="G344" s="2" t="s">
        <v>2203</v>
      </c>
      <c r="H344" s="2" t="s">
        <v>319</v>
      </c>
      <c r="I344" s="2" t="s">
        <v>966</v>
      </c>
      <c r="J344" s="2" t="s">
        <v>31</v>
      </c>
      <c r="K344" s="2" t="s">
        <v>31</v>
      </c>
      <c r="L344" s="2" t="s">
        <v>325</v>
      </c>
      <c r="M344" s="2" t="s">
        <v>40</v>
      </c>
      <c r="N344" s="2" t="s">
        <v>440</v>
      </c>
      <c r="O344" s="2" t="s">
        <v>136</v>
      </c>
      <c r="P344" s="2" t="s">
        <v>2204</v>
      </c>
      <c r="Q344" s="2" t="s">
        <v>104</v>
      </c>
      <c r="R344" s="2" t="s">
        <v>405</v>
      </c>
      <c r="S344" s="2" t="s">
        <v>35</v>
      </c>
      <c r="T344" s="153">
        <v>0.95599999999999996</v>
      </c>
      <c r="U344" s="2" t="s">
        <v>1897</v>
      </c>
      <c r="V344" s="165">
        <v>3.15E-2</v>
      </c>
      <c r="W344" s="167">
        <v>0.10729</v>
      </c>
      <c r="X344" s="4" t="s">
        <v>411</v>
      </c>
      <c r="Y344" s="4" t="s">
        <v>136</v>
      </c>
      <c r="Z344" s="153">
        <v>14136.66</v>
      </c>
      <c r="AA344" s="153">
        <v>1</v>
      </c>
      <c r="AB344" s="153">
        <v>94.15</v>
      </c>
      <c r="AC344" s="11"/>
      <c r="AD344" s="153">
        <v>13.31</v>
      </c>
      <c r="AG344" s="2" t="s">
        <v>37</v>
      </c>
      <c r="AH344" s="167">
        <v>7.1000000000000005E-5</v>
      </c>
      <c r="AI344" s="167">
        <v>2.0898619839054499E-3</v>
      </c>
      <c r="AJ344" s="167">
        <v>4.31189126969698E-4</v>
      </c>
      <c r="AK344" s="161"/>
      <c r="AL344" s="153"/>
    </row>
    <row r="345" spans="1:38">
      <c r="A345" s="2" t="s">
        <v>26</v>
      </c>
      <c r="B345" s="2">
        <v>9962</v>
      </c>
      <c r="C345" s="2" t="s">
        <v>2200</v>
      </c>
      <c r="D345" s="2" t="s">
        <v>2201</v>
      </c>
      <c r="E345" s="4" t="s">
        <v>1305</v>
      </c>
      <c r="F345" s="2" t="s">
        <v>2205</v>
      </c>
      <c r="G345" s="2" t="s">
        <v>2203</v>
      </c>
      <c r="H345" s="2" t="s">
        <v>319</v>
      </c>
      <c r="I345" s="2" t="s">
        <v>966</v>
      </c>
      <c r="J345" s="2" t="s">
        <v>31</v>
      </c>
      <c r="K345" s="2" t="s">
        <v>31</v>
      </c>
      <c r="L345" s="23" t="s">
        <v>327</v>
      </c>
      <c r="M345" s="2" t="s">
        <v>40</v>
      </c>
      <c r="N345" s="2" t="s">
        <v>440</v>
      </c>
      <c r="O345" s="2" t="s">
        <v>136</v>
      </c>
      <c r="P345" s="2" t="s">
        <v>2083</v>
      </c>
      <c r="Q345" s="2" t="s">
        <v>104</v>
      </c>
      <c r="R345" s="2" t="s">
        <v>405</v>
      </c>
      <c r="S345" s="2" t="s">
        <v>35</v>
      </c>
      <c r="T345" s="153">
        <v>1.9</v>
      </c>
      <c r="U345" s="2" t="s">
        <v>1897</v>
      </c>
      <c r="V345" s="165">
        <v>2.9000000000000001E-2</v>
      </c>
      <c r="W345" s="167">
        <v>7.9600000000000004E-2</v>
      </c>
      <c r="X345" s="4" t="s">
        <v>411</v>
      </c>
      <c r="Y345" s="4" t="s">
        <v>136</v>
      </c>
      <c r="Z345" s="153">
        <v>47000</v>
      </c>
      <c r="AA345" s="153">
        <v>1</v>
      </c>
      <c r="AB345" s="153">
        <v>93.238</v>
      </c>
      <c r="AC345" s="11"/>
      <c r="AD345" s="153">
        <v>43.822000000000003</v>
      </c>
      <c r="AG345" s="2" t="s">
        <v>37</v>
      </c>
      <c r="AH345" s="167">
        <v>2.3499999999999999E-4</v>
      </c>
      <c r="AI345" s="167">
        <v>6.8808666099816696E-3</v>
      </c>
      <c r="AJ345" s="167">
        <v>1.4196893810223901E-3</v>
      </c>
      <c r="AK345" s="161"/>
      <c r="AL345" s="153"/>
    </row>
    <row r="346" spans="1:38">
      <c r="A346" s="2" t="s">
        <v>26</v>
      </c>
      <c r="B346" s="2">
        <v>9962</v>
      </c>
      <c r="C346" s="2" t="s">
        <v>2206</v>
      </c>
      <c r="D346" s="2" t="s">
        <v>2207</v>
      </c>
      <c r="E346" s="4" t="s">
        <v>1305</v>
      </c>
      <c r="F346" s="2" t="s">
        <v>2208</v>
      </c>
      <c r="G346" s="2" t="s">
        <v>2209</v>
      </c>
      <c r="H346" s="2" t="s">
        <v>319</v>
      </c>
      <c r="I346" s="2" t="s">
        <v>966</v>
      </c>
      <c r="J346" s="2" t="s">
        <v>31</v>
      </c>
      <c r="K346" s="2" t="s">
        <v>31</v>
      </c>
      <c r="L346" s="2" t="s">
        <v>325</v>
      </c>
      <c r="M346" s="2" t="s">
        <v>40</v>
      </c>
      <c r="N346" s="2" t="s">
        <v>461</v>
      </c>
      <c r="O346" s="2" t="s">
        <v>136</v>
      </c>
      <c r="P346" s="2" t="s">
        <v>1720</v>
      </c>
      <c r="Q346" s="2" t="s">
        <v>104</v>
      </c>
      <c r="R346" s="2" t="s">
        <v>405</v>
      </c>
      <c r="S346" s="2" t="s">
        <v>35</v>
      </c>
      <c r="T346" s="153">
        <v>3.18</v>
      </c>
      <c r="U346" s="2" t="s">
        <v>2210</v>
      </c>
      <c r="V346" s="165">
        <v>4.1000000000000002E-2</v>
      </c>
      <c r="W346" s="167">
        <v>5.849E-2</v>
      </c>
      <c r="X346" s="4" t="s">
        <v>411</v>
      </c>
      <c r="Y346" s="4" t="s">
        <v>136</v>
      </c>
      <c r="Z346" s="153">
        <v>14777.78</v>
      </c>
      <c r="AA346" s="153">
        <v>1</v>
      </c>
      <c r="AB346" s="153">
        <v>96.54</v>
      </c>
      <c r="AC346" s="11"/>
      <c r="AD346" s="153">
        <v>14.266</v>
      </c>
      <c r="AG346" s="2" t="s">
        <v>37</v>
      </c>
      <c r="AH346" s="167">
        <v>3.0000000000000001E-5</v>
      </c>
      <c r="AI346" s="167">
        <v>2.2400976990129598E-3</v>
      </c>
      <c r="AJ346" s="167">
        <v>4.6218639250003698E-4</v>
      </c>
      <c r="AK346" s="161"/>
      <c r="AL346" s="153"/>
    </row>
    <row r="347" spans="1:38">
      <c r="A347" s="2" t="s">
        <v>26</v>
      </c>
      <c r="B347" s="2">
        <v>9962</v>
      </c>
      <c r="C347" s="2" t="s">
        <v>2384</v>
      </c>
      <c r="D347" s="2" t="s">
        <v>2385</v>
      </c>
      <c r="E347" s="4" t="s">
        <v>1305</v>
      </c>
      <c r="F347" s="2" t="s">
        <v>2386</v>
      </c>
      <c r="G347" s="2" t="s">
        <v>2387</v>
      </c>
      <c r="H347" s="2" t="s">
        <v>319</v>
      </c>
      <c r="I347" s="2" t="s">
        <v>755</v>
      </c>
      <c r="J347" s="2" t="s">
        <v>31</v>
      </c>
      <c r="K347" s="2" t="s">
        <v>31</v>
      </c>
      <c r="L347" s="2" t="s">
        <v>325</v>
      </c>
      <c r="M347" s="2" t="s">
        <v>40</v>
      </c>
      <c r="N347" s="2" t="s">
        <v>451</v>
      </c>
      <c r="O347" s="2" t="s">
        <v>136</v>
      </c>
      <c r="P347" s="2" t="s">
        <v>1896</v>
      </c>
      <c r="Q347" s="2" t="s">
        <v>104</v>
      </c>
      <c r="R347" s="2" t="s">
        <v>405</v>
      </c>
      <c r="S347" s="2" t="s">
        <v>35</v>
      </c>
      <c r="T347" s="153">
        <v>3.3</v>
      </c>
      <c r="U347" s="2" t="s">
        <v>2388</v>
      </c>
      <c r="V347" s="165">
        <v>4.6899999999999997E-2</v>
      </c>
      <c r="W347" s="167">
        <v>6.9029999999999994E-2</v>
      </c>
      <c r="X347" s="4" t="s">
        <v>411</v>
      </c>
      <c r="Y347" s="4" t="s">
        <v>136</v>
      </c>
      <c r="Z347" s="153">
        <v>31564.66</v>
      </c>
      <c r="AA347" s="153">
        <v>1</v>
      </c>
      <c r="AB347" s="153">
        <v>98.27</v>
      </c>
      <c r="AC347" s="11"/>
      <c r="AD347" s="153">
        <v>31.018999999999998</v>
      </c>
      <c r="AG347" s="2" t="s">
        <v>37</v>
      </c>
      <c r="AH347" s="167">
        <v>2.1999999999999999E-5</v>
      </c>
      <c r="AI347" s="167">
        <v>4.8704887030626498E-3</v>
      </c>
      <c r="AJ347" s="167">
        <v>1.00489974360162E-3</v>
      </c>
      <c r="AK347" s="161"/>
      <c r="AL347" s="153"/>
    </row>
    <row r="348" spans="1:38">
      <c r="A348" s="2" t="s">
        <v>26</v>
      </c>
      <c r="B348" s="2">
        <v>9962</v>
      </c>
      <c r="C348" s="2" t="s">
        <v>2216</v>
      </c>
      <c r="D348" s="2" t="s">
        <v>2217</v>
      </c>
      <c r="E348" s="4" t="s">
        <v>1305</v>
      </c>
      <c r="F348" s="2" t="s">
        <v>2218</v>
      </c>
      <c r="G348" s="2" t="s">
        <v>2219</v>
      </c>
      <c r="H348" s="2" t="s">
        <v>319</v>
      </c>
      <c r="I348" s="2" t="s">
        <v>754</v>
      </c>
      <c r="J348" s="2" t="s">
        <v>31</v>
      </c>
      <c r="K348" s="2" t="s">
        <v>31</v>
      </c>
      <c r="L348" s="2" t="s">
        <v>325</v>
      </c>
      <c r="M348" s="2" t="s">
        <v>40</v>
      </c>
      <c r="N348" s="2" t="s">
        <v>461</v>
      </c>
      <c r="O348" s="2" t="s">
        <v>136</v>
      </c>
      <c r="P348" s="2" t="s">
        <v>1752</v>
      </c>
      <c r="Q348" s="23" t="s">
        <v>1752</v>
      </c>
      <c r="R348" s="23" t="s">
        <v>1752</v>
      </c>
      <c r="S348" s="2" t="s">
        <v>35</v>
      </c>
      <c r="T348" s="153">
        <v>2.6</v>
      </c>
      <c r="U348" s="2" t="s">
        <v>1908</v>
      </c>
      <c r="V348" s="165">
        <v>3.5180000000000003E-2</v>
      </c>
      <c r="W348" s="167">
        <v>3.7519999999999998E-2</v>
      </c>
      <c r="X348" s="4" t="s">
        <v>411</v>
      </c>
      <c r="Y348" s="4" t="s">
        <v>136</v>
      </c>
      <c r="Z348" s="153">
        <v>80000</v>
      </c>
      <c r="AA348" s="153">
        <v>1</v>
      </c>
      <c r="AB348" s="153">
        <v>104.9</v>
      </c>
      <c r="AC348" s="11"/>
      <c r="AD348" s="153">
        <v>83.92</v>
      </c>
      <c r="AG348" s="2" t="s">
        <v>37</v>
      </c>
      <c r="AH348" s="167">
        <v>1.2E-4</v>
      </c>
      <c r="AI348" s="167">
        <v>1.31769817309693E-2</v>
      </c>
      <c r="AJ348" s="167">
        <v>2.7187303718757901E-3</v>
      </c>
      <c r="AK348" s="161"/>
      <c r="AL348" s="153"/>
    </row>
    <row r="349" spans="1:38">
      <c r="A349" s="2" t="s">
        <v>26</v>
      </c>
      <c r="B349" s="2">
        <v>9962</v>
      </c>
      <c r="C349" s="2" t="s">
        <v>2220</v>
      </c>
      <c r="D349" s="2" t="s">
        <v>2221</v>
      </c>
      <c r="E349" s="4" t="s">
        <v>312</v>
      </c>
      <c r="F349" s="2" t="s">
        <v>2222</v>
      </c>
      <c r="G349" s="2" t="s">
        <v>2223</v>
      </c>
      <c r="H349" s="2" t="s">
        <v>319</v>
      </c>
      <c r="I349" s="2" t="s">
        <v>755</v>
      </c>
      <c r="J349" s="2" t="s">
        <v>73</v>
      </c>
      <c r="K349" s="2" t="s">
        <v>293</v>
      </c>
      <c r="L349" s="2" t="s">
        <v>325</v>
      </c>
      <c r="M349" s="2" t="s">
        <v>164</v>
      </c>
      <c r="N349" s="2" t="s">
        <v>566</v>
      </c>
      <c r="O349" s="2" t="s">
        <v>136</v>
      </c>
      <c r="P349" s="2" t="s">
        <v>2224</v>
      </c>
      <c r="Q349" s="2" t="s">
        <v>77</v>
      </c>
      <c r="R349" s="2" t="s">
        <v>405</v>
      </c>
      <c r="S349" s="2" t="s">
        <v>1178</v>
      </c>
      <c r="T349" s="153">
        <v>1.28</v>
      </c>
      <c r="U349" s="2" t="s">
        <v>2225</v>
      </c>
      <c r="V349" s="165">
        <v>4.2500000000000003E-2</v>
      </c>
      <c r="W349" s="167">
        <v>7.8850000000000003E-2</v>
      </c>
      <c r="X349" s="4" t="s">
        <v>411</v>
      </c>
      <c r="Y349" s="4" t="s">
        <v>136</v>
      </c>
      <c r="Z349" s="153">
        <v>8000</v>
      </c>
      <c r="AA349" s="153">
        <v>3.9790000000000001</v>
      </c>
      <c r="AB349" s="153">
        <v>94.738</v>
      </c>
      <c r="AC349" s="11"/>
      <c r="AD349" s="153">
        <v>30.905999999999999</v>
      </c>
      <c r="AG349" s="2" t="s">
        <v>37</v>
      </c>
      <c r="AH349" s="167">
        <v>1.5999999999999999E-5</v>
      </c>
      <c r="AI349" s="167">
        <v>4.8527481777030004E-3</v>
      </c>
      <c r="AJ349" s="167">
        <v>1.00123944368674E-3</v>
      </c>
      <c r="AK349" s="161"/>
      <c r="AL349" s="153"/>
    </row>
    <row r="350" spans="1:38">
      <c r="A350" s="2" t="s">
        <v>26</v>
      </c>
      <c r="B350" s="2">
        <v>9962</v>
      </c>
      <c r="C350" s="2" t="s">
        <v>2226</v>
      </c>
      <c r="D350" s="2" t="s">
        <v>2227</v>
      </c>
      <c r="E350" s="4" t="s">
        <v>312</v>
      </c>
      <c r="F350" s="2" t="s">
        <v>2228</v>
      </c>
      <c r="G350" s="2" t="s">
        <v>2229</v>
      </c>
      <c r="H350" s="2" t="s">
        <v>319</v>
      </c>
      <c r="I350" s="2" t="s">
        <v>755</v>
      </c>
      <c r="J350" s="2" t="s">
        <v>73</v>
      </c>
      <c r="K350" s="2" t="s">
        <v>296</v>
      </c>
      <c r="L350" s="2" t="s">
        <v>325</v>
      </c>
      <c r="M350" s="2" t="s">
        <v>164</v>
      </c>
      <c r="N350" s="2" t="s">
        <v>451</v>
      </c>
      <c r="O350" s="2" t="s">
        <v>136</v>
      </c>
      <c r="P350" s="2" t="s">
        <v>1714</v>
      </c>
      <c r="Q350" s="2" t="s">
        <v>77</v>
      </c>
      <c r="R350" s="2" t="s">
        <v>405</v>
      </c>
      <c r="S350" s="2" t="s">
        <v>78</v>
      </c>
      <c r="T350" s="153">
        <v>3.63</v>
      </c>
      <c r="U350" s="2" t="s">
        <v>2230</v>
      </c>
      <c r="V350" s="165">
        <v>5.3749999999999999E-2</v>
      </c>
      <c r="W350" s="167">
        <v>8.9200000000000002E-2</v>
      </c>
      <c r="X350" s="4" t="s">
        <v>411</v>
      </c>
      <c r="Y350" s="4" t="s">
        <v>136</v>
      </c>
      <c r="Z350" s="153">
        <v>7000</v>
      </c>
      <c r="AA350" s="153">
        <v>3.681</v>
      </c>
      <c r="AB350" s="153">
        <v>91.602000000000004</v>
      </c>
      <c r="AC350" s="161">
        <v>0.188</v>
      </c>
      <c r="AD350" s="153">
        <v>24.295999999999999</v>
      </c>
      <c r="AG350" s="2" t="s">
        <v>37</v>
      </c>
      <c r="AH350" s="167">
        <v>1.1E-5</v>
      </c>
      <c r="AI350" s="167">
        <v>3.8148545825552999E-3</v>
      </c>
      <c r="AJ350" s="167">
        <v>7.8709686555205303E-4</v>
      </c>
      <c r="AK350" s="161"/>
      <c r="AL350" s="153"/>
    </row>
    <row r="351" spans="1:38">
      <c r="A351" s="2" t="s">
        <v>26</v>
      </c>
      <c r="B351" s="2">
        <v>9962</v>
      </c>
      <c r="C351" s="2" t="s">
        <v>2226</v>
      </c>
      <c r="D351" s="2" t="s">
        <v>2227</v>
      </c>
      <c r="E351" s="4" t="s">
        <v>312</v>
      </c>
      <c r="F351" s="2" t="s">
        <v>2231</v>
      </c>
      <c r="G351" s="2" t="s">
        <v>2232</v>
      </c>
      <c r="H351" s="2" t="s">
        <v>319</v>
      </c>
      <c r="I351" s="2" t="s">
        <v>755</v>
      </c>
      <c r="J351" s="2" t="s">
        <v>73</v>
      </c>
      <c r="K351" s="2" t="s">
        <v>296</v>
      </c>
      <c r="L351" s="2" t="s">
        <v>325</v>
      </c>
      <c r="M351" s="2" t="s">
        <v>164</v>
      </c>
      <c r="N351" s="2" t="s">
        <v>451</v>
      </c>
      <c r="O351" s="2" t="s">
        <v>136</v>
      </c>
      <c r="P351" s="2" t="s">
        <v>1714</v>
      </c>
      <c r="Q351" s="2" t="s">
        <v>77</v>
      </c>
      <c r="R351" s="2" t="s">
        <v>405</v>
      </c>
      <c r="S351" s="2" t="s">
        <v>78</v>
      </c>
      <c r="T351" s="153">
        <v>5.72</v>
      </c>
      <c r="U351" s="2" t="s">
        <v>2233</v>
      </c>
      <c r="V351" s="165">
        <v>5.8749999999999997E-2</v>
      </c>
      <c r="W351" s="167">
        <v>9.0700000000000003E-2</v>
      </c>
      <c r="X351" s="4" t="s">
        <v>411</v>
      </c>
      <c r="Y351" s="4" t="s">
        <v>136</v>
      </c>
      <c r="Z351" s="153">
        <v>5000</v>
      </c>
      <c r="AA351" s="153">
        <v>3.681</v>
      </c>
      <c r="AB351" s="153">
        <v>87.728999999999999</v>
      </c>
      <c r="AC351" s="161">
        <v>0.14699999999999999</v>
      </c>
      <c r="AD351" s="153">
        <v>16.687000000000001</v>
      </c>
      <c r="AG351" s="2" t="s">
        <v>37</v>
      </c>
      <c r="AH351" s="167">
        <v>7.9999999999999996E-6</v>
      </c>
      <c r="AI351" s="167">
        <v>2.6201950412233798E-3</v>
      </c>
      <c r="AJ351" s="167">
        <v>5.4060967710610204E-4</v>
      </c>
      <c r="AK351" s="161"/>
      <c r="AL351" s="153"/>
    </row>
    <row r="352" spans="1:38">
      <c r="A352" s="2" t="s">
        <v>26</v>
      </c>
      <c r="B352" s="2">
        <v>9962</v>
      </c>
      <c r="C352" s="2" t="s">
        <v>2234</v>
      </c>
      <c r="D352" s="2" t="s">
        <v>2235</v>
      </c>
      <c r="E352" s="4" t="s">
        <v>312</v>
      </c>
      <c r="F352" s="2" t="s">
        <v>2236</v>
      </c>
      <c r="G352" s="2" t="s">
        <v>2237</v>
      </c>
      <c r="H352" s="2" t="s">
        <v>319</v>
      </c>
      <c r="I352" s="2" t="s">
        <v>755</v>
      </c>
      <c r="J352" s="2" t="s">
        <v>73</v>
      </c>
      <c r="K352" s="2" t="s">
        <v>74</v>
      </c>
      <c r="L352" s="2" t="s">
        <v>325</v>
      </c>
      <c r="M352" s="2" t="s">
        <v>164</v>
      </c>
      <c r="N352" s="2" t="s">
        <v>513</v>
      </c>
      <c r="O352" s="2" t="s">
        <v>136</v>
      </c>
      <c r="P352" s="2" t="s">
        <v>1890</v>
      </c>
      <c r="Q352" s="2" t="s">
        <v>77</v>
      </c>
      <c r="R352" s="2" t="s">
        <v>405</v>
      </c>
      <c r="S352" s="2" t="s">
        <v>78</v>
      </c>
      <c r="T352" s="153">
        <v>3.45</v>
      </c>
      <c r="U352" s="2" t="s">
        <v>2230</v>
      </c>
      <c r="V352" s="165">
        <v>5.6000000000000001E-2</v>
      </c>
      <c r="W352" s="167">
        <v>5.4300000000000001E-2</v>
      </c>
      <c r="X352" s="4" t="s">
        <v>411</v>
      </c>
      <c r="Y352" s="4" t="s">
        <v>136</v>
      </c>
      <c r="Z352" s="153">
        <v>14000</v>
      </c>
      <c r="AA352" s="153">
        <v>3.681</v>
      </c>
      <c r="AB352" s="153">
        <v>101.197</v>
      </c>
      <c r="AC352" s="11"/>
      <c r="AD352" s="153">
        <v>52.151000000000003</v>
      </c>
      <c r="AG352" s="2" t="s">
        <v>37</v>
      </c>
      <c r="AH352" s="167">
        <v>1.7E-5</v>
      </c>
      <c r="AI352" s="167">
        <v>8.1886434171206408E-3</v>
      </c>
      <c r="AJ352" s="167">
        <v>1.6895154001969599E-3</v>
      </c>
      <c r="AK352" s="161"/>
      <c r="AL352" s="153"/>
    </row>
    <row r="353" spans="1:38">
      <c r="A353" s="2" t="s">
        <v>26</v>
      </c>
      <c r="B353" s="2">
        <v>9962</v>
      </c>
      <c r="C353" s="2" t="s">
        <v>2238</v>
      </c>
      <c r="D353" s="2" t="s">
        <v>2239</v>
      </c>
      <c r="E353" s="4" t="s">
        <v>312</v>
      </c>
      <c r="F353" s="2" t="s">
        <v>2240</v>
      </c>
      <c r="G353" s="2" t="s">
        <v>2241</v>
      </c>
      <c r="H353" s="2" t="s">
        <v>319</v>
      </c>
      <c r="I353" s="2" t="s">
        <v>755</v>
      </c>
      <c r="J353" s="2" t="s">
        <v>73</v>
      </c>
      <c r="K353" s="2" t="s">
        <v>233</v>
      </c>
      <c r="L353" s="2" t="s">
        <v>325</v>
      </c>
      <c r="M353" s="2" t="s">
        <v>164</v>
      </c>
      <c r="N353" s="2" t="s">
        <v>484</v>
      </c>
      <c r="O353" s="2" t="s">
        <v>136</v>
      </c>
      <c r="P353" s="2" t="s">
        <v>2242</v>
      </c>
      <c r="Q353" s="2" t="s">
        <v>77</v>
      </c>
      <c r="R353" s="2" t="s">
        <v>405</v>
      </c>
      <c r="S353" s="2" t="s">
        <v>78</v>
      </c>
      <c r="T353" s="153">
        <v>1.1599999999999999</v>
      </c>
      <c r="U353" s="2" t="s">
        <v>2243</v>
      </c>
      <c r="V353" s="165">
        <v>0.09</v>
      </c>
      <c r="W353" s="167">
        <v>8.1780000000000005E-2</v>
      </c>
      <c r="X353" s="4" t="s">
        <v>411</v>
      </c>
      <c r="Y353" s="4" t="s">
        <v>136</v>
      </c>
      <c r="Z353" s="153">
        <v>21000</v>
      </c>
      <c r="AA353" s="153">
        <v>3.681</v>
      </c>
      <c r="AB353" s="153">
        <v>100.85</v>
      </c>
      <c r="AC353" s="11"/>
      <c r="AD353" s="153">
        <v>79.406999999999996</v>
      </c>
      <c r="AG353" s="2" t="s">
        <v>37</v>
      </c>
      <c r="AH353" s="167">
        <v>3.4E-5</v>
      </c>
      <c r="AI353" s="167">
        <v>1.24684288322339E-2</v>
      </c>
      <c r="AJ353" s="167">
        <v>2.5725387534002802E-3</v>
      </c>
      <c r="AK353" s="161"/>
      <c r="AL353" s="153"/>
    </row>
    <row r="354" spans="1:38">
      <c r="A354" s="2" t="s">
        <v>26</v>
      </c>
      <c r="B354" s="2">
        <v>9962</v>
      </c>
      <c r="C354" s="2" t="s">
        <v>1648</v>
      </c>
      <c r="D354" s="2" t="s">
        <v>1649</v>
      </c>
      <c r="E354" s="4" t="s">
        <v>312</v>
      </c>
      <c r="F354" s="2" t="s">
        <v>2244</v>
      </c>
      <c r="G354" s="2" t="s">
        <v>2245</v>
      </c>
      <c r="H354" s="2" t="s">
        <v>319</v>
      </c>
      <c r="I354" s="2" t="s">
        <v>755</v>
      </c>
      <c r="J354" s="2" t="s">
        <v>73</v>
      </c>
      <c r="K354" s="2" t="s">
        <v>74</v>
      </c>
      <c r="L354" s="2" t="s">
        <v>325</v>
      </c>
      <c r="M354" s="2" t="s">
        <v>164</v>
      </c>
      <c r="N354" s="2" t="s">
        <v>534</v>
      </c>
      <c r="O354" s="2" t="s">
        <v>136</v>
      </c>
      <c r="P354" s="2" t="s">
        <v>1724</v>
      </c>
      <c r="Q354" s="2" t="s">
        <v>77</v>
      </c>
      <c r="R354" s="2" t="s">
        <v>405</v>
      </c>
      <c r="S354" s="2" t="s">
        <v>78</v>
      </c>
      <c r="T354" s="153">
        <v>6.63</v>
      </c>
      <c r="U354" s="2" t="s">
        <v>2246</v>
      </c>
      <c r="V354" s="165">
        <v>4.9119999999999997E-2</v>
      </c>
      <c r="W354" s="167">
        <v>5.5989999999999998E-2</v>
      </c>
      <c r="X354" s="4" t="s">
        <v>411</v>
      </c>
      <c r="Y354" s="4" t="s">
        <v>136</v>
      </c>
      <c r="Z354" s="153">
        <v>6000</v>
      </c>
      <c r="AA354" s="153">
        <v>3.681</v>
      </c>
      <c r="AB354" s="153">
        <v>97.835999999999999</v>
      </c>
      <c r="AC354" s="11"/>
      <c r="AD354" s="153">
        <v>21.803999999999998</v>
      </c>
      <c r="AG354" s="2" t="s">
        <v>37</v>
      </c>
      <c r="AH354" s="167">
        <v>1.9999999999999999E-6</v>
      </c>
      <c r="AI354" s="167">
        <v>3.4236186970670501E-3</v>
      </c>
      <c r="AJ354" s="167">
        <v>7.0637542978161804E-4</v>
      </c>
      <c r="AK354" s="161"/>
      <c r="AL354" s="153"/>
    </row>
    <row r="355" spans="1:38">
      <c r="A355" s="2" t="s">
        <v>26</v>
      </c>
      <c r="B355" s="2">
        <v>9962</v>
      </c>
      <c r="C355" s="2" t="s">
        <v>1176</v>
      </c>
      <c r="D355" s="2" t="s">
        <v>1364</v>
      </c>
      <c r="E355" s="4" t="s">
        <v>1305</v>
      </c>
      <c r="F355" s="2" t="s">
        <v>2247</v>
      </c>
      <c r="G355" s="2" t="s">
        <v>2248</v>
      </c>
      <c r="H355" s="2" t="s">
        <v>319</v>
      </c>
      <c r="I355" s="2" t="s">
        <v>755</v>
      </c>
      <c r="J355" s="2" t="s">
        <v>31</v>
      </c>
      <c r="K355" s="2" t="s">
        <v>31</v>
      </c>
      <c r="L355" s="2" t="s">
        <v>325</v>
      </c>
      <c r="M355" s="2" t="s">
        <v>164</v>
      </c>
      <c r="N355" s="2" t="s">
        <v>534</v>
      </c>
      <c r="O355" s="2" t="s">
        <v>136</v>
      </c>
      <c r="P355" s="2" t="s">
        <v>2249</v>
      </c>
      <c r="Q355" s="2" t="s">
        <v>430</v>
      </c>
      <c r="R355" s="2" t="s">
        <v>405</v>
      </c>
      <c r="S355" s="2" t="s">
        <v>78</v>
      </c>
      <c r="T355" s="153">
        <v>1.69</v>
      </c>
      <c r="U355" s="2" t="s">
        <v>2250</v>
      </c>
      <c r="V355" s="165">
        <v>3.2750000000000001E-2</v>
      </c>
      <c r="W355" s="167">
        <v>6.5809999999999994E-2</v>
      </c>
      <c r="X355" s="4" t="s">
        <v>411</v>
      </c>
      <c r="Y355" s="4" t="s">
        <v>136</v>
      </c>
      <c r="Z355" s="153">
        <v>7000</v>
      </c>
      <c r="AA355" s="153">
        <v>3.681</v>
      </c>
      <c r="AB355" s="153">
        <v>92.834000000000003</v>
      </c>
      <c r="AC355" s="11"/>
      <c r="AD355" s="153">
        <v>24.062999999999999</v>
      </c>
      <c r="AG355" s="2" t="s">
        <v>37</v>
      </c>
      <c r="AH355" s="167">
        <v>9.0000000000000002E-6</v>
      </c>
      <c r="AI355" s="167">
        <v>3.7784095886142402E-3</v>
      </c>
      <c r="AJ355" s="167">
        <v>7.7957738089666105E-4</v>
      </c>
      <c r="AK355" s="161"/>
      <c r="AL355" s="153"/>
    </row>
    <row r="356" spans="1:38">
      <c r="A356" s="2" t="s">
        <v>26</v>
      </c>
      <c r="B356" s="2">
        <v>9962</v>
      </c>
      <c r="C356" s="2" t="s">
        <v>1710</v>
      </c>
      <c r="D356" s="2" t="s">
        <v>1711</v>
      </c>
      <c r="E356" s="4" t="s">
        <v>1305</v>
      </c>
      <c r="F356" s="2" t="s">
        <v>2251</v>
      </c>
      <c r="G356" s="2" t="s">
        <v>2252</v>
      </c>
      <c r="H356" s="2" t="s">
        <v>319</v>
      </c>
      <c r="I356" s="2" t="s">
        <v>755</v>
      </c>
      <c r="J356" s="2" t="s">
        <v>31</v>
      </c>
      <c r="K356" s="2" t="s">
        <v>31</v>
      </c>
      <c r="L356" s="2" t="s">
        <v>325</v>
      </c>
      <c r="M356" s="2" t="s">
        <v>164</v>
      </c>
      <c r="N356" s="2" t="s">
        <v>484</v>
      </c>
      <c r="O356" s="2" t="s">
        <v>136</v>
      </c>
      <c r="P356" s="2" t="s">
        <v>2253</v>
      </c>
      <c r="Q356" s="2" t="s">
        <v>164</v>
      </c>
      <c r="R356" s="2" t="s">
        <v>407</v>
      </c>
      <c r="S356" s="2" t="s">
        <v>78</v>
      </c>
      <c r="T356" s="153">
        <v>2.79</v>
      </c>
      <c r="U356" s="2" t="s">
        <v>1822</v>
      </c>
      <c r="V356" s="165">
        <v>6.5000000000000002E-2</v>
      </c>
      <c r="W356" s="167">
        <v>7.7990000000000004E-2</v>
      </c>
      <c r="X356" s="4" t="s">
        <v>411</v>
      </c>
      <c r="Y356" s="4" t="s">
        <v>136</v>
      </c>
      <c r="Z356" s="153">
        <v>4000</v>
      </c>
      <c r="AA356" s="153">
        <v>3.681</v>
      </c>
      <c r="AB356" s="153">
        <v>96.843000000000004</v>
      </c>
      <c r="AC356" s="11"/>
      <c r="AD356" s="153">
        <v>14.497999999999999</v>
      </c>
      <c r="AG356" s="2" t="s">
        <v>37</v>
      </c>
      <c r="AH356" s="167">
        <v>6.9999999999999999E-6</v>
      </c>
      <c r="AI356" s="167">
        <v>2.27651960319839E-3</v>
      </c>
      <c r="AJ356" s="167">
        <v>4.6970111317979198E-4</v>
      </c>
      <c r="AK356" s="161"/>
      <c r="AL356" s="153"/>
    </row>
    <row r="357" spans="1:38">
      <c r="A357" s="2" t="s">
        <v>26</v>
      </c>
      <c r="B357" s="2">
        <v>9962</v>
      </c>
      <c r="C357" s="2" t="s">
        <v>2254</v>
      </c>
      <c r="D357" s="2" t="s">
        <v>2255</v>
      </c>
      <c r="E357" s="4" t="s">
        <v>312</v>
      </c>
      <c r="F357" s="2" t="s">
        <v>2256</v>
      </c>
      <c r="G357" s="2" t="s">
        <v>2257</v>
      </c>
      <c r="H357" s="2" t="s">
        <v>319</v>
      </c>
      <c r="I357" s="2" t="s">
        <v>755</v>
      </c>
      <c r="J357" s="2" t="s">
        <v>73</v>
      </c>
      <c r="K357" s="2" t="s">
        <v>241</v>
      </c>
      <c r="L357" s="2" t="s">
        <v>325</v>
      </c>
      <c r="M357" s="2" t="s">
        <v>164</v>
      </c>
      <c r="N357" s="2" t="s">
        <v>507</v>
      </c>
      <c r="O357" s="2" t="s">
        <v>136</v>
      </c>
      <c r="P357" s="2" t="s">
        <v>2083</v>
      </c>
      <c r="Q357" s="2" t="s">
        <v>77</v>
      </c>
      <c r="R357" s="2" t="s">
        <v>405</v>
      </c>
      <c r="S357" s="2" t="s">
        <v>78</v>
      </c>
      <c r="T357" s="153">
        <v>7.02</v>
      </c>
      <c r="U357" s="2" t="s">
        <v>2258</v>
      </c>
      <c r="V357" s="165">
        <v>5.8749999999999997E-2</v>
      </c>
      <c r="W357" s="167">
        <v>5.5879999999999999E-2</v>
      </c>
      <c r="X357" s="4" t="s">
        <v>411</v>
      </c>
      <c r="Y357" s="4" t="s">
        <v>136</v>
      </c>
      <c r="Z357" s="153">
        <v>14000</v>
      </c>
      <c r="AA357" s="153">
        <v>3.681</v>
      </c>
      <c r="AB357" s="153">
        <v>102.749</v>
      </c>
      <c r="AC357" s="11"/>
      <c r="AD357" s="153">
        <v>53.085000000000001</v>
      </c>
      <c r="AG357" s="2" t="s">
        <v>37</v>
      </c>
      <c r="AH357" s="167">
        <v>1.9000000000000001E-5</v>
      </c>
      <c r="AI357" s="167">
        <v>8.3353564912639205E-3</v>
      </c>
      <c r="AJ357" s="167">
        <v>1.71978585960627E-3</v>
      </c>
      <c r="AK357" s="161"/>
      <c r="AL357" s="153"/>
    </row>
    <row r="358" spans="1:38">
      <c r="A358" s="2" t="s">
        <v>26</v>
      </c>
      <c r="B358" s="2">
        <v>9962</v>
      </c>
      <c r="C358" s="2" t="s">
        <v>2259</v>
      </c>
      <c r="D358" s="2" t="s">
        <v>2260</v>
      </c>
      <c r="E358" s="4" t="s">
        <v>312</v>
      </c>
      <c r="F358" s="2" t="s">
        <v>2261</v>
      </c>
      <c r="G358" s="2" t="s">
        <v>2262</v>
      </c>
      <c r="H358" s="2" t="s">
        <v>319</v>
      </c>
      <c r="I358" s="2" t="s">
        <v>755</v>
      </c>
      <c r="J358" s="2" t="s">
        <v>73</v>
      </c>
      <c r="K358" s="21" t="s">
        <v>74</v>
      </c>
      <c r="L358" s="2" t="s">
        <v>325</v>
      </c>
      <c r="M358" s="2" t="s">
        <v>164</v>
      </c>
      <c r="N358" s="2" t="s">
        <v>2263</v>
      </c>
      <c r="O358" s="2" t="s">
        <v>136</v>
      </c>
      <c r="P358" s="2" t="s">
        <v>1890</v>
      </c>
      <c r="Q358" s="2" t="s">
        <v>77</v>
      </c>
      <c r="R358" s="2" t="s">
        <v>405</v>
      </c>
      <c r="S358" s="2" t="s">
        <v>78</v>
      </c>
      <c r="T358" s="153">
        <v>6.92</v>
      </c>
      <c r="U358" s="2" t="s">
        <v>2264</v>
      </c>
      <c r="V358" s="165">
        <v>5.8869999999999999E-2</v>
      </c>
      <c r="W358" s="167">
        <v>5.8110000000000002E-2</v>
      </c>
      <c r="X358" s="4" t="s">
        <v>411</v>
      </c>
      <c r="Y358" s="4" t="s">
        <v>136</v>
      </c>
      <c r="Z358" s="153">
        <v>14000</v>
      </c>
      <c r="AA358" s="153">
        <v>3.681</v>
      </c>
      <c r="AB358" s="153">
        <v>102.133</v>
      </c>
      <c r="AC358" s="11"/>
      <c r="AD358" s="153">
        <v>53.518000000000001</v>
      </c>
      <c r="AG358" s="2" t="s">
        <v>37</v>
      </c>
      <c r="AH358" s="167">
        <v>1.9000000000000001E-5</v>
      </c>
      <c r="AI358" s="167">
        <v>8.4033218189450004E-3</v>
      </c>
      <c r="AJ358" s="167">
        <v>1.73380875228182E-3</v>
      </c>
      <c r="AK358" s="161"/>
      <c r="AL358" s="153"/>
    </row>
    <row r="359" spans="1:38">
      <c r="A359" s="2" t="s">
        <v>26</v>
      </c>
      <c r="B359" s="2">
        <v>9962</v>
      </c>
      <c r="C359" s="2" t="s">
        <v>1518</v>
      </c>
      <c r="D359" s="2" t="s">
        <v>1519</v>
      </c>
      <c r="E359" s="4" t="s">
        <v>1305</v>
      </c>
      <c r="F359" s="2" t="s">
        <v>2265</v>
      </c>
      <c r="G359" s="2" t="s">
        <v>2266</v>
      </c>
      <c r="H359" s="2" t="s">
        <v>319</v>
      </c>
      <c r="I359" s="2" t="s">
        <v>755</v>
      </c>
      <c r="J359" s="2" t="s">
        <v>31</v>
      </c>
      <c r="K359" s="2" t="s">
        <v>31</v>
      </c>
      <c r="L359" s="2" t="s">
        <v>325</v>
      </c>
      <c r="M359" s="2" t="s">
        <v>164</v>
      </c>
      <c r="N359" s="2" t="s">
        <v>534</v>
      </c>
      <c r="O359" s="2" t="s">
        <v>136</v>
      </c>
      <c r="P359" s="2" t="s">
        <v>2267</v>
      </c>
      <c r="Q359" s="2" t="s">
        <v>412</v>
      </c>
      <c r="R359" s="2" t="s">
        <v>407</v>
      </c>
      <c r="S359" s="2" t="s">
        <v>78</v>
      </c>
      <c r="T359" s="153">
        <v>1.87</v>
      </c>
      <c r="U359" s="2" t="s">
        <v>2268</v>
      </c>
      <c r="V359" s="165">
        <v>3.0769999999999999E-2</v>
      </c>
      <c r="W359" s="167">
        <v>7.1179999999999993E-2</v>
      </c>
      <c r="X359" s="4" t="s">
        <v>411</v>
      </c>
      <c r="Y359" s="4" t="s">
        <v>136</v>
      </c>
      <c r="Z359" s="153">
        <v>7000</v>
      </c>
      <c r="AA359" s="153">
        <v>3.681</v>
      </c>
      <c r="AB359" s="153">
        <v>91.664000000000001</v>
      </c>
      <c r="AC359" s="11"/>
      <c r="AD359" s="153">
        <v>24</v>
      </c>
      <c r="AG359" s="2" t="s">
        <v>37</v>
      </c>
      <c r="AH359" s="167">
        <v>1.2E-5</v>
      </c>
      <c r="AI359" s="167">
        <v>3.7684521850872101E-3</v>
      </c>
      <c r="AJ359" s="167">
        <v>7.7752292746061102E-4</v>
      </c>
      <c r="AK359" s="161"/>
      <c r="AL359" s="153"/>
    </row>
    <row r="360" spans="1:38">
      <c r="A360" s="2" t="s">
        <v>26</v>
      </c>
      <c r="B360" s="2">
        <v>9962</v>
      </c>
      <c r="C360" s="2" t="s">
        <v>2269</v>
      </c>
      <c r="D360" s="2" t="s">
        <v>2270</v>
      </c>
      <c r="E360" s="4" t="s">
        <v>312</v>
      </c>
      <c r="F360" s="2" t="s">
        <v>2271</v>
      </c>
      <c r="G360" s="2" t="s">
        <v>2272</v>
      </c>
      <c r="H360" s="2" t="s">
        <v>319</v>
      </c>
      <c r="I360" s="2" t="s">
        <v>755</v>
      </c>
      <c r="J360" s="2" t="s">
        <v>73</v>
      </c>
      <c r="K360" s="2" t="s">
        <v>74</v>
      </c>
      <c r="L360" s="2" t="s">
        <v>325</v>
      </c>
      <c r="M360" s="2" t="s">
        <v>164</v>
      </c>
      <c r="N360" s="2" t="s">
        <v>566</v>
      </c>
      <c r="O360" s="2" t="s">
        <v>136</v>
      </c>
      <c r="P360" s="2" t="s">
        <v>2267</v>
      </c>
      <c r="Q360" s="2" t="s">
        <v>164</v>
      </c>
      <c r="R360" s="2" t="s">
        <v>407</v>
      </c>
      <c r="S360" s="2" t="s">
        <v>78</v>
      </c>
      <c r="T360" s="153">
        <v>5.85</v>
      </c>
      <c r="U360" s="2" t="s">
        <v>2273</v>
      </c>
      <c r="V360" s="165">
        <v>3.3750000000000002E-2</v>
      </c>
      <c r="W360" s="167">
        <v>6.157E-2</v>
      </c>
      <c r="X360" s="4" t="s">
        <v>411</v>
      </c>
      <c r="Y360" s="4" t="s">
        <v>136</v>
      </c>
      <c r="Z360" s="153">
        <v>17000</v>
      </c>
      <c r="AA360" s="153">
        <v>3.681</v>
      </c>
      <c r="AB360" s="153">
        <v>85.453999999999994</v>
      </c>
      <c r="AC360" s="11"/>
      <c r="AD360" s="153">
        <v>53.820999999999998</v>
      </c>
      <c r="AG360" s="2" t="s">
        <v>37</v>
      </c>
      <c r="AH360" s="167">
        <v>2.4000000000000001E-5</v>
      </c>
      <c r="AI360" s="167">
        <v>8.4508353340566906E-3</v>
      </c>
      <c r="AJ360" s="167">
        <v>1.74361194084549E-3</v>
      </c>
      <c r="AK360" s="161"/>
      <c r="AL360" s="153"/>
    </row>
    <row r="361" spans="1:38">
      <c r="A361" s="2" t="s">
        <v>26</v>
      </c>
      <c r="B361" s="2">
        <v>9962</v>
      </c>
      <c r="C361" s="2" t="s">
        <v>2274</v>
      </c>
      <c r="D361" s="2" t="s">
        <v>2275</v>
      </c>
      <c r="E361" s="4" t="s">
        <v>312</v>
      </c>
      <c r="F361" s="2" t="s">
        <v>2276</v>
      </c>
      <c r="G361" s="2" t="s">
        <v>2277</v>
      </c>
      <c r="H361" s="2" t="s">
        <v>319</v>
      </c>
      <c r="I361" s="2" t="s">
        <v>755</v>
      </c>
      <c r="J361" s="2" t="s">
        <v>73</v>
      </c>
      <c r="K361" s="2" t="s">
        <v>74</v>
      </c>
      <c r="L361" s="2" t="s">
        <v>325</v>
      </c>
      <c r="M361" s="2" t="s">
        <v>164</v>
      </c>
      <c r="N361" s="2" t="s">
        <v>2263</v>
      </c>
      <c r="O361" s="2" t="s">
        <v>136</v>
      </c>
      <c r="P361" s="2" t="s">
        <v>2278</v>
      </c>
      <c r="Q361" s="2" t="s">
        <v>77</v>
      </c>
      <c r="R361" s="2" t="s">
        <v>405</v>
      </c>
      <c r="S361" s="2" t="s">
        <v>78</v>
      </c>
      <c r="T361" s="153">
        <v>2.39</v>
      </c>
      <c r="U361" s="2" t="s">
        <v>2279</v>
      </c>
      <c r="V361" s="165">
        <v>3.3640000000000003E-2</v>
      </c>
      <c r="W361" s="167">
        <v>6.9589999999999999E-2</v>
      </c>
      <c r="X361" s="4" t="s">
        <v>411</v>
      </c>
      <c r="Y361" s="4" t="s">
        <v>136</v>
      </c>
      <c r="Z361" s="153">
        <v>5000</v>
      </c>
      <c r="AA361" s="153">
        <v>3.681</v>
      </c>
      <c r="AB361" s="153">
        <v>91.462000000000003</v>
      </c>
      <c r="AC361" s="11"/>
      <c r="AD361" s="153">
        <v>17.065999999999999</v>
      </c>
      <c r="AG361" s="2" t="s">
        <v>37</v>
      </c>
      <c r="AH361" s="167">
        <v>1.7E-5</v>
      </c>
      <c r="AI361" s="167">
        <v>2.6796378700080902E-3</v>
      </c>
      <c r="AJ361" s="167">
        <v>5.52874171912784E-4</v>
      </c>
      <c r="AK361" s="161"/>
      <c r="AL361" s="153"/>
    </row>
    <row r="362" spans="1:38">
      <c r="A362" s="2" t="s">
        <v>26</v>
      </c>
      <c r="B362" s="2">
        <v>9962</v>
      </c>
      <c r="C362" s="2" t="s">
        <v>2280</v>
      </c>
      <c r="D362" s="2" t="s">
        <v>2281</v>
      </c>
      <c r="E362" s="4" t="s">
        <v>312</v>
      </c>
      <c r="F362" s="2" t="s">
        <v>2282</v>
      </c>
      <c r="G362" s="2" t="s">
        <v>2283</v>
      </c>
      <c r="H362" s="2" t="s">
        <v>319</v>
      </c>
      <c r="I362" s="2" t="s">
        <v>755</v>
      </c>
      <c r="J362" s="2" t="s">
        <v>73</v>
      </c>
      <c r="K362" s="2" t="s">
        <v>74</v>
      </c>
      <c r="L362" s="2" t="s">
        <v>325</v>
      </c>
      <c r="M362" s="2" t="s">
        <v>164</v>
      </c>
      <c r="N362" s="2" t="s">
        <v>534</v>
      </c>
      <c r="O362" s="2" t="s">
        <v>136</v>
      </c>
      <c r="P362" s="2" t="s">
        <v>2204</v>
      </c>
      <c r="Q362" s="2" t="s">
        <v>77</v>
      </c>
      <c r="R362" s="2" t="s">
        <v>405</v>
      </c>
      <c r="S362" s="2" t="s">
        <v>78</v>
      </c>
      <c r="T362" s="153">
        <v>3.55</v>
      </c>
      <c r="U362" s="2" t="s">
        <v>2284</v>
      </c>
      <c r="V362" s="165">
        <v>6.565E-2</v>
      </c>
      <c r="W362" s="167">
        <v>6.2109999999999999E-2</v>
      </c>
      <c r="X362" s="4" t="s">
        <v>411</v>
      </c>
      <c r="Y362" s="4" t="s">
        <v>136</v>
      </c>
      <c r="Z362" s="153">
        <v>8000</v>
      </c>
      <c r="AA362" s="153">
        <v>3.681</v>
      </c>
      <c r="AB362" s="153">
        <v>103.23699999999999</v>
      </c>
      <c r="AC362" s="11"/>
      <c r="AD362" s="153">
        <v>30.981000000000002</v>
      </c>
      <c r="AG362" s="2" t="s">
        <v>37</v>
      </c>
      <c r="AH362" s="167">
        <v>1.5999999999999999E-5</v>
      </c>
      <c r="AI362" s="167">
        <v>4.8646191581811597E-3</v>
      </c>
      <c r="AJ362" s="167">
        <v>1.0036887143792901E-3</v>
      </c>
      <c r="AK362" s="161"/>
      <c r="AL362" s="153"/>
    </row>
    <row r="363" spans="1:38">
      <c r="A363" s="2" t="s">
        <v>26</v>
      </c>
      <c r="B363" s="2">
        <v>9962</v>
      </c>
      <c r="C363" s="2" t="s">
        <v>2285</v>
      </c>
      <c r="D363" s="2" t="s">
        <v>2286</v>
      </c>
      <c r="E363" s="4" t="s">
        <v>312</v>
      </c>
      <c r="F363" s="2" t="s">
        <v>2287</v>
      </c>
      <c r="G363" s="2" t="s">
        <v>2288</v>
      </c>
      <c r="H363" s="2" t="s">
        <v>319</v>
      </c>
      <c r="I363" s="2" t="s">
        <v>755</v>
      </c>
      <c r="J363" s="2" t="s">
        <v>73</v>
      </c>
      <c r="K363" s="2" t="s">
        <v>238</v>
      </c>
      <c r="L363" s="2" t="s">
        <v>325</v>
      </c>
      <c r="M363" s="2" t="s">
        <v>164</v>
      </c>
      <c r="N363" s="2" t="s">
        <v>566</v>
      </c>
      <c r="O363" s="2" t="s">
        <v>136</v>
      </c>
      <c r="P363" s="2" t="s">
        <v>2289</v>
      </c>
      <c r="Q363" s="2" t="s">
        <v>164</v>
      </c>
      <c r="R363" s="2" t="s">
        <v>407</v>
      </c>
      <c r="S363" s="2" t="s">
        <v>1178</v>
      </c>
      <c r="T363" s="153">
        <v>0.77</v>
      </c>
      <c r="U363" s="2" t="s">
        <v>2290</v>
      </c>
      <c r="V363" s="165">
        <v>0.02</v>
      </c>
      <c r="W363" s="167">
        <v>7.6300000000000007E-2</v>
      </c>
      <c r="X363" s="4" t="s">
        <v>411</v>
      </c>
      <c r="Y363" s="4" t="s">
        <v>136</v>
      </c>
      <c r="Z363" s="153">
        <v>3000</v>
      </c>
      <c r="AA363" s="153">
        <v>3.9790000000000001</v>
      </c>
      <c r="AB363" s="153">
        <v>95.575999999999993</v>
      </c>
      <c r="AC363" s="11"/>
      <c r="AD363" s="153">
        <v>11.449</v>
      </c>
      <c r="AG363" s="2" t="s">
        <v>37</v>
      </c>
      <c r="AH363" s="167">
        <v>1.0000000000000001E-5</v>
      </c>
      <c r="AI363" s="167">
        <v>1.79770095543662E-3</v>
      </c>
      <c r="AJ363" s="167">
        <v>3.7090923300051601E-4</v>
      </c>
      <c r="AK363" s="161"/>
      <c r="AL363" s="153"/>
    </row>
    <row r="364" spans="1:38">
      <c r="A364" s="2" t="s">
        <v>26</v>
      </c>
      <c r="B364" s="2">
        <v>9962</v>
      </c>
      <c r="C364" s="2" t="s">
        <v>1498</v>
      </c>
      <c r="D364" s="2" t="s">
        <v>1499</v>
      </c>
      <c r="E364" s="4" t="s">
        <v>1305</v>
      </c>
      <c r="F364" s="2" t="s">
        <v>2291</v>
      </c>
      <c r="G364" s="2" t="s">
        <v>2292</v>
      </c>
      <c r="H364" s="2" t="s">
        <v>319</v>
      </c>
      <c r="I364" s="2" t="s">
        <v>755</v>
      </c>
      <c r="J364" s="2" t="s">
        <v>31</v>
      </c>
      <c r="K364" s="2" t="s">
        <v>31</v>
      </c>
      <c r="L364" s="2" t="s">
        <v>325</v>
      </c>
      <c r="M364" s="2" t="s">
        <v>164</v>
      </c>
      <c r="N364" s="2" t="s">
        <v>464</v>
      </c>
      <c r="O364" s="2" t="s">
        <v>136</v>
      </c>
      <c r="P364" s="2" t="s">
        <v>2253</v>
      </c>
      <c r="Q364" s="2" t="s">
        <v>77</v>
      </c>
      <c r="R364" s="2" t="s">
        <v>405</v>
      </c>
      <c r="S364" s="2" t="s">
        <v>1178</v>
      </c>
      <c r="T364" s="153">
        <v>5.15</v>
      </c>
      <c r="U364" s="2" t="s">
        <v>2293</v>
      </c>
      <c r="V364" s="165">
        <v>4.3749999999999997E-2</v>
      </c>
      <c r="W364" s="167">
        <v>5.2049999999999999E-2</v>
      </c>
      <c r="X364" s="4" t="s">
        <v>411</v>
      </c>
      <c r="Y364" s="4" t="s">
        <v>136</v>
      </c>
      <c r="Z364" s="153">
        <v>13000</v>
      </c>
      <c r="AA364" s="153">
        <v>3.9790000000000001</v>
      </c>
      <c r="AB364" s="153">
        <v>96.337000000000003</v>
      </c>
      <c r="AC364" s="11"/>
      <c r="AD364" s="153">
        <v>50.72</v>
      </c>
      <c r="AG364" s="2" t="s">
        <v>37</v>
      </c>
      <c r="AH364" s="167">
        <v>9.0000000000000002E-6</v>
      </c>
      <c r="AI364" s="167">
        <v>7.9639526867805992E-3</v>
      </c>
      <c r="AJ364" s="167">
        <v>1.6431562623210401E-3</v>
      </c>
      <c r="AK364" s="161"/>
      <c r="AL364" s="153"/>
    </row>
    <row r="365" spans="1:38">
      <c r="A365" s="2" t="s">
        <v>26</v>
      </c>
      <c r="B365" s="2">
        <v>9962</v>
      </c>
      <c r="C365" s="2" t="s">
        <v>1498</v>
      </c>
      <c r="D365" s="2" t="s">
        <v>1499</v>
      </c>
      <c r="E365" s="4" t="s">
        <v>1305</v>
      </c>
      <c r="F365" s="2" t="s">
        <v>2294</v>
      </c>
      <c r="G365" s="2" t="s">
        <v>2295</v>
      </c>
      <c r="H365" s="2" t="s">
        <v>319</v>
      </c>
      <c r="I365" s="2" t="s">
        <v>755</v>
      </c>
      <c r="J365" s="2" t="s">
        <v>31</v>
      </c>
      <c r="K365" s="2" t="s">
        <v>31</v>
      </c>
      <c r="L365" s="2" t="s">
        <v>325</v>
      </c>
      <c r="M365" s="2" t="s">
        <v>164</v>
      </c>
      <c r="N365" s="2" t="s">
        <v>464</v>
      </c>
      <c r="O365" s="2" t="s">
        <v>136</v>
      </c>
      <c r="P365" s="2" t="s">
        <v>2253</v>
      </c>
      <c r="Q365" s="2" t="s">
        <v>77</v>
      </c>
      <c r="R365" s="2" t="s">
        <v>405</v>
      </c>
      <c r="S365" s="2" t="s">
        <v>78</v>
      </c>
      <c r="T365" s="153">
        <v>4.3</v>
      </c>
      <c r="U365" s="2" t="s">
        <v>2296</v>
      </c>
      <c r="V365" s="165">
        <v>5.1249999999999997E-2</v>
      </c>
      <c r="W365" s="167">
        <v>6.1269999999999998E-2</v>
      </c>
      <c r="X365" s="4" t="s">
        <v>411</v>
      </c>
      <c r="Y365" s="4" t="s">
        <v>136</v>
      </c>
      <c r="Z365" s="153">
        <v>8000</v>
      </c>
      <c r="AA365" s="153">
        <v>3.681</v>
      </c>
      <c r="AB365" s="153">
        <v>96.216999999999999</v>
      </c>
      <c r="AC365" s="11"/>
      <c r="AD365" s="153">
        <v>28.925000000000001</v>
      </c>
      <c r="AG365" s="2" t="s">
        <v>37</v>
      </c>
      <c r="AH365" s="167">
        <v>7.9999999999999996E-6</v>
      </c>
      <c r="AI365" s="167">
        <v>4.5417704135535001E-3</v>
      </c>
      <c r="AJ365" s="167">
        <v>9.3707720155626303E-4</v>
      </c>
      <c r="AK365" s="161"/>
      <c r="AL365" s="153"/>
    </row>
    <row r="366" spans="1:38">
      <c r="A366" s="2" t="s">
        <v>26</v>
      </c>
      <c r="B366" s="2">
        <v>9962</v>
      </c>
      <c r="C366" s="2" t="s">
        <v>2297</v>
      </c>
      <c r="D366" s="2" t="s">
        <v>2298</v>
      </c>
      <c r="E366" s="4" t="s">
        <v>312</v>
      </c>
      <c r="F366" s="2" t="s">
        <v>2299</v>
      </c>
      <c r="G366" s="2" t="s">
        <v>2300</v>
      </c>
      <c r="H366" s="2" t="s">
        <v>319</v>
      </c>
      <c r="I366" s="2" t="s">
        <v>755</v>
      </c>
      <c r="J366" s="2" t="s">
        <v>73</v>
      </c>
      <c r="K366" s="2" t="s">
        <v>74</v>
      </c>
      <c r="L366" s="2" t="s">
        <v>325</v>
      </c>
      <c r="M366" s="2" t="s">
        <v>164</v>
      </c>
      <c r="N366" s="2" t="s">
        <v>528</v>
      </c>
      <c r="O366" s="2" t="s">
        <v>136</v>
      </c>
      <c r="P366" s="2" t="s">
        <v>1731</v>
      </c>
      <c r="Q366" s="2" t="s">
        <v>77</v>
      </c>
      <c r="R366" s="2" t="s">
        <v>405</v>
      </c>
      <c r="S366" s="2" t="s">
        <v>78</v>
      </c>
      <c r="T366" s="153">
        <v>4.83</v>
      </c>
      <c r="U366" s="2" t="s">
        <v>2301</v>
      </c>
      <c r="V366" s="165">
        <v>5.2999999999999999E-2</v>
      </c>
      <c r="W366" s="167">
        <v>4.9860000000000002E-2</v>
      </c>
      <c r="X366" s="4" t="s">
        <v>411</v>
      </c>
      <c r="Y366" s="4" t="s">
        <v>136</v>
      </c>
      <c r="Z366" s="153">
        <v>7000</v>
      </c>
      <c r="AA366" s="153">
        <v>3.681</v>
      </c>
      <c r="AB366" s="153">
        <v>102.42100000000001</v>
      </c>
      <c r="AC366" s="11"/>
      <c r="AD366" s="153">
        <v>26.562000000000001</v>
      </c>
      <c r="AG366" s="2" t="s">
        <v>37</v>
      </c>
      <c r="AH366" s="167">
        <v>6.0000000000000002E-6</v>
      </c>
      <c r="AI366" s="167">
        <v>4.1706474682488403E-3</v>
      </c>
      <c r="AJ366" s="167">
        <v>8.6050555231974703E-4</v>
      </c>
      <c r="AK366" s="161"/>
      <c r="AL366" s="153"/>
    </row>
    <row r="367" spans="1:38">
      <c r="A367" s="2" t="s">
        <v>26</v>
      </c>
      <c r="B367" s="2">
        <v>9962</v>
      </c>
      <c r="C367" s="2" t="s">
        <v>2302</v>
      </c>
      <c r="D367" s="2" t="s">
        <v>2303</v>
      </c>
      <c r="E367" s="4" t="s">
        <v>312</v>
      </c>
      <c r="F367" s="2" t="s">
        <v>2304</v>
      </c>
      <c r="G367" s="2" t="s">
        <v>2305</v>
      </c>
      <c r="H367" s="2" t="s">
        <v>319</v>
      </c>
      <c r="I367" s="2" t="s">
        <v>755</v>
      </c>
      <c r="J367" s="2" t="s">
        <v>73</v>
      </c>
      <c r="K367" s="2" t="s">
        <v>74</v>
      </c>
      <c r="L367" s="2" t="s">
        <v>325</v>
      </c>
      <c r="M367" s="2" t="s">
        <v>164</v>
      </c>
      <c r="N367" s="2" t="s">
        <v>532</v>
      </c>
      <c r="O367" s="2" t="s">
        <v>136</v>
      </c>
      <c r="P367" s="2" t="s">
        <v>2278</v>
      </c>
      <c r="Q367" s="2" t="s">
        <v>77</v>
      </c>
      <c r="R367" s="2" t="s">
        <v>405</v>
      </c>
      <c r="S367" s="2" t="s">
        <v>78</v>
      </c>
      <c r="T367" s="153">
        <v>2.0299999999999998</v>
      </c>
      <c r="U367" s="2" t="s">
        <v>2306</v>
      </c>
      <c r="V367" s="165">
        <v>3.95E-2</v>
      </c>
      <c r="W367" s="167">
        <v>5.7439999999999998E-2</v>
      </c>
      <c r="X367" s="4" t="s">
        <v>411</v>
      </c>
      <c r="Y367" s="4" t="s">
        <v>136</v>
      </c>
      <c r="Z367" s="153">
        <v>8000</v>
      </c>
      <c r="AA367" s="153">
        <v>3.681</v>
      </c>
      <c r="AB367" s="153">
        <v>96.65</v>
      </c>
      <c r="AC367" s="11"/>
      <c r="AD367" s="153">
        <v>28.800999999999998</v>
      </c>
      <c r="AG367" s="2" t="s">
        <v>37</v>
      </c>
      <c r="AH367" s="167">
        <v>3.9999999999999998E-6</v>
      </c>
      <c r="AI367" s="167">
        <v>4.5222480580599904E-3</v>
      </c>
      <c r="AJ367" s="167">
        <v>9.3304926694313299E-4</v>
      </c>
      <c r="AK367" s="161"/>
      <c r="AL367" s="153"/>
    </row>
    <row r="368" spans="1:38">
      <c r="A368" s="2" t="s">
        <v>26</v>
      </c>
      <c r="B368" s="2">
        <v>9962</v>
      </c>
      <c r="C368" s="2" t="s">
        <v>1534</v>
      </c>
      <c r="D368" s="2" t="s">
        <v>1535</v>
      </c>
      <c r="E368" s="4" t="s">
        <v>1305</v>
      </c>
      <c r="F368" s="2" t="s">
        <v>2307</v>
      </c>
      <c r="G368" s="2" t="s">
        <v>2308</v>
      </c>
      <c r="H368" s="2" t="s">
        <v>319</v>
      </c>
      <c r="I368" s="2" t="s">
        <v>966</v>
      </c>
      <c r="J368" s="2" t="s">
        <v>73</v>
      </c>
      <c r="K368" s="2" t="s">
        <v>31</v>
      </c>
      <c r="L368" s="2" t="s">
        <v>325</v>
      </c>
      <c r="M368" s="2" t="s">
        <v>40</v>
      </c>
      <c r="N368" s="2" t="s">
        <v>451</v>
      </c>
      <c r="O368" s="2" t="s">
        <v>136</v>
      </c>
      <c r="P368" s="2" t="s">
        <v>1724</v>
      </c>
      <c r="Q368" s="2" t="s">
        <v>412</v>
      </c>
      <c r="R368" s="2" t="s">
        <v>405</v>
      </c>
      <c r="S368" s="2" t="s">
        <v>35</v>
      </c>
      <c r="T368" s="153">
        <v>2.8290000000000002</v>
      </c>
      <c r="U368" s="2" t="s">
        <v>2309</v>
      </c>
      <c r="V368" s="165">
        <v>5.2499999999999998E-2</v>
      </c>
      <c r="W368" s="167">
        <v>6.0940000000000001E-2</v>
      </c>
      <c r="X368" s="4" t="s">
        <v>411</v>
      </c>
      <c r="Y368" s="4" t="s">
        <v>136</v>
      </c>
      <c r="Z368" s="153">
        <v>75000</v>
      </c>
      <c r="AA368" s="153">
        <v>1</v>
      </c>
      <c r="AB368" s="153">
        <v>99.03</v>
      </c>
      <c r="AC368" s="11"/>
      <c r="AD368" s="153">
        <v>74.272000000000006</v>
      </c>
      <c r="AG368" s="2" t="s">
        <v>37</v>
      </c>
      <c r="AH368" s="167">
        <v>2.2699999999999999E-4</v>
      </c>
      <c r="AI368" s="167">
        <v>1.16621469925336E-2</v>
      </c>
      <c r="AJ368" s="167">
        <v>2.4061832881928599E-3</v>
      </c>
      <c r="AK368" s="161"/>
      <c r="AL368" s="153"/>
    </row>
    <row r="369" spans="1:38">
      <c r="A369" s="2" t="s">
        <v>26</v>
      </c>
      <c r="B369" s="2">
        <v>9962</v>
      </c>
      <c r="C369" s="2" t="s">
        <v>2097</v>
      </c>
      <c r="D369" s="2" t="s">
        <v>2098</v>
      </c>
      <c r="E369" s="4" t="s">
        <v>311</v>
      </c>
      <c r="F369" s="2" t="s">
        <v>2310</v>
      </c>
      <c r="G369" s="2" t="s">
        <v>2311</v>
      </c>
      <c r="H369" s="2" t="s">
        <v>319</v>
      </c>
      <c r="I369" s="2" t="s">
        <v>966</v>
      </c>
      <c r="J369" s="2" t="s">
        <v>73</v>
      </c>
      <c r="K369" s="2" t="s">
        <v>74</v>
      </c>
      <c r="L369" s="2" t="s">
        <v>325</v>
      </c>
      <c r="M369" s="2" t="s">
        <v>40</v>
      </c>
      <c r="N369" s="2" t="s">
        <v>462</v>
      </c>
      <c r="O369" s="2" t="s">
        <v>136</v>
      </c>
      <c r="P369" s="2" t="s">
        <v>1739</v>
      </c>
      <c r="Q369" s="2" t="s">
        <v>412</v>
      </c>
      <c r="R369" s="2" t="s">
        <v>405</v>
      </c>
      <c r="S369" s="2" t="s">
        <v>35</v>
      </c>
      <c r="T369" s="153">
        <v>3.6259999999999999</v>
      </c>
      <c r="U369" s="2" t="s">
        <v>2312</v>
      </c>
      <c r="V369" s="165">
        <v>4.4999999999999998E-2</v>
      </c>
      <c r="W369" s="167">
        <v>6.3890000000000002E-2</v>
      </c>
      <c r="X369" s="4" t="s">
        <v>411</v>
      </c>
      <c r="Y369" s="4" t="s">
        <v>136</v>
      </c>
      <c r="Z369" s="153">
        <v>61723.4</v>
      </c>
      <c r="AA369" s="153">
        <v>1</v>
      </c>
      <c r="AB369" s="153">
        <v>95.73</v>
      </c>
      <c r="AC369" s="11"/>
      <c r="AD369" s="153">
        <v>59.088000000000001</v>
      </c>
      <c r="AG369" s="2" t="s">
        <v>37</v>
      </c>
      <c r="AH369" s="167">
        <v>1.05E-4</v>
      </c>
      <c r="AI369" s="167">
        <v>9.2778718267172693E-3</v>
      </c>
      <c r="AJ369" s="167">
        <v>1.91424959346979E-3</v>
      </c>
      <c r="AK369" s="161"/>
      <c r="AL369" s="153"/>
    </row>
    <row r="370" spans="1:38">
      <c r="A370" s="2" t="s">
        <v>26</v>
      </c>
      <c r="B370" s="2">
        <v>9962</v>
      </c>
      <c r="C370" s="2" t="s">
        <v>2313</v>
      </c>
      <c r="D370" s="2" t="s">
        <v>2314</v>
      </c>
      <c r="E370" s="4" t="s">
        <v>1305</v>
      </c>
      <c r="F370" s="2" t="s">
        <v>2315</v>
      </c>
      <c r="G370" s="2" t="s">
        <v>2316</v>
      </c>
      <c r="H370" s="2" t="s">
        <v>319</v>
      </c>
      <c r="I370" s="2" t="s">
        <v>966</v>
      </c>
      <c r="J370" s="2" t="s">
        <v>73</v>
      </c>
      <c r="K370" s="2" t="s">
        <v>74</v>
      </c>
      <c r="L370" s="2" t="s">
        <v>325</v>
      </c>
      <c r="M370" s="2" t="s">
        <v>40</v>
      </c>
      <c r="N370" s="2" t="s">
        <v>462</v>
      </c>
      <c r="O370" s="2" t="s">
        <v>136</v>
      </c>
      <c r="P370" s="2" t="s">
        <v>1739</v>
      </c>
      <c r="Q370" s="2" t="s">
        <v>412</v>
      </c>
      <c r="R370" s="2" t="s">
        <v>405</v>
      </c>
      <c r="S370" s="2" t="s">
        <v>35</v>
      </c>
      <c r="T370" s="153">
        <v>1.2949999999999999</v>
      </c>
      <c r="U370" s="2" t="s">
        <v>2058</v>
      </c>
      <c r="V370" s="165">
        <v>3.9300000000000002E-2</v>
      </c>
      <c r="W370" s="167">
        <v>7.3649999999999993E-2</v>
      </c>
      <c r="X370" s="4" t="s">
        <v>411</v>
      </c>
      <c r="Y370" s="4" t="s">
        <v>136</v>
      </c>
      <c r="Z370" s="153">
        <v>46002.3</v>
      </c>
      <c r="AA370" s="153">
        <v>1</v>
      </c>
      <c r="AB370" s="153">
        <v>96.54</v>
      </c>
      <c r="AC370" s="11"/>
      <c r="AD370" s="153">
        <v>44.411000000000001</v>
      </c>
      <c r="AG370" s="2" t="s">
        <v>37</v>
      </c>
      <c r="AH370" s="167">
        <v>4.0000000000000003E-5</v>
      </c>
      <c r="AI370" s="167">
        <v>6.9732832928426402E-3</v>
      </c>
      <c r="AJ370" s="167">
        <v>1.4387571802871901E-3</v>
      </c>
      <c r="AK370" s="161"/>
      <c r="AL370" s="153"/>
    </row>
    <row r="371" spans="1:38">
      <c r="A371" s="2" t="s">
        <v>26</v>
      </c>
      <c r="B371" s="2">
        <v>9963</v>
      </c>
      <c r="C371" s="2" t="s">
        <v>1710</v>
      </c>
      <c r="D371" s="2" t="s">
        <v>1711</v>
      </c>
      <c r="E371" s="4" t="s">
        <v>1305</v>
      </c>
      <c r="F371" s="2" t="s">
        <v>1712</v>
      </c>
      <c r="G371" s="2" t="s">
        <v>1713</v>
      </c>
      <c r="H371" s="2" t="s">
        <v>319</v>
      </c>
      <c r="I371" s="2" t="s">
        <v>755</v>
      </c>
      <c r="J371" s="2" t="s">
        <v>31</v>
      </c>
      <c r="K371" s="2" t="s">
        <v>31</v>
      </c>
      <c r="L371" s="2" t="s">
        <v>325</v>
      </c>
      <c r="M371" s="2" t="s">
        <v>164</v>
      </c>
      <c r="N371" s="2" t="s">
        <v>484</v>
      </c>
      <c r="O371" s="2" t="s">
        <v>136</v>
      </c>
      <c r="P371" s="2" t="s">
        <v>1714</v>
      </c>
      <c r="Q371" s="2" t="s">
        <v>77</v>
      </c>
      <c r="R371" s="2" t="s">
        <v>405</v>
      </c>
      <c r="S371" s="2" t="s">
        <v>78</v>
      </c>
      <c r="T371" s="153">
        <v>1.1399999999999999</v>
      </c>
      <c r="U371" s="2" t="s">
        <v>1715</v>
      </c>
      <c r="V371" s="165">
        <v>6.1249999999999999E-2</v>
      </c>
      <c r="W371" s="167">
        <v>7.5679999999999997E-2</v>
      </c>
      <c r="X371" s="4" t="s">
        <v>411</v>
      </c>
      <c r="Y371" s="4" t="s">
        <v>136</v>
      </c>
      <c r="Z371" s="153">
        <v>873000</v>
      </c>
      <c r="AA371" s="153">
        <v>3.681</v>
      </c>
      <c r="AB371" s="153">
        <v>98.581000000000003</v>
      </c>
      <c r="AC371" s="11"/>
      <c r="AD371" s="153">
        <v>3217.12</v>
      </c>
      <c r="AG371" s="2" t="s">
        <v>37</v>
      </c>
      <c r="AH371" s="167">
        <v>1.4549999999999999E-3</v>
      </c>
      <c r="AI371" s="167">
        <v>1.3413082666970401E-2</v>
      </c>
      <c r="AJ371" s="167">
        <v>3.1311396858398101E-3</v>
      </c>
      <c r="AK371" s="161"/>
      <c r="AL371" s="153"/>
    </row>
    <row r="372" spans="1:38">
      <c r="A372" s="2" t="s">
        <v>26</v>
      </c>
      <c r="B372" s="2">
        <v>9963</v>
      </c>
      <c r="C372" s="2" t="s">
        <v>1716</v>
      </c>
      <c r="D372" s="2" t="s">
        <v>1717</v>
      </c>
      <c r="E372" s="4" t="s">
        <v>1305</v>
      </c>
      <c r="F372" s="2" t="s">
        <v>1718</v>
      </c>
      <c r="G372" s="2" t="s">
        <v>1719</v>
      </c>
      <c r="H372" s="2" t="s">
        <v>319</v>
      </c>
      <c r="I372" s="2" t="s">
        <v>966</v>
      </c>
      <c r="J372" s="2" t="s">
        <v>31</v>
      </c>
      <c r="K372" s="2" t="s">
        <v>31</v>
      </c>
      <c r="L372" s="2" t="s">
        <v>325</v>
      </c>
      <c r="M372" s="2" t="s">
        <v>40</v>
      </c>
      <c r="N372" s="2" t="s">
        <v>444</v>
      </c>
      <c r="O372" s="2" t="s">
        <v>136</v>
      </c>
      <c r="P372" s="2" t="s">
        <v>1720</v>
      </c>
      <c r="Q372" s="2" t="s">
        <v>104</v>
      </c>
      <c r="R372" s="2" t="s">
        <v>405</v>
      </c>
      <c r="S372" s="2" t="s">
        <v>35</v>
      </c>
      <c r="T372" s="153">
        <v>1.9119999999999999</v>
      </c>
      <c r="U372" s="2" t="s">
        <v>1721</v>
      </c>
      <c r="V372" s="165">
        <v>3.5000000000000003E-2</v>
      </c>
      <c r="W372" s="167">
        <v>5.6559999999999999E-2</v>
      </c>
      <c r="X372" s="4" t="s">
        <v>411</v>
      </c>
      <c r="Y372" s="4" t="s">
        <v>136</v>
      </c>
      <c r="Z372" s="153">
        <v>1493760</v>
      </c>
      <c r="AA372" s="153">
        <v>1</v>
      </c>
      <c r="AB372" s="153">
        <v>96.19</v>
      </c>
      <c r="AC372" s="11"/>
      <c r="AD372" s="153">
        <v>1436.848</v>
      </c>
      <c r="AG372" s="2" t="s">
        <v>37</v>
      </c>
      <c r="AH372" s="167">
        <v>5.9750000000000003E-3</v>
      </c>
      <c r="AI372" s="167">
        <v>5.9906240866505799E-3</v>
      </c>
      <c r="AJ372" s="167">
        <v>1.39844667228135E-3</v>
      </c>
      <c r="AK372" s="161"/>
      <c r="AL372" s="153"/>
    </row>
    <row r="373" spans="1:38">
      <c r="A373" s="2" t="s">
        <v>26</v>
      </c>
      <c r="B373" s="2">
        <v>9963</v>
      </c>
      <c r="C373" s="2" t="s">
        <v>1716</v>
      </c>
      <c r="D373" s="2" t="s">
        <v>1717</v>
      </c>
      <c r="E373" s="4" t="s">
        <v>1305</v>
      </c>
      <c r="F373" s="2" t="s">
        <v>1722</v>
      </c>
      <c r="G373" s="2" t="s">
        <v>1723</v>
      </c>
      <c r="H373" s="2" t="s">
        <v>319</v>
      </c>
      <c r="I373" s="2" t="s">
        <v>754</v>
      </c>
      <c r="J373" s="2" t="s">
        <v>31</v>
      </c>
      <c r="K373" s="2" t="s">
        <v>31</v>
      </c>
      <c r="L373" s="2" t="s">
        <v>325</v>
      </c>
      <c r="M373" s="2" t="s">
        <v>40</v>
      </c>
      <c r="N373" s="2" t="s">
        <v>444</v>
      </c>
      <c r="O373" s="2" t="s">
        <v>136</v>
      </c>
      <c r="P373" s="2" t="s">
        <v>1724</v>
      </c>
      <c r="Q373" s="2" t="s">
        <v>412</v>
      </c>
      <c r="R373" s="2" t="s">
        <v>405</v>
      </c>
      <c r="S373" s="2" t="s">
        <v>35</v>
      </c>
      <c r="T373" s="153">
        <v>3.2690000000000001</v>
      </c>
      <c r="U373" s="2" t="s">
        <v>1725</v>
      </c>
      <c r="V373" s="165">
        <v>3.85E-2</v>
      </c>
      <c r="W373" s="167">
        <v>3.1759999999999997E-2</v>
      </c>
      <c r="X373" s="4" t="s">
        <v>411</v>
      </c>
      <c r="Y373" s="4" t="s">
        <v>136</v>
      </c>
      <c r="Z373" s="153">
        <v>719000</v>
      </c>
      <c r="AA373" s="153">
        <v>1</v>
      </c>
      <c r="AB373" s="153">
        <v>106.03</v>
      </c>
      <c r="AC373" s="11"/>
      <c r="AD373" s="153">
        <v>762.35599999999999</v>
      </c>
      <c r="AG373" s="2" t="s">
        <v>37</v>
      </c>
      <c r="AH373" s="167">
        <v>4.0619999999999996E-3</v>
      </c>
      <c r="AI373" s="167">
        <v>3.1784762429326401E-3</v>
      </c>
      <c r="AJ373" s="167">
        <v>7.4198104580781702E-4</v>
      </c>
      <c r="AK373" s="161"/>
      <c r="AL373" s="153"/>
    </row>
    <row r="374" spans="1:38">
      <c r="A374" s="2" t="s">
        <v>26</v>
      </c>
      <c r="B374" s="2">
        <v>9963</v>
      </c>
      <c r="C374" s="2" t="s">
        <v>1716</v>
      </c>
      <c r="D374" s="2" t="s">
        <v>1717</v>
      </c>
      <c r="E374" s="4" t="s">
        <v>1305</v>
      </c>
      <c r="F374" s="2" t="s">
        <v>1726</v>
      </c>
      <c r="G374" s="2" t="s">
        <v>1723</v>
      </c>
      <c r="H374" s="2" t="s">
        <v>319</v>
      </c>
      <c r="I374" s="2" t="s">
        <v>754</v>
      </c>
      <c r="J374" s="2" t="s">
        <v>31</v>
      </c>
      <c r="K374" s="2" t="s">
        <v>31</v>
      </c>
      <c r="L374" s="23" t="s">
        <v>327</v>
      </c>
      <c r="M374" s="2" t="s">
        <v>40</v>
      </c>
      <c r="N374" s="2" t="s">
        <v>444</v>
      </c>
      <c r="O374" s="2" t="s">
        <v>136</v>
      </c>
      <c r="P374" s="2" t="s">
        <v>1724</v>
      </c>
      <c r="Q374" s="2" t="s">
        <v>412</v>
      </c>
      <c r="R374" s="2" t="s">
        <v>405</v>
      </c>
      <c r="S374" s="2" t="s">
        <v>35</v>
      </c>
      <c r="T374" s="153">
        <v>3.45</v>
      </c>
      <c r="U374" s="2" t="s">
        <v>1725</v>
      </c>
      <c r="V374" s="165">
        <v>3.85E-2</v>
      </c>
      <c r="W374" s="167">
        <v>2.9700000000000001E-2</v>
      </c>
      <c r="X374" s="4" t="s">
        <v>411</v>
      </c>
      <c r="Y374" s="4" t="s">
        <v>136</v>
      </c>
      <c r="Z374" s="153">
        <v>970000</v>
      </c>
      <c r="AA374" s="153">
        <v>1</v>
      </c>
      <c r="AB374" s="153">
        <v>105.578</v>
      </c>
      <c r="AC374" s="11"/>
      <c r="AD374" s="153">
        <v>1024.106</v>
      </c>
      <c r="AG374" s="2" t="s">
        <v>37</v>
      </c>
      <c r="AH374" s="167">
        <v>5.4799999999999996E-3</v>
      </c>
      <c r="AI374" s="167">
        <v>4.2697856331480998E-3</v>
      </c>
      <c r="AJ374" s="167">
        <v>9.9673546923709395E-4</v>
      </c>
      <c r="AK374" s="161"/>
      <c r="AL374" s="153"/>
    </row>
    <row r="375" spans="1:38">
      <c r="A375" s="2" t="s">
        <v>26</v>
      </c>
      <c r="B375" s="2">
        <v>9963</v>
      </c>
      <c r="C375" s="2" t="s">
        <v>1735</v>
      </c>
      <c r="D375" s="2" t="s">
        <v>1736</v>
      </c>
      <c r="E375" s="4" t="s">
        <v>1305</v>
      </c>
      <c r="F375" s="2" t="s">
        <v>1737</v>
      </c>
      <c r="G375" s="2" t="s">
        <v>1738</v>
      </c>
      <c r="H375" s="2" t="s">
        <v>319</v>
      </c>
      <c r="I375" s="2" t="s">
        <v>754</v>
      </c>
      <c r="J375" s="2" t="s">
        <v>31</v>
      </c>
      <c r="K375" s="2" t="s">
        <v>31</v>
      </c>
      <c r="L375" s="2" t="s">
        <v>325</v>
      </c>
      <c r="M375" s="2" t="s">
        <v>40</v>
      </c>
      <c r="N375" s="2" t="s">
        <v>453</v>
      </c>
      <c r="O375" s="2" t="s">
        <v>136</v>
      </c>
      <c r="P375" s="2" t="s">
        <v>1739</v>
      </c>
      <c r="Q375" s="2" t="s">
        <v>412</v>
      </c>
      <c r="R375" s="2" t="s">
        <v>405</v>
      </c>
      <c r="S375" s="2" t="s">
        <v>35</v>
      </c>
      <c r="T375" s="153">
        <v>5.6740000000000004</v>
      </c>
      <c r="U375" s="2" t="s">
        <v>1740</v>
      </c>
      <c r="V375" s="165">
        <v>5.1499999999999997E-2</v>
      </c>
      <c r="W375" s="167">
        <v>2.9309999999999999E-2</v>
      </c>
      <c r="X375" s="4" t="s">
        <v>411</v>
      </c>
      <c r="Y375" s="4" t="s">
        <v>136</v>
      </c>
      <c r="Z375" s="153">
        <v>1207142.9099999999</v>
      </c>
      <c r="AA375" s="153">
        <v>1</v>
      </c>
      <c r="AB375" s="153">
        <v>154.27000000000001</v>
      </c>
      <c r="AC375" s="11"/>
      <c r="AD375" s="153">
        <v>1862.259</v>
      </c>
      <c r="AG375" s="2" t="s">
        <v>37</v>
      </c>
      <c r="AH375" s="167">
        <v>3.86E-4</v>
      </c>
      <c r="AI375" s="167">
        <v>7.7642853027860203E-3</v>
      </c>
      <c r="AJ375" s="167">
        <v>1.81248878034591E-3</v>
      </c>
      <c r="AK375" s="161"/>
      <c r="AL375" s="153"/>
    </row>
    <row r="376" spans="1:38">
      <c r="A376" s="2" t="s">
        <v>26</v>
      </c>
      <c r="B376" s="2">
        <v>9963</v>
      </c>
      <c r="C376" s="2" t="s">
        <v>1391</v>
      </c>
      <c r="D376" s="2" t="s">
        <v>1392</v>
      </c>
      <c r="E376" s="4" t="s">
        <v>1305</v>
      </c>
      <c r="F376" s="2" t="s">
        <v>1741</v>
      </c>
      <c r="G376" s="2" t="s">
        <v>1742</v>
      </c>
      <c r="H376" s="2" t="s">
        <v>319</v>
      </c>
      <c r="I376" s="2" t="s">
        <v>754</v>
      </c>
      <c r="J376" s="2" t="s">
        <v>31</v>
      </c>
      <c r="K376" s="2" t="s">
        <v>31</v>
      </c>
      <c r="L376" s="2" t="s">
        <v>325</v>
      </c>
      <c r="M376" s="2" t="s">
        <v>40</v>
      </c>
      <c r="N376" s="2" t="s">
        <v>437</v>
      </c>
      <c r="O376" s="2" t="s">
        <v>136</v>
      </c>
      <c r="P376" s="2" t="s">
        <v>1724</v>
      </c>
      <c r="Q376" s="2" t="s">
        <v>412</v>
      </c>
      <c r="R376" s="2" t="s">
        <v>407</v>
      </c>
      <c r="S376" s="2" t="s">
        <v>35</v>
      </c>
      <c r="T376" s="153">
        <v>3.3180000000000001</v>
      </c>
      <c r="U376" s="2" t="s">
        <v>1743</v>
      </c>
      <c r="V376" s="165">
        <v>2.75E-2</v>
      </c>
      <c r="W376" s="167">
        <v>2.7689999999999999E-2</v>
      </c>
      <c r="X376" s="4" t="s">
        <v>411</v>
      </c>
      <c r="Y376" s="4" t="s">
        <v>136</v>
      </c>
      <c r="Z376" s="153">
        <v>779697.24</v>
      </c>
      <c r="AA376" s="153">
        <v>1</v>
      </c>
      <c r="AB376" s="153">
        <v>110.77</v>
      </c>
      <c r="AC376" s="11"/>
      <c r="AD376" s="153">
        <v>863.67100000000005</v>
      </c>
      <c r="AG376" s="2" t="s">
        <v>37</v>
      </c>
      <c r="AH376" s="167">
        <v>8.6300000000000005E-4</v>
      </c>
      <c r="AI376" s="167">
        <v>3.6008868142628401E-3</v>
      </c>
      <c r="AJ376" s="167">
        <v>8.4058824420130899E-4</v>
      </c>
      <c r="AK376" s="161"/>
      <c r="AL376" s="153"/>
    </row>
    <row r="377" spans="1:38">
      <c r="A377" s="2" t="s">
        <v>26</v>
      </c>
      <c r="B377" s="2">
        <v>9963</v>
      </c>
      <c r="C377" s="2" t="s">
        <v>1744</v>
      </c>
      <c r="D377" s="2" t="s">
        <v>1745</v>
      </c>
      <c r="E377" s="4" t="s">
        <v>1305</v>
      </c>
      <c r="F377" s="2" t="s">
        <v>1746</v>
      </c>
      <c r="G377" s="2" t="s">
        <v>1747</v>
      </c>
      <c r="H377" s="2" t="s">
        <v>319</v>
      </c>
      <c r="I377" s="2" t="s">
        <v>754</v>
      </c>
      <c r="J377" s="2" t="s">
        <v>31</v>
      </c>
      <c r="K377" s="2" t="s">
        <v>31</v>
      </c>
      <c r="L377" s="2" t="s">
        <v>325</v>
      </c>
      <c r="M377" s="2" t="s">
        <v>40</v>
      </c>
      <c r="N377" s="2" t="s">
        <v>461</v>
      </c>
      <c r="O377" s="2" t="s">
        <v>136</v>
      </c>
      <c r="P377" s="2" t="s">
        <v>1748</v>
      </c>
      <c r="Q377" s="2" t="s">
        <v>412</v>
      </c>
      <c r="R377" s="2" t="s">
        <v>405</v>
      </c>
      <c r="S377" s="2" t="s">
        <v>35</v>
      </c>
      <c r="T377" s="153">
        <v>2.698</v>
      </c>
      <c r="U377" s="2" t="s">
        <v>1749</v>
      </c>
      <c r="V377" s="165">
        <v>2.3400000000000001E-2</v>
      </c>
      <c r="W377" s="167">
        <v>2.1569999999999999E-2</v>
      </c>
      <c r="X377" s="4" t="s">
        <v>411</v>
      </c>
      <c r="Y377" s="4" t="s">
        <v>136</v>
      </c>
      <c r="Z377" s="153">
        <v>2927751.65</v>
      </c>
      <c r="AA377" s="153">
        <v>1</v>
      </c>
      <c r="AB377" s="153">
        <v>111.84</v>
      </c>
      <c r="AC377" s="11"/>
      <c r="AD377" s="153">
        <v>3274.3969999999999</v>
      </c>
      <c r="AG377" s="2" t="s">
        <v>37</v>
      </c>
      <c r="AH377" s="167">
        <v>1.1310000000000001E-3</v>
      </c>
      <c r="AI377" s="167">
        <v>1.36518878129935E-2</v>
      </c>
      <c r="AJ377" s="167">
        <v>3.1868861751786701E-3</v>
      </c>
      <c r="AK377" s="161"/>
      <c r="AL377" s="153"/>
    </row>
    <row r="378" spans="1:38">
      <c r="A378" s="2" t="s">
        <v>26</v>
      </c>
      <c r="B378" s="2">
        <v>9963</v>
      </c>
      <c r="C378" s="2" t="s">
        <v>1411</v>
      </c>
      <c r="D378" s="2" t="s">
        <v>1412</v>
      </c>
      <c r="E378" s="4" t="s">
        <v>1305</v>
      </c>
      <c r="F378" s="2" t="s">
        <v>1750</v>
      </c>
      <c r="G378" s="2" t="s">
        <v>1751</v>
      </c>
      <c r="H378" s="2" t="s">
        <v>319</v>
      </c>
      <c r="I378" s="2" t="s">
        <v>967</v>
      </c>
      <c r="J378" s="2" t="s">
        <v>31</v>
      </c>
      <c r="K378" s="2" t="s">
        <v>31</v>
      </c>
      <c r="L378" s="2" t="s">
        <v>325</v>
      </c>
      <c r="M378" s="2" t="s">
        <v>40</v>
      </c>
      <c r="N378" s="2" t="s">
        <v>458</v>
      </c>
      <c r="O378" s="2" t="s">
        <v>136</v>
      </c>
      <c r="P378" s="2" t="s">
        <v>1752</v>
      </c>
      <c r="Q378" s="23" t="s">
        <v>1752</v>
      </c>
      <c r="R378" s="23" t="s">
        <v>1752</v>
      </c>
      <c r="S378" s="2" t="s">
        <v>35</v>
      </c>
      <c r="T378" s="153">
        <v>3.847</v>
      </c>
      <c r="U378" s="2" t="s">
        <v>1753</v>
      </c>
      <c r="V378" s="165">
        <v>4.8500000000000001E-2</v>
      </c>
      <c r="W378" s="167">
        <v>4.8070000000000002E-2</v>
      </c>
      <c r="X378" s="4" t="s">
        <v>411</v>
      </c>
      <c r="Y378" s="4" t="s">
        <v>136</v>
      </c>
      <c r="Z378" s="153">
        <v>1180000</v>
      </c>
      <c r="AA378" s="153">
        <v>1</v>
      </c>
      <c r="AB378" s="153">
        <v>101.6</v>
      </c>
      <c r="AC378" s="11"/>
      <c r="AD378" s="153">
        <v>1198.8800000000001</v>
      </c>
      <c r="AG378" s="2" t="s">
        <v>37</v>
      </c>
      <c r="AH378" s="167">
        <v>4.7840000000000001E-3</v>
      </c>
      <c r="AI378" s="167">
        <v>4.9984693472182196E-3</v>
      </c>
      <c r="AJ378" s="167">
        <v>1.1668388341532401E-3</v>
      </c>
      <c r="AK378" s="161"/>
      <c r="AL378" s="153"/>
    </row>
    <row r="379" spans="1:38">
      <c r="A379" s="2" t="s">
        <v>26</v>
      </c>
      <c r="B379" s="2">
        <v>9963</v>
      </c>
      <c r="C379" s="2" t="s">
        <v>1754</v>
      </c>
      <c r="D379" s="2" t="s">
        <v>1755</v>
      </c>
      <c r="E379" s="4" t="s">
        <v>1305</v>
      </c>
      <c r="F379" s="2" t="s">
        <v>2389</v>
      </c>
      <c r="G379" s="2" t="s">
        <v>2390</v>
      </c>
      <c r="H379" s="2" t="s">
        <v>319</v>
      </c>
      <c r="I379" s="2" t="s">
        <v>754</v>
      </c>
      <c r="J379" s="2" t="s">
        <v>31</v>
      </c>
      <c r="K379" s="2" t="s">
        <v>31</v>
      </c>
      <c r="L379" s="2" t="s">
        <v>325</v>
      </c>
      <c r="M379" s="2" t="s">
        <v>40</v>
      </c>
      <c r="N379" s="2" t="s">
        <v>475</v>
      </c>
      <c r="O379" s="2" t="s">
        <v>136</v>
      </c>
      <c r="P379" s="2" t="s">
        <v>1758</v>
      </c>
      <c r="Q379" s="2" t="s">
        <v>164</v>
      </c>
      <c r="R379" s="2" t="s">
        <v>407</v>
      </c>
      <c r="S379" s="2" t="s">
        <v>35</v>
      </c>
      <c r="T379" s="153">
        <v>0.219</v>
      </c>
      <c r="U379" s="2" t="s">
        <v>2391</v>
      </c>
      <c r="V379" s="165">
        <v>2.2499999999999999E-2</v>
      </c>
      <c r="W379" s="167">
        <v>7.7200000000000003E-3</v>
      </c>
      <c r="X379" s="4" t="s">
        <v>411</v>
      </c>
      <c r="Y379" s="4" t="s">
        <v>136</v>
      </c>
      <c r="Z379" s="153">
        <v>35183.03</v>
      </c>
      <c r="AA379" s="153">
        <v>1</v>
      </c>
      <c r="AB379" s="153">
        <v>113.52</v>
      </c>
      <c r="AC379" s="11"/>
      <c r="AD379" s="153">
        <v>39.94</v>
      </c>
      <c r="AG379" s="2" t="s">
        <v>37</v>
      </c>
      <c r="AH379" s="167">
        <v>1.5200000000000001E-4</v>
      </c>
      <c r="AI379" s="167">
        <v>1.6652020581817099E-4</v>
      </c>
      <c r="AJ379" s="167">
        <v>3.8872348577663197E-5</v>
      </c>
      <c r="AK379" s="161"/>
      <c r="AL379" s="153"/>
    </row>
    <row r="380" spans="1:38">
      <c r="A380" s="2" t="s">
        <v>26</v>
      </c>
      <c r="B380" s="2">
        <v>9963</v>
      </c>
      <c r="C380" s="2" t="s">
        <v>1754</v>
      </c>
      <c r="D380" s="2" t="s">
        <v>1755</v>
      </c>
      <c r="E380" s="4" t="s">
        <v>1305</v>
      </c>
      <c r="F380" s="2" t="s">
        <v>1756</v>
      </c>
      <c r="G380" s="2" t="s">
        <v>1757</v>
      </c>
      <c r="H380" s="2" t="s">
        <v>319</v>
      </c>
      <c r="I380" s="2" t="s">
        <v>754</v>
      </c>
      <c r="J380" s="2" t="s">
        <v>31</v>
      </c>
      <c r="K380" s="2" t="s">
        <v>31</v>
      </c>
      <c r="L380" s="2" t="s">
        <v>325</v>
      </c>
      <c r="M380" s="2" t="s">
        <v>40</v>
      </c>
      <c r="N380" s="2" t="s">
        <v>475</v>
      </c>
      <c r="O380" s="2" t="s">
        <v>136</v>
      </c>
      <c r="P380" s="2" t="s">
        <v>1758</v>
      </c>
      <c r="Q380" s="2" t="s">
        <v>412</v>
      </c>
      <c r="R380" s="2" t="s">
        <v>405</v>
      </c>
      <c r="S380" s="2" t="s">
        <v>35</v>
      </c>
      <c r="T380" s="153">
        <v>2.036</v>
      </c>
      <c r="U380" s="2" t="s">
        <v>1759</v>
      </c>
      <c r="V380" s="165">
        <v>3.2000000000000001E-2</v>
      </c>
      <c r="W380" s="167">
        <v>2.9739999999999999E-2</v>
      </c>
      <c r="X380" s="4" t="s">
        <v>411</v>
      </c>
      <c r="Y380" s="4" t="s">
        <v>136</v>
      </c>
      <c r="Z380" s="153">
        <v>740208.33</v>
      </c>
      <c r="AA380" s="153">
        <v>1</v>
      </c>
      <c r="AB380" s="153">
        <v>104.3</v>
      </c>
      <c r="AC380" s="11"/>
      <c r="AD380" s="153">
        <v>772.03700000000003</v>
      </c>
      <c r="AG380" s="2" t="s">
        <v>37</v>
      </c>
      <c r="AH380" s="167">
        <v>2.036E-3</v>
      </c>
      <c r="AI380" s="167">
        <v>3.2188415186901E-3</v>
      </c>
      <c r="AJ380" s="167">
        <v>7.5140388468774796E-4</v>
      </c>
      <c r="AK380" s="161"/>
      <c r="AL380" s="153"/>
    </row>
    <row r="381" spans="1:38">
      <c r="A381" s="2" t="s">
        <v>26</v>
      </c>
      <c r="B381" s="2">
        <v>9963</v>
      </c>
      <c r="C381" s="2" t="s">
        <v>1754</v>
      </c>
      <c r="D381" s="2" t="s">
        <v>1755</v>
      </c>
      <c r="E381" s="4" t="s">
        <v>1305</v>
      </c>
      <c r="F381" s="2" t="s">
        <v>1760</v>
      </c>
      <c r="G381" s="2" t="s">
        <v>1761</v>
      </c>
      <c r="H381" s="2" t="s">
        <v>319</v>
      </c>
      <c r="I381" s="2" t="s">
        <v>966</v>
      </c>
      <c r="J381" s="2" t="s">
        <v>31</v>
      </c>
      <c r="K381" s="2" t="s">
        <v>31</v>
      </c>
      <c r="L381" s="2" t="s">
        <v>325</v>
      </c>
      <c r="M381" s="2" t="s">
        <v>40</v>
      </c>
      <c r="N381" s="2" t="s">
        <v>475</v>
      </c>
      <c r="O381" s="2" t="s">
        <v>136</v>
      </c>
      <c r="P381" s="2" t="s">
        <v>1758</v>
      </c>
      <c r="Q381" s="2" t="s">
        <v>412</v>
      </c>
      <c r="R381" s="2" t="s">
        <v>405</v>
      </c>
      <c r="S381" s="2" t="s">
        <v>35</v>
      </c>
      <c r="T381" s="153">
        <v>2.0590000000000002</v>
      </c>
      <c r="U381" s="2" t="s">
        <v>1762</v>
      </c>
      <c r="V381" s="165">
        <v>5.7000000000000002E-2</v>
      </c>
      <c r="W381" s="167">
        <v>5.9130000000000002E-2</v>
      </c>
      <c r="X381" s="4" t="s">
        <v>411</v>
      </c>
      <c r="Y381" s="4" t="s">
        <v>136</v>
      </c>
      <c r="Z381" s="153">
        <v>661111.71</v>
      </c>
      <c r="AA381" s="153">
        <v>1</v>
      </c>
      <c r="AB381" s="153">
        <v>100.07</v>
      </c>
      <c r="AC381" s="11"/>
      <c r="AD381" s="153">
        <v>661.57399999999996</v>
      </c>
      <c r="AG381" s="2" t="s">
        <v>37</v>
      </c>
      <c r="AH381" s="167">
        <v>1.6670000000000001E-3</v>
      </c>
      <c r="AI381" s="167">
        <v>2.7582909049732101E-3</v>
      </c>
      <c r="AJ381" s="167">
        <v>6.4389330417832704E-4</v>
      </c>
      <c r="AK381" s="161"/>
      <c r="AL381" s="153"/>
    </row>
    <row r="382" spans="1:38">
      <c r="A382" s="2" t="s">
        <v>26</v>
      </c>
      <c r="B382" s="2">
        <v>9963</v>
      </c>
      <c r="C382" s="2" t="s">
        <v>1763</v>
      </c>
      <c r="D382" s="2" t="s">
        <v>1764</v>
      </c>
      <c r="E382" s="4" t="s">
        <v>1305</v>
      </c>
      <c r="F382" s="2" t="s">
        <v>1765</v>
      </c>
      <c r="G382" s="2" t="s">
        <v>1766</v>
      </c>
      <c r="H382" s="2" t="s">
        <v>319</v>
      </c>
      <c r="I382" s="2" t="s">
        <v>754</v>
      </c>
      <c r="J382" s="2" t="s">
        <v>31</v>
      </c>
      <c r="K382" s="2" t="s">
        <v>31</v>
      </c>
      <c r="L382" s="2" t="s">
        <v>325</v>
      </c>
      <c r="M382" s="2" t="s">
        <v>40</v>
      </c>
      <c r="N382" s="2" t="s">
        <v>475</v>
      </c>
      <c r="O382" s="2" t="s">
        <v>136</v>
      </c>
      <c r="P382" s="2" t="s">
        <v>1758</v>
      </c>
      <c r="Q382" s="2" t="s">
        <v>412</v>
      </c>
      <c r="R382" s="2" t="s">
        <v>405</v>
      </c>
      <c r="S382" s="2" t="s">
        <v>35</v>
      </c>
      <c r="T382" s="153">
        <v>2.9870000000000001</v>
      </c>
      <c r="U382" s="2" t="s">
        <v>1767</v>
      </c>
      <c r="V382" s="165">
        <v>3.2300000000000002E-2</v>
      </c>
      <c r="W382" s="167">
        <v>2.8750000000000001E-2</v>
      </c>
      <c r="X382" s="4" t="s">
        <v>411</v>
      </c>
      <c r="Y382" s="4" t="s">
        <v>136</v>
      </c>
      <c r="Z382" s="153">
        <v>929280</v>
      </c>
      <c r="AA382" s="153">
        <v>1</v>
      </c>
      <c r="AB382" s="153">
        <v>104.51</v>
      </c>
      <c r="AC382" s="11"/>
      <c r="AD382" s="153">
        <v>971.19100000000003</v>
      </c>
      <c r="AG382" s="2" t="s">
        <v>37</v>
      </c>
      <c r="AH382" s="167">
        <v>1.9780000000000002E-3</v>
      </c>
      <c r="AI382" s="167">
        <v>4.0491676268823197E-3</v>
      </c>
      <c r="AJ382" s="167">
        <v>9.4523457179383102E-4</v>
      </c>
      <c r="AK382" s="161"/>
      <c r="AL382" s="153"/>
    </row>
    <row r="383" spans="1:38">
      <c r="A383" s="2" t="s">
        <v>26</v>
      </c>
      <c r="B383" s="2">
        <v>9963</v>
      </c>
      <c r="C383" s="2" t="s">
        <v>1768</v>
      </c>
      <c r="D383" s="2" t="s">
        <v>1769</v>
      </c>
      <c r="E383" s="4" t="s">
        <v>1305</v>
      </c>
      <c r="F383" s="2" t="s">
        <v>1770</v>
      </c>
      <c r="G383" s="2" t="s">
        <v>1771</v>
      </c>
      <c r="H383" s="2" t="s">
        <v>319</v>
      </c>
      <c r="I383" s="2" t="s">
        <v>754</v>
      </c>
      <c r="J383" s="2" t="s">
        <v>31</v>
      </c>
      <c r="K383" s="2" t="s">
        <v>31</v>
      </c>
      <c r="L383" s="2" t="s">
        <v>325</v>
      </c>
      <c r="M383" s="2" t="s">
        <v>40</v>
      </c>
      <c r="N383" s="2" t="s">
        <v>461</v>
      </c>
      <c r="O383" s="2" t="s">
        <v>136</v>
      </c>
      <c r="P383" s="2" t="s">
        <v>1772</v>
      </c>
      <c r="Q383" s="2" t="s">
        <v>412</v>
      </c>
      <c r="R383" s="2" t="s">
        <v>405</v>
      </c>
      <c r="S383" s="2" t="s">
        <v>35</v>
      </c>
      <c r="T383" s="153">
        <v>2.855</v>
      </c>
      <c r="U383" s="2" t="s">
        <v>1773</v>
      </c>
      <c r="V383" s="165">
        <v>2.4899999999999999E-2</v>
      </c>
      <c r="W383" s="167">
        <v>3.2489999999999998E-2</v>
      </c>
      <c r="X383" s="4" t="s">
        <v>411</v>
      </c>
      <c r="Y383" s="4" t="s">
        <v>136</v>
      </c>
      <c r="Z383" s="153">
        <v>1996000</v>
      </c>
      <c r="AA383" s="153">
        <v>1</v>
      </c>
      <c r="AB383" s="153">
        <v>103.02</v>
      </c>
      <c r="AC383" s="11"/>
      <c r="AD383" s="153">
        <v>2056.279</v>
      </c>
      <c r="AG383" s="2" t="s">
        <v>37</v>
      </c>
      <c r="AH383" s="167">
        <v>1.0661E-2</v>
      </c>
      <c r="AI383" s="167">
        <v>8.5732087869698406E-3</v>
      </c>
      <c r="AJ383" s="167">
        <v>2.0013232553896601E-3</v>
      </c>
      <c r="AK383" s="161"/>
      <c r="AL383" s="153"/>
    </row>
    <row r="384" spans="1:38">
      <c r="A384" s="2" t="s">
        <v>26</v>
      </c>
      <c r="B384" s="2">
        <v>9963</v>
      </c>
      <c r="C384" s="2" t="s">
        <v>2317</v>
      </c>
      <c r="D384" s="2" t="s">
        <v>2318</v>
      </c>
      <c r="E384" s="4" t="s">
        <v>1305</v>
      </c>
      <c r="F384" s="2" t="s">
        <v>2319</v>
      </c>
      <c r="G384" s="2" t="s">
        <v>2320</v>
      </c>
      <c r="H384" s="2" t="s">
        <v>319</v>
      </c>
      <c r="I384" s="2" t="s">
        <v>966</v>
      </c>
      <c r="J384" s="2" t="s">
        <v>31</v>
      </c>
      <c r="K384" s="2" t="s">
        <v>31</v>
      </c>
      <c r="L384" s="2" t="s">
        <v>325</v>
      </c>
      <c r="M384" s="2" t="s">
        <v>40</v>
      </c>
      <c r="N384" s="2" t="s">
        <v>438</v>
      </c>
      <c r="O384" s="2" t="s">
        <v>136</v>
      </c>
      <c r="P384" s="2" t="s">
        <v>2083</v>
      </c>
      <c r="Q384" s="2" t="s">
        <v>104</v>
      </c>
      <c r="R384" s="2" t="s">
        <v>407</v>
      </c>
      <c r="S384" s="2" t="s">
        <v>35</v>
      </c>
      <c r="T384" s="153">
        <v>3.82</v>
      </c>
      <c r="U384" s="2" t="s">
        <v>62</v>
      </c>
      <c r="V384" s="165">
        <v>5.5E-2</v>
      </c>
      <c r="W384" s="167">
        <v>6.694E-2</v>
      </c>
      <c r="X384" s="4" t="s">
        <v>411</v>
      </c>
      <c r="Y384" s="4" t="s">
        <v>136</v>
      </c>
      <c r="Z384" s="153">
        <v>961000</v>
      </c>
      <c r="AA384" s="153">
        <v>1</v>
      </c>
      <c r="AB384" s="153">
        <v>96.08</v>
      </c>
      <c r="AC384" s="11"/>
      <c r="AD384" s="153">
        <v>923.32899999999995</v>
      </c>
      <c r="AG384" s="2" t="s">
        <v>37</v>
      </c>
      <c r="AH384" s="167">
        <v>0</v>
      </c>
      <c r="AI384" s="167">
        <v>3.8496185641630301E-3</v>
      </c>
      <c r="AJ384" s="167">
        <v>8.9865199230290595E-4</v>
      </c>
      <c r="AK384" s="161"/>
      <c r="AL384" s="153"/>
    </row>
    <row r="385" spans="1:38">
      <c r="A385" s="2" t="s">
        <v>26</v>
      </c>
      <c r="B385" s="2">
        <v>9963</v>
      </c>
      <c r="C385" s="2" t="s">
        <v>1779</v>
      </c>
      <c r="D385" s="2" t="s">
        <v>1780</v>
      </c>
      <c r="E385" s="4" t="s">
        <v>1305</v>
      </c>
      <c r="F385" s="2" t="s">
        <v>1781</v>
      </c>
      <c r="G385" s="2" t="s">
        <v>1782</v>
      </c>
      <c r="H385" s="2" t="s">
        <v>319</v>
      </c>
      <c r="I385" s="2" t="s">
        <v>966</v>
      </c>
      <c r="J385" s="2" t="s">
        <v>31</v>
      </c>
      <c r="K385" s="2" t="s">
        <v>31</v>
      </c>
      <c r="L385" s="2" t="s">
        <v>325</v>
      </c>
      <c r="M385" s="2" t="s">
        <v>40</v>
      </c>
      <c r="N385" s="2" t="s">
        <v>448</v>
      </c>
      <c r="O385" s="2" t="s">
        <v>136</v>
      </c>
      <c r="P385" s="2" t="s">
        <v>1758</v>
      </c>
      <c r="Q385" s="2" t="s">
        <v>412</v>
      </c>
      <c r="R385" s="2" t="s">
        <v>405</v>
      </c>
      <c r="S385" s="2" t="s">
        <v>35</v>
      </c>
      <c r="T385" s="153">
        <v>3.41</v>
      </c>
      <c r="U385" s="2" t="s">
        <v>1783</v>
      </c>
      <c r="V385" s="165">
        <v>0.04</v>
      </c>
      <c r="W385" s="167">
        <v>5.0200000000000002E-2</v>
      </c>
      <c r="X385" s="4" t="s">
        <v>411</v>
      </c>
      <c r="Y385" s="4" t="s">
        <v>136</v>
      </c>
      <c r="Z385" s="153">
        <v>700000.14</v>
      </c>
      <c r="AA385" s="153">
        <v>1</v>
      </c>
      <c r="AB385" s="153">
        <v>97.7</v>
      </c>
      <c r="AC385" s="11"/>
      <c r="AD385" s="153">
        <v>683.9</v>
      </c>
      <c r="AG385" s="2" t="s">
        <v>37</v>
      </c>
      <c r="AH385" s="167">
        <v>9.0399999999999996E-4</v>
      </c>
      <c r="AI385" s="167">
        <v>2.8513728398615202E-3</v>
      </c>
      <c r="AJ385" s="167">
        <v>6.6562227935874799E-4</v>
      </c>
      <c r="AK385" s="161"/>
      <c r="AL385" s="153"/>
    </row>
    <row r="386" spans="1:38">
      <c r="A386" s="2" t="s">
        <v>26</v>
      </c>
      <c r="B386" s="2">
        <v>9963</v>
      </c>
      <c r="C386" s="2" t="s">
        <v>1784</v>
      </c>
      <c r="D386" s="2" t="s">
        <v>1785</v>
      </c>
      <c r="E386" s="4" t="s">
        <v>34</v>
      </c>
      <c r="F386" s="2" t="s">
        <v>1786</v>
      </c>
      <c r="G386" s="2" t="s">
        <v>1787</v>
      </c>
      <c r="H386" s="2" t="s">
        <v>319</v>
      </c>
      <c r="I386" s="2" t="s">
        <v>966</v>
      </c>
      <c r="J386" s="2" t="s">
        <v>31</v>
      </c>
      <c r="K386" s="2" t="s">
        <v>74</v>
      </c>
      <c r="L386" s="2" t="s">
        <v>325</v>
      </c>
      <c r="M386" s="2" t="s">
        <v>40</v>
      </c>
      <c r="N386" s="2" t="s">
        <v>462</v>
      </c>
      <c r="O386" s="2" t="s">
        <v>136</v>
      </c>
      <c r="P386" s="2" t="s">
        <v>1752</v>
      </c>
      <c r="Q386" s="23" t="s">
        <v>1752</v>
      </c>
      <c r="R386" s="23" t="s">
        <v>1752</v>
      </c>
      <c r="S386" s="2" t="s">
        <v>35</v>
      </c>
      <c r="T386" s="153">
        <v>2.1360000000000001</v>
      </c>
      <c r="U386" s="2" t="s">
        <v>1788</v>
      </c>
      <c r="V386" s="165">
        <v>4.4999999999999998E-2</v>
      </c>
      <c r="W386" s="167">
        <v>6.9360000000000005E-2</v>
      </c>
      <c r="X386" s="4" t="s">
        <v>411</v>
      </c>
      <c r="Y386" s="4" t="s">
        <v>136</v>
      </c>
      <c r="Z386" s="153">
        <v>3157000</v>
      </c>
      <c r="AA386" s="153">
        <v>1</v>
      </c>
      <c r="AB386" s="153">
        <v>96.39</v>
      </c>
      <c r="AC386" s="11"/>
      <c r="AD386" s="153">
        <v>3043.0320000000002</v>
      </c>
      <c r="AG386" s="2" t="s">
        <v>37</v>
      </c>
      <c r="AH386" s="167">
        <v>8.7690000000000008E-3</v>
      </c>
      <c r="AI386" s="167">
        <v>1.26872611722149E-2</v>
      </c>
      <c r="AJ386" s="167">
        <v>2.9617044751957199E-3</v>
      </c>
      <c r="AK386" s="161"/>
      <c r="AL386" s="153"/>
    </row>
    <row r="387" spans="1:38">
      <c r="A387" s="2" t="s">
        <v>26</v>
      </c>
      <c r="B387" s="2">
        <v>9963</v>
      </c>
      <c r="C387" s="2" t="s">
        <v>1789</v>
      </c>
      <c r="D387" s="2" t="s">
        <v>1790</v>
      </c>
      <c r="E387" s="4" t="s">
        <v>1305</v>
      </c>
      <c r="F387" s="2" t="s">
        <v>1791</v>
      </c>
      <c r="G387" s="2" t="s">
        <v>1792</v>
      </c>
      <c r="H387" s="2" t="s">
        <v>319</v>
      </c>
      <c r="I387" s="2" t="s">
        <v>966</v>
      </c>
      <c r="J387" s="2" t="s">
        <v>31</v>
      </c>
      <c r="K387" s="2" t="s">
        <v>296</v>
      </c>
      <c r="L387" s="2" t="s">
        <v>325</v>
      </c>
      <c r="M387" s="2" t="s">
        <v>40</v>
      </c>
      <c r="N387" s="2" t="s">
        <v>462</v>
      </c>
      <c r="O387" s="2" t="s">
        <v>136</v>
      </c>
      <c r="P387" s="2" t="s">
        <v>1752</v>
      </c>
      <c r="Q387" s="23" t="s">
        <v>1752</v>
      </c>
      <c r="R387" s="23" t="s">
        <v>1752</v>
      </c>
      <c r="S387" s="2" t="s">
        <v>35</v>
      </c>
      <c r="T387" s="153">
        <v>0.93400000000000005</v>
      </c>
      <c r="U387" s="2" t="s">
        <v>1793</v>
      </c>
      <c r="V387" s="165">
        <v>7.2499999999999995E-2</v>
      </c>
      <c r="W387" s="167">
        <v>6.3920000000000005E-2</v>
      </c>
      <c r="X387" s="4" t="s">
        <v>411</v>
      </c>
      <c r="Y387" s="4" t="s">
        <v>136</v>
      </c>
      <c r="Z387" s="153">
        <v>103556.8</v>
      </c>
      <c r="AA387" s="153">
        <v>1</v>
      </c>
      <c r="AB387" s="153">
        <v>101.2</v>
      </c>
      <c r="AC387" s="11"/>
      <c r="AD387" s="153">
        <v>104.79900000000001</v>
      </c>
      <c r="AG387" s="2" t="s">
        <v>37</v>
      </c>
      <c r="AH387" s="167">
        <v>6.8000000000000005E-4</v>
      </c>
      <c r="AI387" s="167">
        <v>4.3693863971536699E-4</v>
      </c>
      <c r="AJ387" s="167">
        <v>1.01998619486527E-4</v>
      </c>
      <c r="AK387" s="161"/>
      <c r="AL387" s="153"/>
    </row>
    <row r="388" spans="1:38">
      <c r="A388" s="2" t="s">
        <v>26</v>
      </c>
      <c r="B388" s="2">
        <v>9963</v>
      </c>
      <c r="C388" s="2" t="s">
        <v>1794</v>
      </c>
      <c r="D388" s="2" t="s">
        <v>1795</v>
      </c>
      <c r="E388" s="4" t="s">
        <v>34</v>
      </c>
      <c r="F388" s="2" t="s">
        <v>1796</v>
      </c>
      <c r="G388" s="2" t="s">
        <v>1797</v>
      </c>
      <c r="H388" s="2" t="s">
        <v>319</v>
      </c>
      <c r="I388" s="2" t="s">
        <v>966</v>
      </c>
      <c r="J388" s="2" t="s">
        <v>31</v>
      </c>
      <c r="K388" s="2" t="s">
        <v>74</v>
      </c>
      <c r="L388" s="2" t="s">
        <v>325</v>
      </c>
      <c r="M388" s="2" t="s">
        <v>40</v>
      </c>
      <c r="N388" s="2" t="s">
        <v>440</v>
      </c>
      <c r="O388" s="2" t="s">
        <v>136</v>
      </c>
      <c r="P388" s="2" t="s">
        <v>1758</v>
      </c>
      <c r="Q388" s="2" t="s">
        <v>412</v>
      </c>
      <c r="R388" s="2" t="s">
        <v>405</v>
      </c>
      <c r="S388" s="2" t="s">
        <v>35</v>
      </c>
      <c r="T388" s="153">
        <v>1.206</v>
      </c>
      <c r="U388" s="2" t="s">
        <v>1798</v>
      </c>
      <c r="V388" s="165">
        <v>4.7500000000000001E-2</v>
      </c>
      <c r="W388" s="167">
        <v>6.3960000000000003E-2</v>
      </c>
      <c r="X388" s="4" t="s">
        <v>411</v>
      </c>
      <c r="Y388" s="4" t="s">
        <v>136</v>
      </c>
      <c r="Z388" s="153">
        <v>5269737.18</v>
      </c>
      <c r="AA388" s="153">
        <v>1</v>
      </c>
      <c r="AB388" s="153">
        <v>98.34</v>
      </c>
      <c r="AC388" s="11"/>
      <c r="AD388" s="153">
        <v>5182.26</v>
      </c>
      <c r="AG388" s="2" t="s">
        <v>37</v>
      </c>
      <c r="AH388" s="167">
        <v>9.6010000000000002E-3</v>
      </c>
      <c r="AI388" s="167">
        <v>2.16063037785891E-2</v>
      </c>
      <c r="AJ388" s="167">
        <v>5.0437589109954698E-3</v>
      </c>
      <c r="AK388" s="161"/>
      <c r="AL388" s="153"/>
    </row>
    <row r="389" spans="1:38">
      <c r="A389" s="2" t="s">
        <v>26</v>
      </c>
      <c r="B389" s="2">
        <v>9963</v>
      </c>
      <c r="C389" s="2" t="s">
        <v>1419</v>
      </c>
      <c r="D389" s="2" t="s">
        <v>1420</v>
      </c>
      <c r="E389" s="4" t="s">
        <v>1305</v>
      </c>
      <c r="F389" s="2" t="s">
        <v>2392</v>
      </c>
      <c r="G389" s="2" t="s">
        <v>2393</v>
      </c>
      <c r="H389" s="2" t="s">
        <v>319</v>
      </c>
      <c r="I389" s="2" t="s">
        <v>754</v>
      </c>
      <c r="J389" s="2" t="s">
        <v>31</v>
      </c>
      <c r="K389" s="2" t="s">
        <v>31</v>
      </c>
      <c r="L389" s="2" t="s">
        <v>325</v>
      </c>
      <c r="M389" s="2" t="s">
        <v>40</v>
      </c>
      <c r="N389" s="2" t="s">
        <v>461</v>
      </c>
      <c r="O389" s="2" t="s">
        <v>136</v>
      </c>
      <c r="P389" s="2" t="s">
        <v>1984</v>
      </c>
      <c r="Q389" s="2" t="s">
        <v>104</v>
      </c>
      <c r="R389" s="2" t="s">
        <v>405</v>
      </c>
      <c r="S389" s="2" t="s">
        <v>35</v>
      </c>
      <c r="T389" s="153">
        <v>3.7970000000000002</v>
      </c>
      <c r="U389" s="2" t="s">
        <v>2394</v>
      </c>
      <c r="V389" s="165">
        <v>1.14E-2</v>
      </c>
      <c r="W389" s="167">
        <v>2.479E-2</v>
      </c>
      <c r="X389" s="4" t="s">
        <v>411</v>
      </c>
      <c r="Y389" s="4" t="s">
        <v>136</v>
      </c>
      <c r="Z389" s="153">
        <v>4000000</v>
      </c>
      <c r="AA389" s="153">
        <v>1</v>
      </c>
      <c r="AB389" s="153">
        <v>105.01</v>
      </c>
      <c r="AC389" s="11"/>
      <c r="AD389" s="153">
        <v>4200.3999999999996</v>
      </c>
      <c r="AG389" s="2" t="s">
        <v>37</v>
      </c>
      <c r="AH389" s="167">
        <v>1.6930000000000001E-3</v>
      </c>
      <c r="AI389" s="167">
        <v>1.7512654015460601E-2</v>
      </c>
      <c r="AJ389" s="167">
        <v>4.0881404635803899E-3</v>
      </c>
      <c r="AK389" s="161"/>
      <c r="AL389" s="153"/>
    </row>
    <row r="390" spans="1:38">
      <c r="A390" s="2" t="s">
        <v>26</v>
      </c>
      <c r="B390" s="2">
        <v>9963</v>
      </c>
      <c r="C390" s="2" t="s">
        <v>1799</v>
      </c>
      <c r="D390" s="2" t="s">
        <v>1800</v>
      </c>
      <c r="E390" s="4" t="s">
        <v>1305</v>
      </c>
      <c r="F390" s="2" t="s">
        <v>1801</v>
      </c>
      <c r="G390" s="2" t="s">
        <v>1802</v>
      </c>
      <c r="H390" s="2" t="s">
        <v>319</v>
      </c>
      <c r="I390" s="2" t="s">
        <v>966</v>
      </c>
      <c r="J390" s="2" t="s">
        <v>31</v>
      </c>
      <c r="K390" s="2" t="s">
        <v>31</v>
      </c>
      <c r="L390" s="23" t="s">
        <v>327</v>
      </c>
      <c r="M390" s="2" t="s">
        <v>40</v>
      </c>
      <c r="N390" s="2" t="s">
        <v>1803</v>
      </c>
      <c r="O390" s="2" t="s">
        <v>136</v>
      </c>
      <c r="P390" s="2" t="s">
        <v>1752</v>
      </c>
      <c r="Q390" s="23" t="s">
        <v>1752</v>
      </c>
      <c r="R390" s="23" t="s">
        <v>1752</v>
      </c>
      <c r="S390" s="2" t="s">
        <v>35</v>
      </c>
      <c r="T390" s="153">
        <v>1.62</v>
      </c>
      <c r="U390" s="2" t="s">
        <v>1804</v>
      </c>
      <c r="V390" s="165">
        <v>6.5000000000000002E-2</v>
      </c>
      <c r="W390" s="167">
        <v>7.7499999999999999E-2</v>
      </c>
      <c r="X390" s="4" t="s">
        <v>411</v>
      </c>
      <c r="Y390" s="4" t="s">
        <v>136</v>
      </c>
      <c r="Z390" s="153">
        <v>1041206</v>
      </c>
      <c r="AA390" s="153">
        <v>1</v>
      </c>
      <c r="AB390" s="153">
        <v>99.29</v>
      </c>
      <c r="AC390" s="11"/>
      <c r="AD390" s="153">
        <v>1033.8130000000001</v>
      </c>
      <c r="AG390" s="2" t="s">
        <v>37</v>
      </c>
      <c r="AH390" s="167">
        <v>9.4739999999999998E-3</v>
      </c>
      <c r="AI390" s="167">
        <v>4.3102602241977504E-3</v>
      </c>
      <c r="AJ390" s="167">
        <v>1.0061838265946301E-3</v>
      </c>
      <c r="AK390" s="161"/>
      <c r="AL390" s="153"/>
    </row>
    <row r="391" spans="1:38">
      <c r="A391" s="2" t="s">
        <v>26</v>
      </c>
      <c r="B391" s="2">
        <v>9963</v>
      </c>
      <c r="C391" s="2" t="s">
        <v>1799</v>
      </c>
      <c r="D391" s="2" t="s">
        <v>1800</v>
      </c>
      <c r="E391" s="4" t="s">
        <v>1305</v>
      </c>
      <c r="F391" s="2" t="s">
        <v>1805</v>
      </c>
      <c r="G391" s="2" t="s">
        <v>1802</v>
      </c>
      <c r="H391" s="2" t="s">
        <v>319</v>
      </c>
      <c r="I391" s="2" t="s">
        <v>966</v>
      </c>
      <c r="J391" s="2" t="s">
        <v>31</v>
      </c>
      <c r="K391" s="2" t="s">
        <v>31</v>
      </c>
      <c r="L391" s="2" t="s">
        <v>325</v>
      </c>
      <c r="M391" s="2" t="s">
        <v>40</v>
      </c>
      <c r="N391" s="2" t="s">
        <v>461</v>
      </c>
      <c r="O391" s="2" t="s">
        <v>136</v>
      </c>
      <c r="P391" s="2" t="s">
        <v>1752</v>
      </c>
      <c r="Q391" s="23" t="s">
        <v>1752</v>
      </c>
      <c r="R391" s="23" t="s">
        <v>1752</v>
      </c>
      <c r="S391" s="2" t="s">
        <v>35</v>
      </c>
      <c r="T391" s="153">
        <v>1.3859999999999999</v>
      </c>
      <c r="U391" s="2" t="s">
        <v>1804</v>
      </c>
      <c r="V391" s="165">
        <v>6.5000000000000002E-2</v>
      </c>
      <c r="W391" s="167">
        <v>6.9199999999999998E-2</v>
      </c>
      <c r="X391" s="4" t="s">
        <v>411</v>
      </c>
      <c r="Y391" s="4" t="s">
        <v>136</v>
      </c>
      <c r="Z391" s="153">
        <v>979000</v>
      </c>
      <c r="AA391" s="153">
        <v>1</v>
      </c>
      <c r="AB391" s="153">
        <v>101.5</v>
      </c>
      <c r="AC391" s="11"/>
      <c r="AD391" s="153">
        <v>993.68499999999995</v>
      </c>
      <c r="AG391" s="2" t="s">
        <v>37</v>
      </c>
      <c r="AH391" s="167">
        <v>8.9079999999999993E-3</v>
      </c>
      <c r="AI391" s="167">
        <v>4.1429534342807698E-3</v>
      </c>
      <c r="AJ391" s="167">
        <v>9.6712785843083599E-4</v>
      </c>
      <c r="AK391" s="161"/>
      <c r="AL391" s="153"/>
    </row>
    <row r="392" spans="1:38">
      <c r="A392" s="2" t="s">
        <v>26</v>
      </c>
      <c r="B392" s="2">
        <v>9963</v>
      </c>
      <c r="C392" s="2" t="s">
        <v>1423</v>
      </c>
      <c r="D392" s="2" t="s">
        <v>1424</v>
      </c>
      <c r="E392" s="4" t="s">
        <v>1305</v>
      </c>
      <c r="F392" s="2" t="s">
        <v>1806</v>
      </c>
      <c r="G392" s="2" t="s">
        <v>1807</v>
      </c>
      <c r="H392" s="2" t="s">
        <v>319</v>
      </c>
      <c r="I392" s="2" t="s">
        <v>966</v>
      </c>
      <c r="J392" s="2" t="s">
        <v>31</v>
      </c>
      <c r="K392" s="2" t="s">
        <v>31</v>
      </c>
      <c r="L392" s="2" t="s">
        <v>325</v>
      </c>
      <c r="M392" s="2" t="s">
        <v>40</v>
      </c>
      <c r="N392" s="2" t="s">
        <v>438</v>
      </c>
      <c r="O392" s="2" t="s">
        <v>136</v>
      </c>
      <c r="P392" s="2" t="s">
        <v>1731</v>
      </c>
      <c r="Q392" s="2" t="s">
        <v>104</v>
      </c>
      <c r="R392" s="2" t="s">
        <v>405</v>
      </c>
      <c r="S392" s="2" t="s">
        <v>35</v>
      </c>
      <c r="T392" s="153">
        <v>1.9910000000000001</v>
      </c>
      <c r="U392" s="2" t="s">
        <v>1808</v>
      </c>
      <c r="V392" s="165">
        <v>3.4500000000000003E-2</v>
      </c>
      <c r="W392" s="167">
        <v>5.0560000000000001E-2</v>
      </c>
      <c r="X392" s="4" t="s">
        <v>411</v>
      </c>
      <c r="Y392" s="4" t="s">
        <v>136</v>
      </c>
      <c r="Z392" s="153">
        <v>2497049.56</v>
      </c>
      <c r="AA392" s="153">
        <v>1</v>
      </c>
      <c r="AB392" s="153">
        <v>97.31</v>
      </c>
      <c r="AC392" s="11"/>
      <c r="AD392" s="153">
        <v>2429.8789999999999</v>
      </c>
      <c r="AG392" s="2" t="s">
        <v>37</v>
      </c>
      <c r="AH392" s="167">
        <v>5.6820000000000004E-3</v>
      </c>
      <c r="AI392" s="167">
        <v>1.0130851572502E-2</v>
      </c>
      <c r="AJ392" s="167">
        <v>2.36493818741062E-3</v>
      </c>
      <c r="AK392" s="161"/>
      <c r="AL392" s="153"/>
    </row>
    <row r="393" spans="1:38">
      <c r="A393" s="2" t="s">
        <v>26</v>
      </c>
      <c r="B393" s="2">
        <v>9963</v>
      </c>
      <c r="C393" s="2" t="s">
        <v>1423</v>
      </c>
      <c r="D393" s="2" t="s">
        <v>1424</v>
      </c>
      <c r="E393" s="4" t="s">
        <v>1305</v>
      </c>
      <c r="F393" s="2" t="s">
        <v>1809</v>
      </c>
      <c r="G393" s="2" t="s">
        <v>1810</v>
      </c>
      <c r="H393" s="2" t="s">
        <v>319</v>
      </c>
      <c r="I393" s="2" t="s">
        <v>966</v>
      </c>
      <c r="J393" s="2" t="s">
        <v>31</v>
      </c>
      <c r="K393" s="2" t="s">
        <v>31</v>
      </c>
      <c r="L393" s="2" t="s">
        <v>325</v>
      </c>
      <c r="M393" s="2" t="s">
        <v>40</v>
      </c>
      <c r="N393" s="2" t="s">
        <v>438</v>
      </c>
      <c r="O393" s="2" t="s">
        <v>136</v>
      </c>
      <c r="P393" s="2" t="s">
        <v>1731</v>
      </c>
      <c r="Q393" s="2" t="s">
        <v>104</v>
      </c>
      <c r="R393" s="2" t="s">
        <v>405</v>
      </c>
      <c r="S393" s="2" t="s">
        <v>35</v>
      </c>
      <c r="T393" s="153">
        <v>4.2329999999999997</v>
      </c>
      <c r="U393" s="2" t="s">
        <v>1811</v>
      </c>
      <c r="V393" s="165">
        <v>1.4999999999999999E-2</v>
      </c>
      <c r="W393" s="167">
        <v>5.4089999999999999E-2</v>
      </c>
      <c r="X393" s="4" t="s">
        <v>411</v>
      </c>
      <c r="Y393" s="4" t="s">
        <v>136</v>
      </c>
      <c r="Z393" s="153">
        <v>700000</v>
      </c>
      <c r="AA393" s="153">
        <v>1</v>
      </c>
      <c r="AB393" s="153">
        <v>85.27</v>
      </c>
      <c r="AC393" s="11"/>
      <c r="AD393" s="153">
        <v>596.89</v>
      </c>
      <c r="AG393" s="2" t="s">
        <v>37</v>
      </c>
      <c r="AH393" s="167">
        <v>1.8140000000000001E-3</v>
      </c>
      <c r="AI393" s="167">
        <v>2.48860300335403E-3</v>
      </c>
      <c r="AJ393" s="167">
        <v>5.8093756816172298E-4</v>
      </c>
      <c r="AK393" s="161"/>
      <c r="AL393" s="153"/>
    </row>
    <row r="394" spans="1:38">
      <c r="A394" s="2" t="s">
        <v>26</v>
      </c>
      <c r="B394" s="2">
        <v>9963</v>
      </c>
      <c r="C394" s="2" t="s">
        <v>1427</v>
      </c>
      <c r="D394" s="2" t="s">
        <v>1428</v>
      </c>
      <c r="E394" s="4" t="s">
        <v>1305</v>
      </c>
      <c r="F394" s="2" t="s">
        <v>1812</v>
      </c>
      <c r="G394" s="2" t="s">
        <v>1813</v>
      </c>
      <c r="H394" s="2" t="s">
        <v>319</v>
      </c>
      <c r="I394" s="2" t="s">
        <v>967</v>
      </c>
      <c r="J394" s="2" t="s">
        <v>31</v>
      </c>
      <c r="K394" s="2" t="s">
        <v>31</v>
      </c>
      <c r="L394" s="2" t="s">
        <v>325</v>
      </c>
      <c r="M394" s="2" t="s">
        <v>40</v>
      </c>
      <c r="N394" s="2" t="s">
        <v>438</v>
      </c>
      <c r="O394" s="2" t="s">
        <v>136</v>
      </c>
      <c r="P394" s="2" t="s">
        <v>1731</v>
      </c>
      <c r="Q394" s="2" t="s">
        <v>104</v>
      </c>
      <c r="R394" s="2" t="s">
        <v>405</v>
      </c>
      <c r="S394" s="2" t="s">
        <v>35</v>
      </c>
      <c r="T394" s="153">
        <v>3.32</v>
      </c>
      <c r="U394" s="2" t="s">
        <v>1814</v>
      </c>
      <c r="V394" s="165">
        <v>1.25E-3</v>
      </c>
      <c r="W394" s="167">
        <v>5.484E-2</v>
      </c>
      <c r="X394" s="4" t="s">
        <v>411</v>
      </c>
      <c r="Y394" s="4" t="s">
        <v>136</v>
      </c>
      <c r="Z394" s="153">
        <v>528000</v>
      </c>
      <c r="AA394" s="153">
        <v>1</v>
      </c>
      <c r="AB394" s="153">
        <v>84.5</v>
      </c>
      <c r="AC394" s="11"/>
      <c r="AD394" s="153">
        <v>446.16</v>
      </c>
      <c r="AG394" s="2" t="s">
        <v>37</v>
      </c>
      <c r="AH394" s="167">
        <v>9.3199999999999999E-4</v>
      </c>
      <c r="AI394" s="167">
        <v>1.8601670592176701E-3</v>
      </c>
      <c r="AJ394" s="167">
        <v>4.3423596543925002E-4</v>
      </c>
      <c r="AK394" s="161"/>
      <c r="AL394" s="153"/>
    </row>
    <row r="395" spans="1:38">
      <c r="A395" s="2" t="s">
        <v>26</v>
      </c>
      <c r="B395" s="2">
        <v>9963</v>
      </c>
      <c r="C395" s="2" t="s">
        <v>1815</v>
      </c>
      <c r="D395" s="2" t="s">
        <v>1816</v>
      </c>
      <c r="E395" s="4" t="s">
        <v>1305</v>
      </c>
      <c r="F395" s="2" t="s">
        <v>1817</v>
      </c>
      <c r="G395" s="2" t="s">
        <v>1818</v>
      </c>
      <c r="H395" s="2" t="s">
        <v>319</v>
      </c>
      <c r="I395" s="2" t="s">
        <v>966</v>
      </c>
      <c r="J395" s="2" t="s">
        <v>31</v>
      </c>
      <c r="K395" s="2" t="s">
        <v>31</v>
      </c>
      <c r="L395" s="2" t="s">
        <v>325</v>
      </c>
      <c r="M395" s="2" t="s">
        <v>40</v>
      </c>
      <c r="N395" s="2" t="s">
        <v>440</v>
      </c>
      <c r="O395" s="2" t="s">
        <v>136</v>
      </c>
      <c r="P395" s="2" t="s">
        <v>1720</v>
      </c>
      <c r="Q395" s="2" t="s">
        <v>104</v>
      </c>
      <c r="R395" s="2" t="s">
        <v>405</v>
      </c>
      <c r="S395" s="2" t="s">
        <v>35</v>
      </c>
      <c r="T395" s="153">
        <v>0.37</v>
      </c>
      <c r="U395" s="2" t="s">
        <v>1819</v>
      </c>
      <c r="V395" s="165">
        <v>3.2399999999999998E-2</v>
      </c>
      <c r="W395" s="167">
        <v>8.9459999999999998E-2</v>
      </c>
      <c r="X395" s="4" t="s">
        <v>411</v>
      </c>
      <c r="Y395" s="4" t="s">
        <v>136</v>
      </c>
      <c r="Z395" s="153">
        <v>543612.5</v>
      </c>
      <c r="AA395" s="153">
        <v>1</v>
      </c>
      <c r="AB395" s="153">
        <v>98.07</v>
      </c>
      <c r="AC395" s="11"/>
      <c r="AD395" s="153">
        <v>533.12099999999998</v>
      </c>
      <c r="AG395" s="2" t="s">
        <v>37</v>
      </c>
      <c r="AH395" s="167">
        <v>2.039E-3</v>
      </c>
      <c r="AI395" s="167">
        <v>2.2227311081567599E-3</v>
      </c>
      <c r="AJ395" s="167">
        <v>5.1887263774482502E-4</v>
      </c>
      <c r="AK395" s="161"/>
      <c r="AL395" s="153"/>
    </row>
    <row r="396" spans="1:38">
      <c r="A396" s="2" t="s">
        <v>26</v>
      </c>
      <c r="B396" s="2">
        <v>9963</v>
      </c>
      <c r="C396" s="2" t="s">
        <v>1815</v>
      </c>
      <c r="D396" s="2" t="s">
        <v>1816</v>
      </c>
      <c r="E396" s="4" t="s">
        <v>1305</v>
      </c>
      <c r="F396" s="2" t="s">
        <v>1820</v>
      </c>
      <c r="G396" s="2" t="s">
        <v>1821</v>
      </c>
      <c r="H396" s="2" t="s">
        <v>319</v>
      </c>
      <c r="I396" s="2" t="s">
        <v>754</v>
      </c>
      <c r="J396" s="2" t="s">
        <v>31</v>
      </c>
      <c r="K396" s="2" t="s">
        <v>31</v>
      </c>
      <c r="L396" s="2" t="s">
        <v>325</v>
      </c>
      <c r="M396" s="2" t="s">
        <v>40</v>
      </c>
      <c r="N396" s="2" t="s">
        <v>440</v>
      </c>
      <c r="O396" s="2" t="s">
        <v>136</v>
      </c>
      <c r="P396" s="2" t="s">
        <v>1720</v>
      </c>
      <c r="Q396" s="2" t="s">
        <v>104</v>
      </c>
      <c r="R396" s="2" t="s">
        <v>405</v>
      </c>
      <c r="S396" s="2" t="s">
        <v>35</v>
      </c>
      <c r="T396" s="153">
        <v>1.694</v>
      </c>
      <c r="U396" s="2" t="s">
        <v>1822</v>
      </c>
      <c r="V396" s="165">
        <v>1.2500000000000001E-2</v>
      </c>
      <c r="W396" s="167">
        <v>4.546E-2</v>
      </c>
      <c r="X396" s="4" t="s">
        <v>411</v>
      </c>
      <c r="Y396" s="4" t="s">
        <v>136</v>
      </c>
      <c r="Z396" s="153">
        <v>806555.56</v>
      </c>
      <c r="AA396" s="153">
        <v>1</v>
      </c>
      <c r="AB396" s="153">
        <v>100.5</v>
      </c>
      <c r="AC396" s="11"/>
      <c r="AD396" s="153">
        <v>810.58799999999997</v>
      </c>
      <c r="AG396" s="2" t="s">
        <v>37</v>
      </c>
      <c r="AH396" s="167">
        <v>4.888E-3</v>
      </c>
      <c r="AI396" s="167">
        <v>3.3795717333726999E-3</v>
      </c>
      <c r="AJ396" s="167">
        <v>7.88924622194684E-4</v>
      </c>
      <c r="AK396" s="161"/>
      <c r="AL396" s="153"/>
    </row>
    <row r="397" spans="1:38">
      <c r="A397" s="2" t="s">
        <v>26</v>
      </c>
      <c r="B397" s="2">
        <v>9963</v>
      </c>
      <c r="C397" s="2" t="s">
        <v>1823</v>
      </c>
      <c r="D397" s="2" t="s">
        <v>1824</v>
      </c>
      <c r="E397" s="4" t="s">
        <v>1305</v>
      </c>
      <c r="F397" s="2" t="s">
        <v>1830</v>
      </c>
      <c r="G397" s="2" t="s">
        <v>1831</v>
      </c>
      <c r="H397" s="2" t="s">
        <v>319</v>
      </c>
      <c r="I397" s="2" t="s">
        <v>966</v>
      </c>
      <c r="J397" s="2" t="s">
        <v>31</v>
      </c>
      <c r="K397" s="2" t="s">
        <v>31</v>
      </c>
      <c r="L397" s="2" t="s">
        <v>325</v>
      </c>
      <c r="M397" s="2" t="s">
        <v>40</v>
      </c>
      <c r="N397" s="2" t="s">
        <v>462</v>
      </c>
      <c r="O397" s="2" t="s">
        <v>136</v>
      </c>
      <c r="P397" s="2" t="s">
        <v>1731</v>
      </c>
      <c r="Q397" s="2" t="s">
        <v>104</v>
      </c>
      <c r="R397" s="2" t="s">
        <v>405</v>
      </c>
      <c r="S397" s="2" t="s">
        <v>35</v>
      </c>
      <c r="T397" s="153">
        <v>3.0419999999999998</v>
      </c>
      <c r="U397" s="2" t="s">
        <v>1832</v>
      </c>
      <c r="V397" s="165">
        <v>2.3E-2</v>
      </c>
      <c r="W397" s="167">
        <v>5.1999999999999998E-2</v>
      </c>
      <c r="X397" s="4" t="s">
        <v>411</v>
      </c>
      <c r="Y397" s="4" t="s">
        <v>136</v>
      </c>
      <c r="Z397" s="153">
        <v>1569147.22</v>
      </c>
      <c r="AA397" s="153">
        <v>1</v>
      </c>
      <c r="AB397" s="153">
        <v>91.96</v>
      </c>
      <c r="AC397" s="11"/>
      <c r="AD397" s="153">
        <v>1442.9880000000001</v>
      </c>
      <c r="AG397" s="2" t="s">
        <v>37</v>
      </c>
      <c r="AH397" s="167">
        <v>2.7330000000000002E-3</v>
      </c>
      <c r="AI397" s="167">
        <v>6.0162236456485097E-3</v>
      </c>
      <c r="AJ397" s="167">
        <v>1.4044226136148E-3</v>
      </c>
      <c r="AK397" s="161"/>
      <c r="AL397" s="153"/>
    </row>
    <row r="398" spans="1:38">
      <c r="A398" s="2" t="s">
        <v>26</v>
      </c>
      <c r="B398" s="2">
        <v>9963</v>
      </c>
      <c r="C398" s="2" t="s">
        <v>1833</v>
      </c>
      <c r="D398" s="2" t="s">
        <v>1834</v>
      </c>
      <c r="E398" s="4" t="s">
        <v>1305</v>
      </c>
      <c r="F398" s="2" t="s">
        <v>1835</v>
      </c>
      <c r="G398" s="2" t="s">
        <v>1836</v>
      </c>
      <c r="H398" s="2" t="s">
        <v>319</v>
      </c>
      <c r="I398" s="2" t="s">
        <v>966</v>
      </c>
      <c r="J398" s="2" t="s">
        <v>31</v>
      </c>
      <c r="K398" s="2" t="s">
        <v>31</v>
      </c>
      <c r="L398" s="2" t="s">
        <v>325</v>
      </c>
      <c r="M398" s="2" t="s">
        <v>40</v>
      </c>
      <c r="N398" s="2" t="s">
        <v>444</v>
      </c>
      <c r="O398" s="2" t="s">
        <v>136</v>
      </c>
      <c r="P398" s="2" t="s">
        <v>1752</v>
      </c>
      <c r="Q398" s="23" t="s">
        <v>1752</v>
      </c>
      <c r="R398" s="23" t="s">
        <v>1752</v>
      </c>
      <c r="S398" s="2" t="s">
        <v>35</v>
      </c>
      <c r="T398" s="153">
        <v>2.4129999999999998</v>
      </c>
      <c r="U398" s="2" t="s">
        <v>1822</v>
      </c>
      <c r="V398" s="165">
        <v>8.5000000000000006E-2</v>
      </c>
      <c r="W398" s="167">
        <v>7.0470000000000005E-2</v>
      </c>
      <c r="X398" s="4" t="s">
        <v>411</v>
      </c>
      <c r="Y398" s="4" t="s">
        <v>136</v>
      </c>
      <c r="Z398" s="153">
        <v>927000</v>
      </c>
      <c r="AA398" s="153">
        <v>1</v>
      </c>
      <c r="AB398" s="153">
        <v>108.4</v>
      </c>
      <c r="AC398" s="11"/>
      <c r="AD398" s="153">
        <v>1004.8680000000001</v>
      </c>
      <c r="AG398" s="2" t="s">
        <v>37</v>
      </c>
      <c r="AH398" s="167">
        <v>9.6050000000000007E-3</v>
      </c>
      <c r="AI398" s="167">
        <v>4.1895785199523496E-3</v>
      </c>
      <c r="AJ398" s="167">
        <v>9.7801198251526097E-4</v>
      </c>
      <c r="AK398" s="161"/>
      <c r="AL398" s="153"/>
    </row>
    <row r="399" spans="1:38">
      <c r="A399" s="2" t="s">
        <v>26</v>
      </c>
      <c r="B399" s="2">
        <v>9963</v>
      </c>
      <c r="C399" s="2" t="s">
        <v>1837</v>
      </c>
      <c r="D399" s="2" t="s">
        <v>1838</v>
      </c>
      <c r="E399" s="4" t="s">
        <v>1305</v>
      </c>
      <c r="F399" s="2" t="s">
        <v>1839</v>
      </c>
      <c r="G399" s="2" t="s">
        <v>1840</v>
      </c>
      <c r="H399" s="2" t="s">
        <v>319</v>
      </c>
      <c r="I399" s="2" t="s">
        <v>754</v>
      </c>
      <c r="J399" s="2" t="s">
        <v>31</v>
      </c>
      <c r="K399" s="2" t="s">
        <v>31</v>
      </c>
      <c r="L399" s="2" t="s">
        <v>325</v>
      </c>
      <c r="M399" s="2" t="s">
        <v>40</v>
      </c>
      <c r="N399" s="2" t="s">
        <v>448</v>
      </c>
      <c r="O399" s="2" t="s">
        <v>136</v>
      </c>
      <c r="P399" s="2" t="s">
        <v>1724</v>
      </c>
      <c r="Q399" s="2" t="s">
        <v>412</v>
      </c>
      <c r="R399" s="2" t="s">
        <v>407</v>
      </c>
      <c r="S399" s="2" t="s">
        <v>35</v>
      </c>
      <c r="T399" s="153">
        <v>3.0790000000000002</v>
      </c>
      <c r="U399" s="2" t="s">
        <v>1841</v>
      </c>
      <c r="V399" s="165">
        <v>2.8799999999999999E-2</v>
      </c>
      <c r="W399" s="167">
        <v>3.0550000000000001E-2</v>
      </c>
      <c r="X399" s="4" t="s">
        <v>411</v>
      </c>
      <c r="Y399" s="4" t="s">
        <v>136</v>
      </c>
      <c r="Z399" s="153">
        <v>1641777.78</v>
      </c>
      <c r="AA399" s="153">
        <v>1</v>
      </c>
      <c r="AB399" s="153">
        <v>111.23</v>
      </c>
      <c r="AC399" s="11"/>
      <c r="AD399" s="153">
        <v>1826.1489999999999</v>
      </c>
      <c r="AG399" s="2" t="s">
        <v>37</v>
      </c>
      <c r="AH399" s="167">
        <v>8.1080000000000006E-3</v>
      </c>
      <c r="AI399" s="167">
        <v>7.6137327528803004E-3</v>
      </c>
      <c r="AJ399" s="167">
        <v>1.7773439090647499E-3</v>
      </c>
      <c r="AK399" s="161"/>
      <c r="AL399" s="153"/>
    </row>
    <row r="400" spans="1:38">
      <c r="A400" s="2" t="s">
        <v>26</v>
      </c>
      <c r="B400" s="2">
        <v>9963</v>
      </c>
      <c r="C400" s="2" t="s">
        <v>1842</v>
      </c>
      <c r="D400" s="2" t="s">
        <v>1843</v>
      </c>
      <c r="E400" s="4" t="s">
        <v>34</v>
      </c>
      <c r="F400" s="2" t="s">
        <v>1844</v>
      </c>
      <c r="G400" s="2" t="s">
        <v>1845</v>
      </c>
      <c r="H400" s="2" t="s">
        <v>319</v>
      </c>
      <c r="I400" s="2" t="s">
        <v>966</v>
      </c>
      <c r="J400" s="2" t="s">
        <v>31</v>
      </c>
      <c r="K400" s="2" t="s">
        <v>31</v>
      </c>
      <c r="L400" s="2" t="s">
        <v>325</v>
      </c>
      <c r="M400" s="2" t="s">
        <v>40</v>
      </c>
      <c r="N400" s="2" t="s">
        <v>462</v>
      </c>
      <c r="O400" s="2" t="s">
        <v>136</v>
      </c>
      <c r="P400" s="2" t="s">
        <v>1720</v>
      </c>
      <c r="Q400" s="2" t="s">
        <v>104</v>
      </c>
      <c r="R400" s="2" t="s">
        <v>405</v>
      </c>
      <c r="S400" s="2" t="s">
        <v>35</v>
      </c>
      <c r="T400" s="153">
        <v>1.44</v>
      </c>
      <c r="U400" s="2" t="s">
        <v>1846</v>
      </c>
      <c r="V400" s="165">
        <v>7.0000000000000007E-2</v>
      </c>
      <c r="W400" s="167">
        <v>6.7129999999999995E-2</v>
      </c>
      <c r="X400" s="4" t="s">
        <v>411</v>
      </c>
      <c r="Y400" s="4" t="s">
        <v>136</v>
      </c>
      <c r="Z400" s="153">
        <v>3066820</v>
      </c>
      <c r="AA400" s="153">
        <v>1</v>
      </c>
      <c r="AB400" s="153">
        <v>100.59</v>
      </c>
      <c r="AC400" s="11"/>
      <c r="AD400" s="153">
        <v>3084.9140000000002</v>
      </c>
      <c r="AG400" s="2" t="s">
        <v>37</v>
      </c>
      <c r="AH400" s="167">
        <v>5.1110000000000001E-3</v>
      </c>
      <c r="AI400" s="167">
        <v>1.28618788014147E-2</v>
      </c>
      <c r="AJ400" s="167">
        <v>3.0024670800502498E-3</v>
      </c>
      <c r="AK400" s="161"/>
      <c r="AL400" s="153"/>
    </row>
    <row r="401" spans="1:38">
      <c r="A401" s="2" t="s">
        <v>26</v>
      </c>
      <c r="B401" s="2">
        <v>9963</v>
      </c>
      <c r="C401" s="2" t="s">
        <v>1842</v>
      </c>
      <c r="D401" s="2" t="s">
        <v>1843</v>
      </c>
      <c r="E401" s="4" t="s">
        <v>34</v>
      </c>
      <c r="F401" s="2" t="s">
        <v>1847</v>
      </c>
      <c r="G401" s="2" t="s">
        <v>1848</v>
      </c>
      <c r="H401" s="2" t="s">
        <v>319</v>
      </c>
      <c r="I401" s="2" t="s">
        <v>966</v>
      </c>
      <c r="J401" s="2" t="s">
        <v>31</v>
      </c>
      <c r="K401" s="2" t="s">
        <v>31</v>
      </c>
      <c r="L401" s="23" t="s">
        <v>327</v>
      </c>
      <c r="M401" s="2" t="s">
        <v>40</v>
      </c>
      <c r="N401" s="2" t="s">
        <v>444</v>
      </c>
      <c r="O401" s="2" t="s">
        <v>136</v>
      </c>
      <c r="P401" s="2" t="s">
        <v>1720</v>
      </c>
      <c r="Q401" s="2" t="s">
        <v>104</v>
      </c>
      <c r="R401" s="2" t="s">
        <v>405</v>
      </c>
      <c r="S401" s="2" t="s">
        <v>35</v>
      </c>
      <c r="T401" s="153">
        <v>3.15</v>
      </c>
      <c r="U401" s="2" t="s">
        <v>1849</v>
      </c>
      <c r="V401" s="165">
        <v>6.5000000000000002E-2</v>
      </c>
      <c r="W401" s="167">
        <v>8.9200000000000002E-2</v>
      </c>
      <c r="X401" s="4" t="s">
        <v>411</v>
      </c>
      <c r="Y401" s="4" t="s">
        <v>136</v>
      </c>
      <c r="Z401" s="153">
        <v>3198000</v>
      </c>
      <c r="AA401" s="153">
        <v>1</v>
      </c>
      <c r="AB401" s="153">
        <v>98.662999999999997</v>
      </c>
      <c r="AC401" s="11"/>
      <c r="AD401" s="153">
        <v>3155.2429999999999</v>
      </c>
      <c r="AG401" s="2" t="s">
        <v>37</v>
      </c>
      <c r="AH401" s="167">
        <v>0</v>
      </c>
      <c r="AI401" s="167">
        <v>1.3155098190747E-2</v>
      </c>
      <c r="AJ401" s="167">
        <v>3.0709159884325901E-3</v>
      </c>
      <c r="AK401" s="161"/>
      <c r="AL401" s="153"/>
    </row>
    <row r="402" spans="1:38">
      <c r="A402" s="2" t="s">
        <v>26</v>
      </c>
      <c r="B402" s="2">
        <v>9963</v>
      </c>
      <c r="C402" s="2" t="s">
        <v>1744</v>
      </c>
      <c r="D402" s="2" t="s">
        <v>1745</v>
      </c>
      <c r="E402" s="4" t="s">
        <v>1305</v>
      </c>
      <c r="F402" s="2" t="s">
        <v>1855</v>
      </c>
      <c r="G402" s="2" t="s">
        <v>1856</v>
      </c>
      <c r="H402" s="2" t="s">
        <v>319</v>
      </c>
      <c r="I402" s="2" t="s">
        <v>754</v>
      </c>
      <c r="J402" s="2" t="s">
        <v>31</v>
      </c>
      <c r="K402" s="2" t="s">
        <v>31</v>
      </c>
      <c r="L402" s="2" t="s">
        <v>325</v>
      </c>
      <c r="M402" s="2" t="s">
        <v>40</v>
      </c>
      <c r="N402" s="2" t="s">
        <v>461</v>
      </c>
      <c r="O402" s="2" t="s">
        <v>136</v>
      </c>
      <c r="P402" s="2" t="s">
        <v>1748</v>
      </c>
      <c r="Q402" s="2" t="s">
        <v>412</v>
      </c>
      <c r="R402" s="2" t="s">
        <v>405</v>
      </c>
      <c r="S402" s="2" t="s">
        <v>35</v>
      </c>
      <c r="T402" s="153">
        <v>5.4580000000000002</v>
      </c>
      <c r="U402" s="2" t="s">
        <v>1857</v>
      </c>
      <c r="V402" s="165">
        <v>6.4999999999999997E-3</v>
      </c>
      <c r="W402" s="167">
        <v>2.6950000000000002E-2</v>
      </c>
      <c r="X402" s="4" t="s">
        <v>411</v>
      </c>
      <c r="Y402" s="4" t="s">
        <v>136</v>
      </c>
      <c r="Z402" s="153">
        <v>1000000</v>
      </c>
      <c r="AA402" s="153">
        <v>1</v>
      </c>
      <c r="AB402" s="153">
        <v>99.03</v>
      </c>
      <c r="AC402" s="11"/>
      <c r="AD402" s="153">
        <v>990.3</v>
      </c>
      <c r="AG402" s="2" t="s">
        <v>37</v>
      </c>
      <c r="AH402" s="167">
        <v>4.37E-4</v>
      </c>
      <c r="AI402" s="167">
        <v>4.1288404131774601E-3</v>
      </c>
      <c r="AJ402" s="167">
        <v>9.6383332565557096E-4</v>
      </c>
      <c r="AK402" s="161"/>
      <c r="AL402" s="153"/>
    </row>
    <row r="403" spans="1:38">
      <c r="A403" s="2" t="s">
        <v>26</v>
      </c>
      <c r="B403" s="2">
        <v>9963</v>
      </c>
      <c r="C403" s="2" t="s">
        <v>1863</v>
      </c>
      <c r="D403" s="2" t="s">
        <v>1864</v>
      </c>
      <c r="E403" s="4" t="s">
        <v>1305</v>
      </c>
      <c r="F403" s="2" t="s">
        <v>2333</v>
      </c>
      <c r="G403" s="2" t="s">
        <v>2334</v>
      </c>
      <c r="H403" s="2" t="s">
        <v>319</v>
      </c>
      <c r="I403" s="2" t="s">
        <v>754</v>
      </c>
      <c r="J403" s="2" t="s">
        <v>31</v>
      </c>
      <c r="K403" s="2" t="s">
        <v>31</v>
      </c>
      <c r="L403" s="2" t="s">
        <v>325</v>
      </c>
      <c r="M403" s="2" t="s">
        <v>40</v>
      </c>
      <c r="N403" s="2" t="s">
        <v>445</v>
      </c>
      <c r="O403" s="2" t="s">
        <v>136</v>
      </c>
      <c r="P403" s="2" t="s">
        <v>76</v>
      </c>
      <c r="Q403" s="2" t="s">
        <v>104</v>
      </c>
      <c r="R403" s="2" t="s">
        <v>405</v>
      </c>
      <c r="S403" s="2" t="s">
        <v>35</v>
      </c>
      <c r="T403" s="153">
        <v>0.22700000000000001</v>
      </c>
      <c r="U403" s="2" t="s">
        <v>2335</v>
      </c>
      <c r="V403" s="165">
        <v>5.0000000000000001E-3</v>
      </c>
      <c r="W403" s="167">
        <v>7.1900000000000002E-3</v>
      </c>
      <c r="X403" s="4" t="s">
        <v>411</v>
      </c>
      <c r="Y403" s="4" t="s">
        <v>136</v>
      </c>
      <c r="Z403" s="153">
        <v>1286692.3999999999</v>
      </c>
      <c r="AA403" s="153">
        <v>1</v>
      </c>
      <c r="AB403" s="153">
        <v>112.22</v>
      </c>
      <c r="AC403" s="11"/>
      <c r="AD403" s="153">
        <v>1443.9259999999999</v>
      </c>
      <c r="AG403" s="2" t="s">
        <v>37</v>
      </c>
      <c r="AH403" s="167">
        <v>5.692E-3</v>
      </c>
      <c r="AI403" s="167">
        <v>6.02013621607501E-3</v>
      </c>
      <c r="AJ403" s="167">
        <v>1.40533596104135E-3</v>
      </c>
      <c r="AK403" s="161"/>
      <c r="AL403" s="153"/>
    </row>
    <row r="404" spans="1:38">
      <c r="A404" s="2" t="s">
        <v>26</v>
      </c>
      <c r="B404" s="2">
        <v>9963</v>
      </c>
      <c r="C404" s="2" t="s">
        <v>1863</v>
      </c>
      <c r="D404" s="2" t="s">
        <v>1864</v>
      </c>
      <c r="E404" s="4" t="s">
        <v>1305</v>
      </c>
      <c r="F404" s="2" t="s">
        <v>1865</v>
      </c>
      <c r="G404" s="2" t="s">
        <v>1866</v>
      </c>
      <c r="H404" s="2" t="s">
        <v>319</v>
      </c>
      <c r="I404" s="2" t="s">
        <v>754</v>
      </c>
      <c r="J404" s="2" t="s">
        <v>31</v>
      </c>
      <c r="K404" s="2" t="s">
        <v>31</v>
      </c>
      <c r="L404" s="2" t="s">
        <v>325</v>
      </c>
      <c r="M404" s="2" t="s">
        <v>40</v>
      </c>
      <c r="N404" s="2" t="s">
        <v>445</v>
      </c>
      <c r="O404" s="2" t="s">
        <v>136</v>
      </c>
      <c r="P404" s="2" t="s">
        <v>1867</v>
      </c>
      <c r="Q404" s="2" t="s">
        <v>104</v>
      </c>
      <c r="R404" s="2" t="s">
        <v>405</v>
      </c>
      <c r="S404" s="2" t="s">
        <v>35</v>
      </c>
      <c r="T404" s="153">
        <v>3.9329999999999998</v>
      </c>
      <c r="U404" s="2" t="s">
        <v>1868</v>
      </c>
      <c r="V404" s="165">
        <v>1.09E-2</v>
      </c>
      <c r="W404" s="167">
        <v>2.5860000000000001E-2</v>
      </c>
      <c r="X404" s="4" t="s">
        <v>411</v>
      </c>
      <c r="Y404" s="4" t="s">
        <v>136</v>
      </c>
      <c r="Z404" s="153">
        <v>1850000</v>
      </c>
      <c r="AA404" s="153">
        <v>1</v>
      </c>
      <c r="AB404" s="153">
        <v>102.9</v>
      </c>
      <c r="AC404" s="11"/>
      <c r="AD404" s="153">
        <v>1903.65</v>
      </c>
      <c r="AG404" s="2" t="s">
        <v>37</v>
      </c>
      <c r="AH404" s="167">
        <v>2.0379999999999999E-3</v>
      </c>
      <c r="AI404" s="167">
        <v>7.9368545415987903E-3</v>
      </c>
      <c r="AJ404" s="167">
        <v>1.8527732105263299E-3</v>
      </c>
      <c r="AK404" s="161"/>
      <c r="AL404" s="153"/>
    </row>
    <row r="405" spans="1:38">
      <c r="A405" s="2" t="s">
        <v>26</v>
      </c>
      <c r="B405" s="2">
        <v>9963</v>
      </c>
      <c r="C405" s="2" t="s">
        <v>1583</v>
      </c>
      <c r="D405" s="2" t="s">
        <v>1584</v>
      </c>
      <c r="E405" s="4" t="s">
        <v>1305</v>
      </c>
      <c r="F405" s="2" t="s">
        <v>1869</v>
      </c>
      <c r="G405" s="2" t="s">
        <v>1870</v>
      </c>
      <c r="H405" s="2" t="s">
        <v>319</v>
      </c>
      <c r="I405" s="2" t="s">
        <v>966</v>
      </c>
      <c r="J405" s="2" t="s">
        <v>31</v>
      </c>
      <c r="K405" s="2" t="s">
        <v>31</v>
      </c>
      <c r="L405" s="2" t="s">
        <v>325</v>
      </c>
      <c r="M405" s="2" t="s">
        <v>40</v>
      </c>
      <c r="N405" s="2" t="s">
        <v>437</v>
      </c>
      <c r="O405" s="2" t="s">
        <v>136</v>
      </c>
      <c r="P405" s="2" t="s">
        <v>1720</v>
      </c>
      <c r="Q405" s="2" t="s">
        <v>104</v>
      </c>
      <c r="R405" s="2" t="s">
        <v>405</v>
      </c>
      <c r="S405" s="2" t="s">
        <v>35</v>
      </c>
      <c r="T405" s="153">
        <v>3.07</v>
      </c>
      <c r="U405" s="2" t="s">
        <v>1871</v>
      </c>
      <c r="V405" s="165">
        <v>7.2499999999999995E-2</v>
      </c>
      <c r="W405" s="167">
        <v>6.232E-2</v>
      </c>
      <c r="X405" s="4" t="s">
        <v>411</v>
      </c>
      <c r="Y405" s="4" t="s">
        <v>136</v>
      </c>
      <c r="Z405" s="153">
        <v>3000000</v>
      </c>
      <c r="AA405" s="153">
        <v>1</v>
      </c>
      <c r="AB405" s="153">
        <v>108.29</v>
      </c>
      <c r="AC405" s="11"/>
      <c r="AD405" s="153">
        <v>3248.7</v>
      </c>
      <c r="AG405" s="2" t="s">
        <v>37</v>
      </c>
      <c r="AH405" s="167">
        <v>5.1720000000000004E-3</v>
      </c>
      <c r="AI405" s="167">
        <v>1.35447479049678E-2</v>
      </c>
      <c r="AJ405" s="167">
        <v>3.1618755175777599E-3</v>
      </c>
      <c r="AK405" s="161"/>
      <c r="AL405" s="153"/>
    </row>
    <row r="406" spans="1:38">
      <c r="A406" s="2" t="s">
        <v>26</v>
      </c>
      <c r="B406" s="2">
        <v>9963</v>
      </c>
      <c r="C406" s="2" t="s">
        <v>1458</v>
      </c>
      <c r="D406" s="2" t="s">
        <v>1459</v>
      </c>
      <c r="E406" s="4" t="s">
        <v>1305</v>
      </c>
      <c r="F406" s="2" t="s">
        <v>1872</v>
      </c>
      <c r="G406" s="2" t="s">
        <v>1873</v>
      </c>
      <c r="H406" s="2" t="s">
        <v>319</v>
      </c>
      <c r="I406" s="2" t="s">
        <v>754</v>
      </c>
      <c r="J406" s="2" t="s">
        <v>31</v>
      </c>
      <c r="K406" s="2" t="s">
        <v>31</v>
      </c>
      <c r="L406" s="2" t="s">
        <v>325</v>
      </c>
      <c r="M406" s="2" t="s">
        <v>40</v>
      </c>
      <c r="N406" s="2" t="s">
        <v>461</v>
      </c>
      <c r="O406" s="2" t="s">
        <v>136</v>
      </c>
      <c r="P406" s="2" t="s">
        <v>1748</v>
      </c>
      <c r="Q406" s="2" t="s">
        <v>412</v>
      </c>
      <c r="R406" s="2" t="s">
        <v>405</v>
      </c>
      <c r="S406" s="2" t="s">
        <v>35</v>
      </c>
      <c r="T406" s="153">
        <v>3.839</v>
      </c>
      <c r="U406" s="2" t="s">
        <v>1874</v>
      </c>
      <c r="V406" s="165">
        <v>5.0000000000000001E-3</v>
      </c>
      <c r="W406" s="167">
        <v>2.52E-2</v>
      </c>
      <c r="X406" s="4" t="s">
        <v>411</v>
      </c>
      <c r="Y406" s="4" t="s">
        <v>136</v>
      </c>
      <c r="Z406" s="153">
        <v>1979632.93</v>
      </c>
      <c r="AA406" s="153">
        <v>1</v>
      </c>
      <c r="AB406" s="153">
        <v>103.12</v>
      </c>
      <c r="AC406" s="11"/>
      <c r="AD406" s="153">
        <v>2041.3969999999999</v>
      </c>
      <c r="AG406" s="2" t="s">
        <v>37</v>
      </c>
      <c r="AH406" s="167">
        <v>1.109E-3</v>
      </c>
      <c r="AI406" s="167">
        <v>8.5111626821303792E-3</v>
      </c>
      <c r="AJ406" s="167">
        <v>1.98683926046931E-3</v>
      </c>
      <c r="AK406" s="161"/>
      <c r="AL406" s="153"/>
    </row>
    <row r="407" spans="1:38">
      <c r="A407" s="2" t="s">
        <v>26</v>
      </c>
      <c r="B407" s="2">
        <v>9963</v>
      </c>
      <c r="C407" s="2" t="s">
        <v>1458</v>
      </c>
      <c r="D407" s="2" t="s">
        <v>1459</v>
      </c>
      <c r="E407" s="4" t="s">
        <v>1305</v>
      </c>
      <c r="F407" s="2" t="s">
        <v>1875</v>
      </c>
      <c r="G407" s="2" t="s">
        <v>1876</v>
      </c>
      <c r="H407" s="2" t="s">
        <v>319</v>
      </c>
      <c r="I407" s="2" t="s">
        <v>754</v>
      </c>
      <c r="J407" s="2" t="s">
        <v>31</v>
      </c>
      <c r="K407" s="2" t="s">
        <v>31</v>
      </c>
      <c r="L407" s="2" t="s">
        <v>325</v>
      </c>
      <c r="M407" s="2" t="s">
        <v>40</v>
      </c>
      <c r="N407" s="2" t="s">
        <v>461</v>
      </c>
      <c r="O407" s="2" t="s">
        <v>136</v>
      </c>
      <c r="P407" s="2" t="s">
        <v>1748</v>
      </c>
      <c r="Q407" s="2" t="s">
        <v>412</v>
      </c>
      <c r="R407" s="2" t="s">
        <v>405</v>
      </c>
      <c r="S407" s="2" t="s">
        <v>35</v>
      </c>
      <c r="T407" s="153">
        <v>1.466</v>
      </c>
      <c r="U407" s="2" t="s">
        <v>1846</v>
      </c>
      <c r="V407" s="165">
        <v>4.7500000000000001E-2</v>
      </c>
      <c r="W407" s="167">
        <v>1.567E-2</v>
      </c>
      <c r="X407" s="4" t="s">
        <v>411</v>
      </c>
      <c r="Y407" s="4" t="s">
        <v>136</v>
      </c>
      <c r="Z407" s="153">
        <v>2071130.09</v>
      </c>
      <c r="AA407" s="153">
        <v>1</v>
      </c>
      <c r="AB407" s="153">
        <v>141.47999999999999</v>
      </c>
      <c r="AC407" s="11"/>
      <c r="AD407" s="153">
        <v>2930.2350000000001</v>
      </c>
      <c r="AG407" s="2" t="s">
        <v>37</v>
      </c>
      <c r="AH407" s="167">
        <v>1.6050000000000001E-3</v>
      </c>
      <c r="AI407" s="167">
        <v>1.22169767487434E-2</v>
      </c>
      <c r="AJ407" s="167">
        <v>2.8519216416350401E-3</v>
      </c>
      <c r="AK407" s="161"/>
      <c r="AL407" s="153"/>
    </row>
    <row r="408" spans="1:38">
      <c r="A408" s="2" t="s">
        <v>26</v>
      </c>
      <c r="B408" s="2">
        <v>9963</v>
      </c>
      <c r="C408" s="2" t="s">
        <v>1877</v>
      </c>
      <c r="D408" s="2" t="s">
        <v>1878</v>
      </c>
      <c r="E408" s="4" t="s">
        <v>1305</v>
      </c>
      <c r="F408" s="2" t="s">
        <v>1879</v>
      </c>
      <c r="G408" s="2" t="s">
        <v>1880</v>
      </c>
      <c r="H408" s="2" t="s">
        <v>319</v>
      </c>
      <c r="I408" s="2" t="s">
        <v>966</v>
      </c>
      <c r="J408" s="2" t="s">
        <v>31</v>
      </c>
      <c r="K408" s="2" t="s">
        <v>31</v>
      </c>
      <c r="L408" s="23" t="s">
        <v>327</v>
      </c>
      <c r="M408" s="2" t="s">
        <v>40</v>
      </c>
      <c r="N408" s="2" t="s">
        <v>444</v>
      </c>
      <c r="O408" s="2" t="s">
        <v>136</v>
      </c>
      <c r="P408" s="2" t="s">
        <v>1752</v>
      </c>
      <c r="Q408" s="23" t="s">
        <v>1752</v>
      </c>
      <c r="R408" s="23" t="s">
        <v>1752</v>
      </c>
      <c r="S408" s="2" t="s">
        <v>35</v>
      </c>
      <c r="T408" s="153">
        <v>1.61</v>
      </c>
      <c r="U408" s="2" t="s">
        <v>1822</v>
      </c>
      <c r="V408" s="165">
        <v>6.25E-2</v>
      </c>
      <c r="W408" s="167">
        <v>6.4699999999999994E-2</v>
      </c>
      <c r="X408" s="4" t="s">
        <v>411</v>
      </c>
      <c r="Y408" s="4" t="s">
        <v>136</v>
      </c>
      <c r="Z408" s="153">
        <v>417019</v>
      </c>
      <c r="AA408" s="153">
        <v>1</v>
      </c>
      <c r="AB408" s="153">
        <v>100.23</v>
      </c>
      <c r="AC408" s="11"/>
      <c r="AD408" s="153">
        <v>417.97800000000001</v>
      </c>
      <c r="AG408" s="2" t="s">
        <v>37</v>
      </c>
      <c r="AH408" s="167">
        <v>0</v>
      </c>
      <c r="AI408" s="167">
        <v>1.74266894025392E-3</v>
      </c>
      <c r="AJ408" s="167">
        <v>4.06807295055754E-4</v>
      </c>
      <c r="AK408" s="161"/>
      <c r="AL408" s="153"/>
    </row>
    <row r="409" spans="1:38">
      <c r="A409" s="2" t="s">
        <v>26</v>
      </c>
      <c r="B409" s="2">
        <v>9963</v>
      </c>
      <c r="C409" s="2" t="s">
        <v>1877</v>
      </c>
      <c r="D409" s="2" t="s">
        <v>1878</v>
      </c>
      <c r="E409" s="4" t="s">
        <v>1305</v>
      </c>
      <c r="F409" s="2" t="s">
        <v>1881</v>
      </c>
      <c r="G409" s="2" t="s">
        <v>1882</v>
      </c>
      <c r="H409" s="2" t="s">
        <v>319</v>
      </c>
      <c r="I409" s="2" t="s">
        <v>966</v>
      </c>
      <c r="J409" s="2" t="s">
        <v>31</v>
      </c>
      <c r="K409" s="2" t="s">
        <v>31</v>
      </c>
      <c r="L409" s="2" t="s">
        <v>325</v>
      </c>
      <c r="M409" s="2" t="s">
        <v>40</v>
      </c>
      <c r="N409" s="2" t="s">
        <v>444</v>
      </c>
      <c r="O409" s="2" t="s">
        <v>136</v>
      </c>
      <c r="P409" s="2" t="s">
        <v>1752</v>
      </c>
      <c r="Q409" s="23" t="s">
        <v>1752</v>
      </c>
      <c r="R409" s="23" t="s">
        <v>1752</v>
      </c>
      <c r="S409" s="2" t="s">
        <v>35</v>
      </c>
      <c r="T409" s="153">
        <v>2.0339999999999998</v>
      </c>
      <c r="U409" s="2" t="s">
        <v>1788</v>
      </c>
      <c r="V409" s="165">
        <v>3.8699999999999998E-2</v>
      </c>
      <c r="W409" s="167">
        <v>5.9580000000000001E-2</v>
      </c>
      <c r="X409" s="4" t="s">
        <v>411</v>
      </c>
      <c r="Y409" s="4" t="s">
        <v>136</v>
      </c>
      <c r="Z409" s="153">
        <v>353846.15</v>
      </c>
      <c r="AA409" s="153">
        <v>1</v>
      </c>
      <c r="AB409" s="153">
        <v>97.05</v>
      </c>
      <c r="AC409" s="11"/>
      <c r="AD409" s="153">
        <v>343.40800000000002</v>
      </c>
      <c r="AG409" s="2" t="s">
        <v>37</v>
      </c>
      <c r="AH409" s="167">
        <v>1.09E-3</v>
      </c>
      <c r="AI409" s="167">
        <v>1.4317636501911799E-3</v>
      </c>
      <c r="AJ409" s="167">
        <v>3.3422980363014698E-4</v>
      </c>
      <c r="AK409" s="161"/>
      <c r="AL409" s="153"/>
    </row>
    <row r="410" spans="1:38">
      <c r="A410" s="2" t="s">
        <v>26</v>
      </c>
      <c r="B410" s="2">
        <v>9963</v>
      </c>
      <c r="C410" s="2" t="s">
        <v>1877</v>
      </c>
      <c r="D410" s="2" t="s">
        <v>1878</v>
      </c>
      <c r="E410" s="4" t="s">
        <v>1305</v>
      </c>
      <c r="F410" s="2" t="s">
        <v>1883</v>
      </c>
      <c r="G410" s="2" t="s">
        <v>1882</v>
      </c>
      <c r="H410" s="2" t="s">
        <v>319</v>
      </c>
      <c r="I410" s="2" t="s">
        <v>966</v>
      </c>
      <c r="J410" s="2" t="s">
        <v>31</v>
      </c>
      <c r="K410" s="2" t="s">
        <v>31</v>
      </c>
      <c r="L410" s="23" t="s">
        <v>327</v>
      </c>
      <c r="M410" s="2" t="s">
        <v>40</v>
      </c>
      <c r="N410" s="2" t="s">
        <v>444</v>
      </c>
      <c r="O410" s="2" t="s">
        <v>136</v>
      </c>
      <c r="P410" s="2" t="s">
        <v>1752</v>
      </c>
      <c r="Q410" s="23" t="s">
        <v>1752</v>
      </c>
      <c r="R410" s="23" t="s">
        <v>1752</v>
      </c>
      <c r="S410" s="2" t="s">
        <v>35</v>
      </c>
      <c r="T410" s="153">
        <v>2.2799999999999998</v>
      </c>
      <c r="U410" s="2" t="s">
        <v>1788</v>
      </c>
      <c r="V410" s="165">
        <v>3.8699999999999998E-2</v>
      </c>
      <c r="W410" s="167">
        <v>5.8299999999999998E-2</v>
      </c>
      <c r="X410" s="4" t="s">
        <v>411</v>
      </c>
      <c r="Y410" s="4" t="s">
        <v>136</v>
      </c>
      <c r="Z410" s="153">
        <v>623000</v>
      </c>
      <c r="AA410" s="153">
        <v>1</v>
      </c>
      <c r="AB410" s="153">
        <v>96.995000000000005</v>
      </c>
      <c r="AC410" s="11"/>
      <c r="AD410" s="153">
        <v>604.28099999999995</v>
      </c>
      <c r="AG410" s="2" t="s">
        <v>37</v>
      </c>
      <c r="AH410" s="167">
        <v>1.92E-3</v>
      </c>
      <c r="AI410" s="167">
        <v>2.5194195958585402E-3</v>
      </c>
      <c r="AJ410" s="167">
        <v>5.8813136977832199E-4</v>
      </c>
      <c r="AK410" s="161"/>
      <c r="AL410" s="153"/>
    </row>
    <row r="411" spans="1:38">
      <c r="A411" s="2" t="s">
        <v>26</v>
      </c>
      <c r="B411" s="2">
        <v>9963</v>
      </c>
      <c r="C411" s="2" t="s">
        <v>1877</v>
      </c>
      <c r="D411" s="2" t="s">
        <v>1878</v>
      </c>
      <c r="E411" s="4" t="s">
        <v>1305</v>
      </c>
      <c r="F411" s="2" t="s">
        <v>1884</v>
      </c>
      <c r="G411" s="2" t="s">
        <v>1885</v>
      </c>
      <c r="H411" s="2" t="s">
        <v>319</v>
      </c>
      <c r="I411" s="2" t="s">
        <v>966</v>
      </c>
      <c r="J411" s="2" t="s">
        <v>31</v>
      </c>
      <c r="K411" s="2" t="s">
        <v>31</v>
      </c>
      <c r="L411" s="23" t="s">
        <v>327</v>
      </c>
      <c r="M411" s="2" t="s">
        <v>40</v>
      </c>
      <c r="N411" s="2" t="s">
        <v>444</v>
      </c>
      <c r="O411" s="2" t="s">
        <v>136</v>
      </c>
      <c r="P411" s="2" t="s">
        <v>1752</v>
      </c>
      <c r="Q411" s="23" t="s">
        <v>1752</v>
      </c>
      <c r="R411" s="23" t="s">
        <v>1752</v>
      </c>
      <c r="S411" s="2" t="s">
        <v>35</v>
      </c>
      <c r="T411" s="153">
        <v>2.12</v>
      </c>
      <c r="U411" s="2" t="s">
        <v>1822</v>
      </c>
      <c r="V411" s="165">
        <v>4.19E-2</v>
      </c>
      <c r="W411" s="167">
        <v>7.4999999999999997E-2</v>
      </c>
      <c r="X411" s="4" t="s">
        <v>411</v>
      </c>
      <c r="Y411" s="4" t="s">
        <v>136</v>
      </c>
      <c r="Z411" s="153">
        <v>612302</v>
      </c>
      <c r="AA411" s="153">
        <v>1</v>
      </c>
      <c r="AB411" s="153">
        <v>92.72</v>
      </c>
      <c r="AC411" s="11"/>
      <c r="AD411" s="153">
        <v>567.726</v>
      </c>
      <c r="AG411" s="2" t="s">
        <v>37</v>
      </c>
      <c r="AH411" s="167">
        <v>0</v>
      </c>
      <c r="AI411" s="167">
        <v>2.36701177764623E-3</v>
      </c>
      <c r="AJ411" s="167">
        <v>5.52553406092765E-4</v>
      </c>
      <c r="AK411" s="161"/>
      <c r="AL411" s="153"/>
    </row>
    <row r="412" spans="1:38">
      <c r="A412" s="2" t="s">
        <v>26</v>
      </c>
      <c r="B412" s="2">
        <v>9963</v>
      </c>
      <c r="C412" s="2" t="s">
        <v>1886</v>
      </c>
      <c r="D412" s="2" t="s">
        <v>1887</v>
      </c>
      <c r="E412" s="4" t="s">
        <v>34</v>
      </c>
      <c r="F412" s="2" t="s">
        <v>1888</v>
      </c>
      <c r="G412" s="2" t="s">
        <v>1889</v>
      </c>
      <c r="H412" s="2" t="s">
        <v>319</v>
      </c>
      <c r="I412" s="2" t="s">
        <v>966</v>
      </c>
      <c r="J412" s="2" t="s">
        <v>31</v>
      </c>
      <c r="K412" s="2" t="s">
        <v>74</v>
      </c>
      <c r="L412" s="2" t="s">
        <v>325</v>
      </c>
      <c r="M412" s="2" t="s">
        <v>40</v>
      </c>
      <c r="N412" s="2" t="s">
        <v>462</v>
      </c>
      <c r="O412" s="2" t="s">
        <v>136</v>
      </c>
      <c r="P412" s="2" t="s">
        <v>1890</v>
      </c>
      <c r="Q412" s="2" t="s">
        <v>412</v>
      </c>
      <c r="R412" s="2" t="s">
        <v>405</v>
      </c>
      <c r="S412" s="2" t="s">
        <v>35</v>
      </c>
      <c r="T412" s="153">
        <v>2.42</v>
      </c>
      <c r="U412" s="2" t="s">
        <v>1891</v>
      </c>
      <c r="V412" s="165">
        <v>7.1915999999999994E-2</v>
      </c>
      <c r="W412" s="167">
        <v>0.10178</v>
      </c>
      <c r="X412" s="4" t="s">
        <v>411</v>
      </c>
      <c r="Y412" s="4" t="s">
        <v>136</v>
      </c>
      <c r="Z412" s="153">
        <v>1323472</v>
      </c>
      <c r="AA412" s="153">
        <v>1</v>
      </c>
      <c r="AB412" s="153">
        <v>111.01</v>
      </c>
      <c r="AC412" s="11"/>
      <c r="AD412" s="153">
        <v>1469.1859999999999</v>
      </c>
      <c r="AG412" s="2" t="s">
        <v>37</v>
      </c>
      <c r="AH412" s="167">
        <v>9.1269999999999997E-3</v>
      </c>
      <c r="AI412" s="167">
        <v>6.1254525239833402E-3</v>
      </c>
      <c r="AJ412" s="167">
        <v>1.42992091883558E-3</v>
      </c>
      <c r="AK412" s="161"/>
      <c r="AL412" s="153"/>
    </row>
    <row r="413" spans="1:38">
      <c r="A413" s="2" t="s">
        <v>26</v>
      </c>
      <c r="B413" s="2">
        <v>9963</v>
      </c>
      <c r="C413" s="2" t="s">
        <v>1892</v>
      </c>
      <c r="D413" s="2" t="s">
        <v>1893</v>
      </c>
      <c r="E413" s="4" t="s">
        <v>1305</v>
      </c>
      <c r="F413" s="2" t="s">
        <v>1894</v>
      </c>
      <c r="G413" s="2" t="s">
        <v>1895</v>
      </c>
      <c r="H413" s="2" t="s">
        <v>319</v>
      </c>
      <c r="I413" s="2" t="s">
        <v>754</v>
      </c>
      <c r="J413" s="2" t="s">
        <v>31</v>
      </c>
      <c r="K413" s="2" t="s">
        <v>31</v>
      </c>
      <c r="L413" s="2" t="s">
        <v>325</v>
      </c>
      <c r="M413" s="2" t="s">
        <v>40</v>
      </c>
      <c r="N413" s="2" t="s">
        <v>461</v>
      </c>
      <c r="O413" s="2" t="s">
        <v>136</v>
      </c>
      <c r="P413" s="2" t="s">
        <v>1896</v>
      </c>
      <c r="Q413" s="2" t="s">
        <v>104</v>
      </c>
      <c r="R413" s="2" t="s">
        <v>405</v>
      </c>
      <c r="S413" s="2" t="s">
        <v>35</v>
      </c>
      <c r="T413" s="153">
        <v>1.64</v>
      </c>
      <c r="U413" s="2" t="s">
        <v>1897</v>
      </c>
      <c r="V413" s="165">
        <v>2.5000000000000001E-2</v>
      </c>
      <c r="W413" s="167">
        <v>2.281E-2</v>
      </c>
      <c r="X413" s="4" t="s">
        <v>411</v>
      </c>
      <c r="Y413" s="4" t="s">
        <v>136</v>
      </c>
      <c r="Z413" s="153">
        <v>800285.54</v>
      </c>
      <c r="AA413" s="153">
        <v>1</v>
      </c>
      <c r="AB413" s="153">
        <v>113.86</v>
      </c>
      <c r="AC413" s="11"/>
      <c r="AD413" s="153">
        <v>911.20500000000004</v>
      </c>
      <c r="AG413" s="2" t="s">
        <v>37</v>
      </c>
      <c r="AH413" s="167">
        <v>2.2499999999999998E-3</v>
      </c>
      <c r="AI413" s="167">
        <v>3.7990715005460601E-3</v>
      </c>
      <c r="AJ413" s="167">
        <v>8.8685232470796E-4</v>
      </c>
      <c r="AK413" s="161"/>
      <c r="AL413" s="153"/>
    </row>
    <row r="414" spans="1:38">
      <c r="A414" s="2" t="s">
        <v>26</v>
      </c>
      <c r="B414" s="2">
        <v>9963</v>
      </c>
      <c r="C414" s="2" t="s">
        <v>1898</v>
      </c>
      <c r="D414" s="2" t="s">
        <v>1899</v>
      </c>
      <c r="E414" s="4" t="s">
        <v>1305</v>
      </c>
      <c r="F414" s="2" t="s">
        <v>1900</v>
      </c>
      <c r="G414" s="2" t="s">
        <v>1901</v>
      </c>
      <c r="H414" s="2" t="s">
        <v>319</v>
      </c>
      <c r="I414" s="2" t="s">
        <v>967</v>
      </c>
      <c r="J414" s="2" t="s">
        <v>31</v>
      </c>
      <c r="K414" s="2" t="s">
        <v>31</v>
      </c>
      <c r="L414" s="2" t="s">
        <v>325</v>
      </c>
      <c r="M414" s="2" t="s">
        <v>40</v>
      </c>
      <c r="N414" s="2" t="s">
        <v>444</v>
      </c>
      <c r="O414" s="2" t="s">
        <v>136</v>
      </c>
      <c r="P414" s="2" t="s">
        <v>1752</v>
      </c>
      <c r="Q414" s="23" t="s">
        <v>1752</v>
      </c>
      <c r="R414" s="23" t="s">
        <v>1752</v>
      </c>
      <c r="S414" s="2" t="s">
        <v>35</v>
      </c>
      <c r="T414" s="153">
        <v>3.9950000000000001</v>
      </c>
      <c r="U414" s="2" t="s">
        <v>1743</v>
      </c>
      <c r="V414" s="165">
        <v>7.0000000000000007E-2</v>
      </c>
      <c r="W414" s="167">
        <v>2.546E-2</v>
      </c>
      <c r="X414" s="4" t="s">
        <v>411</v>
      </c>
      <c r="Y414" s="4" t="s">
        <v>136</v>
      </c>
      <c r="Z414" s="153">
        <v>433000</v>
      </c>
      <c r="AA414" s="153">
        <v>1</v>
      </c>
      <c r="AB414" s="153">
        <v>118.9</v>
      </c>
      <c r="AC414" s="11"/>
      <c r="AD414" s="153">
        <v>514.83699999999999</v>
      </c>
      <c r="AG414" s="2" t="s">
        <v>37</v>
      </c>
      <c r="AH414" s="167">
        <v>0</v>
      </c>
      <c r="AI414" s="167">
        <v>2.1465008702403802E-3</v>
      </c>
      <c r="AJ414" s="167">
        <v>5.0107750972486903E-4</v>
      </c>
      <c r="AK414" s="161"/>
      <c r="AL414" s="153"/>
    </row>
    <row r="415" spans="1:38">
      <c r="A415" s="2" t="s">
        <v>26</v>
      </c>
      <c r="B415" s="2">
        <v>9963</v>
      </c>
      <c r="C415" s="2" t="s">
        <v>1902</v>
      </c>
      <c r="D415" s="2" t="s">
        <v>1903</v>
      </c>
      <c r="E415" s="4" t="s">
        <v>34</v>
      </c>
      <c r="F415" s="2" t="s">
        <v>1904</v>
      </c>
      <c r="G415" s="2" t="s">
        <v>1905</v>
      </c>
      <c r="H415" s="2" t="s">
        <v>319</v>
      </c>
      <c r="I415" s="2" t="s">
        <v>966</v>
      </c>
      <c r="J415" s="2" t="s">
        <v>31</v>
      </c>
      <c r="K415" s="2" t="s">
        <v>74</v>
      </c>
      <c r="L415" s="2" t="s">
        <v>325</v>
      </c>
      <c r="M415" s="2" t="s">
        <v>40</v>
      </c>
      <c r="N415" s="2" t="s">
        <v>462</v>
      </c>
      <c r="O415" s="2" t="s">
        <v>136</v>
      </c>
      <c r="P415" s="2" t="s">
        <v>1724</v>
      </c>
      <c r="Q415" s="2" t="s">
        <v>412</v>
      </c>
      <c r="R415" s="2" t="s">
        <v>405</v>
      </c>
      <c r="S415" s="2" t="s">
        <v>35</v>
      </c>
      <c r="T415" s="153">
        <v>2.0030000000000001</v>
      </c>
      <c r="U415" s="2" t="s">
        <v>1753</v>
      </c>
      <c r="V415" s="165">
        <v>7.7499999999999999E-2</v>
      </c>
      <c r="W415" s="167">
        <v>7.9750000000000001E-2</v>
      </c>
      <c r="X415" s="4" t="s">
        <v>411</v>
      </c>
      <c r="Y415" s="4" t="s">
        <v>136</v>
      </c>
      <c r="Z415" s="153">
        <v>2480000</v>
      </c>
      <c r="AA415" s="153">
        <v>1</v>
      </c>
      <c r="AB415" s="153">
        <v>101.82</v>
      </c>
      <c r="AC415" s="11"/>
      <c r="AD415" s="153">
        <v>2525.136</v>
      </c>
      <c r="AG415" s="2" t="s">
        <v>37</v>
      </c>
      <c r="AH415" s="167">
        <v>6.352E-3</v>
      </c>
      <c r="AI415" s="167">
        <v>1.0528005216166101E-2</v>
      </c>
      <c r="AJ415" s="167">
        <v>2.4576494280648402E-3</v>
      </c>
      <c r="AK415" s="161"/>
      <c r="AL415" s="153"/>
    </row>
    <row r="416" spans="1:38">
      <c r="A416" s="2" t="s">
        <v>26</v>
      </c>
      <c r="B416" s="2">
        <v>9963</v>
      </c>
      <c r="C416" s="2" t="s">
        <v>1902</v>
      </c>
      <c r="D416" s="2" t="s">
        <v>1903</v>
      </c>
      <c r="E416" s="4" t="s">
        <v>34</v>
      </c>
      <c r="F416" s="2" t="s">
        <v>1906</v>
      </c>
      <c r="G416" s="2" t="s">
        <v>1907</v>
      </c>
      <c r="H416" s="2" t="s">
        <v>319</v>
      </c>
      <c r="I416" s="2" t="s">
        <v>966</v>
      </c>
      <c r="J416" s="2" t="s">
        <v>31</v>
      </c>
      <c r="K416" s="2" t="s">
        <v>31</v>
      </c>
      <c r="L416" s="2" t="s">
        <v>325</v>
      </c>
      <c r="M416" s="2" t="s">
        <v>40</v>
      </c>
      <c r="N416" s="2" t="s">
        <v>462</v>
      </c>
      <c r="O416" s="2" t="s">
        <v>136</v>
      </c>
      <c r="P416" s="2" t="s">
        <v>1772</v>
      </c>
      <c r="Q416" s="2" t="s">
        <v>412</v>
      </c>
      <c r="R416" s="2" t="s">
        <v>405</v>
      </c>
      <c r="S416" s="2" t="s">
        <v>35</v>
      </c>
      <c r="T416" s="153">
        <v>2.4140000000000001</v>
      </c>
      <c r="U416" s="2" t="s">
        <v>1908</v>
      </c>
      <c r="V416" s="165">
        <v>6.8000000000000005E-2</v>
      </c>
      <c r="W416" s="167">
        <v>6.3850000000000004E-2</v>
      </c>
      <c r="X416" s="4" t="s">
        <v>411</v>
      </c>
      <c r="Y416" s="4" t="s">
        <v>136</v>
      </c>
      <c r="Z416" s="153">
        <v>1407565</v>
      </c>
      <c r="AA416" s="153">
        <v>1</v>
      </c>
      <c r="AB416" s="153">
        <v>102.93</v>
      </c>
      <c r="AC416" s="11"/>
      <c r="AD416" s="153">
        <v>1448.807</v>
      </c>
      <c r="AG416" s="2" t="s">
        <v>37</v>
      </c>
      <c r="AH416" s="167">
        <v>4.4970000000000001E-3</v>
      </c>
      <c r="AI416" s="167">
        <v>6.04048416235488E-3</v>
      </c>
      <c r="AJ416" s="167">
        <v>1.4100859699471399E-3</v>
      </c>
      <c r="AK416" s="161"/>
      <c r="AL416" s="153"/>
    </row>
    <row r="417" spans="1:38">
      <c r="A417" s="2" t="s">
        <v>26</v>
      </c>
      <c r="B417" s="2">
        <v>9963</v>
      </c>
      <c r="C417" s="2" t="s">
        <v>1909</v>
      </c>
      <c r="D417" s="2" t="s">
        <v>1910</v>
      </c>
      <c r="E417" s="4" t="s">
        <v>1305</v>
      </c>
      <c r="F417" s="2" t="s">
        <v>1911</v>
      </c>
      <c r="G417" s="2" t="s">
        <v>1912</v>
      </c>
      <c r="H417" s="2" t="s">
        <v>319</v>
      </c>
      <c r="I417" s="2" t="s">
        <v>754</v>
      </c>
      <c r="J417" s="2" t="s">
        <v>31</v>
      </c>
      <c r="K417" s="2" t="s">
        <v>31</v>
      </c>
      <c r="L417" s="2" t="s">
        <v>325</v>
      </c>
      <c r="M417" s="2" t="s">
        <v>40</v>
      </c>
      <c r="N417" s="2" t="s">
        <v>445</v>
      </c>
      <c r="O417" s="2" t="s">
        <v>136</v>
      </c>
      <c r="P417" s="2" t="s">
        <v>76</v>
      </c>
      <c r="Q417" s="2" t="s">
        <v>104</v>
      </c>
      <c r="R417" s="2" t="s">
        <v>405</v>
      </c>
      <c r="S417" s="2" t="s">
        <v>35</v>
      </c>
      <c r="T417" s="153">
        <v>4.2549999999999999</v>
      </c>
      <c r="U417" s="2" t="s">
        <v>1913</v>
      </c>
      <c r="V417" s="165">
        <v>2E-3</v>
      </c>
      <c r="W417" s="167">
        <v>1.9359999999999999E-2</v>
      </c>
      <c r="X417" s="4" t="s">
        <v>411</v>
      </c>
      <c r="Y417" s="4" t="s">
        <v>136</v>
      </c>
      <c r="Z417" s="153">
        <v>1779909.3</v>
      </c>
      <c r="AA417" s="153">
        <v>1</v>
      </c>
      <c r="AB417" s="153">
        <v>101.27</v>
      </c>
      <c r="AC417" s="11"/>
      <c r="AD417" s="153">
        <v>1802.5139999999999</v>
      </c>
      <c r="AG417" s="2" t="s">
        <v>37</v>
      </c>
      <c r="AH417" s="167">
        <v>4.1199999999999999E-4</v>
      </c>
      <c r="AI417" s="167">
        <v>7.5151906089475102E-3</v>
      </c>
      <c r="AJ417" s="167">
        <v>1.7543403068909201E-3</v>
      </c>
      <c r="AK417" s="161"/>
      <c r="AL417" s="153"/>
    </row>
    <row r="418" spans="1:38">
      <c r="A418" s="2" t="s">
        <v>26</v>
      </c>
      <c r="B418" s="2">
        <v>9963</v>
      </c>
      <c r="C418" s="2" t="s">
        <v>1909</v>
      </c>
      <c r="D418" s="2" t="s">
        <v>1910</v>
      </c>
      <c r="E418" s="4" t="s">
        <v>1305</v>
      </c>
      <c r="F418" s="2" t="s">
        <v>2336</v>
      </c>
      <c r="G418" s="2" t="s">
        <v>2337</v>
      </c>
      <c r="H418" s="2" t="s">
        <v>319</v>
      </c>
      <c r="I418" s="2" t="s">
        <v>966</v>
      </c>
      <c r="J418" s="2" t="s">
        <v>31</v>
      </c>
      <c r="K418" s="2" t="s">
        <v>31</v>
      </c>
      <c r="L418" s="2" t="s">
        <v>325</v>
      </c>
      <c r="M418" s="2" t="s">
        <v>40</v>
      </c>
      <c r="N418" s="2" t="s">
        <v>445</v>
      </c>
      <c r="O418" s="2" t="s">
        <v>136</v>
      </c>
      <c r="P418" s="2" t="s">
        <v>76</v>
      </c>
      <c r="Q418" s="2" t="s">
        <v>104</v>
      </c>
      <c r="R418" s="2" t="s">
        <v>405</v>
      </c>
      <c r="S418" s="2" t="s">
        <v>35</v>
      </c>
      <c r="T418" s="153">
        <v>0.67900000000000005</v>
      </c>
      <c r="U418" s="2" t="s">
        <v>2338</v>
      </c>
      <c r="V418" s="165">
        <v>1.8700000000000001E-2</v>
      </c>
      <c r="W418" s="167">
        <v>4.36E-2</v>
      </c>
      <c r="X418" s="4" t="s">
        <v>411</v>
      </c>
      <c r="Y418" s="4" t="s">
        <v>136</v>
      </c>
      <c r="Z418" s="153">
        <v>694748.56</v>
      </c>
      <c r="AA418" s="153">
        <v>1</v>
      </c>
      <c r="AB418" s="153">
        <v>98.97</v>
      </c>
      <c r="AC418" s="11"/>
      <c r="AD418" s="153">
        <v>687.59299999999996</v>
      </c>
      <c r="AG418" s="2" t="s">
        <v>37</v>
      </c>
      <c r="AH418" s="167">
        <v>2.5140000000000002E-3</v>
      </c>
      <c r="AI418" s="167">
        <v>2.8667679697365902E-3</v>
      </c>
      <c r="AJ418" s="167">
        <v>6.6921610661809904E-4</v>
      </c>
      <c r="AK418" s="161"/>
      <c r="AL418" s="153"/>
    </row>
    <row r="419" spans="1:38">
      <c r="A419" s="2" t="s">
        <v>26</v>
      </c>
      <c r="B419" s="2">
        <v>9963</v>
      </c>
      <c r="C419" s="2" t="s">
        <v>1909</v>
      </c>
      <c r="D419" s="2" t="s">
        <v>1910</v>
      </c>
      <c r="E419" s="4" t="s">
        <v>1305</v>
      </c>
      <c r="F419" s="2" t="s">
        <v>2339</v>
      </c>
      <c r="G419" s="2" t="s">
        <v>2340</v>
      </c>
      <c r="H419" s="2" t="s">
        <v>319</v>
      </c>
      <c r="I419" s="2" t="s">
        <v>754</v>
      </c>
      <c r="J419" s="2" t="s">
        <v>31</v>
      </c>
      <c r="K419" s="2" t="s">
        <v>31</v>
      </c>
      <c r="L419" s="2" t="s">
        <v>325</v>
      </c>
      <c r="M419" s="2" t="s">
        <v>40</v>
      </c>
      <c r="N419" s="2" t="s">
        <v>445</v>
      </c>
      <c r="O419" s="2" t="s">
        <v>136</v>
      </c>
      <c r="P419" s="2" t="s">
        <v>1867</v>
      </c>
      <c r="Q419" s="2" t="s">
        <v>104</v>
      </c>
      <c r="R419" s="2" t="s">
        <v>405</v>
      </c>
      <c r="S419" s="2" t="s">
        <v>35</v>
      </c>
      <c r="T419" s="153">
        <v>3.5739999999999998</v>
      </c>
      <c r="U419" s="2" t="s">
        <v>2341</v>
      </c>
      <c r="V419" s="165">
        <v>2E-3</v>
      </c>
      <c r="W419" s="167">
        <v>2.6440000000000002E-2</v>
      </c>
      <c r="X419" s="4" t="s">
        <v>411</v>
      </c>
      <c r="Y419" s="4" t="s">
        <v>136</v>
      </c>
      <c r="Z419" s="153">
        <v>1000000</v>
      </c>
      <c r="AA419" s="153">
        <v>1</v>
      </c>
      <c r="AB419" s="153">
        <v>99.7</v>
      </c>
      <c r="AC419" s="11"/>
      <c r="AD419" s="153">
        <v>997</v>
      </c>
      <c r="AG419" s="2" t="s">
        <v>37</v>
      </c>
      <c r="AH419" s="167">
        <v>1.745E-3</v>
      </c>
      <c r="AI419" s="167">
        <v>4.1567746056123704E-3</v>
      </c>
      <c r="AJ419" s="167">
        <v>9.7035426202020099E-4</v>
      </c>
      <c r="AK419" s="161"/>
      <c r="AL419" s="153"/>
    </row>
    <row r="420" spans="1:38">
      <c r="A420" s="2" t="s">
        <v>26</v>
      </c>
      <c r="B420" s="2">
        <v>9963</v>
      </c>
      <c r="C420" s="2" t="s">
        <v>1917</v>
      </c>
      <c r="D420" s="2" t="s">
        <v>1918</v>
      </c>
      <c r="E420" s="4" t="s">
        <v>1305</v>
      </c>
      <c r="F420" s="2" t="s">
        <v>1919</v>
      </c>
      <c r="G420" s="2" t="s">
        <v>1920</v>
      </c>
      <c r="H420" s="2" t="s">
        <v>319</v>
      </c>
      <c r="I420" s="2" t="s">
        <v>754</v>
      </c>
      <c r="J420" s="2" t="s">
        <v>31</v>
      </c>
      <c r="K420" s="2" t="s">
        <v>31</v>
      </c>
      <c r="L420" s="2" t="s">
        <v>325</v>
      </c>
      <c r="M420" s="2" t="s">
        <v>40</v>
      </c>
      <c r="N420" s="2" t="s">
        <v>437</v>
      </c>
      <c r="O420" s="2" t="s">
        <v>136</v>
      </c>
      <c r="P420" s="2" t="s">
        <v>1720</v>
      </c>
      <c r="Q420" s="2" t="s">
        <v>104</v>
      </c>
      <c r="R420" s="2" t="s">
        <v>405</v>
      </c>
      <c r="S420" s="2" t="s">
        <v>35</v>
      </c>
      <c r="T420" s="153">
        <v>3.9649999999999999</v>
      </c>
      <c r="U420" s="2" t="s">
        <v>1921</v>
      </c>
      <c r="V420" s="165">
        <v>1.7999999999999999E-2</v>
      </c>
      <c r="W420" s="167">
        <v>3.1009999999999999E-2</v>
      </c>
      <c r="X420" s="4" t="s">
        <v>411</v>
      </c>
      <c r="Y420" s="4" t="s">
        <v>136</v>
      </c>
      <c r="Z420" s="153">
        <v>1403022.16</v>
      </c>
      <c r="AA420" s="153">
        <v>1</v>
      </c>
      <c r="AB420" s="153">
        <v>106.25</v>
      </c>
      <c r="AC420" s="11"/>
      <c r="AD420" s="153">
        <v>1490.711</v>
      </c>
      <c r="AG420" s="2" t="s">
        <v>37</v>
      </c>
      <c r="AH420" s="167">
        <v>1.2800000000000001E-3</v>
      </c>
      <c r="AI420" s="167">
        <v>6.2151954023689903E-3</v>
      </c>
      <c r="AJ420" s="167">
        <v>1.45087042723805E-3</v>
      </c>
      <c r="AK420" s="161"/>
      <c r="AL420" s="153"/>
    </row>
    <row r="421" spans="1:38">
      <c r="A421" s="2" t="s">
        <v>26</v>
      </c>
      <c r="B421" s="2">
        <v>9963</v>
      </c>
      <c r="C421" s="2" t="s">
        <v>1922</v>
      </c>
      <c r="D421" s="2" t="s">
        <v>1923</v>
      </c>
      <c r="E421" s="4" t="s">
        <v>1305</v>
      </c>
      <c r="F421" s="2" t="s">
        <v>1924</v>
      </c>
      <c r="G421" s="2" t="s">
        <v>1925</v>
      </c>
      <c r="H421" s="2" t="s">
        <v>319</v>
      </c>
      <c r="I421" s="2" t="s">
        <v>754</v>
      </c>
      <c r="J421" s="2" t="s">
        <v>31</v>
      </c>
      <c r="K421" s="2" t="s">
        <v>31</v>
      </c>
      <c r="L421" s="2" t="s">
        <v>325</v>
      </c>
      <c r="M421" s="2" t="s">
        <v>40</v>
      </c>
      <c r="N421" s="2" t="s">
        <v>461</v>
      </c>
      <c r="O421" s="2" t="s">
        <v>136</v>
      </c>
      <c r="P421" s="2" t="s">
        <v>1772</v>
      </c>
      <c r="Q421" s="2" t="s">
        <v>412</v>
      </c>
      <c r="R421" s="2" t="s">
        <v>405</v>
      </c>
      <c r="S421" s="2" t="s">
        <v>35</v>
      </c>
      <c r="T421" s="153">
        <v>3.665</v>
      </c>
      <c r="U421" s="2" t="s">
        <v>1926</v>
      </c>
      <c r="V421" s="165">
        <v>2.7E-2</v>
      </c>
      <c r="W421" s="167">
        <v>2.8670000000000001E-2</v>
      </c>
      <c r="X421" s="4" t="s">
        <v>411</v>
      </c>
      <c r="Y421" s="4" t="s">
        <v>136</v>
      </c>
      <c r="Z421" s="153">
        <v>682000</v>
      </c>
      <c r="AA421" s="153">
        <v>1</v>
      </c>
      <c r="AB421" s="153">
        <v>103.46</v>
      </c>
      <c r="AC421" s="11"/>
      <c r="AD421" s="153">
        <v>705.59699999999998</v>
      </c>
      <c r="AG421" s="2" t="s">
        <v>37</v>
      </c>
      <c r="AH421" s="167">
        <v>1.843E-3</v>
      </c>
      <c r="AI421" s="167">
        <v>2.9418340248256701E-3</v>
      </c>
      <c r="AJ421" s="167">
        <v>6.8673946869560697E-4</v>
      </c>
      <c r="AK421" s="161"/>
      <c r="AL421" s="153"/>
    </row>
    <row r="422" spans="1:38">
      <c r="A422" s="2" t="s">
        <v>26</v>
      </c>
      <c r="B422" s="2">
        <v>9963</v>
      </c>
      <c r="C422" s="2" t="s">
        <v>1929</v>
      </c>
      <c r="D422" s="2" t="s">
        <v>1930</v>
      </c>
      <c r="E422" s="4" t="s">
        <v>1305</v>
      </c>
      <c r="F422" s="2" t="s">
        <v>1931</v>
      </c>
      <c r="G422" s="2" t="s">
        <v>1932</v>
      </c>
      <c r="H422" s="2" t="s">
        <v>319</v>
      </c>
      <c r="I422" s="2" t="s">
        <v>966</v>
      </c>
      <c r="J422" s="2" t="s">
        <v>31</v>
      </c>
      <c r="K422" s="2" t="s">
        <v>31</v>
      </c>
      <c r="L422" s="2" t="s">
        <v>325</v>
      </c>
      <c r="M422" s="2" t="s">
        <v>40</v>
      </c>
      <c r="N422" s="2" t="s">
        <v>444</v>
      </c>
      <c r="O422" s="2" t="s">
        <v>136</v>
      </c>
      <c r="P422" s="2" t="s">
        <v>1752</v>
      </c>
      <c r="Q422" s="23" t="s">
        <v>1752</v>
      </c>
      <c r="R422" s="23" t="s">
        <v>1752</v>
      </c>
      <c r="S422" s="2" t="s">
        <v>35</v>
      </c>
      <c r="T422" s="153">
        <v>0.73899999999999999</v>
      </c>
      <c r="U422" s="2" t="s">
        <v>1933</v>
      </c>
      <c r="V422" s="165">
        <v>4.8399999999999999E-2</v>
      </c>
      <c r="W422" s="167">
        <v>6.7040000000000002E-2</v>
      </c>
      <c r="X422" s="4" t="s">
        <v>411</v>
      </c>
      <c r="Y422" s="4" t="s">
        <v>136</v>
      </c>
      <c r="Z422" s="153">
        <v>340304.41</v>
      </c>
      <c r="AA422" s="153">
        <v>1</v>
      </c>
      <c r="AB422" s="153">
        <v>99.95</v>
      </c>
      <c r="AC422" s="11"/>
      <c r="AD422" s="153">
        <v>340.13400000000001</v>
      </c>
      <c r="AG422" s="2" t="s">
        <v>37</v>
      </c>
      <c r="AH422" s="167">
        <v>5.6389999999999999E-3</v>
      </c>
      <c r="AI422" s="167">
        <v>1.41811579267911E-3</v>
      </c>
      <c r="AJ422" s="167">
        <v>3.3104385828531201E-4</v>
      </c>
      <c r="AK422" s="161"/>
      <c r="AL422" s="153"/>
    </row>
    <row r="423" spans="1:38">
      <c r="A423" s="2" t="s">
        <v>26</v>
      </c>
      <c r="B423" s="2">
        <v>9963</v>
      </c>
      <c r="C423" s="2" t="s">
        <v>1482</v>
      </c>
      <c r="D423" s="2" t="s">
        <v>1483</v>
      </c>
      <c r="E423" s="4" t="s">
        <v>1305</v>
      </c>
      <c r="F423" s="2" t="s">
        <v>1934</v>
      </c>
      <c r="G423" s="2" t="s">
        <v>1935</v>
      </c>
      <c r="H423" s="2" t="s">
        <v>319</v>
      </c>
      <c r="I423" s="2" t="s">
        <v>966</v>
      </c>
      <c r="J423" s="2" t="s">
        <v>31</v>
      </c>
      <c r="K423" s="2" t="s">
        <v>31</v>
      </c>
      <c r="L423" s="2" t="s">
        <v>325</v>
      </c>
      <c r="M423" s="2" t="s">
        <v>40</v>
      </c>
      <c r="N423" s="2" t="s">
        <v>461</v>
      </c>
      <c r="O423" s="2" t="s">
        <v>136</v>
      </c>
      <c r="P423" s="2" t="s">
        <v>1752</v>
      </c>
      <c r="Q423" s="23" t="s">
        <v>1752</v>
      </c>
      <c r="R423" s="23" t="s">
        <v>1752</v>
      </c>
      <c r="S423" s="2" t="s">
        <v>35</v>
      </c>
      <c r="T423" s="153">
        <v>2.0259999999999998</v>
      </c>
      <c r="U423" s="2" t="s">
        <v>1936</v>
      </c>
      <c r="V423" s="165">
        <v>2.9000000000000001E-2</v>
      </c>
      <c r="W423" s="167">
        <v>6.9419999999999996E-2</v>
      </c>
      <c r="X423" s="4" t="s">
        <v>411</v>
      </c>
      <c r="Y423" s="4" t="s">
        <v>136</v>
      </c>
      <c r="Z423" s="153">
        <v>2805300</v>
      </c>
      <c r="AA423" s="153">
        <v>1</v>
      </c>
      <c r="AB423" s="153">
        <v>93.16</v>
      </c>
      <c r="AC423" s="11"/>
      <c r="AD423" s="153">
        <v>2613.4169999999999</v>
      </c>
      <c r="AG423" s="2" t="s">
        <v>37</v>
      </c>
      <c r="AH423" s="167">
        <v>1.8702E-2</v>
      </c>
      <c r="AI423" s="167">
        <v>1.0896075641652399E-2</v>
      </c>
      <c r="AJ423" s="167">
        <v>2.5435715046701001E-3</v>
      </c>
      <c r="AK423" s="161"/>
      <c r="AL423" s="153"/>
    </row>
    <row r="424" spans="1:38">
      <c r="A424" s="2" t="s">
        <v>26</v>
      </c>
      <c r="B424" s="2">
        <v>9963</v>
      </c>
      <c r="C424" s="2" t="s">
        <v>1482</v>
      </c>
      <c r="D424" s="2" t="s">
        <v>1483</v>
      </c>
      <c r="E424" s="4" t="s">
        <v>1305</v>
      </c>
      <c r="F424" s="2" t="s">
        <v>1937</v>
      </c>
      <c r="G424" s="2" t="s">
        <v>1938</v>
      </c>
      <c r="H424" s="2" t="s">
        <v>319</v>
      </c>
      <c r="I424" s="2" t="s">
        <v>754</v>
      </c>
      <c r="J424" s="2" t="s">
        <v>31</v>
      </c>
      <c r="K424" s="2" t="s">
        <v>31</v>
      </c>
      <c r="L424" s="2" t="s">
        <v>325</v>
      </c>
      <c r="M424" s="2" t="s">
        <v>40</v>
      </c>
      <c r="N424" s="2" t="s">
        <v>444</v>
      </c>
      <c r="O424" s="2" t="s">
        <v>136</v>
      </c>
      <c r="P424" s="2" t="s">
        <v>1752</v>
      </c>
      <c r="Q424" s="23" t="s">
        <v>1752</v>
      </c>
      <c r="R424" s="23" t="s">
        <v>1752</v>
      </c>
      <c r="S424" s="2" t="s">
        <v>35</v>
      </c>
      <c r="T424" s="153">
        <v>2.1030000000000002</v>
      </c>
      <c r="U424" s="2" t="s">
        <v>1908</v>
      </c>
      <c r="V424" s="165">
        <v>3.5000000000000003E-2</v>
      </c>
      <c r="W424" s="167">
        <v>4.3380000000000002E-2</v>
      </c>
      <c r="X424" s="4" t="s">
        <v>411</v>
      </c>
      <c r="Y424" s="4" t="s">
        <v>136</v>
      </c>
      <c r="Z424" s="153">
        <v>1124100</v>
      </c>
      <c r="AA424" s="153">
        <v>1</v>
      </c>
      <c r="AB424" s="153">
        <v>105</v>
      </c>
      <c r="AC424" s="11"/>
      <c r="AD424" s="153">
        <v>1180.3050000000001</v>
      </c>
      <c r="AG424" s="2" t="s">
        <v>37</v>
      </c>
      <c r="AH424" s="167">
        <v>5.9220000000000002E-3</v>
      </c>
      <c r="AI424" s="167">
        <v>4.9210249256542802E-3</v>
      </c>
      <c r="AJ424" s="167">
        <v>1.1487602680378701E-3</v>
      </c>
      <c r="AK424" s="161"/>
      <c r="AL424" s="153"/>
    </row>
    <row r="425" spans="1:38">
      <c r="A425" s="2" t="s">
        <v>26</v>
      </c>
      <c r="B425" s="2">
        <v>9963</v>
      </c>
      <c r="C425" s="2" t="s">
        <v>1482</v>
      </c>
      <c r="D425" s="2" t="s">
        <v>1483</v>
      </c>
      <c r="E425" s="4" t="s">
        <v>1305</v>
      </c>
      <c r="F425" s="2" t="s">
        <v>1939</v>
      </c>
      <c r="G425" s="2" t="s">
        <v>1940</v>
      </c>
      <c r="H425" s="2" t="s">
        <v>319</v>
      </c>
      <c r="I425" s="2" t="s">
        <v>966</v>
      </c>
      <c r="J425" s="2" t="s">
        <v>31</v>
      </c>
      <c r="K425" s="2" t="s">
        <v>31</v>
      </c>
      <c r="L425" s="2" t="s">
        <v>325</v>
      </c>
      <c r="M425" s="2" t="s">
        <v>40</v>
      </c>
      <c r="N425" s="2" t="s">
        <v>444</v>
      </c>
      <c r="O425" s="2" t="s">
        <v>136</v>
      </c>
      <c r="P425" s="2" t="s">
        <v>1752</v>
      </c>
      <c r="Q425" s="23" t="s">
        <v>1752</v>
      </c>
      <c r="R425" s="23" t="s">
        <v>1752</v>
      </c>
      <c r="S425" s="2" t="s">
        <v>35</v>
      </c>
      <c r="T425" s="153">
        <v>0.86399999999999999</v>
      </c>
      <c r="U425" s="2" t="s">
        <v>1941</v>
      </c>
      <c r="V425" s="165">
        <v>5.62E-2</v>
      </c>
      <c r="W425" s="167">
        <v>6.4380000000000007E-2</v>
      </c>
      <c r="X425" s="4" t="s">
        <v>411</v>
      </c>
      <c r="Y425" s="4" t="s">
        <v>136</v>
      </c>
      <c r="Z425" s="153">
        <v>1486000</v>
      </c>
      <c r="AA425" s="153">
        <v>1</v>
      </c>
      <c r="AB425" s="153">
        <v>100.8</v>
      </c>
      <c r="AC425" s="11"/>
      <c r="AD425" s="153">
        <v>1497.8879999999999</v>
      </c>
      <c r="AG425" s="2" t="s">
        <v>37</v>
      </c>
      <c r="AH425" s="167">
        <v>7.2049999999999996E-3</v>
      </c>
      <c r="AI425" s="167">
        <v>6.24511815491625E-3</v>
      </c>
      <c r="AJ425" s="167">
        <v>1.45785557154354E-3</v>
      </c>
      <c r="AK425" s="161"/>
      <c r="AL425" s="153"/>
    </row>
    <row r="426" spans="1:38">
      <c r="A426" s="2" t="s">
        <v>26</v>
      </c>
      <c r="B426" s="2">
        <v>9963</v>
      </c>
      <c r="C426" s="2" t="s">
        <v>1482</v>
      </c>
      <c r="D426" s="2" t="s">
        <v>1483</v>
      </c>
      <c r="E426" s="4" t="s">
        <v>1305</v>
      </c>
      <c r="F426" s="2" t="s">
        <v>1942</v>
      </c>
      <c r="G426" s="2" t="s">
        <v>1943</v>
      </c>
      <c r="H426" s="2" t="s">
        <v>319</v>
      </c>
      <c r="I426" s="2" t="s">
        <v>967</v>
      </c>
      <c r="J426" s="2" t="s">
        <v>31</v>
      </c>
      <c r="K426" s="2" t="s">
        <v>31</v>
      </c>
      <c r="L426" s="2" t="s">
        <v>325</v>
      </c>
      <c r="M426" s="2" t="s">
        <v>40</v>
      </c>
      <c r="N426" s="2" t="s">
        <v>444</v>
      </c>
      <c r="O426" s="2" t="s">
        <v>136</v>
      </c>
      <c r="P426" s="2" t="s">
        <v>1890</v>
      </c>
      <c r="Q426" s="2" t="s">
        <v>412</v>
      </c>
      <c r="R426" s="2" t="s">
        <v>405</v>
      </c>
      <c r="S426" s="2" t="s">
        <v>35</v>
      </c>
      <c r="T426" s="153">
        <v>0.747</v>
      </c>
      <c r="U426" s="2" t="s">
        <v>1933</v>
      </c>
      <c r="V426" s="165">
        <v>1.4999999999999999E-2</v>
      </c>
      <c r="W426" s="167">
        <v>4.972E-2</v>
      </c>
      <c r="X426" s="4" t="s">
        <v>411</v>
      </c>
      <c r="Y426" s="4" t="s">
        <v>136</v>
      </c>
      <c r="Z426" s="153">
        <v>6.76</v>
      </c>
      <c r="AA426" s="153">
        <v>1</v>
      </c>
      <c r="AB426" s="153">
        <v>97.9</v>
      </c>
      <c r="AC426" s="11"/>
      <c r="AD426" s="153">
        <v>7.0000000000000001E-3</v>
      </c>
      <c r="AG426" s="2" t="s">
        <v>37</v>
      </c>
      <c r="AH426" s="167">
        <v>0</v>
      </c>
      <c r="AI426" s="167">
        <v>2.75924780450621E-8</v>
      </c>
      <c r="AJ426" s="167">
        <v>6.4411668206822208E-9</v>
      </c>
      <c r="AK426" s="161"/>
      <c r="AL426" s="153"/>
    </row>
    <row r="427" spans="1:38">
      <c r="A427" s="2" t="s">
        <v>26</v>
      </c>
      <c r="B427" s="2">
        <v>9963</v>
      </c>
      <c r="C427" s="2" t="s">
        <v>1944</v>
      </c>
      <c r="D427" s="2" t="s">
        <v>1945</v>
      </c>
      <c r="E427" s="4" t="s">
        <v>34</v>
      </c>
      <c r="F427" s="2" t="s">
        <v>1946</v>
      </c>
      <c r="G427" s="2" t="s">
        <v>1947</v>
      </c>
      <c r="H427" s="2" t="s">
        <v>319</v>
      </c>
      <c r="I427" s="2" t="s">
        <v>755</v>
      </c>
      <c r="J427" s="2" t="s">
        <v>31</v>
      </c>
      <c r="K427" s="2" t="s">
        <v>74</v>
      </c>
      <c r="L427" s="2" t="s">
        <v>325</v>
      </c>
      <c r="M427" s="2" t="s">
        <v>40</v>
      </c>
      <c r="N427" s="2" t="s">
        <v>462</v>
      </c>
      <c r="O427" s="2" t="s">
        <v>136</v>
      </c>
      <c r="P427" s="2" t="s">
        <v>1739</v>
      </c>
      <c r="Q427" s="2" t="s">
        <v>412</v>
      </c>
      <c r="R427" s="2" t="s">
        <v>405</v>
      </c>
      <c r="S427" s="2" t="s">
        <v>78</v>
      </c>
      <c r="T427" s="153">
        <v>3.04</v>
      </c>
      <c r="U427" s="2" t="s">
        <v>1948</v>
      </c>
      <c r="V427" s="165">
        <v>4.7199999999999999E-2</v>
      </c>
      <c r="W427" s="167">
        <v>7.2169999999999998E-2</v>
      </c>
      <c r="X427" s="4" t="s">
        <v>411</v>
      </c>
      <c r="Y427" s="4" t="s">
        <v>136</v>
      </c>
      <c r="Z427" s="153">
        <v>1576000</v>
      </c>
      <c r="AA427" s="153">
        <v>3.681</v>
      </c>
      <c r="AB427" s="153">
        <v>108.5</v>
      </c>
      <c r="AC427" s="11"/>
      <c r="AD427" s="153">
        <v>1709.96</v>
      </c>
      <c r="AG427" s="2" t="s">
        <v>37</v>
      </c>
      <c r="AH427" s="167">
        <v>4.7910000000000001E-3</v>
      </c>
      <c r="AI427" s="167">
        <v>7.1293062232827796E-3</v>
      </c>
      <c r="AJ427" s="167">
        <v>1.66425975314349E-3</v>
      </c>
      <c r="AK427" s="161"/>
      <c r="AL427" s="153"/>
    </row>
    <row r="428" spans="1:38">
      <c r="A428" s="2" t="s">
        <v>26</v>
      </c>
      <c r="B428" s="2">
        <v>9963</v>
      </c>
      <c r="C428" s="2" t="s">
        <v>1949</v>
      </c>
      <c r="D428" s="2" t="s">
        <v>1950</v>
      </c>
      <c r="E428" s="4" t="s">
        <v>1305</v>
      </c>
      <c r="F428" s="2" t="s">
        <v>1951</v>
      </c>
      <c r="G428" s="2" t="s">
        <v>1952</v>
      </c>
      <c r="H428" s="2" t="s">
        <v>319</v>
      </c>
      <c r="I428" s="2" t="s">
        <v>966</v>
      </c>
      <c r="J428" s="2" t="s">
        <v>31</v>
      </c>
      <c r="K428" s="2" t="s">
        <v>31</v>
      </c>
      <c r="L428" s="2" t="s">
        <v>325</v>
      </c>
      <c r="M428" s="2" t="s">
        <v>40</v>
      </c>
      <c r="N428" s="2" t="s">
        <v>444</v>
      </c>
      <c r="O428" s="2" t="s">
        <v>136</v>
      </c>
      <c r="P428" s="2" t="s">
        <v>1752</v>
      </c>
      <c r="Q428" s="23" t="s">
        <v>1752</v>
      </c>
      <c r="R428" s="23" t="s">
        <v>1752</v>
      </c>
      <c r="S428" s="2" t="s">
        <v>35</v>
      </c>
      <c r="T428" s="153">
        <v>1.944</v>
      </c>
      <c r="U428" s="2" t="s">
        <v>1953</v>
      </c>
      <c r="V428" s="165">
        <v>5.6000000000000001E-2</v>
      </c>
      <c r="W428" s="167">
        <v>6.8479999999999999E-2</v>
      </c>
      <c r="X428" s="4" t="s">
        <v>411</v>
      </c>
      <c r="Y428" s="4" t="s">
        <v>136</v>
      </c>
      <c r="Z428" s="153">
        <v>1460000</v>
      </c>
      <c r="AA428" s="153">
        <v>1</v>
      </c>
      <c r="AB428" s="153">
        <v>99.2</v>
      </c>
      <c r="AC428" s="11"/>
      <c r="AD428" s="153">
        <v>1448.32</v>
      </c>
      <c r="AG428" s="2" t="s">
        <v>37</v>
      </c>
      <c r="AH428" s="167">
        <v>8.5880000000000001E-3</v>
      </c>
      <c r="AI428" s="167">
        <v>6.03845516228737E-3</v>
      </c>
      <c r="AJ428" s="167">
        <v>1.4096123217343E-3</v>
      </c>
      <c r="AK428" s="161"/>
      <c r="AL428" s="153"/>
    </row>
    <row r="429" spans="1:38">
      <c r="A429" s="2" t="s">
        <v>26</v>
      </c>
      <c r="B429" s="2">
        <v>9963</v>
      </c>
      <c r="C429" s="2" t="s">
        <v>1959</v>
      </c>
      <c r="D429" s="2" t="s">
        <v>1960</v>
      </c>
      <c r="E429" s="4" t="s">
        <v>1305</v>
      </c>
      <c r="F429" s="2" t="s">
        <v>1961</v>
      </c>
      <c r="G429" s="2" t="s">
        <v>1962</v>
      </c>
      <c r="H429" s="2" t="s">
        <v>319</v>
      </c>
      <c r="I429" s="2" t="s">
        <v>754</v>
      </c>
      <c r="J429" s="2" t="s">
        <v>31</v>
      </c>
      <c r="K429" s="2" t="s">
        <v>31</v>
      </c>
      <c r="L429" s="2" t="s">
        <v>325</v>
      </c>
      <c r="M429" s="2" t="s">
        <v>40</v>
      </c>
      <c r="N429" s="2" t="s">
        <v>459</v>
      </c>
      <c r="O429" s="2" t="s">
        <v>136</v>
      </c>
      <c r="P429" s="2" t="s">
        <v>1739</v>
      </c>
      <c r="Q429" s="2" t="s">
        <v>412</v>
      </c>
      <c r="R429" s="2" t="s">
        <v>405</v>
      </c>
      <c r="S429" s="2" t="s">
        <v>35</v>
      </c>
      <c r="T429" s="153">
        <v>3.3039999999999998</v>
      </c>
      <c r="U429" s="2" t="s">
        <v>1963</v>
      </c>
      <c r="V429" s="165">
        <v>2.1999999999999999E-2</v>
      </c>
      <c r="W429" s="167">
        <v>2.6200000000000001E-2</v>
      </c>
      <c r="X429" s="4" t="s">
        <v>411</v>
      </c>
      <c r="Y429" s="4" t="s">
        <v>136</v>
      </c>
      <c r="Z429" s="153">
        <v>842578.45</v>
      </c>
      <c r="AA429" s="153">
        <v>1</v>
      </c>
      <c r="AB429" s="153">
        <v>102.62</v>
      </c>
      <c r="AC429" s="11"/>
      <c r="AD429" s="153">
        <v>864.654</v>
      </c>
      <c r="AG429" s="2" t="s">
        <v>37</v>
      </c>
      <c r="AH429" s="167">
        <v>4.2129999999999997E-3</v>
      </c>
      <c r="AI429" s="167">
        <v>3.6049867725638702E-3</v>
      </c>
      <c r="AJ429" s="167">
        <v>8.4154533530895104E-4</v>
      </c>
      <c r="AK429" s="161"/>
      <c r="AL429" s="153"/>
    </row>
    <row r="430" spans="1:38">
      <c r="A430" s="2" t="s">
        <v>26</v>
      </c>
      <c r="B430" s="2">
        <v>9963</v>
      </c>
      <c r="C430" s="2" t="s">
        <v>1964</v>
      </c>
      <c r="D430" s="2" t="s">
        <v>1965</v>
      </c>
      <c r="E430" s="4" t="s">
        <v>1305</v>
      </c>
      <c r="F430" s="2" t="s">
        <v>1966</v>
      </c>
      <c r="G430" s="2" t="s">
        <v>1967</v>
      </c>
      <c r="H430" s="2" t="s">
        <v>319</v>
      </c>
      <c r="I430" s="2" t="s">
        <v>754</v>
      </c>
      <c r="J430" s="2" t="s">
        <v>31</v>
      </c>
      <c r="K430" s="2" t="s">
        <v>31</v>
      </c>
      <c r="L430" s="2" t="s">
        <v>325</v>
      </c>
      <c r="M430" s="2" t="s">
        <v>40</v>
      </c>
      <c r="N430" s="2" t="s">
        <v>445</v>
      </c>
      <c r="O430" s="2" t="s">
        <v>136</v>
      </c>
      <c r="P430" s="2" t="s">
        <v>1739</v>
      </c>
      <c r="Q430" s="2" t="s">
        <v>104</v>
      </c>
      <c r="R430" s="2" t="s">
        <v>405</v>
      </c>
      <c r="S430" s="2" t="s">
        <v>35</v>
      </c>
      <c r="T430" s="153">
        <v>0.16400000000000001</v>
      </c>
      <c r="U430" s="2" t="s">
        <v>1968</v>
      </c>
      <c r="V430" s="165">
        <v>6.7999999999999996E-3</v>
      </c>
      <c r="W430" s="167">
        <v>1.25E-3</v>
      </c>
      <c r="X430" s="4" t="s">
        <v>411</v>
      </c>
      <c r="Y430" s="4" t="s">
        <v>136</v>
      </c>
      <c r="Z430" s="153">
        <v>648867.80000000005</v>
      </c>
      <c r="AA430" s="153">
        <v>1</v>
      </c>
      <c r="AB430" s="153">
        <v>113.14</v>
      </c>
      <c r="AC430" s="11"/>
      <c r="AD430" s="153">
        <v>734.12900000000002</v>
      </c>
      <c r="AG430" s="2" t="s">
        <v>37</v>
      </c>
      <c r="AH430" s="167">
        <v>2.8939999999999999E-3</v>
      </c>
      <c r="AI430" s="167">
        <v>3.0607912784930101E-3</v>
      </c>
      <c r="AJ430" s="167">
        <v>7.1450875836035399E-4</v>
      </c>
      <c r="AK430" s="161"/>
      <c r="AL430" s="153"/>
    </row>
    <row r="431" spans="1:38">
      <c r="A431" s="2" t="s">
        <v>26</v>
      </c>
      <c r="B431" s="2">
        <v>9963</v>
      </c>
      <c r="C431" s="2" t="s">
        <v>1964</v>
      </c>
      <c r="D431" s="2" t="s">
        <v>1965</v>
      </c>
      <c r="E431" s="4" t="s">
        <v>1305</v>
      </c>
      <c r="F431" s="2" t="s">
        <v>1969</v>
      </c>
      <c r="G431" s="2" t="s">
        <v>1970</v>
      </c>
      <c r="H431" s="2" t="s">
        <v>319</v>
      </c>
      <c r="I431" s="2" t="s">
        <v>754</v>
      </c>
      <c r="J431" s="2" t="s">
        <v>31</v>
      </c>
      <c r="K431" s="2" t="s">
        <v>31</v>
      </c>
      <c r="L431" s="2" t="s">
        <v>325</v>
      </c>
      <c r="M431" s="2" t="s">
        <v>40</v>
      </c>
      <c r="N431" s="2" t="s">
        <v>445</v>
      </c>
      <c r="O431" s="2" t="s">
        <v>136</v>
      </c>
      <c r="P431" s="2" t="s">
        <v>1739</v>
      </c>
      <c r="Q431" s="2" t="s">
        <v>412</v>
      </c>
      <c r="R431" s="2" t="s">
        <v>405</v>
      </c>
      <c r="S431" s="2" t="s">
        <v>35</v>
      </c>
      <c r="T431" s="153">
        <v>5.0140000000000002</v>
      </c>
      <c r="U431" s="2" t="s">
        <v>1971</v>
      </c>
      <c r="V431" s="165">
        <v>2.5899999999999999E-2</v>
      </c>
      <c r="W431" s="167">
        <v>2.1850000000000001E-2</v>
      </c>
      <c r="X431" s="4" t="s">
        <v>411</v>
      </c>
      <c r="Y431" s="4" t="s">
        <v>136</v>
      </c>
      <c r="Z431" s="153">
        <v>922000</v>
      </c>
      <c r="AA431" s="153">
        <v>1</v>
      </c>
      <c r="AB431" s="153">
        <v>102.82</v>
      </c>
      <c r="AC431" s="11"/>
      <c r="AD431" s="153">
        <v>948</v>
      </c>
      <c r="AG431" s="2" t="s">
        <v>37</v>
      </c>
      <c r="AH431" s="167">
        <v>0</v>
      </c>
      <c r="AI431" s="167">
        <v>3.9524814331297602E-3</v>
      </c>
      <c r="AJ431" s="167">
        <v>9.2266422120045597E-4</v>
      </c>
      <c r="AK431" s="161"/>
      <c r="AL431" s="153"/>
    </row>
    <row r="432" spans="1:38">
      <c r="A432" s="2" t="s">
        <v>26</v>
      </c>
      <c r="B432" s="2">
        <v>9963</v>
      </c>
      <c r="C432" s="2" t="s">
        <v>1972</v>
      </c>
      <c r="D432" s="2" t="s">
        <v>1973</v>
      </c>
      <c r="E432" s="4" t="s">
        <v>1305</v>
      </c>
      <c r="F432" s="2" t="s">
        <v>1974</v>
      </c>
      <c r="G432" s="2" t="s">
        <v>1975</v>
      </c>
      <c r="H432" s="2" t="s">
        <v>319</v>
      </c>
      <c r="I432" s="2" t="s">
        <v>754</v>
      </c>
      <c r="J432" s="2" t="s">
        <v>31</v>
      </c>
      <c r="K432" s="2" t="s">
        <v>31</v>
      </c>
      <c r="L432" s="2" t="s">
        <v>325</v>
      </c>
      <c r="M432" s="2" t="s">
        <v>40</v>
      </c>
      <c r="N432" s="2" t="s">
        <v>461</v>
      </c>
      <c r="O432" s="2" t="s">
        <v>136</v>
      </c>
      <c r="P432" s="2" t="s">
        <v>1752</v>
      </c>
      <c r="Q432" s="23" t="s">
        <v>1752</v>
      </c>
      <c r="R432" s="23" t="s">
        <v>1752</v>
      </c>
      <c r="S432" s="2" t="s">
        <v>35</v>
      </c>
      <c r="T432" s="153">
        <v>3.4340000000000002</v>
      </c>
      <c r="U432" s="2" t="s">
        <v>1849</v>
      </c>
      <c r="V432" s="165">
        <v>4.4999999999999998E-2</v>
      </c>
      <c r="W432" s="167">
        <v>3.8449999999999998E-2</v>
      </c>
      <c r="X432" s="4" t="s">
        <v>411</v>
      </c>
      <c r="Y432" s="4" t="s">
        <v>136</v>
      </c>
      <c r="Z432" s="153">
        <v>1497000</v>
      </c>
      <c r="AA432" s="153">
        <v>1</v>
      </c>
      <c r="AB432" s="153">
        <v>104.19</v>
      </c>
      <c r="AC432" s="11"/>
      <c r="AD432" s="153">
        <v>1559.7239999999999</v>
      </c>
      <c r="AG432" s="2" t="s">
        <v>37</v>
      </c>
      <c r="AH432" s="167">
        <v>0</v>
      </c>
      <c r="AI432" s="167">
        <v>6.5029311554629203E-3</v>
      </c>
      <c r="AJ432" s="167">
        <v>1.51803923980088E-3</v>
      </c>
      <c r="AK432" s="161"/>
      <c r="AL432" s="153"/>
    </row>
    <row r="433" spans="1:38">
      <c r="A433" s="2" t="s">
        <v>26</v>
      </c>
      <c r="B433" s="2">
        <v>9963</v>
      </c>
      <c r="C433" s="2" t="s">
        <v>1976</v>
      </c>
      <c r="D433" s="2" t="s">
        <v>1977</v>
      </c>
      <c r="E433" s="4" t="s">
        <v>1305</v>
      </c>
      <c r="F433" s="2" t="s">
        <v>1978</v>
      </c>
      <c r="G433" s="2" t="s">
        <v>1979</v>
      </c>
      <c r="H433" s="2" t="s">
        <v>319</v>
      </c>
      <c r="I433" s="2" t="s">
        <v>966</v>
      </c>
      <c r="J433" s="2" t="s">
        <v>31</v>
      </c>
      <c r="K433" s="2" t="s">
        <v>31</v>
      </c>
      <c r="L433" s="2" t="s">
        <v>325</v>
      </c>
      <c r="M433" s="2" t="s">
        <v>40</v>
      </c>
      <c r="N433" s="2" t="s">
        <v>444</v>
      </c>
      <c r="O433" s="2" t="s">
        <v>136</v>
      </c>
      <c r="P433" s="2" t="s">
        <v>1752</v>
      </c>
      <c r="Q433" s="23" t="s">
        <v>1752</v>
      </c>
      <c r="R433" s="23" t="s">
        <v>1752</v>
      </c>
      <c r="S433" s="2" t="s">
        <v>35</v>
      </c>
      <c r="T433" s="153">
        <v>2.1629999999999998</v>
      </c>
      <c r="U433" s="2" t="s">
        <v>1822</v>
      </c>
      <c r="V433" s="165">
        <v>3.95E-2</v>
      </c>
      <c r="W433" s="167">
        <v>7.1110000000000007E-2</v>
      </c>
      <c r="X433" s="4" t="s">
        <v>411</v>
      </c>
      <c r="Y433" s="4" t="s">
        <v>136</v>
      </c>
      <c r="Z433" s="153">
        <v>500000</v>
      </c>
      <c r="AA433" s="153">
        <v>1</v>
      </c>
      <c r="AB433" s="153">
        <v>94.72</v>
      </c>
      <c r="AC433" s="11"/>
      <c r="AD433" s="153">
        <v>473.6</v>
      </c>
      <c r="AG433" s="2" t="s">
        <v>37</v>
      </c>
      <c r="AH433" s="167">
        <v>5.9599999999999996E-4</v>
      </c>
      <c r="AI433" s="167">
        <v>1.9745721697272001E-3</v>
      </c>
      <c r="AJ433" s="167">
        <v>4.6094260631170201E-4</v>
      </c>
      <c r="AK433" s="161"/>
      <c r="AL433" s="153"/>
    </row>
    <row r="434" spans="1:38">
      <c r="A434" s="2" t="s">
        <v>26</v>
      </c>
      <c r="B434" s="2">
        <v>9963</v>
      </c>
      <c r="C434" s="2" t="s">
        <v>1980</v>
      </c>
      <c r="D434" s="2" t="s">
        <v>1981</v>
      </c>
      <c r="E434" s="4" t="s">
        <v>1305</v>
      </c>
      <c r="F434" s="2" t="s">
        <v>1982</v>
      </c>
      <c r="G434" s="2" t="s">
        <v>1983</v>
      </c>
      <c r="H434" s="2" t="s">
        <v>319</v>
      </c>
      <c r="I434" s="2" t="s">
        <v>754</v>
      </c>
      <c r="J434" s="2" t="s">
        <v>31</v>
      </c>
      <c r="K434" s="2" t="s">
        <v>31</v>
      </c>
      <c r="L434" s="2" t="s">
        <v>325</v>
      </c>
      <c r="M434" s="2" t="s">
        <v>40</v>
      </c>
      <c r="N434" s="2" t="s">
        <v>461</v>
      </c>
      <c r="O434" s="2" t="s">
        <v>136</v>
      </c>
      <c r="P434" s="2" t="s">
        <v>1984</v>
      </c>
      <c r="Q434" s="2" t="s">
        <v>104</v>
      </c>
      <c r="R434" s="2" t="s">
        <v>405</v>
      </c>
      <c r="S434" s="2" t="s">
        <v>35</v>
      </c>
      <c r="T434" s="153">
        <v>2.5910000000000002</v>
      </c>
      <c r="U434" s="2" t="s">
        <v>1985</v>
      </c>
      <c r="V434" s="165">
        <v>1.5800000000000002E-2</v>
      </c>
      <c r="W434" s="167">
        <v>2.0109999999999999E-2</v>
      </c>
      <c r="X434" s="4" t="s">
        <v>411</v>
      </c>
      <c r="Y434" s="4" t="s">
        <v>136</v>
      </c>
      <c r="Z434" s="153">
        <v>871392.79</v>
      </c>
      <c r="AA434" s="153">
        <v>1</v>
      </c>
      <c r="AB434" s="153">
        <v>112.1</v>
      </c>
      <c r="AC434" s="11"/>
      <c r="AD434" s="153">
        <v>976.83100000000002</v>
      </c>
      <c r="AG434" s="2" t="s">
        <v>37</v>
      </c>
      <c r="AH434" s="167">
        <v>1.8730000000000001E-3</v>
      </c>
      <c r="AI434" s="167">
        <v>4.0726856719408098E-3</v>
      </c>
      <c r="AJ434" s="167">
        <v>9.5072460611661503E-4</v>
      </c>
      <c r="AK434" s="161"/>
      <c r="AL434" s="153"/>
    </row>
    <row r="435" spans="1:38">
      <c r="A435" s="2" t="s">
        <v>26</v>
      </c>
      <c r="B435" s="2">
        <v>9963</v>
      </c>
      <c r="C435" s="2" t="s">
        <v>1980</v>
      </c>
      <c r="D435" s="2" t="s">
        <v>1981</v>
      </c>
      <c r="E435" s="4" t="s">
        <v>1305</v>
      </c>
      <c r="F435" s="2" t="s">
        <v>1986</v>
      </c>
      <c r="G435" s="2" t="s">
        <v>1987</v>
      </c>
      <c r="H435" s="2" t="s">
        <v>319</v>
      </c>
      <c r="I435" s="2" t="s">
        <v>754</v>
      </c>
      <c r="J435" s="2" t="s">
        <v>31</v>
      </c>
      <c r="K435" s="2" t="s">
        <v>31</v>
      </c>
      <c r="L435" s="2" t="s">
        <v>325</v>
      </c>
      <c r="M435" s="2" t="s">
        <v>40</v>
      </c>
      <c r="N435" s="2" t="s">
        <v>461</v>
      </c>
      <c r="O435" s="2" t="s">
        <v>136</v>
      </c>
      <c r="P435" s="2" t="s">
        <v>1984</v>
      </c>
      <c r="Q435" s="2" t="s">
        <v>104</v>
      </c>
      <c r="R435" s="2" t="s">
        <v>405</v>
      </c>
      <c r="S435" s="2" t="s">
        <v>35</v>
      </c>
      <c r="T435" s="153">
        <v>5.2309999999999999</v>
      </c>
      <c r="U435" s="2" t="s">
        <v>1988</v>
      </c>
      <c r="V435" s="165">
        <v>8.3999999999999995E-3</v>
      </c>
      <c r="W435" s="167">
        <v>2.6040000000000001E-2</v>
      </c>
      <c r="X435" s="4" t="s">
        <v>411</v>
      </c>
      <c r="Y435" s="4" t="s">
        <v>136</v>
      </c>
      <c r="Z435" s="153">
        <v>1936967.03</v>
      </c>
      <c r="AA435" s="153">
        <v>1</v>
      </c>
      <c r="AB435" s="153">
        <v>101.26</v>
      </c>
      <c r="AC435" s="11"/>
      <c r="AD435" s="153">
        <v>1961.373</v>
      </c>
      <c r="AG435" s="2" t="s">
        <v>37</v>
      </c>
      <c r="AH435" s="167">
        <v>4.3439999999999998E-3</v>
      </c>
      <c r="AI435" s="167">
        <v>8.1775172595549596E-3</v>
      </c>
      <c r="AJ435" s="167">
        <v>1.9089533300264E-3</v>
      </c>
      <c r="AK435" s="161"/>
      <c r="AL435" s="153"/>
    </row>
    <row r="436" spans="1:38">
      <c r="A436" s="2" t="s">
        <v>26</v>
      </c>
      <c r="B436" s="2">
        <v>9963</v>
      </c>
      <c r="C436" s="2" t="s">
        <v>1176</v>
      </c>
      <c r="D436" s="2" t="s">
        <v>1364</v>
      </c>
      <c r="E436" s="4" t="s">
        <v>1305</v>
      </c>
      <c r="F436" s="2" t="s">
        <v>1991</v>
      </c>
      <c r="G436" s="2" t="s">
        <v>1992</v>
      </c>
      <c r="H436" s="2" t="s">
        <v>319</v>
      </c>
      <c r="I436" s="2" t="s">
        <v>754</v>
      </c>
      <c r="J436" s="2" t="s">
        <v>31</v>
      </c>
      <c r="K436" s="2" t="s">
        <v>31</v>
      </c>
      <c r="L436" s="2" t="s">
        <v>325</v>
      </c>
      <c r="M436" s="2" t="s">
        <v>40</v>
      </c>
      <c r="N436" s="2" t="s">
        <v>445</v>
      </c>
      <c r="O436" s="2" t="s">
        <v>136</v>
      </c>
      <c r="P436" s="2" t="s">
        <v>1175</v>
      </c>
      <c r="Q436" s="2" t="s">
        <v>412</v>
      </c>
      <c r="R436" s="2" t="s">
        <v>405</v>
      </c>
      <c r="S436" s="2" t="s">
        <v>35</v>
      </c>
      <c r="T436" s="153">
        <v>3.07</v>
      </c>
      <c r="U436" s="2" t="s">
        <v>1993</v>
      </c>
      <c r="V436" s="165">
        <v>1.8599999999999998E-2</v>
      </c>
      <c r="W436" s="167">
        <v>1.8350000000000002E-2</v>
      </c>
      <c r="X436" s="4" t="s">
        <v>411</v>
      </c>
      <c r="Y436" s="4" t="s">
        <v>136</v>
      </c>
      <c r="Z436" s="153">
        <v>1497000</v>
      </c>
      <c r="AA436" s="153">
        <v>1</v>
      </c>
      <c r="AB436" s="153">
        <v>100.55</v>
      </c>
      <c r="AC436" s="11"/>
      <c r="AD436" s="153">
        <v>1505.2339999999999</v>
      </c>
      <c r="AG436" s="2" t="s">
        <v>37</v>
      </c>
      <c r="AH436" s="167">
        <v>1.219E-3</v>
      </c>
      <c r="AI436" s="167">
        <v>6.27574361917456E-3</v>
      </c>
      <c r="AJ436" s="167">
        <v>1.4650047563295699E-3</v>
      </c>
      <c r="AK436" s="161"/>
      <c r="AL436" s="153"/>
    </row>
    <row r="437" spans="1:38">
      <c r="A437" s="2" t="s">
        <v>26</v>
      </c>
      <c r="B437" s="2">
        <v>9963</v>
      </c>
      <c r="C437" s="2" t="s">
        <v>1176</v>
      </c>
      <c r="D437" s="2" t="s">
        <v>1364</v>
      </c>
      <c r="E437" s="4" t="s">
        <v>1305</v>
      </c>
      <c r="F437" s="2" t="s">
        <v>1994</v>
      </c>
      <c r="G437" s="2" t="s">
        <v>1995</v>
      </c>
      <c r="H437" s="2" t="s">
        <v>319</v>
      </c>
      <c r="I437" s="2" t="s">
        <v>754</v>
      </c>
      <c r="J437" s="2" t="s">
        <v>31</v>
      </c>
      <c r="K437" s="2" t="s">
        <v>31</v>
      </c>
      <c r="L437" s="2" t="s">
        <v>325</v>
      </c>
      <c r="M437" s="2" t="s">
        <v>40</v>
      </c>
      <c r="N437" s="2" t="s">
        <v>445</v>
      </c>
      <c r="O437" s="2" t="s">
        <v>136</v>
      </c>
      <c r="P437" s="2" t="s">
        <v>1175</v>
      </c>
      <c r="Q437" s="2" t="s">
        <v>412</v>
      </c>
      <c r="R437" s="2" t="s">
        <v>405</v>
      </c>
      <c r="S437" s="2" t="s">
        <v>35</v>
      </c>
      <c r="T437" s="153">
        <v>3.6459999999999999</v>
      </c>
      <c r="U437" s="2" t="s">
        <v>1996</v>
      </c>
      <c r="V437" s="165">
        <v>1E-3</v>
      </c>
      <c r="W437" s="167">
        <v>1.8010000000000002E-2</v>
      </c>
      <c r="X437" s="4" t="s">
        <v>411</v>
      </c>
      <c r="Y437" s="4" t="s">
        <v>136</v>
      </c>
      <c r="Z437" s="153">
        <v>3039000</v>
      </c>
      <c r="AA437" s="153">
        <v>1</v>
      </c>
      <c r="AB437" s="153">
        <v>102.55</v>
      </c>
      <c r="AC437" s="11"/>
      <c r="AD437" s="153">
        <v>3116.4940000000001</v>
      </c>
      <c r="AG437" s="2" t="s">
        <v>37</v>
      </c>
      <c r="AH437" s="167">
        <v>9.6900000000000003E-4</v>
      </c>
      <c r="AI437" s="167">
        <v>1.2993545833631499E-2</v>
      </c>
      <c r="AJ437" s="167">
        <v>3.0332033306294001E-3</v>
      </c>
      <c r="AK437" s="161"/>
      <c r="AL437" s="153"/>
    </row>
    <row r="438" spans="1:38">
      <c r="A438" s="2" t="s">
        <v>26</v>
      </c>
      <c r="B438" s="2">
        <v>9963</v>
      </c>
      <c r="C438" s="2" t="s">
        <v>1176</v>
      </c>
      <c r="D438" s="2" t="s">
        <v>1364</v>
      </c>
      <c r="E438" s="4" t="s">
        <v>1305</v>
      </c>
      <c r="F438" s="2" t="s">
        <v>1997</v>
      </c>
      <c r="G438" s="2" t="s">
        <v>1998</v>
      </c>
      <c r="H438" s="2" t="s">
        <v>319</v>
      </c>
      <c r="I438" s="2" t="s">
        <v>754</v>
      </c>
      <c r="J438" s="2" t="s">
        <v>31</v>
      </c>
      <c r="K438" s="2" t="s">
        <v>31</v>
      </c>
      <c r="L438" s="2" t="s">
        <v>325</v>
      </c>
      <c r="M438" s="2" t="s">
        <v>40</v>
      </c>
      <c r="N438" s="2" t="s">
        <v>445</v>
      </c>
      <c r="O438" s="2" t="s">
        <v>136</v>
      </c>
      <c r="P438" s="2" t="s">
        <v>1175</v>
      </c>
      <c r="Q438" s="2" t="s">
        <v>412</v>
      </c>
      <c r="R438" s="2" t="s">
        <v>405</v>
      </c>
      <c r="S438" s="2" t="s">
        <v>35</v>
      </c>
      <c r="T438" s="153">
        <v>5.54</v>
      </c>
      <c r="U438" s="2" t="s">
        <v>1999</v>
      </c>
      <c r="V438" s="165">
        <v>2.0199999999999999E-2</v>
      </c>
      <c r="W438" s="167">
        <v>2.0369999999999999E-2</v>
      </c>
      <c r="X438" s="4" t="s">
        <v>411</v>
      </c>
      <c r="Y438" s="4" t="s">
        <v>136</v>
      </c>
      <c r="Z438" s="153">
        <v>1497000</v>
      </c>
      <c r="AA438" s="153">
        <v>1</v>
      </c>
      <c r="AB438" s="153">
        <v>100.75</v>
      </c>
      <c r="AC438" s="11"/>
      <c r="AD438" s="153">
        <v>1508.2270000000001</v>
      </c>
      <c r="AG438" s="2" t="s">
        <v>37</v>
      </c>
      <c r="AH438" s="167">
        <v>7.0500000000000001E-4</v>
      </c>
      <c r="AI438" s="167">
        <v>6.2882264508387501E-3</v>
      </c>
      <c r="AJ438" s="167">
        <v>1.46791873893789E-3</v>
      </c>
      <c r="AK438" s="161"/>
      <c r="AL438" s="153"/>
    </row>
    <row r="439" spans="1:38">
      <c r="A439" s="2" t="s">
        <v>26</v>
      </c>
      <c r="B439" s="2">
        <v>9963</v>
      </c>
      <c r="C439" s="2" t="s">
        <v>1176</v>
      </c>
      <c r="D439" s="2" t="s">
        <v>1364</v>
      </c>
      <c r="E439" s="4" t="s">
        <v>1305</v>
      </c>
      <c r="F439" s="2" t="s">
        <v>2000</v>
      </c>
      <c r="G439" s="2" t="s">
        <v>2001</v>
      </c>
      <c r="H439" s="2" t="s">
        <v>319</v>
      </c>
      <c r="I439" s="2" t="s">
        <v>754</v>
      </c>
      <c r="J439" s="2" t="s">
        <v>31</v>
      </c>
      <c r="K439" s="2" t="s">
        <v>31</v>
      </c>
      <c r="L439" s="2" t="s">
        <v>325</v>
      </c>
      <c r="M439" s="2" t="s">
        <v>40</v>
      </c>
      <c r="N439" s="2" t="s">
        <v>445</v>
      </c>
      <c r="O439" s="2" t="s">
        <v>136</v>
      </c>
      <c r="P439" s="2" t="s">
        <v>1175</v>
      </c>
      <c r="Q439" s="2" t="s">
        <v>412</v>
      </c>
      <c r="R439" s="2" t="s">
        <v>405</v>
      </c>
      <c r="S439" s="2" t="s">
        <v>35</v>
      </c>
      <c r="T439" s="153">
        <v>5.6390000000000002</v>
      </c>
      <c r="U439" s="2" t="s">
        <v>2002</v>
      </c>
      <c r="V439" s="165">
        <v>1E-3</v>
      </c>
      <c r="W439" s="167">
        <v>2.069E-2</v>
      </c>
      <c r="X439" s="4" t="s">
        <v>411</v>
      </c>
      <c r="Y439" s="4" t="s">
        <v>136</v>
      </c>
      <c r="Z439" s="153">
        <v>1104000</v>
      </c>
      <c r="AA439" s="153">
        <v>1</v>
      </c>
      <c r="AB439" s="153">
        <v>97.7</v>
      </c>
      <c r="AC439" s="11"/>
      <c r="AD439" s="153">
        <v>1078.6079999999999</v>
      </c>
      <c r="AG439" s="2" t="s">
        <v>37</v>
      </c>
      <c r="AH439" s="167">
        <v>1.1100000000000001E-3</v>
      </c>
      <c r="AI439" s="167">
        <v>4.4970214080344503E-3</v>
      </c>
      <c r="AJ439" s="167">
        <v>1.0497812134895501E-3</v>
      </c>
      <c r="AK439" s="161"/>
      <c r="AL439" s="153"/>
    </row>
    <row r="440" spans="1:38">
      <c r="A440" s="2" t="s">
        <v>26</v>
      </c>
      <c r="B440" s="2">
        <v>9963</v>
      </c>
      <c r="C440" s="2" t="s">
        <v>1176</v>
      </c>
      <c r="D440" s="2" t="s">
        <v>1364</v>
      </c>
      <c r="E440" s="4" t="s">
        <v>1305</v>
      </c>
      <c r="F440" s="2" t="s">
        <v>2006</v>
      </c>
      <c r="G440" s="2" t="s">
        <v>2007</v>
      </c>
      <c r="H440" s="2" t="s">
        <v>319</v>
      </c>
      <c r="I440" s="2" t="s">
        <v>754</v>
      </c>
      <c r="J440" s="2" t="s">
        <v>31</v>
      </c>
      <c r="K440" s="2" t="s">
        <v>31</v>
      </c>
      <c r="L440" s="2" t="s">
        <v>325</v>
      </c>
      <c r="M440" s="2" t="s">
        <v>40</v>
      </c>
      <c r="N440" s="2" t="s">
        <v>445</v>
      </c>
      <c r="O440" s="2" t="s">
        <v>136</v>
      </c>
      <c r="P440" s="2" t="s">
        <v>1984</v>
      </c>
      <c r="Q440" s="2" t="s">
        <v>104</v>
      </c>
      <c r="R440" s="2" t="s">
        <v>405</v>
      </c>
      <c r="S440" s="2" t="s">
        <v>35</v>
      </c>
      <c r="T440" s="153">
        <v>3.899</v>
      </c>
      <c r="U440" s="2" t="s">
        <v>2008</v>
      </c>
      <c r="V440" s="165">
        <v>1.4999999999999999E-2</v>
      </c>
      <c r="W440" s="167">
        <v>2.6530000000000001E-2</v>
      </c>
      <c r="X440" s="4" t="s">
        <v>411</v>
      </c>
      <c r="Y440" s="4" t="s">
        <v>136</v>
      </c>
      <c r="Z440" s="153">
        <v>2000000</v>
      </c>
      <c r="AA440" s="153">
        <v>1</v>
      </c>
      <c r="AB440" s="153">
        <v>103</v>
      </c>
      <c r="AC440" s="11"/>
      <c r="AD440" s="153">
        <v>2060</v>
      </c>
      <c r="AG440" s="2" t="s">
        <v>37</v>
      </c>
      <c r="AH440" s="167">
        <v>1.4250000000000001E-3</v>
      </c>
      <c r="AI440" s="167">
        <v>8.5887218531208506E-3</v>
      </c>
      <c r="AJ440" s="167">
        <v>2.00494461360242E-3</v>
      </c>
      <c r="AK440" s="161"/>
      <c r="AL440" s="153"/>
    </row>
    <row r="441" spans="1:38">
      <c r="A441" s="2" t="s">
        <v>26</v>
      </c>
      <c r="B441" s="2">
        <v>9963</v>
      </c>
      <c r="C441" s="2" t="s">
        <v>2009</v>
      </c>
      <c r="D441" s="2" t="s">
        <v>2010</v>
      </c>
      <c r="E441" s="4" t="s">
        <v>1305</v>
      </c>
      <c r="F441" s="2" t="s">
        <v>2011</v>
      </c>
      <c r="G441" s="2" t="s">
        <v>2012</v>
      </c>
      <c r="H441" s="2" t="s">
        <v>319</v>
      </c>
      <c r="I441" s="2" t="s">
        <v>754</v>
      </c>
      <c r="J441" s="2" t="s">
        <v>31</v>
      </c>
      <c r="K441" s="2" t="s">
        <v>31</v>
      </c>
      <c r="L441" s="2" t="s">
        <v>325</v>
      </c>
      <c r="M441" s="2" t="s">
        <v>40</v>
      </c>
      <c r="N441" s="2" t="s">
        <v>448</v>
      </c>
      <c r="O441" s="2" t="s">
        <v>136</v>
      </c>
      <c r="P441" s="2" t="s">
        <v>1731</v>
      </c>
      <c r="Q441" s="2" t="s">
        <v>104</v>
      </c>
      <c r="R441" s="2" t="s">
        <v>405</v>
      </c>
      <c r="S441" s="2" t="s">
        <v>35</v>
      </c>
      <c r="T441" s="153">
        <v>3.4660000000000002</v>
      </c>
      <c r="U441" s="2" t="s">
        <v>2013</v>
      </c>
      <c r="V441" s="165">
        <v>3.73E-2</v>
      </c>
      <c r="W441" s="167">
        <v>3.4209999999999997E-2</v>
      </c>
      <c r="X441" s="4" t="s">
        <v>411</v>
      </c>
      <c r="Y441" s="4" t="s">
        <v>136</v>
      </c>
      <c r="Z441" s="153">
        <v>968000</v>
      </c>
      <c r="AA441" s="153">
        <v>1</v>
      </c>
      <c r="AB441" s="153">
        <v>105.42</v>
      </c>
      <c r="AC441" s="11"/>
      <c r="AD441" s="153">
        <v>1020.466</v>
      </c>
      <c r="AG441" s="2" t="s">
        <v>37</v>
      </c>
      <c r="AH441" s="167">
        <v>4.1190000000000003E-3</v>
      </c>
      <c r="AI441" s="167">
        <v>4.2546093199408198E-3</v>
      </c>
      <c r="AJ441" s="167">
        <v>9.9319272237211802E-4</v>
      </c>
      <c r="AK441" s="161"/>
      <c r="AL441" s="153"/>
    </row>
    <row r="442" spans="1:38">
      <c r="A442" s="2" t="s">
        <v>26</v>
      </c>
      <c r="B442" s="2">
        <v>9963</v>
      </c>
      <c r="C442" s="2" t="s">
        <v>2014</v>
      </c>
      <c r="D442" s="2" t="s">
        <v>2015</v>
      </c>
      <c r="E442" s="4" t="s">
        <v>1305</v>
      </c>
      <c r="F442" s="2" t="s">
        <v>2016</v>
      </c>
      <c r="G442" s="2" t="s">
        <v>2017</v>
      </c>
      <c r="H442" s="2" t="s">
        <v>319</v>
      </c>
      <c r="I442" s="2" t="s">
        <v>966</v>
      </c>
      <c r="J442" s="2" t="s">
        <v>73</v>
      </c>
      <c r="K442" s="2" t="s">
        <v>31</v>
      </c>
      <c r="L442" s="2" t="s">
        <v>325</v>
      </c>
      <c r="M442" s="2" t="s">
        <v>40</v>
      </c>
      <c r="N442" s="2" t="s">
        <v>444</v>
      </c>
      <c r="O442" s="2" t="s">
        <v>136</v>
      </c>
      <c r="P442" s="2" t="s">
        <v>1752</v>
      </c>
      <c r="Q442" s="23" t="s">
        <v>1752</v>
      </c>
      <c r="R442" s="23" t="s">
        <v>1752</v>
      </c>
      <c r="S442" s="2" t="s">
        <v>35</v>
      </c>
      <c r="T442" s="153">
        <v>3.8239999999999998</v>
      </c>
      <c r="U442" s="2" t="s">
        <v>2018</v>
      </c>
      <c r="V442" s="165">
        <v>8.1500000000000003E-2</v>
      </c>
      <c r="W442" s="167">
        <v>6.8169999999999994E-2</v>
      </c>
      <c r="X442" s="4" t="s">
        <v>411</v>
      </c>
      <c r="Y442" s="4" t="s">
        <v>136</v>
      </c>
      <c r="Z442" s="153">
        <v>1000000</v>
      </c>
      <c r="AA442" s="153">
        <v>1</v>
      </c>
      <c r="AB442" s="153">
        <v>105.58</v>
      </c>
      <c r="AC442" s="11"/>
      <c r="AD442" s="153">
        <v>1055.8</v>
      </c>
      <c r="AG442" s="2" t="s">
        <v>37</v>
      </c>
      <c r="AH442" s="167">
        <v>0</v>
      </c>
      <c r="AI442" s="167">
        <v>4.4019284138470801E-3</v>
      </c>
      <c r="AJ442" s="167">
        <v>1.0275827781754501E-3</v>
      </c>
      <c r="AK442" s="161"/>
      <c r="AL442" s="153"/>
    </row>
    <row r="443" spans="1:38">
      <c r="A443" s="2" t="s">
        <v>26</v>
      </c>
      <c r="B443" s="2">
        <v>9963</v>
      </c>
      <c r="C443" s="2" t="s">
        <v>1367</v>
      </c>
      <c r="D443" s="2" t="s">
        <v>1368</v>
      </c>
      <c r="E443" s="4" t="s">
        <v>1305</v>
      </c>
      <c r="F443" s="2" t="s">
        <v>2024</v>
      </c>
      <c r="G443" s="2" t="s">
        <v>2025</v>
      </c>
      <c r="H443" s="2" t="s">
        <v>319</v>
      </c>
      <c r="I443" s="2" t="s">
        <v>754</v>
      </c>
      <c r="J443" s="2" t="s">
        <v>31</v>
      </c>
      <c r="K443" s="2" t="s">
        <v>31</v>
      </c>
      <c r="L443" s="2" t="s">
        <v>325</v>
      </c>
      <c r="M443" s="2" t="s">
        <v>40</v>
      </c>
      <c r="N443" s="2" t="s">
        <v>461</v>
      </c>
      <c r="O443" s="2" t="s">
        <v>136</v>
      </c>
      <c r="P443" s="2" t="s">
        <v>1984</v>
      </c>
      <c r="Q443" s="2" t="s">
        <v>104</v>
      </c>
      <c r="R443" s="2" t="s">
        <v>405</v>
      </c>
      <c r="S443" s="2" t="s">
        <v>35</v>
      </c>
      <c r="T443" s="153">
        <v>3.903</v>
      </c>
      <c r="U443" s="2" t="s">
        <v>1926</v>
      </c>
      <c r="V443" s="165">
        <v>2.81E-2</v>
      </c>
      <c r="W443" s="167">
        <v>2.4490000000000001E-2</v>
      </c>
      <c r="X443" s="4" t="s">
        <v>411</v>
      </c>
      <c r="Y443" s="4" t="s">
        <v>136</v>
      </c>
      <c r="Z443" s="153">
        <v>1593750</v>
      </c>
      <c r="AA443" s="153">
        <v>1</v>
      </c>
      <c r="AB443" s="153">
        <v>115.32</v>
      </c>
      <c r="AC443" s="11"/>
      <c r="AD443" s="153">
        <v>1837.912</v>
      </c>
      <c r="AG443" s="2" t="s">
        <v>37</v>
      </c>
      <c r="AH443" s="167">
        <v>1.194E-3</v>
      </c>
      <c r="AI443" s="167">
        <v>7.66277633634659E-3</v>
      </c>
      <c r="AJ443" s="167">
        <v>1.7887926054114399E-3</v>
      </c>
      <c r="AK443" s="161"/>
      <c r="AL443" s="153"/>
    </row>
    <row r="444" spans="1:38">
      <c r="A444" s="2" t="s">
        <v>26</v>
      </c>
      <c r="B444" s="2">
        <v>9963</v>
      </c>
      <c r="C444" s="2" t="s">
        <v>1367</v>
      </c>
      <c r="D444" s="2" t="s">
        <v>1368</v>
      </c>
      <c r="E444" s="4" t="s">
        <v>1305</v>
      </c>
      <c r="F444" s="2" t="s">
        <v>2370</v>
      </c>
      <c r="G444" s="2" t="s">
        <v>2371</v>
      </c>
      <c r="H444" s="2" t="s">
        <v>319</v>
      </c>
      <c r="I444" s="2" t="s">
        <v>754</v>
      </c>
      <c r="J444" s="2" t="s">
        <v>31</v>
      </c>
      <c r="K444" s="2" t="s">
        <v>31</v>
      </c>
      <c r="L444" s="2" t="s">
        <v>325</v>
      </c>
      <c r="M444" s="2" t="s">
        <v>40</v>
      </c>
      <c r="N444" s="2" t="s">
        <v>461</v>
      </c>
      <c r="O444" s="2" t="s">
        <v>136</v>
      </c>
      <c r="P444" s="2" t="s">
        <v>1984</v>
      </c>
      <c r="Q444" s="2" t="s">
        <v>104</v>
      </c>
      <c r="R444" s="2" t="s">
        <v>405</v>
      </c>
      <c r="S444" s="2" t="s">
        <v>35</v>
      </c>
      <c r="T444" s="153">
        <v>2.1539999999999999</v>
      </c>
      <c r="U444" s="2" t="s">
        <v>1753</v>
      </c>
      <c r="V444" s="165">
        <v>3.6999999999999998E-2</v>
      </c>
      <c r="W444" s="167">
        <v>2.189E-2</v>
      </c>
      <c r="X444" s="4" t="s">
        <v>411</v>
      </c>
      <c r="Y444" s="4" t="s">
        <v>136</v>
      </c>
      <c r="Z444" s="153">
        <v>600000.92000000004</v>
      </c>
      <c r="AA444" s="153">
        <v>1</v>
      </c>
      <c r="AB444" s="153">
        <v>116.15</v>
      </c>
      <c r="AC444" s="11"/>
      <c r="AD444" s="153">
        <v>696.90099999999995</v>
      </c>
      <c r="AG444" s="2" t="s">
        <v>37</v>
      </c>
      <c r="AH444" s="167">
        <v>1.596E-3</v>
      </c>
      <c r="AI444" s="167">
        <v>2.9055773966875299E-3</v>
      </c>
      <c r="AJ444" s="167">
        <v>6.7827574935108801E-4</v>
      </c>
      <c r="AK444" s="161"/>
      <c r="AL444" s="153"/>
    </row>
    <row r="445" spans="1:38">
      <c r="A445" s="2" t="s">
        <v>26</v>
      </c>
      <c r="B445" s="2">
        <v>9963</v>
      </c>
      <c r="C445" s="2" t="s">
        <v>2026</v>
      </c>
      <c r="D445" s="2" t="s">
        <v>2027</v>
      </c>
      <c r="E445" s="4" t="s">
        <v>1305</v>
      </c>
      <c r="F445" s="2" t="s">
        <v>2395</v>
      </c>
      <c r="G445" s="2" t="s">
        <v>2396</v>
      </c>
      <c r="H445" s="2" t="s">
        <v>319</v>
      </c>
      <c r="I445" s="2" t="s">
        <v>754</v>
      </c>
      <c r="J445" s="2" t="s">
        <v>31</v>
      </c>
      <c r="K445" s="2" t="s">
        <v>31</v>
      </c>
      <c r="L445" s="2" t="s">
        <v>325</v>
      </c>
      <c r="M445" s="2" t="s">
        <v>40</v>
      </c>
      <c r="N445" s="2" t="s">
        <v>461</v>
      </c>
      <c r="O445" s="2" t="s">
        <v>136</v>
      </c>
      <c r="P445" s="2" t="s">
        <v>1739</v>
      </c>
      <c r="Q445" s="2" t="s">
        <v>412</v>
      </c>
      <c r="R445" s="2" t="s">
        <v>405</v>
      </c>
      <c r="S445" s="2" t="s">
        <v>35</v>
      </c>
      <c r="T445" s="153">
        <v>2.21</v>
      </c>
      <c r="U445" s="2" t="s">
        <v>2055</v>
      </c>
      <c r="V445" s="165">
        <v>1.4E-2</v>
      </c>
      <c r="W445" s="167">
        <v>2.162E-2</v>
      </c>
      <c r="X445" s="4" t="s">
        <v>411</v>
      </c>
      <c r="Y445" s="4" t="s">
        <v>136</v>
      </c>
      <c r="Z445" s="153">
        <v>704178.4</v>
      </c>
      <c r="AA445" s="153">
        <v>1</v>
      </c>
      <c r="AB445" s="153">
        <v>109.99</v>
      </c>
      <c r="AC445" s="11"/>
      <c r="AD445" s="153">
        <v>774.52599999999995</v>
      </c>
      <c r="AG445" s="2" t="s">
        <v>37</v>
      </c>
      <c r="AH445" s="167">
        <v>7.9199999999999995E-4</v>
      </c>
      <c r="AI445" s="167">
        <v>3.2292169197048501E-3</v>
      </c>
      <c r="AJ445" s="167">
        <v>7.5382591030858205E-4</v>
      </c>
      <c r="AK445" s="161"/>
      <c r="AL445" s="153"/>
    </row>
    <row r="446" spans="1:38">
      <c r="A446" s="2" t="s">
        <v>26</v>
      </c>
      <c r="B446" s="2">
        <v>9963</v>
      </c>
      <c r="C446" s="2" t="s">
        <v>2026</v>
      </c>
      <c r="D446" s="2" t="s">
        <v>2027</v>
      </c>
      <c r="E446" s="4" t="s">
        <v>1305</v>
      </c>
      <c r="F446" s="2" t="s">
        <v>2028</v>
      </c>
      <c r="G446" s="2" t="s">
        <v>2029</v>
      </c>
      <c r="H446" s="2" t="s">
        <v>319</v>
      </c>
      <c r="I446" s="2" t="s">
        <v>754</v>
      </c>
      <c r="J446" s="2" t="s">
        <v>31</v>
      </c>
      <c r="K446" s="2" t="s">
        <v>31</v>
      </c>
      <c r="L446" s="2" t="s">
        <v>325</v>
      </c>
      <c r="M446" s="2" t="s">
        <v>40</v>
      </c>
      <c r="N446" s="2" t="s">
        <v>461</v>
      </c>
      <c r="O446" s="2" t="s">
        <v>136</v>
      </c>
      <c r="P446" s="2" t="s">
        <v>1758</v>
      </c>
      <c r="Q446" s="2" t="s">
        <v>412</v>
      </c>
      <c r="R446" s="2" t="s">
        <v>405</v>
      </c>
      <c r="S446" s="2" t="s">
        <v>35</v>
      </c>
      <c r="T446" s="153">
        <v>2.077</v>
      </c>
      <c r="U446" s="2" t="s">
        <v>2030</v>
      </c>
      <c r="V446" s="165">
        <v>2.0500000000000001E-2</v>
      </c>
      <c r="W446" s="167">
        <v>2.3279999999999999E-2</v>
      </c>
      <c r="X446" s="4" t="s">
        <v>411</v>
      </c>
      <c r="Y446" s="4" t="s">
        <v>136</v>
      </c>
      <c r="Z446" s="153">
        <v>1846046.78</v>
      </c>
      <c r="AA446" s="153">
        <v>1</v>
      </c>
      <c r="AB446" s="153">
        <v>112.41</v>
      </c>
      <c r="AC446" s="11"/>
      <c r="AD446" s="153">
        <v>2075.1410000000001</v>
      </c>
      <c r="AG446" s="2" t="s">
        <v>37</v>
      </c>
      <c r="AH446" s="167">
        <v>2.4099999999999998E-3</v>
      </c>
      <c r="AI446" s="167">
        <v>8.6518497317179203E-3</v>
      </c>
      <c r="AJ446" s="167">
        <v>2.0196811369554701E-3</v>
      </c>
      <c r="AK446" s="161"/>
      <c r="AL446" s="153"/>
    </row>
    <row r="447" spans="1:38">
      <c r="A447" s="2" t="s">
        <v>26</v>
      </c>
      <c r="B447" s="2">
        <v>9963</v>
      </c>
      <c r="C447" s="2" t="s">
        <v>2035</v>
      </c>
      <c r="D447" s="2" t="s">
        <v>2036</v>
      </c>
      <c r="E447" s="4" t="s">
        <v>1305</v>
      </c>
      <c r="F447" s="2" t="s">
        <v>2040</v>
      </c>
      <c r="G447" s="2" t="s">
        <v>2041</v>
      </c>
      <c r="H447" s="2" t="s">
        <v>319</v>
      </c>
      <c r="I447" s="2" t="s">
        <v>754</v>
      </c>
      <c r="J447" s="2" t="s">
        <v>31</v>
      </c>
      <c r="K447" s="2" t="s">
        <v>31</v>
      </c>
      <c r="L447" s="2" t="s">
        <v>325</v>
      </c>
      <c r="M447" s="2" t="s">
        <v>40</v>
      </c>
      <c r="N447" s="2" t="s">
        <v>445</v>
      </c>
      <c r="O447" s="2" t="s">
        <v>136</v>
      </c>
      <c r="P447" s="2" t="s">
        <v>76</v>
      </c>
      <c r="Q447" s="2" t="s">
        <v>104</v>
      </c>
      <c r="R447" s="2" t="s">
        <v>405</v>
      </c>
      <c r="S447" s="2" t="s">
        <v>35</v>
      </c>
      <c r="T447" s="153">
        <v>4.5510000000000002</v>
      </c>
      <c r="U447" s="2" t="s">
        <v>2042</v>
      </c>
      <c r="V447" s="165">
        <v>1E-3</v>
      </c>
      <c r="W447" s="167">
        <v>1.9689999999999999E-2</v>
      </c>
      <c r="X447" s="4" t="s">
        <v>411</v>
      </c>
      <c r="Y447" s="4" t="s">
        <v>136</v>
      </c>
      <c r="Z447" s="153">
        <v>2108000</v>
      </c>
      <c r="AA447" s="153">
        <v>1</v>
      </c>
      <c r="AB447" s="153">
        <v>100.35</v>
      </c>
      <c r="AC447" s="11"/>
      <c r="AD447" s="153">
        <v>2115.3780000000002</v>
      </c>
      <c r="AG447" s="2" t="s">
        <v>37</v>
      </c>
      <c r="AH447" s="167">
        <v>6.2399999999999999E-4</v>
      </c>
      <c r="AI447" s="167">
        <v>8.8196083768014993E-3</v>
      </c>
      <c r="AJ447" s="167">
        <v>2.0588425858412899E-3</v>
      </c>
      <c r="AK447" s="161"/>
      <c r="AL447" s="153"/>
    </row>
    <row r="448" spans="1:38">
      <c r="A448" s="2" t="s">
        <v>26</v>
      </c>
      <c r="B448" s="2">
        <v>9963</v>
      </c>
      <c r="C448" s="2" t="s">
        <v>2035</v>
      </c>
      <c r="D448" s="2" t="s">
        <v>2036</v>
      </c>
      <c r="E448" s="4" t="s">
        <v>1305</v>
      </c>
      <c r="F448" s="2" t="s">
        <v>2397</v>
      </c>
      <c r="G448" s="2" t="s">
        <v>2398</v>
      </c>
      <c r="H448" s="2" t="s">
        <v>319</v>
      </c>
      <c r="I448" s="2" t="s">
        <v>754</v>
      </c>
      <c r="J448" s="2" t="s">
        <v>31</v>
      </c>
      <c r="K448" s="2" t="s">
        <v>31</v>
      </c>
      <c r="L448" s="2" t="s">
        <v>325</v>
      </c>
      <c r="M448" s="2" t="s">
        <v>40</v>
      </c>
      <c r="N448" s="2" t="s">
        <v>445</v>
      </c>
      <c r="O448" s="2" t="s">
        <v>136</v>
      </c>
      <c r="P448" s="2" t="s">
        <v>76</v>
      </c>
      <c r="Q448" s="2" t="s">
        <v>104</v>
      </c>
      <c r="R448" s="2" t="s">
        <v>405</v>
      </c>
      <c r="S448" s="2" t="s">
        <v>35</v>
      </c>
      <c r="T448" s="153">
        <v>0.91800000000000004</v>
      </c>
      <c r="U448" s="2" t="s">
        <v>2399</v>
      </c>
      <c r="V448" s="165">
        <v>9.4999999999999998E-3</v>
      </c>
      <c r="W448" s="167">
        <v>1.9959999999999999E-2</v>
      </c>
      <c r="X448" s="4" t="s">
        <v>411</v>
      </c>
      <c r="Y448" s="4" t="s">
        <v>136</v>
      </c>
      <c r="Z448" s="153">
        <v>4650</v>
      </c>
      <c r="AA448" s="153">
        <v>1</v>
      </c>
      <c r="AB448" s="153">
        <v>111.65</v>
      </c>
      <c r="AC448" s="11"/>
      <c r="AD448" s="153">
        <v>5.1920000000000002</v>
      </c>
      <c r="AG448" s="2" t="s">
        <v>37</v>
      </c>
      <c r="AH448" s="167">
        <v>1.4E-5</v>
      </c>
      <c r="AI448" s="167">
        <v>2.1645767943152401E-5</v>
      </c>
      <c r="AJ448" s="167">
        <v>5.0529713951723401E-6</v>
      </c>
      <c r="AK448" s="161"/>
      <c r="AL448" s="153"/>
    </row>
    <row r="449" spans="1:38">
      <c r="A449" s="2" t="s">
        <v>26</v>
      </c>
      <c r="B449" s="2">
        <v>9963</v>
      </c>
      <c r="C449" s="2" t="s">
        <v>2046</v>
      </c>
      <c r="D449" s="2" t="s">
        <v>2047</v>
      </c>
      <c r="E449" s="4" t="s">
        <v>1305</v>
      </c>
      <c r="F449" s="2" t="s">
        <v>2050</v>
      </c>
      <c r="G449" s="2" t="s">
        <v>2051</v>
      </c>
      <c r="H449" s="2" t="s">
        <v>319</v>
      </c>
      <c r="I449" s="2" t="s">
        <v>754</v>
      </c>
      <c r="J449" s="2" t="s">
        <v>31</v>
      </c>
      <c r="K449" s="2" t="s">
        <v>31</v>
      </c>
      <c r="L449" s="2" t="s">
        <v>325</v>
      </c>
      <c r="M449" s="2" t="s">
        <v>40</v>
      </c>
      <c r="N449" s="2" t="s">
        <v>440</v>
      </c>
      <c r="O449" s="2" t="s">
        <v>136</v>
      </c>
      <c r="P449" s="2" t="s">
        <v>1896</v>
      </c>
      <c r="Q449" s="2" t="s">
        <v>104</v>
      </c>
      <c r="R449" s="2" t="s">
        <v>405</v>
      </c>
      <c r="S449" s="2" t="s">
        <v>35</v>
      </c>
      <c r="T449" s="153">
        <v>3.4689999999999999</v>
      </c>
      <c r="U449" s="2" t="s">
        <v>2052</v>
      </c>
      <c r="V449" s="165">
        <v>0.01</v>
      </c>
      <c r="W449" s="167">
        <v>3.6119999999999999E-2</v>
      </c>
      <c r="X449" s="4" t="s">
        <v>411</v>
      </c>
      <c r="Y449" s="4" t="s">
        <v>136</v>
      </c>
      <c r="Z449" s="153">
        <v>1400000</v>
      </c>
      <c r="AA449" s="153">
        <v>1</v>
      </c>
      <c r="AB449" s="153">
        <v>99.91</v>
      </c>
      <c r="AC449" s="11"/>
      <c r="AD449" s="153">
        <v>1398.74</v>
      </c>
      <c r="AG449" s="2" t="s">
        <v>37</v>
      </c>
      <c r="AH449" s="167">
        <v>1.1820000000000001E-3</v>
      </c>
      <c r="AI449" s="167">
        <v>5.8317421382690603E-3</v>
      </c>
      <c r="AJ449" s="167">
        <v>1.3613573926360401E-3</v>
      </c>
      <c r="AK449" s="161"/>
      <c r="AL449" s="153"/>
    </row>
    <row r="450" spans="1:38">
      <c r="A450" s="2" t="s">
        <v>26</v>
      </c>
      <c r="B450" s="2">
        <v>9963</v>
      </c>
      <c r="C450" s="2" t="s">
        <v>2046</v>
      </c>
      <c r="D450" s="2" t="s">
        <v>2047</v>
      </c>
      <c r="E450" s="4" t="s">
        <v>1305</v>
      </c>
      <c r="F450" s="2" t="s">
        <v>2053</v>
      </c>
      <c r="G450" s="2" t="s">
        <v>2054</v>
      </c>
      <c r="H450" s="2" t="s">
        <v>319</v>
      </c>
      <c r="I450" s="2" t="s">
        <v>754</v>
      </c>
      <c r="J450" s="2" t="s">
        <v>31</v>
      </c>
      <c r="K450" s="2" t="s">
        <v>31</v>
      </c>
      <c r="L450" s="2" t="s">
        <v>325</v>
      </c>
      <c r="M450" s="2" t="s">
        <v>40</v>
      </c>
      <c r="N450" s="2" t="s">
        <v>440</v>
      </c>
      <c r="O450" s="2" t="s">
        <v>136</v>
      </c>
      <c r="P450" s="2" t="s">
        <v>1896</v>
      </c>
      <c r="Q450" s="2" t="s">
        <v>104</v>
      </c>
      <c r="R450" s="2" t="s">
        <v>405</v>
      </c>
      <c r="S450" s="2" t="s">
        <v>35</v>
      </c>
      <c r="T450" s="153">
        <v>2.129</v>
      </c>
      <c r="U450" s="2" t="s">
        <v>2055</v>
      </c>
      <c r="V450" s="165">
        <v>3.5400000000000001E-2</v>
      </c>
      <c r="W450" s="167">
        <v>3.2099999999999997E-2</v>
      </c>
      <c r="X450" s="4" t="s">
        <v>411</v>
      </c>
      <c r="Y450" s="4" t="s">
        <v>136</v>
      </c>
      <c r="Z450" s="153">
        <v>400000</v>
      </c>
      <c r="AA450" s="153">
        <v>1</v>
      </c>
      <c r="AB450" s="153">
        <v>104.17</v>
      </c>
      <c r="AC450" s="11"/>
      <c r="AD450" s="153">
        <v>416.68</v>
      </c>
      <c r="AG450" s="2" t="s">
        <v>37</v>
      </c>
      <c r="AH450" s="167">
        <v>5.8200000000000005E-4</v>
      </c>
      <c r="AI450" s="167">
        <v>1.73725661250408E-3</v>
      </c>
      <c r="AJ450" s="167">
        <v>4.05543845434882E-4</v>
      </c>
      <c r="AK450" s="161"/>
      <c r="AL450" s="153"/>
    </row>
    <row r="451" spans="1:38">
      <c r="A451" s="2" t="s">
        <v>26</v>
      </c>
      <c r="B451" s="2">
        <v>9963</v>
      </c>
      <c r="C451" s="2" t="s">
        <v>2046</v>
      </c>
      <c r="D451" s="2" t="s">
        <v>2047</v>
      </c>
      <c r="E451" s="4" t="s">
        <v>1305</v>
      </c>
      <c r="F451" s="2" t="s">
        <v>2056</v>
      </c>
      <c r="G451" s="2" t="s">
        <v>2057</v>
      </c>
      <c r="H451" s="2" t="s">
        <v>319</v>
      </c>
      <c r="I451" s="2" t="s">
        <v>754</v>
      </c>
      <c r="J451" s="2" t="s">
        <v>31</v>
      </c>
      <c r="K451" s="2" t="s">
        <v>31</v>
      </c>
      <c r="L451" s="2" t="s">
        <v>325</v>
      </c>
      <c r="M451" s="2" t="s">
        <v>40</v>
      </c>
      <c r="N451" s="2" t="s">
        <v>440</v>
      </c>
      <c r="O451" s="2" t="s">
        <v>136</v>
      </c>
      <c r="P451" s="2" t="s">
        <v>1896</v>
      </c>
      <c r="Q451" s="2" t="s">
        <v>104</v>
      </c>
      <c r="R451" s="2" t="s">
        <v>405</v>
      </c>
      <c r="S451" s="2" t="s">
        <v>35</v>
      </c>
      <c r="T451" s="153">
        <v>0.90300000000000002</v>
      </c>
      <c r="U451" s="2" t="s">
        <v>2058</v>
      </c>
      <c r="V451" s="165">
        <v>0.01</v>
      </c>
      <c r="W451" s="167">
        <v>2.2270000000000002E-2</v>
      </c>
      <c r="X451" s="4" t="s">
        <v>411</v>
      </c>
      <c r="Y451" s="4" t="s">
        <v>136</v>
      </c>
      <c r="Z451" s="153">
        <v>2181963.6800000002</v>
      </c>
      <c r="AA451" s="153">
        <v>1</v>
      </c>
      <c r="AB451" s="153">
        <v>109.27</v>
      </c>
      <c r="AC451" s="11"/>
      <c r="AD451" s="153">
        <v>2384.232</v>
      </c>
      <c r="AG451" s="2" t="s">
        <v>37</v>
      </c>
      <c r="AH451" s="167">
        <v>2.294E-3</v>
      </c>
      <c r="AI451" s="167">
        <v>9.9405354453955992E-3</v>
      </c>
      <c r="AJ451" s="167">
        <v>2.3205109372971301E-3</v>
      </c>
      <c r="AK451" s="161"/>
      <c r="AL451" s="153"/>
    </row>
    <row r="452" spans="1:38">
      <c r="A452" s="2" t="s">
        <v>26</v>
      </c>
      <c r="B452" s="2">
        <v>9963</v>
      </c>
      <c r="C452" s="2" t="s">
        <v>2400</v>
      </c>
      <c r="D452" s="2" t="s">
        <v>2401</v>
      </c>
      <c r="E452" s="4" t="s">
        <v>1305</v>
      </c>
      <c r="F452" s="2" t="s">
        <v>2402</v>
      </c>
      <c r="G452" s="2" t="s">
        <v>2403</v>
      </c>
      <c r="H452" s="2" t="s">
        <v>319</v>
      </c>
      <c r="I452" s="2" t="s">
        <v>966</v>
      </c>
      <c r="J452" s="2" t="s">
        <v>31</v>
      </c>
      <c r="K452" s="2" t="s">
        <v>31</v>
      </c>
      <c r="L452" s="2" t="s">
        <v>325</v>
      </c>
      <c r="M452" s="2" t="s">
        <v>40</v>
      </c>
      <c r="N452" s="2" t="s">
        <v>440</v>
      </c>
      <c r="O452" s="2" t="s">
        <v>136</v>
      </c>
      <c r="P452" s="2" t="s">
        <v>1720</v>
      </c>
      <c r="Q452" s="2" t="s">
        <v>104</v>
      </c>
      <c r="R452" s="2" t="s">
        <v>405</v>
      </c>
      <c r="S452" s="2" t="s">
        <v>35</v>
      </c>
      <c r="T452" s="153">
        <v>1.181</v>
      </c>
      <c r="U452" s="2" t="s">
        <v>1788</v>
      </c>
      <c r="V452" s="165">
        <v>9.4500000000000001E-2</v>
      </c>
      <c r="W452" s="167">
        <v>7.4789999999999995E-2</v>
      </c>
      <c r="X452" s="4" t="s">
        <v>411</v>
      </c>
      <c r="Y452" s="4" t="s">
        <v>136</v>
      </c>
      <c r="Z452" s="153">
        <v>0.17</v>
      </c>
      <c r="AA452" s="153">
        <v>1</v>
      </c>
      <c r="AB452" s="153">
        <v>102.58</v>
      </c>
      <c r="AC452" s="11"/>
      <c r="AD452" s="153">
        <v>0</v>
      </c>
      <c r="AG452" s="2" t="s">
        <v>37</v>
      </c>
      <c r="AH452" s="167">
        <v>0</v>
      </c>
      <c r="AI452" s="167">
        <v>7.2706448984385106E-10</v>
      </c>
      <c r="AJ452" s="167">
        <v>1.69725374460035E-10</v>
      </c>
      <c r="AK452" s="161"/>
      <c r="AL452" s="153"/>
    </row>
    <row r="453" spans="1:38">
      <c r="A453" s="2" t="s">
        <v>26</v>
      </c>
      <c r="B453" s="2">
        <v>9963</v>
      </c>
      <c r="C453" s="2" t="s">
        <v>1526</v>
      </c>
      <c r="D453" s="2" t="s">
        <v>1527</v>
      </c>
      <c r="E453" s="4" t="s">
        <v>1305</v>
      </c>
      <c r="F453" s="2" t="s">
        <v>2059</v>
      </c>
      <c r="G453" s="2" t="s">
        <v>2060</v>
      </c>
      <c r="H453" s="2" t="s">
        <v>319</v>
      </c>
      <c r="I453" s="2" t="s">
        <v>754</v>
      </c>
      <c r="J453" s="2" t="s">
        <v>31</v>
      </c>
      <c r="K453" s="2" t="s">
        <v>31</v>
      </c>
      <c r="L453" s="2" t="s">
        <v>325</v>
      </c>
      <c r="M453" s="2" t="s">
        <v>40</v>
      </c>
      <c r="N453" s="2" t="s">
        <v>461</v>
      </c>
      <c r="O453" s="2" t="s">
        <v>136</v>
      </c>
      <c r="P453" s="2" t="s">
        <v>1748</v>
      </c>
      <c r="Q453" s="2" t="s">
        <v>412</v>
      </c>
      <c r="R453" s="2" t="s">
        <v>405</v>
      </c>
      <c r="S453" s="2" t="s">
        <v>35</v>
      </c>
      <c r="T453" s="153">
        <v>4.7629999999999999</v>
      </c>
      <c r="U453" s="2" t="s">
        <v>1773</v>
      </c>
      <c r="V453" s="165">
        <v>1.43E-2</v>
      </c>
      <c r="W453" s="167">
        <v>2.5770000000000001E-2</v>
      </c>
      <c r="X453" s="4" t="s">
        <v>411</v>
      </c>
      <c r="Y453" s="4" t="s">
        <v>136</v>
      </c>
      <c r="Z453" s="153">
        <v>1900000</v>
      </c>
      <c r="AA453" s="153">
        <v>1</v>
      </c>
      <c r="AB453" s="153">
        <v>105.95</v>
      </c>
      <c r="AC453" s="11"/>
      <c r="AD453" s="153">
        <v>2013.05</v>
      </c>
      <c r="AG453" s="2" t="s">
        <v>37</v>
      </c>
      <c r="AH453" s="167">
        <v>1.6720000000000001E-3</v>
      </c>
      <c r="AI453" s="167">
        <v>8.3929740419538493E-3</v>
      </c>
      <c r="AJ453" s="167">
        <v>1.9592493953458001E-3</v>
      </c>
      <c r="AK453" s="161"/>
      <c r="AL453" s="153"/>
    </row>
    <row r="454" spans="1:38">
      <c r="A454" s="2" t="s">
        <v>26</v>
      </c>
      <c r="B454" s="2">
        <v>9963</v>
      </c>
      <c r="C454" s="2" t="s">
        <v>1526</v>
      </c>
      <c r="D454" s="2" t="s">
        <v>1527</v>
      </c>
      <c r="E454" s="4" t="s">
        <v>1305</v>
      </c>
      <c r="F454" s="2" t="s">
        <v>2064</v>
      </c>
      <c r="G454" s="2" t="s">
        <v>2065</v>
      </c>
      <c r="H454" s="2" t="s">
        <v>319</v>
      </c>
      <c r="I454" s="2" t="s">
        <v>754</v>
      </c>
      <c r="J454" s="2" t="s">
        <v>31</v>
      </c>
      <c r="K454" s="2" t="s">
        <v>31</v>
      </c>
      <c r="L454" s="2" t="s">
        <v>325</v>
      </c>
      <c r="M454" s="2" t="s">
        <v>40</v>
      </c>
      <c r="N454" s="2" t="s">
        <v>461</v>
      </c>
      <c r="O454" s="2" t="s">
        <v>136</v>
      </c>
      <c r="P454" s="2" t="s">
        <v>1748</v>
      </c>
      <c r="Q454" s="2" t="s">
        <v>412</v>
      </c>
      <c r="R454" s="2" t="s">
        <v>405</v>
      </c>
      <c r="S454" s="2" t="s">
        <v>35</v>
      </c>
      <c r="T454" s="153">
        <v>5.657</v>
      </c>
      <c r="U454" s="2" t="s">
        <v>2066</v>
      </c>
      <c r="V454" s="165">
        <v>2.5000000000000001E-3</v>
      </c>
      <c r="W454" s="167">
        <v>2.648E-2</v>
      </c>
      <c r="X454" s="4" t="s">
        <v>411</v>
      </c>
      <c r="Y454" s="4" t="s">
        <v>136</v>
      </c>
      <c r="Z454" s="153">
        <v>1756800</v>
      </c>
      <c r="AA454" s="153">
        <v>1</v>
      </c>
      <c r="AB454" s="153">
        <v>95.66</v>
      </c>
      <c r="AC454" s="11"/>
      <c r="AD454" s="153">
        <v>1680.5550000000001</v>
      </c>
      <c r="AG454" s="2" t="s">
        <v>37</v>
      </c>
      <c r="AH454" s="167">
        <v>1.354E-3</v>
      </c>
      <c r="AI454" s="167">
        <v>7.0067079724392698E-3</v>
      </c>
      <c r="AJ454" s="167">
        <v>1.6356405119025499E-3</v>
      </c>
      <c r="AK454" s="161"/>
      <c r="AL454" s="153"/>
    </row>
    <row r="455" spans="1:38">
      <c r="A455" s="2" t="s">
        <v>26</v>
      </c>
      <c r="B455" s="2">
        <v>9963</v>
      </c>
      <c r="C455" s="2" t="s">
        <v>2067</v>
      </c>
      <c r="D455" s="2" t="s">
        <v>2068</v>
      </c>
      <c r="E455" s="4" t="s">
        <v>1305</v>
      </c>
      <c r="F455" s="2" t="s">
        <v>2069</v>
      </c>
      <c r="G455" s="2" t="s">
        <v>2070</v>
      </c>
      <c r="H455" s="2" t="s">
        <v>319</v>
      </c>
      <c r="I455" s="2" t="s">
        <v>966</v>
      </c>
      <c r="J455" s="2" t="s">
        <v>31</v>
      </c>
      <c r="K455" s="2" t="s">
        <v>31</v>
      </c>
      <c r="L455" s="2" t="s">
        <v>325</v>
      </c>
      <c r="M455" s="2" t="s">
        <v>40</v>
      </c>
      <c r="N455" s="2" t="s">
        <v>440</v>
      </c>
      <c r="O455" s="2" t="s">
        <v>136</v>
      </c>
      <c r="P455" s="2" t="s">
        <v>1890</v>
      </c>
      <c r="Q455" s="2" t="s">
        <v>412</v>
      </c>
      <c r="R455" s="2" t="s">
        <v>405</v>
      </c>
      <c r="S455" s="2" t="s">
        <v>35</v>
      </c>
      <c r="T455" s="153">
        <v>1.169</v>
      </c>
      <c r="U455" s="2" t="s">
        <v>2071</v>
      </c>
      <c r="V455" s="165">
        <v>3.4000000000000002E-2</v>
      </c>
      <c r="W455" s="167">
        <v>0.17133999999999999</v>
      </c>
      <c r="X455" s="4" t="s">
        <v>411</v>
      </c>
      <c r="Y455" s="4" t="s">
        <v>136</v>
      </c>
      <c r="Z455" s="153">
        <v>1867200</v>
      </c>
      <c r="AA455" s="153">
        <v>1</v>
      </c>
      <c r="AB455" s="153">
        <v>86.38</v>
      </c>
      <c r="AC455" s="11"/>
      <c r="AD455" s="153">
        <v>1612.8869999999999</v>
      </c>
      <c r="AG455" s="2" t="s">
        <v>37</v>
      </c>
      <c r="AH455" s="167">
        <v>7.5820000000000002E-3</v>
      </c>
      <c r="AI455" s="167">
        <v>6.7245829686671801E-3</v>
      </c>
      <c r="AJ455" s="167">
        <v>1.56978146833953E-3</v>
      </c>
      <c r="AK455" s="161"/>
      <c r="AL455" s="153"/>
    </row>
    <row r="456" spans="1:38">
      <c r="A456" s="2" t="s">
        <v>26</v>
      </c>
      <c r="B456" s="2">
        <v>9963</v>
      </c>
      <c r="C456" s="2" t="s">
        <v>2067</v>
      </c>
      <c r="D456" s="2" t="s">
        <v>2068</v>
      </c>
      <c r="E456" s="4" t="s">
        <v>1305</v>
      </c>
      <c r="F456" s="2" t="s">
        <v>2072</v>
      </c>
      <c r="G456" s="2" t="s">
        <v>2073</v>
      </c>
      <c r="H456" s="2" t="s">
        <v>319</v>
      </c>
      <c r="I456" s="2" t="s">
        <v>966</v>
      </c>
      <c r="J456" s="2" t="s">
        <v>31</v>
      </c>
      <c r="K456" s="2" t="s">
        <v>31</v>
      </c>
      <c r="L456" s="2" t="s">
        <v>325</v>
      </c>
      <c r="M456" s="2" t="s">
        <v>40</v>
      </c>
      <c r="N456" s="2" t="s">
        <v>440</v>
      </c>
      <c r="O456" s="2" t="s">
        <v>136</v>
      </c>
      <c r="P456" s="2" t="s">
        <v>1890</v>
      </c>
      <c r="Q456" s="2" t="s">
        <v>412</v>
      </c>
      <c r="R456" s="2" t="s">
        <v>405</v>
      </c>
      <c r="S456" s="2" t="s">
        <v>35</v>
      </c>
      <c r="T456" s="153">
        <v>1.8029999999999999</v>
      </c>
      <c r="U456" s="2" t="s">
        <v>1822</v>
      </c>
      <c r="V456" s="165">
        <v>8.6999999999999994E-2</v>
      </c>
      <c r="W456" s="167">
        <v>0.20196</v>
      </c>
      <c r="X456" s="4" t="s">
        <v>411</v>
      </c>
      <c r="Y456" s="4" t="s">
        <v>136</v>
      </c>
      <c r="Z456" s="153">
        <v>1331913</v>
      </c>
      <c r="AA456" s="153">
        <v>1</v>
      </c>
      <c r="AB456" s="153">
        <v>85.15</v>
      </c>
      <c r="AC456" s="11"/>
      <c r="AD456" s="153">
        <v>1134.124</v>
      </c>
      <c r="AG456" s="2" t="s">
        <v>37</v>
      </c>
      <c r="AH456" s="167">
        <v>1.0963000000000001E-2</v>
      </c>
      <c r="AI456" s="167">
        <v>4.7284829570663697E-3</v>
      </c>
      <c r="AJ456" s="167">
        <v>1.10381341920349E-3</v>
      </c>
      <c r="AK456" s="161"/>
      <c r="AL456" s="153"/>
    </row>
    <row r="457" spans="1:38">
      <c r="A457" s="2" t="s">
        <v>26</v>
      </c>
      <c r="B457" s="2">
        <v>9963</v>
      </c>
      <c r="C457" s="2" t="s">
        <v>2074</v>
      </c>
      <c r="D457" s="2" t="s">
        <v>2075</v>
      </c>
      <c r="E457" s="4" t="s">
        <v>1305</v>
      </c>
      <c r="F457" s="2" t="s">
        <v>2076</v>
      </c>
      <c r="G457" s="2" t="s">
        <v>2077</v>
      </c>
      <c r="H457" s="2" t="s">
        <v>319</v>
      </c>
      <c r="I457" s="2" t="s">
        <v>966</v>
      </c>
      <c r="J457" s="2" t="s">
        <v>31</v>
      </c>
      <c r="K457" s="2" t="s">
        <v>31</v>
      </c>
      <c r="L457" s="2" t="s">
        <v>325</v>
      </c>
      <c r="M457" s="2" t="s">
        <v>40</v>
      </c>
      <c r="N457" s="2" t="s">
        <v>440</v>
      </c>
      <c r="O457" s="2" t="s">
        <v>136</v>
      </c>
      <c r="P457" s="2" t="s">
        <v>1720</v>
      </c>
      <c r="Q457" s="2" t="s">
        <v>104</v>
      </c>
      <c r="R457" s="2" t="s">
        <v>405</v>
      </c>
      <c r="S457" s="2" t="s">
        <v>35</v>
      </c>
      <c r="T457" s="153">
        <v>1.4410000000000001</v>
      </c>
      <c r="U457" s="2" t="s">
        <v>2078</v>
      </c>
      <c r="V457" s="165">
        <v>0.114</v>
      </c>
      <c r="W457" s="167">
        <v>6.4250000000000002E-2</v>
      </c>
      <c r="X457" s="4" t="s">
        <v>411</v>
      </c>
      <c r="Y457" s="4" t="s">
        <v>136</v>
      </c>
      <c r="Z457" s="153">
        <v>1996000</v>
      </c>
      <c r="AA457" s="153">
        <v>1</v>
      </c>
      <c r="AB457" s="153">
        <v>100.84</v>
      </c>
      <c r="AC457" s="11"/>
      <c r="AD457" s="153">
        <v>2012.7660000000001</v>
      </c>
      <c r="AG457" s="2" t="s">
        <v>37</v>
      </c>
      <c r="AH457" s="167">
        <v>6.2370000000000004E-3</v>
      </c>
      <c r="AI457" s="167">
        <v>8.3917916334501907E-3</v>
      </c>
      <c r="AJ457" s="167">
        <v>1.9589733748155E-3</v>
      </c>
      <c r="AK457" s="161"/>
      <c r="AL457" s="153"/>
    </row>
    <row r="458" spans="1:38">
      <c r="A458" s="2" t="s">
        <v>26</v>
      </c>
      <c r="B458" s="2">
        <v>9963</v>
      </c>
      <c r="C458" s="2" t="s">
        <v>2079</v>
      </c>
      <c r="D458" s="2" t="s">
        <v>2080</v>
      </c>
      <c r="E458" s="4" t="s">
        <v>1305</v>
      </c>
      <c r="F458" s="2" t="s">
        <v>2081</v>
      </c>
      <c r="G458" s="2" t="s">
        <v>2082</v>
      </c>
      <c r="H458" s="2" t="s">
        <v>319</v>
      </c>
      <c r="I458" s="2" t="s">
        <v>754</v>
      </c>
      <c r="J458" s="2" t="s">
        <v>31</v>
      </c>
      <c r="K458" s="2" t="s">
        <v>31</v>
      </c>
      <c r="L458" s="2" t="s">
        <v>325</v>
      </c>
      <c r="M458" s="2" t="s">
        <v>40</v>
      </c>
      <c r="N458" s="2" t="s">
        <v>444</v>
      </c>
      <c r="O458" s="2" t="s">
        <v>136</v>
      </c>
      <c r="P458" s="2" t="s">
        <v>2083</v>
      </c>
      <c r="Q458" s="2" t="s">
        <v>104</v>
      </c>
      <c r="R458" s="2" t="s">
        <v>405</v>
      </c>
      <c r="S458" s="2" t="s">
        <v>35</v>
      </c>
      <c r="T458" s="153">
        <v>3.6669999999999998</v>
      </c>
      <c r="U458" s="2" t="s">
        <v>2084</v>
      </c>
      <c r="V458" s="165">
        <v>2.07E-2</v>
      </c>
      <c r="W458" s="167">
        <v>4.2130000000000001E-2</v>
      </c>
      <c r="X458" s="4" t="s">
        <v>411</v>
      </c>
      <c r="Y458" s="4" t="s">
        <v>136</v>
      </c>
      <c r="Z458" s="153">
        <v>900000</v>
      </c>
      <c r="AA458" s="153">
        <v>1</v>
      </c>
      <c r="AB458" s="153">
        <v>101.49</v>
      </c>
      <c r="AC458" s="11"/>
      <c r="AD458" s="153">
        <v>913.41</v>
      </c>
      <c r="AG458" s="2" t="s">
        <v>37</v>
      </c>
      <c r="AH458" s="167">
        <v>1.9419999999999999E-3</v>
      </c>
      <c r="AI458" s="167">
        <v>3.8082642853685001E-3</v>
      </c>
      <c r="AJ458" s="167">
        <v>8.8899828131581895E-4</v>
      </c>
      <c r="AK458" s="161"/>
      <c r="AL458" s="153"/>
    </row>
    <row r="459" spans="1:38">
      <c r="A459" s="2" t="s">
        <v>26</v>
      </c>
      <c r="B459" s="2">
        <v>9963</v>
      </c>
      <c r="C459" s="2" t="s">
        <v>2079</v>
      </c>
      <c r="D459" s="2" t="s">
        <v>2080</v>
      </c>
      <c r="E459" s="4" t="s">
        <v>1305</v>
      </c>
      <c r="F459" s="2" t="s">
        <v>2085</v>
      </c>
      <c r="G459" s="2" t="s">
        <v>2082</v>
      </c>
      <c r="H459" s="2" t="s">
        <v>319</v>
      </c>
      <c r="I459" s="2" t="s">
        <v>754</v>
      </c>
      <c r="J459" s="2" t="s">
        <v>31</v>
      </c>
      <c r="K459" s="2" t="s">
        <v>31</v>
      </c>
      <c r="L459" s="23" t="s">
        <v>327</v>
      </c>
      <c r="M459" s="2" t="s">
        <v>40</v>
      </c>
      <c r="N459" s="2" t="s">
        <v>444</v>
      </c>
      <c r="O459" s="2" t="s">
        <v>136</v>
      </c>
      <c r="P459" s="2" t="s">
        <v>2083</v>
      </c>
      <c r="Q459" s="2" t="s">
        <v>104</v>
      </c>
      <c r="R459" s="2" t="s">
        <v>405</v>
      </c>
      <c r="S459" s="2" t="s">
        <v>35</v>
      </c>
      <c r="T459" s="158" t="s">
        <v>2845</v>
      </c>
      <c r="U459" s="2" t="s">
        <v>2084</v>
      </c>
      <c r="V459" s="165">
        <v>1.8200000000000001E-2</v>
      </c>
      <c r="W459" s="167">
        <v>4.2099999999999999E-2</v>
      </c>
      <c r="X459" s="4" t="s">
        <v>411</v>
      </c>
      <c r="Y459" s="4" t="s">
        <v>136</v>
      </c>
      <c r="Z459" s="153">
        <v>2123000</v>
      </c>
      <c r="AA459" s="153">
        <v>1</v>
      </c>
      <c r="AB459" s="153">
        <v>100.203</v>
      </c>
      <c r="AC459" s="11"/>
      <c r="AD459" s="153">
        <v>2127.31</v>
      </c>
      <c r="AG459" s="2" t="s">
        <v>37</v>
      </c>
      <c r="AH459" s="167">
        <v>0</v>
      </c>
      <c r="AI459" s="167">
        <v>8.8693549625527904E-3</v>
      </c>
      <c r="AJ459" s="167">
        <v>2.07045539049987E-3</v>
      </c>
      <c r="AK459" s="161"/>
      <c r="AL459" s="153"/>
    </row>
    <row r="460" spans="1:38">
      <c r="A460" s="2" t="s">
        <v>26</v>
      </c>
      <c r="B460" s="2">
        <v>9963</v>
      </c>
      <c r="C460" s="2" t="s">
        <v>2404</v>
      </c>
      <c r="D460" s="2" t="s">
        <v>2405</v>
      </c>
      <c r="E460" s="4" t="s">
        <v>1305</v>
      </c>
      <c r="F460" s="2" t="s">
        <v>2406</v>
      </c>
      <c r="G460" s="2" t="s">
        <v>2407</v>
      </c>
      <c r="H460" s="2" t="s">
        <v>319</v>
      </c>
      <c r="I460" s="2" t="s">
        <v>966</v>
      </c>
      <c r="J460" s="2" t="s">
        <v>31</v>
      </c>
      <c r="K460" s="2" t="s">
        <v>31</v>
      </c>
      <c r="L460" s="2" t="s">
        <v>325</v>
      </c>
      <c r="M460" s="2" t="s">
        <v>40</v>
      </c>
      <c r="N460" s="2" t="s">
        <v>440</v>
      </c>
      <c r="O460" s="2" t="s">
        <v>136</v>
      </c>
      <c r="P460" s="2" t="s">
        <v>1772</v>
      </c>
      <c r="Q460" s="2" t="s">
        <v>412</v>
      </c>
      <c r="R460" s="2" t="s">
        <v>405</v>
      </c>
      <c r="S460" s="2" t="s">
        <v>35</v>
      </c>
      <c r="T460" s="153">
        <v>6.6</v>
      </c>
      <c r="U460" s="2" t="s">
        <v>2353</v>
      </c>
      <c r="V460" s="165">
        <v>1.55E-2</v>
      </c>
      <c r="W460" s="167">
        <v>6.3500000000000001E-2</v>
      </c>
      <c r="X460" s="4" t="s">
        <v>411</v>
      </c>
      <c r="Y460" s="4" t="s">
        <v>136</v>
      </c>
      <c r="Z460" s="153">
        <v>654545.46</v>
      </c>
      <c r="AA460" s="153">
        <v>1</v>
      </c>
      <c r="AB460" s="153">
        <v>95.72</v>
      </c>
      <c r="AC460" s="11"/>
      <c r="AD460" s="153">
        <v>626.53099999999995</v>
      </c>
      <c r="AG460" s="2" t="s">
        <v>37</v>
      </c>
      <c r="AH460" s="167">
        <v>5.7809999999999997E-3</v>
      </c>
      <c r="AI460" s="167">
        <v>2.6121843472850801E-3</v>
      </c>
      <c r="AJ460" s="167">
        <v>6.0978630189575001E-4</v>
      </c>
      <c r="AK460" s="161"/>
      <c r="AL460" s="153"/>
    </row>
    <row r="461" spans="1:38">
      <c r="A461" s="2" t="s">
        <v>26</v>
      </c>
      <c r="B461" s="2">
        <v>9963</v>
      </c>
      <c r="C461" s="2" t="s">
        <v>1534</v>
      </c>
      <c r="D461" s="2" t="s">
        <v>1535</v>
      </c>
      <c r="E461" s="4" t="s">
        <v>1305</v>
      </c>
      <c r="F461" s="2" t="s">
        <v>2086</v>
      </c>
      <c r="G461" s="2" t="s">
        <v>2087</v>
      </c>
      <c r="H461" s="2" t="s">
        <v>319</v>
      </c>
      <c r="I461" s="2" t="s">
        <v>966</v>
      </c>
      <c r="J461" s="2" t="s">
        <v>31</v>
      </c>
      <c r="K461" s="2" t="s">
        <v>74</v>
      </c>
      <c r="L461" s="23" t="s">
        <v>327</v>
      </c>
      <c r="M461" s="2" t="s">
        <v>40</v>
      </c>
      <c r="N461" s="2" t="s">
        <v>451</v>
      </c>
      <c r="O461" s="2" t="s">
        <v>136</v>
      </c>
      <c r="P461" s="2" t="s">
        <v>1724</v>
      </c>
      <c r="Q461" s="2" t="s">
        <v>412</v>
      </c>
      <c r="R461" s="2" t="s">
        <v>405</v>
      </c>
      <c r="S461" s="2" t="s">
        <v>35</v>
      </c>
      <c r="T461" s="153">
        <v>3.52</v>
      </c>
      <c r="U461" s="2" t="s">
        <v>2088</v>
      </c>
      <c r="V461" s="165">
        <v>6.5000000000000002E-2</v>
      </c>
      <c r="W461" s="167">
        <v>6.1499999999999999E-2</v>
      </c>
      <c r="X461" s="4" t="s">
        <v>411</v>
      </c>
      <c r="Y461" s="4" t="s">
        <v>136</v>
      </c>
      <c r="Z461" s="153">
        <v>2000000</v>
      </c>
      <c r="AA461" s="153">
        <v>1</v>
      </c>
      <c r="AB461" s="153">
        <v>101.78</v>
      </c>
      <c r="AC461" s="11"/>
      <c r="AD461" s="153">
        <v>2035.6020000000001</v>
      </c>
      <c r="AG461" s="2" t="s">
        <v>37</v>
      </c>
      <c r="AH461" s="167">
        <v>0</v>
      </c>
      <c r="AI461" s="167">
        <v>8.4869996998332593E-3</v>
      </c>
      <c r="AJ461" s="167">
        <v>1.9811986724943302E-3</v>
      </c>
      <c r="AK461" s="161"/>
      <c r="AL461" s="153"/>
    </row>
    <row r="462" spans="1:38">
      <c r="A462" s="2" t="s">
        <v>26</v>
      </c>
      <c r="B462" s="2">
        <v>9963</v>
      </c>
      <c r="C462" s="2" t="s">
        <v>1534</v>
      </c>
      <c r="D462" s="2" t="s">
        <v>1535</v>
      </c>
      <c r="E462" s="4" t="s">
        <v>1305</v>
      </c>
      <c r="F462" s="2" t="s">
        <v>2089</v>
      </c>
      <c r="G462" s="2" t="s">
        <v>2090</v>
      </c>
      <c r="H462" s="2" t="s">
        <v>319</v>
      </c>
      <c r="I462" s="2" t="s">
        <v>966</v>
      </c>
      <c r="J462" s="2" t="s">
        <v>31</v>
      </c>
      <c r="K462" s="2" t="s">
        <v>31</v>
      </c>
      <c r="L462" s="2" t="s">
        <v>325</v>
      </c>
      <c r="M462" s="2" t="s">
        <v>32</v>
      </c>
      <c r="N462" s="2" t="s">
        <v>451</v>
      </c>
      <c r="O462" s="2" t="s">
        <v>136</v>
      </c>
      <c r="P462" s="2" t="s">
        <v>1724</v>
      </c>
      <c r="Q462" s="2" t="s">
        <v>412</v>
      </c>
      <c r="R462" s="2" t="s">
        <v>405</v>
      </c>
      <c r="S462" s="2" t="s">
        <v>35</v>
      </c>
      <c r="T462" s="153">
        <v>4.1399999999999997</v>
      </c>
      <c r="U462" s="2" t="s">
        <v>1767</v>
      </c>
      <c r="V462" s="165">
        <v>6.7000000000000004E-2</v>
      </c>
      <c r="W462" s="167">
        <v>6.089E-2</v>
      </c>
      <c r="X462" s="4" t="s">
        <v>411</v>
      </c>
      <c r="Y462" s="4" t="s">
        <v>136</v>
      </c>
      <c r="Z462" s="153">
        <v>1668000</v>
      </c>
      <c r="AA462" s="153">
        <v>1</v>
      </c>
      <c r="AB462" s="153">
        <v>103.21</v>
      </c>
      <c r="AC462" s="11"/>
      <c r="AD462" s="153">
        <v>1721.5429999999999</v>
      </c>
      <c r="AG462" s="2" t="s">
        <v>37</v>
      </c>
      <c r="AH462" s="167">
        <v>0</v>
      </c>
      <c r="AI462" s="167">
        <v>7.1775981880790596E-3</v>
      </c>
      <c r="AJ462" s="167">
        <v>1.67553299220681E-3</v>
      </c>
      <c r="AK462" s="161"/>
      <c r="AL462" s="153"/>
    </row>
    <row r="463" spans="1:38">
      <c r="A463" s="2" t="s">
        <v>26</v>
      </c>
      <c r="B463" s="2">
        <v>9963</v>
      </c>
      <c r="C463" s="2" t="s">
        <v>1318</v>
      </c>
      <c r="D463" s="2" t="s">
        <v>1319</v>
      </c>
      <c r="E463" s="4" t="s">
        <v>1305</v>
      </c>
      <c r="F463" s="2" t="s">
        <v>2091</v>
      </c>
      <c r="G463" s="2" t="s">
        <v>2092</v>
      </c>
      <c r="H463" s="2" t="s">
        <v>319</v>
      </c>
      <c r="I463" s="2" t="s">
        <v>754</v>
      </c>
      <c r="J463" s="2" t="s">
        <v>31</v>
      </c>
      <c r="K463" s="2" t="s">
        <v>31</v>
      </c>
      <c r="L463" s="2" t="s">
        <v>325</v>
      </c>
      <c r="M463" s="2" t="s">
        <v>40</v>
      </c>
      <c r="N463" s="2" t="s">
        <v>438</v>
      </c>
      <c r="O463" s="2" t="s">
        <v>136</v>
      </c>
      <c r="P463" s="2" t="s">
        <v>1752</v>
      </c>
      <c r="Q463" s="23" t="s">
        <v>1752</v>
      </c>
      <c r="R463" s="23" t="s">
        <v>1752</v>
      </c>
      <c r="S463" s="2" t="s">
        <v>35</v>
      </c>
      <c r="T463" s="153">
        <v>2.7650000000000001</v>
      </c>
      <c r="U463" s="2" t="s">
        <v>1849</v>
      </c>
      <c r="V463" s="165">
        <v>1.4800000000000001E-2</v>
      </c>
      <c r="W463" s="167">
        <v>3.6080000000000001E-2</v>
      </c>
      <c r="X463" s="4" t="s">
        <v>411</v>
      </c>
      <c r="Y463" s="4" t="s">
        <v>136</v>
      </c>
      <c r="Z463" s="153">
        <v>1671600</v>
      </c>
      <c r="AA463" s="153">
        <v>1</v>
      </c>
      <c r="AB463" s="153">
        <v>103.65</v>
      </c>
      <c r="AC463" s="11"/>
      <c r="AD463" s="153">
        <v>1732.6130000000001</v>
      </c>
      <c r="AG463" s="2" t="s">
        <v>37</v>
      </c>
      <c r="AH463" s="167">
        <v>1.921E-3</v>
      </c>
      <c r="AI463" s="167">
        <v>7.2237546464029197E-3</v>
      </c>
      <c r="AJ463" s="167">
        <v>1.68630772028416E-3</v>
      </c>
      <c r="AK463" s="161"/>
      <c r="AL463" s="153"/>
    </row>
    <row r="464" spans="1:38">
      <c r="A464" s="2" t="s">
        <v>26</v>
      </c>
      <c r="B464" s="2">
        <v>9963</v>
      </c>
      <c r="C464" s="2" t="s">
        <v>1552</v>
      </c>
      <c r="D464" s="2" t="s">
        <v>1553</v>
      </c>
      <c r="E464" s="4" t="s">
        <v>1305</v>
      </c>
      <c r="F464" s="2" t="s">
        <v>2095</v>
      </c>
      <c r="G464" s="2" t="s">
        <v>2096</v>
      </c>
      <c r="H464" s="2" t="s">
        <v>319</v>
      </c>
      <c r="I464" s="2" t="s">
        <v>754</v>
      </c>
      <c r="J464" s="2" t="s">
        <v>31</v>
      </c>
      <c r="K464" s="2" t="s">
        <v>31</v>
      </c>
      <c r="L464" s="2" t="s">
        <v>325</v>
      </c>
      <c r="M464" s="2" t="s">
        <v>40</v>
      </c>
      <c r="N464" s="2" t="s">
        <v>461</v>
      </c>
      <c r="O464" s="2" t="s">
        <v>136</v>
      </c>
      <c r="P464" s="2" t="s">
        <v>1772</v>
      </c>
      <c r="Q464" s="2" t="s">
        <v>412</v>
      </c>
      <c r="R464" s="2" t="s">
        <v>405</v>
      </c>
      <c r="S464" s="2" t="s">
        <v>35</v>
      </c>
      <c r="T464" s="153">
        <v>4.4139999999999997</v>
      </c>
      <c r="U464" s="2" t="s">
        <v>1773</v>
      </c>
      <c r="V464" s="165">
        <v>3.6200000000000003E-2</v>
      </c>
      <c r="W464" s="167">
        <v>3.5619999999999999E-2</v>
      </c>
      <c r="X464" s="4" t="s">
        <v>411</v>
      </c>
      <c r="Y464" s="4" t="s">
        <v>136</v>
      </c>
      <c r="Z464" s="153">
        <v>914710</v>
      </c>
      <c r="AA464" s="153">
        <v>1</v>
      </c>
      <c r="AB464" s="153">
        <v>103.98</v>
      </c>
      <c r="AC464" s="11"/>
      <c r="AD464" s="153">
        <v>951.11500000000001</v>
      </c>
      <c r="AG464" s="2" t="s">
        <v>37</v>
      </c>
      <c r="AH464" s="167">
        <v>5.1500000000000005E-4</v>
      </c>
      <c r="AI464" s="167">
        <v>3.9654689897891497E-3</v>
      </c>
      <c r="AJ464" s="167">
        <v>9.2569602642286395E-4</v>
      </c>
      <c r="AK464" s="161"/>
      <c r="AL464" s="153"/>
    </row>
    <row r="465" spans="1:38">
      <c r="A465" s="2" t="s">
        <v>26</v>
      </c>
      <c r="B465" s="2">
        <v>9963</v>
      </c>
      <c r="C465" s="2" t="s">
        <v>2097</v>
      </c>
      <c r="D465" s="2" t="s">
        <v>2098</v>
      </c>
      <c r="E465" s="4" t="s">
        <v>311</v>
      </c>
      <c r="F465" s="2" t="s">
        <v>2099</v>
      </c>
      <c r="G465" s="2" t="s">
        <v>2100</v>
      </c>
      <c r="H465" s="2" t="s">
        <v>319</v>
      </c>
      <c r="I465" s="2" t="s">
        <v>966</v>
      </c>
      <c r="J465" s="2" t="s">
        <v>31</v>
      </c>
      <c r="K465" s="2" t="s">
        <v>31</v>
      </c>
      <c r="L465" s="2" t="s">
        <v>325</v>
      </c>
      <c r="M465" s="2" t="s">
        <v>40</v>
      </c>
      <c r="N465" s="2" t="s">
        <v>462</v>
      </c>
      <c r="O465" s="2" t="s">
        <v>136</v>
      </c>
      <c r="P465" s="2" t="s">
        <v>1748</v>
      </c>
      <c r="Q465" s="2" t="s">
        <v>412</v>
      </c>
      <c r="R465" s="2" t="s">
        <v>405</v>
      </c>
      <c r="S465" s="2" t="s">
        <v>35</v>
      </c>
      <c r="T465" s="153">
        <v>2.8650000000000002</v>
      </c>
      <c r="U465" s="2" t="s">
        <v>1822</v>
      </c>
      <c r="V465" s="165">
        <v>6.3500000000000001E-2</v>
      </c>
      <c r="W465" s="167">
        <v>5.8930000000000003E-2</v>
      </c>
      <c r="X465" s="4" t="s">
        <v>411</v>
      </c>
      <c r="Y465" s="4" t="s">
        <v>136</v>
      </c>
      <c r="Z465" s="153">
        <v>991000</v>
      </c>
      <c r="AA465" s="153">
        <v>1</v>
      </c>
      <c r="AB465" s="153">
        <v>103.15</v>
      </c>
      <c r="AC465" s="11"/>
      <c r="AD465" s="153">
        <v>1022.216</v>
      </c>
      <c r="AG465" s="2" t="s">
        <v>37</v>
      </c>
      <c r="AH465" s="167">
        <v>2.4169999999999999E-3</v>
      </c>
      <c r="AI465" s="167">
        <v>4.2619093165877199E-3</v>
      </c>
      <c r="AJ465" s="167">
        <v>9.9489682796627095E-4</v>
      </c>
      <c r="AK465" s="161"/>
      <c r="AL465" s="153"/>
    </row>
    <row r="466" spans="1:38">
      <c r="A466" s="2" t="s">
        <v>26</v>
      </c>
      <c r="B466" s="2">
        <v>9963</v>
      </c>
      <c r="C466" s="2" t="s">
        <v>1559</v>
      </c>
      <c r="D466" s="2" t="s">
        <v>1560</v>
      </c>
      <c r="E466" s="4" t="s">
        <v>1305</v>
      </c>
      <c r="F466" s="2" t="s">
        <v>2101</v>
      </c>
      <c r="G466" s="2" t="s">
        <v>2102</v>
      </c>
      <c r="H466" s="2" t="s">
        <v>319</v>
      </c>
      <c r="I466" s="2" t="s">
        <v>754</v>
      </c>
      <c r="J466" s="2" t="s">
        <v>31</v>
      </c>
      <c r="K466" s="2" t="s">
        <v>31</v>
      </c>
      <c r="L466" s="2" t="s">
        <v>325</v>
      </c>
      <c r="M466" s="2" t="s">
        <v>40</v>
      </c>
      <c r="N466" s="2" t="s">
        <v>438</v>
      </c>
      <c r="O466" s="2" t="s">
        <v>136</v>
      </c>
      <c r="P466" s="2" t="s">
        <v>1752</v>
      </c>
      <c r="Q466" s="23" t="s">
        <v>1752</v>
      </c>
      <c r="R466" s="23" t="s">
        <v>1752</v>
      </c>
      <c r="S466" s="2" t="s">
        <v>35</v>
      </c>
      <c r="T466" s="153">
        <v>2.57</v>
      </c>
      <c r="U466" s="2" t="s">
        <v>1849</v>
      </c>
      <c r="V466" s="165">
        <v>2.3E-2</v>
      </c>
      <c r="W466" s="167">
        <v>4.7849999999999997E-2</v>
      </c>
      <c r="X466" s="4" t="s">
        <v>411</v>
      </c>
      <c r="Y466" s="4" t="s">
        <v>136</v>
      </c>
      <c r="Z466" s="153">
        <v>1719648</v>
      </c>
      <c r="AA466" s="153">
        <v>1</v>
      </c>
      <c r="AB466" s="153">
        <v>102.88</v>
      </c>
      <c r="AC466" s="11"/>
      <c r="AD466" s="153">
        <v>1769.174</v>
      </c>
      <c r="AG466" s="2" t="s">
        <v>37</v>
      </c>
      <c r="AH466" s="167">
        <v>7.1060000000000003E-3</v>
      </c>
      <c r="AI466" s="167">
        <v>7.3761855407597603E-3</v>
      </c>
      <c r="AJ466" s="167">
        <v>1.72189107084712E-3</v>
      </c>
      <c r="AK466" s="161"/>
      <c r="AL466" s="153"/>
    </row>
    <row r="467" spans="1:38">
      <c r="A467" s="2" t="s">
        <v>26</v>
      </c>
      <c r="B467" s="2">
        <v>9963</v>
      </c>
      <c r="C467" s="2" t="s">
        <v>2103</v>
      </c>
      <c r="D467" s="2" t="s">
        <v>2104</v>
      </c>
      <c r="E467" s="4" t="s">
        <v>1305</v>
      </c>
      <c r="F467" s="2" t="s">
        <v>2105</v>
      </c>
      <c r="G467" s="2" t="s">
        <v>2106</v>
      </c>
      <c r="H467" s="2" t="s">
        <v>319</v>
      </c>
      <c r="I467" s="2" t="s">
        <v>754</v>
      </c>
      <c r="J467" s="2" t="s">
        <v>31</v>
      </c>
      <c r="K467" s="2" t="s">
        <v>31</v>
      </c>
      <c r="L467" s="2" t="s">
        <v>325</v>
      </c>
      <c r="M467" s="2" t="s">
        <v>40</v>
      </c>
      <c r="N467" s="2" t="s">
        <v>438</v>
      </c>
      <c r="O467" s="2" t="s">
        <v>136</v>
      </c>
      <c r="P467" s="2" t="s">
        <v>1752</v>
      </c>
      <c r="Q467" s="23" t="s">
        <v>1752</v>
      </c>
      <c r="R467" s="23" t="s">
        <v>1752</v>
      </c>
      <c r="S467" s="2" t="s">
        <v>35</v>
      </c>
      <c r="T467" s="153">
        <v>2.57</v>
      </c>
      <c r="U467" s="2" t="s">
        <v>1849</v>
      </c>
      <c r="V467" s="165">
        <v>2.9499999999999998E-2</v>
      </c>
      <c r="W467" s="167">
        <v>3.9440000000000003E-2</v>
      </c>
      <c r="X467" s="4" t="s">
        <v>411</v>
      </c>
      <c r="Y467" s="4" t="s">
        <v>136</v>
      </c>
      <c r="Z467" s="153">
        <v>982009.3</v>
      </c>
      <c r="AA467" s="153">
        <v>1</v>
      </c>
      <c r="AB467" s="153">
        <v>105.44</v>
      </c>
      <c r="AC467" s="11"/>
      <c r="AD467" s="153">
        <v>1035.431</v>
      </c>
      <c r="AG467" s="2" t="s">
        <v>37</v>
      </c>
      <c r="AH467" s="167">
        <v>5.3959999999999998E-3</v>
      </c>
      <c r="AI467" s="167">
        <v>4.3170026565316801E-3</v>
      </c>
      <c r="AJ467" s="167">
        <v>1.0077577748050499E-3</v>
      </c>
      <c r="AK467" s="161"/>
      <c r="AL467" s="153"/>
    </row>
    <row r="468" spans="1:38">
      <c r="A468" s="2" t="s">
        <v>26</v>
      </c>
      <c r="B468" s="2">
        <v>9963</v>
      </c>
      <c r="C468" s="2" t="s">
        <v>2107</v>
      </c>
      <c r="D468" s="2" t="s">
        <v>2108</v>
      </c>
      <c r="E468" s="4" t="s">
        <v>34</v>
      </c>
      <c r="F468" s="2" t="s">
        <v>2111</v>
      </c>
      <c r="G468" s="2" t="s">
        <v>2112</v>
      </c>
      <c r="H468" s="2" t="s">
        <v>319</v>
      </c>
      <c r="I468" s="2" t="s">
        <v>966</v>
      </c>
      <c r="J468" s="2" t="s">
        <v>31</v>
      </c>
      <c r="K468" s="2" t="s">
        <v>74</v>
      </c>
      <c r="L468" s="2" t="s">
        <v>325</v>
      </c>
      <c r="M468" s="2" t="s">
        <v>40</v>
      </c>
      <c r="N468" s="2" t="s">
        <v>462</v>
      </c>
      <c r="O468" s="2" t="s">
        <v>136</v>
      </c>
      <c r="P468" s="2" t="s">
        <v>1772</v>
      </c>
      <c r="Q468" s="2" t="s">
        <v>412</v>
      </c>
      <c r="R468" s="2" t="s">
        <v>405</v>
      </c>
      <c r="S468" s="2" t="s">
        <v>35</v>
      </c>
      <c r="T468" s="153">
        <v>2.15</v>
      </c>
      <c r="U468" s="2" t="s">
        <v>2078</v>
      </c>
      <c r="V468" s="165">
        <v>9.0999999999999998E-2</v>
      </c>
      <c r="W468" s="167">
        <v>6.9690000000000002E-2</v>
      </c>
      <c r="X468" s="4" t="s">
        <v>411</v>
      </c>
      <c r="Y468" s="4" t="s">
        <v>136</v>
      </c>
      <c r="Z468" s="153">
        <v>1745000</v>
      </c>
      <c r="AA468" s="153">
        <v>1</v>
      </c>
      <c r="AB468" s="153">
        <v>104.76</v>
      </c>
      <c r="AC468" s="11"/>
      <c r="AD468" s="153">
        <v>1828.0619999999999</v>
      </c>
      <c r="AG468" s="2" t="s">
        <v>37</v>
      </c>
      <c r="AH468" s="167">
        <v>1.1410999999999999E-2</v>
      </c>
      <c r="AI468" s="167">
        <v>7.6217068195436003E-3</v>
      </c>
      <c r="AJ468" s="167">
        <v>1.7792053690443E-3</v>
      </c>
      <c r="AK468" s="161"/>
      <c r="AL468" s="153"/>
    </row>
    <row r="469" spans="1:38">
      <c r="A469" s="2" t="s">
        <v>26</v>
      </c>
      <c r="B469" s="2">
        <v>9963</v>
      </c>
      <c r="C469" s="2" t="s">
        <v>2113</v>
      </c>
      <c r="D469" s="2" t="s">
        <v>2114</v>
      </c>
      <c r="E469" s="4" t="s">
        <v>34</v>
      </c>
      <c r="F469" s="2" t="s">
        <v>2115</v>
      </c>
      <c r="G469" s="2" t="s">
        <v>2116</v>
      </c>
      <c r="H469" s="2" t="s">
        <v>319</v>
      </c>
      <c r="I469" s="2" t="s">
        <v>755</v>
      </c>
      <c r="J469" s="2" t="s">
        <v>31</v>
      </c>
      <c r="K469" s="2" t="s">
        <v>74</v>
      </c>
      <c r="L469" s="23" t="s">
        <v>327</v>
      </c>
      <c r="M469" s="2" t="s">
        <v>40</v>
      </c>
      <c r="N469" s="2" t="s">
        <v>440</v>
      </c>
      <c r="O469" s="2" t="s">
        <v>136</v>
      </c>
      <c r="P469" s="2" t="s">
        <v>1896</v>
      </c>
      <c r="Q469" s="2" t="s">
        <v>104</v>
      </c>
      <c r="R469" s="2" t="s">
        <v>405</v>
      </c>
      <c r="S469" s="2" t="s">
        <v>35</v>
      </c>
      <c r="T469" s="153">
        <v>2.4</v>
      </c>
      <c r="U469" s="2" t="s">
        <v>2117</v>
      </c>
      <c r="V469" s="165">
        <v>8.9126999999999998E-2</v>
      </c>
      <c r="W469" s="167">
        <v>6.5500000000000003E-2</v>
      </c>
      <c r="X469" s="4" t="s">
        <v>411</v>
      </c>
      <c r="Y469" s="4" t="s">
        <v>136</v>
      </c>
      <c r="Z469" s="153">
        <v>1463000</v>
      </c>
      <c r="AA469" s="153">
        <v>1</v>
      </c>
      <c r="AB469" s="153">
        <v>104.923</v>
      </c>
      <c r="AC469" s="11"/>
      <c r="AD469" s="153">
        <v>1535.0229999999999</v>
      </c>
      <c r="AG469" s="2" t="s">
        <v>37</v>
      </c>
      <c r="AH469" s="167">
        <v>0</v>
      </c>
      <c r="AI469" s="167">
        <v>6.3999465017557404E-3</v>
      </c>
      <c r="AJ469" s="167">
        <v>1.49399858156732E-3</v>
      </c>
      <c r="AK469" s="161"/>
      <c r="AL469" s="153"/>
    </row>
    <row r="470" spans="1:38">
      <c r="A470" s="2" t="s">
        <v>26</v>
      </c>
      <c r="B470" s="2">
        <v>9963</v>
      </c>
      <c r="C470" s="2" t="s">
        <v>2118</v>
      </c>
      <c r="D470" s="2" t="s">
        <v>2119</v>
      </c>
      <c r="E470" s="4" t="s">
        <v>1305</v>
      </c>
      <c r="F470" s="2" t="s">
        <v>2120</v>
      </c>
      <c r="G470" s="2" t="s">
        <v>2121</v>
      </c>
      <c r="H470" s="2" t="s">
        <v>319</v>
      </c>
      <c r="I470" s="2" t="s">
        <v>966</v>
      </c>
      <c r="J470" s="2" t="s">
        <v>31</v>
      </c>
      <c r="K470" s="2" t="s">
        <v>31</v>
      </c>
      <c r="L470" s="2" t="s">
        <v>325</v>
      </c>
      <c r="M470" s="2" t="s">
        <v>40</v>
      </c>
      <c r="N470" s="2" t="s">
        <v>462</v>
      </c>
      <c r="O470" s="2" t="s">
        <v>136</v>
      </c>
      <c r="P470" s="2" t="s">
        <v>1752</v>
      </c>
      <c r="Q470" s="23" t="s">
        <v>1752</v>
      </c>
      <c r="R470" s="23" t="s">
        <v>1752</v>
      </c>
      <c r="S470" s="2" t="s">
        <v>35</v>
      </c>
      <c r="T470" s="153">
        <v>2.0870000000000002</v>
      </c>
      <c r="U470" s="2" t="s">
        <v>1788</v>
      </c>
      <c r="V470" s="165">
        <v>6.7500000000000004E-2</v>
      </c>
      <c r="W470" s="167">
        <v>7.4859999999999996E-2</v>
      </c>
      <c r="X470" s="4" t="s">
        <v>411</v>
      </c>
      <c r="Y470" s="4" t="s">
        <v>136</v>
      </c>
      <c r="Z470" s="153">
        <v>3058000</v>
      </c>
      <c r="AA470" s="153">
        <v>1</v>
      </c>
      <c r="AB470" s="153">
        <v>100.49</v>
      </c>
      <c r="AC470" s="11"/>
      <c r="AD470" s="153">
        <v>3072.9839999999999</v>
      </c>
      <c r="AG470" s="2" t="s">
        <v>37</v>
      </c>
      <c r="AH470" s="167">
        <v>1.0518E-2</v>
      </c>
      <c r="AI470" s="167">
        <v>1.2812139103318E-2</v>
      </c>
      <c r="AJ470" s="167">
        <v>2.9908558832404601E-3</v>
      </c>
      <c r="AK470" s="161"/>
      <c r="AL470" s="153"/>
    </row>
    <row r="471" spans="1:38">
      <c r="A471" s="2" t="s">
        <v>26</v>
      </c>
      <c r="B471" s="2">
        <v>9963</v>
      </c>
      <c r="C471" s="2" t="s">
        <v>2118</v>
      </c>
      <c r="D471" s="2" t="s">
        <v>2119</v>
      </c>
      <c r="E471" s="4" t="s">
        <v>1305</v>
      </c>
      <c r="F471" s="2" t="s">
        <v>2122</v>
      </c>
      <c r="G471" s="2" t="s">
        <v>2123</v>
      </c>
      <c r="H471" s="2" t="s">
        <v>319</v>
      </c>
      <c r="I471" s="2" t="s">
        <v>966</v>
      </c>
      <c r="J471" s="2" t="s">
        <v>31</v>
      </c>
      <c r="K471" s="2" t="s">
        <v>31</v>
      </c>
      <c r="L471" s="2" t="s">
        <v>325</v>
      </c>
      <c r="M471" s="2" t="s">
        <v>40</v>
      </c>
      <c r="N471" s="2" t="s">
        <v>462</v>
      </c>
      <c r="O471" s="2" t="s">
        <v>136</v>
      </c>
      <c r="P471" s="2" t="s">
        <v>1752</v>
      </c>
      <c r="Q471" s="23" t="s">
        <v>1752</v>
      </c>
      <c r="R471" s="23" t="s">
        <v>1752</v>
      </c>
      <c r="S471" s="2" t="s">
        <v>35</v>
      </c>
      <c r="T471" s="153">
        <v>0.748</v>
      </c>
      <c r="U471" s="2" t="s">
        <v>2124</v>
      </c>
      <c r="V471" s="165">
        <v>0.06</v>
      </c>
      <c r="W471" s="167">
        <v>0.14593</v>
      </c>
      <c r="X471" s="4" t="s">
        <v>411</v>
      </c>
      <c r="Y471" s="4" t="s">
        <v>136</v>
      </c>
      <c r="Z471" s="153">
        <v>286700.84000000003</v>
      </c>
      <c r="AA471" s="153">
        <v>1</v>
      </c>
      <c r="AB471" s="153">
        <v>95.56</v>
      </c>
      <c r="AC471" s="11"/>
      <c r="AD471" s="153">
        <v>273.971</v>
      </c>
      <c r="AG471" s="2" t="s">
        <v>37</v>
      </c>
      <c r="AH471" s="167">
        <v>1.6080000000000001E-3</v>
      </c>
      <c r="AI471" s="167">
        <v>1.14226382836712E-3</v>
      </c>
      <c r="AJ471" s="167">
        <v>2.6664918822180402E-4</v>
      </c>
      <c r="AK471" s="161"/>
      <c r="AL471" s="153"/>
    </row>
    <row r="472" spans="1:38">
      <c r="A472" s="2" t="s">
        <v>26</v>
      </c>
      <c r="B472" s="2">
        <v>9963</v>
      </c>
      <c r="C472" s="2" t="s">
        <v>2125</v>
      </c>
      <c r="D472" s="2" t="s">
        <v>2126</v>
      </c>
      <c r="E472" s="4" t="s">
        <v>311</v>
      </c>
      <c r="F472" s="2" t="s">
        <v>2132</v>
      </c>
      <c r="G472" s="2" t="s">
        <v>2133</v>
      </c>
      <c r="H472" s="2" t="s">
        <v>319</v>
      </c>
      <c r="I472" s="2" t="s">
        <v>966</v>
      </c>
      <c r="J472" s="2" t="s">
        <v>31</v>
      </c>
      <c r="K472" s="2" t="s">
        <v>31</v>
      </c>
      <c r="L472" s="2" t="s">
        <v>325</v>
      </c>
      <c r="M472" s="2" t="s">
        <v>40</v>
      </c>
      <c r="N472" s="2" t="s">
        <v>462</v>
      </c>
      <c r="O472" s="2" t="s">
        <v>136</v>
      </c>
      <c r="P472" s="2" t="s">
        <v>1772</v>
      </c>
      <c r="Q472" s="2" t="s">
        <v>412</v>
      </c>
      <c r="R472" s="2" t="s">
        <v>407</v>
      </c>
      <c r="S472" s="2" t="s">
        <v>35</v>
      </c>
      <c r="T472" s="153">
        <v>2.6139999999999999</v>
      </c>
      <c r="U472" s="2" t="s">
        <v>1993</v>
      </c>
      <c r="V472" s="165">
        <v>7.2400000000000006E-2</v>
      </c>
      <c r="W472" s="167">
        <v>6.9650000000000004E-2</v>
      </c>
      <c r="X472" s="4" t="s">
        <v>411</v>
      </c>
      <c r="Y472" s="4" t="s">
        <v>136</v>
      </c>
      <c r="Z472" s="153">
        <v>995220</v>
      </c>
      <c r="AA472" s="153">
        <v>1</v>
      </c>
      <c r="AB472" s="153">
        <v>101.61</v>
      </c>
      <c r="AC472" s="11"/>
      <c r="AD472" s="153">
        <v>1011.2430000000001</v>
      </c>
      <c r="AG472" s="2" t="s">
        <v>37</v>
      </c>
      <c r="AH472" s="167">
        <v>3.8279999999999998E-3</v>
      </c>
      <c r="AI472" s="167">
        <v>4.2161578706999096E-3</v>
      </c>
      <c r="AJ472" s="167">
        <v>9.8421664568001293E-4</v>
      </c>
      <c r="AK472" s="161"/>
      <c r="AL472" s="153"/>
    </row>
    <row r="473" spans="1:38">
      <c r="A473" s="2" t="s">
        <v>26</v>
      </c>
      <c r="B473" s="2">
        <v>9963</v>
      </c>
      <c r="C473" s="2" t="s">
        <v>1371</v>
      </c>
      <c r="D473" s="2" t="s">
        <v>1372</v>
      </c>
      <c r="E473" s="4" t="s">
        <v>1305</v>
      </c>
      <c r="F473" s="2" t="s">
        <v>2134</v>
      </c>
      <c r="G473" s="2" t="s">
        <v>2135</v>
      </c>
      <c r="H473" s="2" t="s">
        <v>319</v>
      </c>
      <c r="I473" s="2" t="s">
        <v>754</v>
      </c>
      <c r="J473" s="2" t="s">
        <v>31</v>
      </c>
      <c r="K473" s="2" t="s">
        <v>31</v>
      </c>
      <c r="L473" s="2" t="s">
        <v>325</v>
      </c>
      <c r="M473" s="2" t="s">
        <v>40</v>
      </c>
      <c r="N473" s="2" t="s">
        <v>461</v>
      </c>
      <c r="O473" s="2" t="s">
        <v>136</v>
      </c>
      <c r="P473" s="2" t="s">
        <v>2136</v>
      </c>
      <c r="Q473" s="2" t="s">
        <v>104</v>
      </c>
      <c r="R473" s="2" t="s">
        <v>405</v>
      </c>
      <c r="S473" s="2" t="s">
        <v>35</v>
      </c>
      <c r="T473" s="153">
        <v>3.1419999999999999</v>
      </c>
      <c r="U473" s="2" t="s">
        <v>2137</v>
      </c>
      <c r="V473" s="165">
        <v>1.34E-2</v>
      </c>
      <c r="W473" s="167">
        <v>2.206E-2</v>
      </c>
      <c r="X473" s="4" t="s">
        <v>411</v>
      </c>
      <c r="Y473" s="4" t="s">
        <v>136</v>
      </c>
      <c r="Z473" s="153">
        <v>3095238.61</v>
      </c>
      <c r="AA473" s="153">
        <v>1</v>
      </c>
      <c r="AB473" s="153">
        <v>110.26</v>
      </c>
      <c r="AC473" s="11"/>
      <c r="AD473" s="153">
        <v>3412.81</v>
      </c>
      <c r="AG473" s="2" t="s">
        <v>37</v>
      </c>
      <c r="AH473" s="167">
        <v>1.0009999999999999E-3</v>
      </c>
      <c r="AI473" s="167">
        <v>1.4228969229339E-2</v>
      </c>
      <c r="AJ473" s="167">
        <v>3.3215996164914301E-3</v>
      </c>
      <c r="AK473" s="161"/>
      <c r="AL473" s="153"/>
    </row>
    <row r="474" spans="1:38">
      <c r="A474" s="2" t="s">
        <v>26</v>
      </c>
      <c r="B474" s="2">
        <v>9963</v>
      </c>
      <c r="C474" s="2" t="s">
        <v>1371</v>
      </c>
      <c r="D474" s="2" t="s">
        <v>1372</v>
      </c>
      <c r="E474" s="4" t="s">
        <v>1305</v>
      </c>
      <c r="F474" s="2" t="s">
        <v>2138</v>
      </c>
      <c r="G474" s="2" t="s">
        <v>2139</v>
      </c>
      <c r="H474" s="2" t="s">
        <v>319</v>
      </c>
      <c r="I474" s="2" t="s">
        <v>754</v>
      </c>
      <c r="J474" s="2" t="s">
        <v>31</v>
      </c>
      <c r="K474" s="2" t="s">
        <v>31</v>
      </c>
      <c r="L474" s="2" t="s">
        <v>325</v>
      </c>
      <c r="M474" s="2" t="s">
        <v>40</v>
      </c>
      <c r="N474" s="2" t="s">
        <v>461</v>
      </c>
      <c r="O474" s="2" t="s">
        <v>136</v>
      </c>
      <c r="P474" s="2" t="s">
        <v>2136</v>
      </c>
      <c r="Q474" s="2" t="s">
        <v>104</v>
      </c>
      <c r="R474" s="2" t="s">
        <v>405</v>
      </c>
      <c r="S474" s="2" t="s">
        <v>35</v>
      </c>
      <c r="T474" s="153">
        <v>2.8639999999999999</v>
      </c>
      <c r="U474" s="2" t="s">
        <v>1753</v>
      </c>
      <c r="V474" s="165">
        <v>1.77E-2</v>
      </c>
      <c r="W474" s="167">
        <v>2.0539999999999999E-2</v>
      </c>
      <c r="X474" s="4" t="s">
        <v>411</v>
      </c>
      <c r="Y474" s="4" t="s">
        <v>136</v>
      </c>
      <c r="Z474" s="153">
        <v>3825000</v>
      </c>
      <c r="AA474" s="153">
        <v>1</v>
      </c>
      <c r="AB474" s="153">
        <v>111.11</v>
      </c>
      <c r="AC474" s="11"/>
      <c r="AD474" s="153">
        <v>4249.9579999999996</v>
      </c>
      <c r="AG474" s="2" t="s">
        <v>37</v>
      </c>
      <c r="AH474" s="167">
        <v>1.387E-3</v>
      </c>
      <c r="AI474" s="167">
        <v>1.7719273230623701E-2</v>
      </c>
      <c r="AJ474" s="167">
        <v>4.1363734940117504E-3</v>
      </c>
      <c r="AK474" s="161"/>
      <c r="AL474" s="153"/>
    </row>
    <row r="475" spans="1:38">
      <c r="A475" s="2" t="s">
        <v>26</v>
      </c>
      <c r="B475" s="2">
        <v>9963</v>
      </c>
      <c r="C475" s="2" t="s">
        <v>1371</v>
      </c>
      <c r="D475" s="2" t="s">
        <v>1372</v>
      </c>
      <c r="E475" s="4" t="s">
        <v>1305</v>
      </c>
      <c r="F475" s="2" t="s">
        <v>2140</v>
      </c>
      <c r="G475" s="2" t="s">
        <v>2141</v>
      </c>
      <c r="H475" s="2" t="s">
        <v>319</v>
      </c>
      <c r="I475" s="2" t="s">
        <v>754</v>
      </c>
      <c r="J475" s="2" t="s">
        <v>31</v>
      </c>
      <c r="K475" s="2" t="s">
        <v>31</v>
      </c>
      <c r="L475" s="2" t="s">
        <v>325</v>
      </c>
      <c r="M475" s="2" t="s">
        <v>40</v>
      </c>
      <c r="N475" s="2" t="s">
        <v>461</v>
      </c>
      <c r="O475" s="2" t="s">
        <v>136</v>
      </c>
      <c r="P475" s="2" t="s">
        <v>1308</v>
      </c>
      <c r="Q475" s="2" t="s">
        <v>412</v>
      </c>
      <c r="R475" s="2" t="s">
        <v>405</v>
      </c>
      <c r="S475" s="2" t="s">
        <v>35</v>
      </c>
      <c r="T475" s="153">
        <v>7.2489999999999997</v>
      </c>
      <c r="U475" s="2" t="s">
        <v>2142</v>
      </c>
      <c r="V475" s="165">
        <v>8.9999999999999993E-3</v>
      </c>
      <c r="W475" s="167">
        <v>2.8979999999999999E-2</v>
      </c>
      <c r="X475" s="4" t="s">
        <v>411</v>
      </c>
      <c r="Y475" s="4" t="s">
        <v>136</v>
      </c>
      <c r="Z475" s="153">
        <v>1050000</v>
      </c>
      <c r="AA475" s="153">
        <v>1</v>
      </c>
      <c r="AB475" s="153">
        <v>95.37</v>
      </c>
      <c r="AC475" s="11"/>
      <c r="AD475" s="153">
        <v>1001.385</v>
      </c>
      <c r="AG475" s="2" t="s">
        <v>37</v>
      </c>
      <c r="AH475" s="167">
        <v>5.5199999999999997E-4</v>
      </c>
      <c r="AI475" s="167">
        <v>4.17505690916865E-3</v>
      </c>
      <c r="AJ475" s="167">
        <v>9.7462206887973803E-4</v>
      </c>
      <c r="AK475" s="161"/>
      <c r="AL475" s="153"/>
    </row>
    <row r="476" spans="1:38">
      <c r="A476" s="2" t="s">
        <v>26</v>
      </c>
      <c r="B476" s="2">
        <v>9963</v>
      </c>
      <c r="C476" s="2" t="s">
        <v>1371</v>
      </c>
      <c r="D476" s="2" t="s">
        <v>1372</v>
      </c>
      <c r="E476" s="4" t="s">
        <v>1305</v>
      </c>
      <c r="F476" s="2" t="s">
        <v>2146</v>
      </c>
      <c r="G476" s="2" t="s">
        <v>2147</v>
      </c>
      <c r="H476" s="2" t="s">
        <v>319</v>
      </c>
      <c r="I476" s="2" t="s">
        <v>754</v>
      </c>
      <c r="J476" s="2" t="s">
        <v>31</v>
      </c>
      <c r="K476" s="2" t="s">
        <v>31</v>
      </c>
      <c r="L476" s="2" t="s">
        <v>325</v>
      </c>
      <c r="M476" s="2" t="s">
        <v>40</v>
      </c>
      <c r="N476" s="2" t="s">
        <v>461</v>
      </c>
      <c r="O476" s="2" t="s">
        <v>136</v>
      </c>
      <c r="P476" s="2" t="s">
        <v>1308</v>
      </c>
      <c r="Q476" s="2" t="s">
        <v>412</v>
      </c>
      <c r="R476" s="2" t="s">
        <v>405</v>
      </c>
      <c r="S476" s="2" t="s">
        <v>35</v>
      </c>
      <c r="T476" s="153">
        <v>0.998</v>
      </c>
      <c r="U476" s="2" t="s">
        <v>1941</v>
      </c>
      <c r="V476" s="165">
        <v>6.4999999999999997E-3</v>
      </c>
      <c r="W476" s="167">
        <v>1.6490000000000001E-2</v>
      </c>
      <c r="X476" s="4" t="s">
        <v>411</v>
      </c>
      <c r="Y476" s="4" t="s">
        <v>136</v>
      </c>
      <c r="Z476" s="153">
        <v>1790000</v>
      </c>
      <c r="AA476" s="153">
        <v>1</v>
      </c>
      <c r="AB476" s="153">
        <v>110.63</v>
      </c>
      <c r="AC476" s="11"/>
      <c r="AD476" s="153">
        <v>1996.529</v>
      </c>
      <c r="AG476" s="2" t="s">
        <v>37</v>
      </c>
      <c r="AH476" s="167">
        <v>5.9290000000000002E-3</v>
      </c>
      <c r="AI476" s="167">
        <v>8.3240922842277004E-3</v>
      </c>
      <c r="AJ476" s="167">
        <v>1.94316969088101E-3</v>
      </c>
      <c r="AK476" s="161"/>
      <c r="AL476" s="153"/>
    </row>
    <row r="477" spans="1:38">
      <c r="A477" s="2" t="s">
        <v>26</v>
      </c>
      <c r="B477" s="2">
        <v>9963</v>
      </c>
      <c r="C477" s="2" t="s">
        <v>2148</v>
      </c>
      <c r="D477" s="2" t="s">
        <v>2149</v>
      </c>
      <c r="E477" s="4" t="s">
        <v>1305</v>
      </c>
      <c r="F477" s="2" t="s">
        <v>2150</v>
      </c>
      <c r="G477" s="2" t="s">
        <v>2151</v>
      </c>
      <c r="H477" s="2" t="s">
        <v>319</v>
      </c>
      <c r="I477" s="2" t="s">
        <v>966</v>
      </c>
      <c r="J477" s="2" t="s">
        <v>31</v>
      </c>
      <c r="K477" s="2" t="s">
        <v>31</v>
      </c>
      <c r="L477" s="2" t="s">
        <v>325</v>
      </c>
      <c r="M477" s="2" t="s">
        <v>40</v>
      </c>
      <c r="N477" s="2" t="s">
        <v>444</v>
      </c>
      <c r="O477" s="2" t="s">
        <v>136</v>
      </c>
      <c r="P477" s="2" t="s">
        <v>1752</v>
      </c>
      <c r="Q477" s="23" t="s">
        <v>1752</v>
      </c>
      <c r="R477" s="23" t="s">
        <v>1752</v>
      </c>
      <c r="S477" s="2" t="s">
        <v>35</v>
      </c>
      <c r="T477" s="153">
        <v>1.5680000000000001</v>
      </c>
      <c r="U477" s="2" t="s">
        <v>91</v>
      </c>
      <c r="V477" s="165">
        <v>0.06</v>
      </c>
      <c r="W477" s="167">
        <v>6.1800000000000001E-2</v>
      </c>
      <c r="X477" s="4" t="s">
        <v>411</v>
      </c>
      <c r="Y477" s="4" t="s">
        <v>136</v>
      </c>
      <c r="Z477" s="153">
        <v>1624700</v>
      </c>
      <c r="AA477" s="153">
        <v>1</v>
      </c>
      <c r="AB477" s="153">
        <v>101.88</v>
      </c>
      <c r="AC477" s="11"/>
      <c r="AD477" s="153">
        <v>1655.2439999999999</v>
      </c>
      <c r="AG477" s="2" t="s">
        <v>37</v>
      </c>
      <c r="AH477" s="167">
        <v>6.4989999999999996E-3</v>
      </c>
      <c r="AI477" s="167">
        <v>6.9011812655276903E-3</v>
      </c>
      <c r="AJ477" s="167">
        <v>1.61100643872708E-3</v>
      </c>
      <c r="AK477" s="161"/>
      <c r="AL477" s="153"/>
    </row>
    <row r="478" spans="1:38">
      <c r="A478" s="2" t="s">
        <v>26</v>
      </c>
      <c r="B478" s="2">
        <v>9963</v>
      </c>
      <c r="C478" s="2" t="s">
        <v>1575</v>
      </c>
      <c r="D478" s="2" t="s">
        <v>1576</v>
      </c>
      <c r="E478" s="4" t="s">
        <v>1305</v>
      </c>
      <c r="F478" s="2" t="s">
        <v>2152</v>
      </c>
      <c r="G478" s="2" t="s">
        <v>2153</v>
      </c>
      <c r="H478" s="2" t="s">
        <v>319</v>
      </c>
      <c r="I478" s="2" t="s">
        <v>754</v>
      </c>
      <c r="J478" s="2" t="s">
        <v>31</v>
      </c>
      <c r="K478" s="2" t="s">
        <v>31</v>
      </c>
      <c r="L478" s="2" t="s">
        <v>325</v>
      </c>
      <c r="M478" s="2" t="s">
        <v>40</v>
      </c>
      <c r="N478" s="2" t="s">
        <v>445</v>
      </c>
      <c r="O478" s="2" t="s">
        <v>136</v>
      </c>
      <c r="P478" s="2" t="s">
        <v>76</v>
      </c>
      <c r="Q478" s="2" t="s">
        <v>104</v>
      </c>
      <c r="R478" s="2" t="s">
        <v>405</v>
      </c>
      <c r="S478" s="2" t="s">
        <v>35</v>
      </c>
      <c r="T478" s="153">
        <v>4.0890000000000004</v>
      </c>
      <c r="U478" s="2" t="s">
        <v>2154</v>
      </c>
      <c r="V478" s="165">
        <v>1E-3</v>
      </c>
      <c r="W478" s="167">
        <v>1.9650000000000001E-2</v>
      </c>
      <c r="X478" s="4" t="s">
        <v>411</v>
      </c>
      <c r="Y478" s="4" t="s">
        <v>136</v>
      </c>
      <c r="Z478" s="153">
        <v>1204124</v>
      </c>
      <c r="AA478" s="153">
        <v>1</v>
      </c>
      <c r="AB478" s="153">
        <v>101.03</v>
      </c>
      <c r="AC478" s="11"/>
      <c r="AD478" s="153">
        <v>1216.5260000000001</v>
      </c>
      <c r="AG478" s="2" t="s">
        <v>37</v>
      </c>
      <c r="AH478" s="167">
        <v>4.5600000000000003E-4</v>
      </c>
      <c r="AI478" s="167">
        <v>5.0720424949649298E-3</v>
      </c>
      <c r="AJ478" s="167">
        <v>1.1840136930907101E-3</v>
      </c>
      <c r="AK478" s="161"/>
      <c r="AL478" s="153"/>
    </row>
    <row r="479" spans="1:38">
      <c r="A479" s="2" t="s">
        <v>26</v>
      </c>
      <c r="B479" s="2">
        <v>9963</v>
      </c>
      <c r="C479" s="2" t="s">
        <v>1575</v>
      </c>
      <c r="D479" s="2" t="s">
        <v>1576</v>
      </c>
      <c r="E479" s="4" t="s">
        <v>1305</v>
      </c>
      <c r="F479" s="2" t="s">
        <v>2155</v>
      </c>
      <c r="G479" s="2" t="s">
        <v>2156</v>
      </c>
      <c r="H479" s="2" t="s">
        <v>319</v>
      </c>
      <c r="I479" s="2" t="s">
        <v>754</v>
      </c>
      <c r="J479" s="2" t="s">
        <v>31</v>
      </c>
      <c r="K479" s="2" t="s">
        <v>31</v>
      </c>
      <c r="L479" s="2" t="s">
        <v>325</v>
      </c>
      <c r="M479" s="2" t="s">
        <v>40</v>
      </c>
      <c r="N479" s="2" t="s">
        <v>445</v>
      </c>
      <c r="O479" s="2" t="s">
        <v>136</v>
      </c>
      <c r="P479" s="2" t="s">
        <v>76</v>
      </c>
      <c r="Q479" s="2" t="s">
        <v>104</v>
      </c>
      <c r="R479" s="2" t="s">
        <v>405</v>
      </c>
      <c r="S479" s="2" t="s">
        <v>35</v>
      </c>
      <c r="T479" s="153">
        <v>4.4530000000000003</v>
      </c>
      <c r="U479" s="2" t="s">
        <v>2157</v>
      </c>
      <c r="V479" s="165">
        <v>1.3899999999999999E-2</v>
      </c>
      <c r="W479" s="167">
        <v>1.992E-2</v>
      </c>
      <c r="X479" s="4" t="s">
        <v>411</v>
      </c>
      <c r="Y479" s="4" t="s">
        <v>136</v>
      </c>
      <c r="Z479" s="153">
        <v>1782900</v>
      </c>
      <c r="AA479" s="153">
        <v>1</v>
      </c>
      <c r="AB479" s="153">
        <v>101.5</v>
      </c>
      <c r="AC479" s="11"/>
      <c r="AD479" s="153">
        <v>1809.643</v>
      </c>
      <c r="AG479" s="2" t="s">
        <v>37</v>
      </c>
      <c r="AH479" s="167">
        <v>9.9099999999999991E-4</v>
      </c>
      <c r="AI479" s="167">
        <v>7.5449148906835397E-3</v>
      </c>
      <c r="AJ479" s="167">
        <v>1.7612791203231201E-3</v>
      </c>
      <c r="AK479" s="161"/>
      <c r="AL479" s="153"/>
    </row>
    <row r="480" spans="1:38">
      <c r="A480" s="2" t="s">
        <v>26</v>
      </c>
      <c r="B480" s="2">
        <v>9963</v>
      </c>
      <c r="C480" s="2" t="s">
        <v>1575</v>
      </c>
      <c r="D480" s="2" t="s">
        <v>1576</v>
      </c>
      <c r="E480" s="4" t="s">
        <v>1305</v>
      </c>
      <c r="F480" s="2" t="s">
        <v>2375</v>
      </c>
      <c r="G480" s="2" t="s">
        <v>2376</v>
      </c>
      <c r="H480" s="2" t="s">
        <v>319</v>
      </c>
      <c r="I480" s="2" t="s">
        <v>754</v>
      </c>
      <c r="J480" s="2" t="s">
        <v>31</v>
      </c>
      <c r="K480" s="2" t="s">
        <v>31</v>
      </c>
      <c r="L480" s="2" t="s">
        <v>325</v>
      </c>
      <c r="M480" s="2" t="s">
        <v>40</v>
      </c>
      <c r="N480" s="2" t="s">
        <v>445</v>
      </c>
      <c r="O480" s="2" t="s">
        <v>136</v>
      </c>
      <c r="P480" s="2" t="s">
        <v>76</v>
      </c>
      <c r="Q480" s="2" t="s">
        <v>104</v>
      </c>
      <c r="R480" s="2" t="s">
        <v>405</v>
      </c>
      <c r="S480" s="2" t="s">
        <v>35</v>
      </c>
      <c r="T480" s="153">
        <v>2.04</v>
      </c>
      <c r="U480" s="2" t="s">
        <v>2377</v>
      </c>
      <c r="V480" s="165">
        <v>6.0000000000000001E-3</v>
      </c>
      <c r="W480" s="167">
        <v>1.7319999999999999E-2</v>
      </c>
      <c r="X480" s="4" t="s">
        <v>411</v>
      </c>
      <c r="Y480" s="4" t="s">
        <v>136</v>
      </c>
      <c r="Z480" s="153">
        <v>250000</v>
      </c>
      <c r="AA480" s="153">
        <v>1</v>
      </c>
      <c r="AB480" s="153">
        <v>110.8</v>
      </c>
      <c r="AC480" s="11"/>
      <c r="AD480" s="153">
        <v>277</v>
      </c>
      <c r="AG480" s="2" t="s">
        <v>37</v>
      </c>
      <c r="AH480" s="167">
        <v>2.2499999999999999E-4</v>
      </c>
      <c r="AI480" s="167">
        <v>1.15489123947305E-3</v>
      </c>
      <c r="AJ480" s="167">
        <v>2.69596921343626E-4</v>
      </c>
      <c r="AK480" s="161"/>
      <c r="AL480" s="153"/>
    </row>
    <row r="481" spans="1:38">
      <c r="A481" s="2" t="s">
        <v>26</v>
      </c>
      <c r="B481" s="2">
        <v>9963</v>
      </c>
      <c r="C481" s="2" t="s">
        <v>1575</v>
      </c>
      <c r="D481" s="2" t="s">
        <v>1576</v>
      </c>
      <c r="E481" s="4" t="s">
        <v>1305</v>
      </c>
      <c r="F481" s="2" t="s">
        <v>2408</v>
      </c>
      <c r="G481" s="2" t="s">
        <v>2409</v>
      </c>
      <c r="H481" s="2" t="s">
        <v>319</v>
      </c>
      <c r="I481" s="2" t="s">
        <v>754</v>
      </c>
      <c r="J481" s="2" t="s">
        <v>31</v>
      </c>
      <c r="K481" s="2" t="s">
        <v>31</v>
      </c>
      <c r="L481" s="2" t="s">
        <v>325</v>
      </c>
      <c r="M481" s="2" t="s">
        <v>40</v>
      </c>
      <c r="N481" s="2" t="s">
        <v>445</v>
      </c>
      <c r="O481" s="2" t="s">
        <v>136</v>
      </c>
      <c r="P481" s="2" t="s">
        <v>1984</v>
      </c>
      <c r="Q481" s="2" t="s">
        <v>104</v>
      </c>
      <c r="R481" s="2" t="s">
        <v>405</v>
      </c>
      <c r="S481" s="2" t="s">
        <v>35</v>
      </c>
      <c r="T481" s="153">
        <v>2.2930000000000001</v>
      </c>
      <c r="U481" s="2" t="s">
        <v>2410</v>
      </c>
      <c r="V481" s="165">
        <v>2.9700000000000001E-2</v>
      </c>
      <c r="W481" s="167">
        <v>2.3349999999999999E-2</v>
      </c>
      <c r="X481" s="4" t="s">
        <v>411</v>
      </c>
      <c r="Y481" s="4" t="s">
        <v>136</v>
      </c>
      <c r="Z481" s="153">
        <v>3550000</v>
      </c>
      <c r="AA481" s="153">
        <v>1</v>
      </c>
      <c r="AB481" s="153">
        <v>114.97</v>
      </c>
      <c r="AC481" s="11"/>
      <c r="AD481" s="153">
        <v>4081.4349999999999</v>
      </c>
      <c r="AG481" s="2" t="s">
        <v>37</v>
      </c>
      <c r="AH481" s="167">
        <v>5.071E-3</v>
      </c>
      <c r="AI481" s="167">
        <v>1.70166553284429E-2</v>
      </c>
      <c r="AJ481" s="167">
        <v>3.9723549121448501E-3</v>
      </c>
      <c r="AK481" s="161"/>
      <c r="AL481" s="153"/>
    </row>
    <row r="482" spans="1:38">
      <c r="A482" s="2" t="s">
        <v>26</v>
      </c>
      <c r="B482" s="2">
        <v>9963</v>
      </c>
      <c r="C482" s="2" t="s">
        <v>1575</v>
      </c>
      <c r="D482" s="2" t="s">
        <v>1576</v>
      </c>
      <c r="E482" s="4" t="s">
        <v>1305</v>
      </c>
      <c r="F482" s="2" t="s">
        <v>2378</v>
      </c>
      <c r="G482" s="2" t="s">
        <v>2379</v>
      </c>
      <c r="H482" s="2" t="s">
        <v>319</v>
      </c>
      <c r="I482" s="2" t="s">
        <v>754</v>
      </c>
      <c r="J482" s="2" t="s">
        <v>31</v>
      </c>
      <c r="K482" s="2" t="s">
        <v>31</v>
      </c>
      <c r="L482" s="2" t="s">
        <v>325</v>
      </c>
      <c r="M482" s="2" t="s">
        <v>40</v>
      </c>
      <c r="N482" s="2" t="s">
        <v>445</v>
      </c>
      <c r="O482" s="2" t="s">
        <v>136</v>
      </c>
      <c r="P482" s="2" t="s">
        <v>1984</v>
      </c>
      <c r="Q482" s="2" t="s">
        <v>104</v>
      </c>
      <c r="R482" s="2" t="s">
        <v>405</v>
      </c>
      <c r="S482" s="2" t="s">
        <v>35</v>
      </c>
      <c r="T482" s="153">
        <v>3.899</v>
      </c>
      <c r="U482" s="2" t="s">
        <v>2380</v>
      </c>
      <c r="V482" s="165">
        <v>8.3999999999999995E-3</v>
      </c>
      <c r="W482" s="167">
        <v>2.5999999999999999E-2</v>
      </c>
      <c r="X482" s="4" t="s">
        <v>411</v>
      </c>
      <c r="Y482" s="4" t="s">
        <v>136</v>
      </c>
      <c r="Z482" s="153">
        <v>2100000</v>
      </c>
      <c r="AA482" s="153">
        <v>1</v>
      </c>
      <c r="AB482" s="153">
        <v>101.18</v>
      </c>
      <c r="AC482" s="11"/>
      <c r="AD482" s="153">
        <v>2124.7800000000002</v>
      </c>
      <c r="AG482" s="2" t="s">
        <v>37</v>
      </c>
      <c r="AH482" s="167">
        <v>5.2810000000000001E-3</v>
      </c>
      <c r="AI482" s="167">
        <v>8.8588079704243292E-3</v>
      </c>
      <c r="AJ482" s="167">
        <v>2.0679933087816302E-3</v>
      </c>
      <c r="AK482" s="161"/>
      <c r="AL482" s="153"/>
    </row>
    <row r="483" spans="1:38">
      <c r="A483" s="2" t="s">
        <v>26</v>
      </c>
      <c r="B483" s="2">
        <v>9963</v>
      </c>
      <c r="C483" s="2" t="s">
        <v>1579</v>
      </c>
      <c r="D483" s="2" t="s">
        <v>1580</v>
      </c>
      <c r="E483" s="4" t="s">
        <v>1305</v>
      </c>
      <c r="F483" s="2" t="s">
        <v>2161</v>
      </c>
      <c r="G483" s="2" t="s">
        <v>2162</v>
      </c>
      <c r="H483" s="2" t="s">
        <v>319</v>
      </c>
      <c r="I483" s="2" t="s">
        <v>966</v>
      </c>
      <c r="J483" s="2" t="s">
        <v>31</v>
      </c>
      <c r="K483" s="2" t="s">
        <v>31</v>
      </c>
      <c r="L483" s="2" t="s">
        <v>325</v>
      </c>
      <c r="M483" s="2" t="s">
        <v>40</v>
      </c>
      <c r="N483" s="2" t="s">
        <v>474</v>
      </c>
      <c r="O483" s="2" t="s">
        <v>136</v>
      </c>
      <c r="P483" s="2" t="s">
        <v>1867</v>
      </c>
      <c r="Q483" s="2" t="s">
        <v>104</v>
      </c>
      <c r="R483" s="2" t="s">
        <v>405</v>
      </c>
      <c r="S483" s="2" t="s">
        <v>35</v>
      </c>
      <c r="T483" s="153">
        <v>1.8129999999999999</v>
      </c>
      <c r="U483" s="2" t="s">
        <v>1891</v>
      </c>
      <c r="V483" s="165">
        <v>2.29E-2</v>
      </c>
      <c r="W483" s="167">
        <v>4.5350000000000001E-2</v>
      </c>
      <c r="X483" s="4" t="s">
        <v>411</v>
      </c>
      <c r="Y483" s="4" t="s">
        <v>136</v>
      </c>
      <c r="Z483" s="153">
        <v>1202564.1000000001</v>
      </c>
      <c r="AA483" s="153">
        <v>1</v>
      </c>
      <c r="AB483" s="153">
        <v>96.89</v>
      </c>
      <c r="AC483" s="11"/>
      <c r="AD483" s="153">
        <v>1165.164</v>
      </c>
      <c r="AG483" s="2" t="s">
        <v>37</v>
      </c>
      <c r="AH483" s="167">
        <v>2.4380000000000001E-3</v>
      </c>
      <c r="AI483" s="167">
        <v>4.85789930634134E-3</v>
      </c>
      <c r="AJ483" s="167">
        <v>1.13402427209037E-3</v>
      </c>
      <c r="AK483" s="161"/>
      <c r="AL483" s="153"/>
    </row>
    <row r="484" spans="1:38">
      <c r="A484" s="2" t="s">
        <v>26</v>
      </c>
      <c r="B484" s="2">
        <v>9963</v>
      </c>
      <c r="C484" s="2" t="s">
        <v>2163</v>
      </c>
      <c r="D484" s="2" t="s">
        <v>2164</v>
      </c>
      <c r="E484" s="4" t="s">
        <v>1305</v>
      </c>
      <c r="F484" s="2" t="s">
        <v>2165</v>
      </c>
      <c r="G484" s="2" t="s">
        <v>2166</v>
      </c>
      <c r="H484" s="2" t="s">
        <v>319</v>
      </c>
      <c r="I484" s="2" t="s">
        <v>754</v>
      </c>
      <c r="J484" s="2" t="s">
        <v>31</v>
      </c>
      <c r="K484" s="2" t="s">
        <v>31</v>
      </c>
      <c r="L484" s="2" t="s">
        <v>325</v>
      </c>
      <c r="M484" s="2" t="s">
        <v>40</v>
      </c>
      <c r="N484" s="2" t="s">
        <v>442</v>
      </c>
      <c r="O484" s="2" t="s">
        <v>136</v>
      </c>
      <c r="P484" s="2" t="s">
        <v>1739</v>
      </c>
      <c r="Q484" s="2" t="s">
        <v>412</v>
      </c>
      <c r="R484" s="2" t="s">
        <v>405</v>
      </c>
      <c r="S484" s="2" t="s">
        <v>35</v>
      </c>
      <c r="T484" s="153">
        <v>7.2389999999999999</v>
      </c>
      <c r="U484" s="2" t="s">
        <v>2167</v>
      </c>
      <c r="V484" s="165">
        <v>2.0899999999999998E-2</v>
      </c>
      <c r="W484" s="167">
        <v>2.946E-2</v>
      </c>
      <c r="X484" s="4" t="s">
        <v>411</v>
      </c>
      <c r="Y484" s="4" t="s">
        <v>136</v>
      </c>
      <c r="Z484" s="153">
        <v>4100000</v>
      </c>
      <c r="AA484" s="153">
        <v>1</v>
      </c>
      <c r="AB484" s="153">
        <v>104.02</v>
      </c>
      <c r="AC484" s="11"/>
      <c r="AD484" s="153">
        <v>4264.82</v>
      </c>
      <c r="AG484" s="2" t="s">
        <v>37</v>
      </c>
      <c r="AH484" s="167">
        <v>3.3449999999999999E-3</v>
      </c>
      <c r="AI484" s="167">
        <v>1.7781239191080999E-2</v>
      </c>
      <c r="AJ484" s="167">
        <v>4.1508387800892601E-3</v>
      </c>
      <c r="AK484" s="161"/>
      <c r="AL484" s="153"/>
    </row>
    <row r="485" spans="1:38">
      <c r="A485" s="2" t="s">
        <v>26</v>
      </c>
      <c r="B485" s="2">
        <v>9963</v>
      </c>
      <c r="C485" s="2" t="s">
        <v>2313</v>
      </c>
      <c r="D485" s="2" t="s">
        <v>2314</v>
      </c>
      <c r="E485" s="4" t="s">
        <v>1305</v>
      </c>
      <c r="F485" s="2" t="s">
        <v>2331</v>
      </c>
      <c r="G485" s="2" t="s">
        <v>2332</v>
      </c>
      <c r="H485" s="2" t="s">
        <v>319</v>
      </c>
      <c r="I485" s="2" t="s">
        <v>966</v>
      </c>
      <c r="J485" s="2" t="s">
        <v>31</v>
      </c>
      <c r="K485" s="2" t="s">
        <v>74</v>
      </c>
      <c r="L485" s="2" t="s">
        <v>325</v>
      </c>
      <c r="M485" s="2" t="s">
        <v>40</v>
      </c>
      <c r="N485" s="2" t="s">
        <v>462</v>
      </c>
      <c r="O485" s="2" t="s">
        <v>136</v>
      </c>
      <c r="P485" s="2" t="s">
        <v>1748</v>
      </c>
      <c r="Q485" s="2" t="s">
        <v>412</v>
      </c>
      <c r="R485" s="2" t="s">
        <v>405</v>
      </c>
      <c r="S485" s="2" t="s">
        <v>35</v>
      </c>
      <c r="T485" s="153">
        <v>2.048</v>
      </c>
      <c r="U485" s="2" t="s">
        <v>1788</v>
      </c>
      <c r="V485" s="165">
        <v>0.09</v>
      </c>
      <c r="W485" s="167">
        <v>6.2280000000000002E-2</v>
      </c>
      <c r="X485" s="4" t="s">
        <v>411</v>
      </c>
      <c r="Y485" s="4" t="s">
        <v>136</v>
      </c>
      <c r="Z485" s="153">
        <v>1187000</v>
      </c>
      <c r="AA485" s="153">
        <v>1</v>
      </c>
      <c r="AB485" s="153">
        <v>108.21</v>
      </c>
      <c r="AC485" s="11"/>
      <c r="AD485" s="153">
        <v>1284.453</v>
      </c>
      <c r="AG485" s="2" t="s">
        <v>37</v>
      </c>
      <c r="AH485" s="167">
        <v>3.7139999999999999E-3</v>
      </c>
      <c r="AI485" s="167">
        <v>5.3552461037815902E-3</v>
      </c>
      <c r="AJ485" s="167">
        <v>1.25012452538451E-3</v>
      </c>
      <c r="AK485" s="161"/>
      <c r="AL485" s="153"/>
    </row>
    <row r="486" spans="1:38">
      <c r="A486" s="2" t="s">
        <v>26</v>
      </c>
      <c r="B486" s="2">
        <v>9963</v>
      </c>
      <c r="C486" s="2" t="s">
        <v>1587</v>
      </c>
      <c r="D486" s="2" t="s">
        <v>1588</v>
      </c>
      <c r="E486" s="4" t="s">
        <v>1305</v>
      </c>
      <c r="F486" s="2" t="s">
        <v>2411</v>
      </c>
      <c r="G486" s="2" t="s">
        <v>2412</v>
      </c>
      <c r="H486" s="2" t="s">
        <v>319</v>
      </c>
      <c r="I486" s="2" t="s">
        <v>966</v>
      </c>
      <c r="J486" s="2" t="s">
        <v>31</v>
      </c>
      <c r="K486" s="2" t="s">
        <v>31</v>
      </c>
      <c r="L486" s="2" t="s">
        <v>325</v>
      </c>
      <c r="M486" s="2" t="s">
        <v>40</v>
      </c>
      <c r="N486" s="2" t="s">
        <v>458</v>
      </c>
      <c r="O486" s="2" t="s">
        <v>136</v>
      </c>
      <c r="P486" s="2" t="s">
        <v>1731</v>
      </c>
      <c r="Q486" s="2" t="s">
        <v>104</v>
      </c>
      <c r="R486" s="2" t="s">
        <v>405</v>
      </c>
      <c r="S486" s="2" t="s">
        <v>35</v>
      </c>
      <c r="T486" s="153">
        <v>3.6070000000000002</v>
      </c>
      <c r="U486" s="2" t="s">
        <v>2413</v>
      </c>
      <c r="V486" s="165">
        <v>2.1600000000000001E-2</v>
      </c>
      <c r="W486" s="167">
        <v>5.6860000000000001E-2</v>
      </c>
      <c r="X486" s="4" t="s">
        <v>411</v>
      </c>
      <c r="Y486" s="4" t="s">
        <v>136</v>
      </c>
      <c r="Z486" s="153">
        <v>443492.83</v>
      </c>
      <c r="AA486" s="153">
        <v>1</v>
      </c>
      <c r="AB486" s="153">
        <v>88.45</v>
      </c>
      <c r="AC486" s="11"/>
      <c r="AD486" s="153">
        <v>392.26900000000001</v>
      </c>
      <c r="AG486" s="2" t="s">
        <v>37</v>
      </c>
      <c r="AH486" s="167">
        <v>5.3899999999999998E-4</v>
      </c>
      <c r="AI486" s="167">
        <v>1.63548196017469E-3</v>
      </c>
      <c r="AJ486" s="167">
        <v>3.81785648990912E-4</v>
      </c>
      <c r="AK486" s="161"/>
      <c r="AL486" s="153"/>
    </row>
    <row r="487" spans="1:38">
      <c r="A487" s="2" t="s">
        <v>26</v>
      </c>
      <c r="B487" s="2">
        <v>9963</v>
      </c>
      <c r="C487" s="2" t="s">
        <v>1587</v>
      </c>
      <c r="D487" s="2" t="s">
        <v>1588</v>
      </c>
      <c r="E487" s="4" t="s">
        <v>1305</v>
      </c>
      <c r="F487" s="2" t="s">
        <v>2168</v>
      </c>
      <c r="G487" s="2" t="s">
        <v>2169</v>
      </c>
      <c r="H487" s="2" t="s">
        <v>319</v>
      </c>
      <c r="I487" s="2" t="s">
        <v>754</v>
      </c>
      <c r="J487" s="2" t="s">
        <v>31</v>
      </c>
      <c r="K487" s="2" t="s">
        <v>31</v>
      </c>
      <c r="L487" s="2" t="s">
        <v>325</v>
      </c>
      <c r="M487" s="2" t="s">
        <v>40</v>
      </c>
      <c r="N487" s="2" t="s">
        <v>458</v>
      </c>
      <c r="O487" s="2" t="s">
        <v>136</v>
      </c>
      <c r="P487" s="2" t="s">
        <v>1731</v>
      </c>
      <c r="Q487" s="2" t="s">
        <v>104</v>
      </c>
      <c r="R487" s="2" t="s">
        <v>405</v>
      </c>
      <c r="S487" s="2" t="s">
        <v>35</v>
      </c>
      <c r="T487" s="153">
        <v>3.6970000000000001</v>
      </c>
      <c r="U487" s="2" t="s">
        <v>2170</v>
      </c>
      <c r="V487" s="165">
        <v>3.2500000000000001E-2</v>
      </c>
      <c r="W487" s="167">
        <v>3.0530000000000002E-2</v>
      </c>
      <c r="X487" s="4" t="s">
        <v>411</v>
      </c>
      <c r="Y487" s="4" t="s">
        <v>136</v>
      </c>
      <c r="Z487" s="153">
        <v>1710000</v>
      </c>
      <c r="AA487" s="153">
        <v>1</v>
      </c>
      <c r="AB487" s="153">
        <v>106.83</v>
      </c>
      <c r="AC487" s="11"/>
      <c r="AD487" s="153">
        <v>1826.7929999999999</v>
      </c>
      <c r="AG487" s="2" t="s">
        <v>37</v>
      </c>
      <c r="AH487" s="167">
        <v>6.5770000000000004E-3</v>
      </c>
      <c r="AI487" s="167">
        <v>7.6164160001107803E-3</v>
      </c>
      <c r="AJ487" s="167">
        <v>1.77797028423136E-3</v>
      </c>
      <c r="AK487" s="161"/>
      <c r="AL487" s="153"/>
    </row>
    <row r="488" spans="1:38">
      <c r="A488" s="2" t="s">
        <v>26</v>
      </c>
      <c r="B488" s="2">
        <v>9963</v>
      </c>
      <c r="C488" s="2" t="s">
        <v>1595</v>
      </c>
      <c r="D488" s="2" t="s">
        <v>1596</v>
      </c>
      <c r="E488" s="4" t="s">
        <v>1305</v>
      </c>
      <c r="F488" s="2" t="s">
        <v>2414</v>
      </c>
      <c r="G488" s="2" t="s">
        <v>2415</v>
      </c>
      <c r="H488" s="2" t="s">
        <v>319</v>
      </c>
      <c r="I488" s="2" t="s">
        <v>966</v>
      </c>
      <c r="J488" s="2" t="s">
        <v>31</v>
      </c>
      <c r="K488" s="2" t="s">
        <v>31</v>
      </c>
      <c r="L488" s="2" t="s">
        <v>325</v>
      </c>
      <c r="M488" s="2" t="s">
        <v>40</v>
      </c>
      <c r="N488" s="2" t="s">
        <v>459</v>
      </c>
      <c r="O488" s="2" t="s">
        <v>136</v>
      </c>
      <c r="P488" s="2" t="s">
        <v>1739</v>
      </c>
      <c r="Q488" s="2" t="s">
        <v>164</v>
      </c>
      <c r="R488" s="2" t="s">
        <v>407</v>
      </c>
      <c r="S488" s="2" t="s">
        <v>35</v>
      </c>
      <c r="T488" s="153">
        <v>2.262</v>
      </c>
      <c r="U488" s="2" t="s">
        <v>1743</v>
      </c>
      <c r="V488" s="165">
        <v>2.1499999999999998E-2</v>
      </c>
      <c r="W488" s="167">
        <v>5.0950000000000002E-2</v>
      </c>
      <c r="X488" s="4" t="s">
        <v>411</v>
      </c>
      <c r="Y488" s="4" t="s">
        <v>136</v>
      </c>
      <c r="Z488" s="153">
        <v>1538326.44</v>
      </c>
      <c r="AA488" s="153">
        <v>1</v>
      </c>
      <c r="AB488" s="153">
        <v>93.83</v>
      </c>
      <c r="AC488" s="11"/>
      <c r="AD488" s="153">
        <v>1456.6679999999999</v>
      </c>
      <c r="AG488" s="2" t="s">
        <v>37</v>
      </c>
      <c r="AH488" s="167">
        <v>2.7469999999999999E-3</v>
      </c>
      <c r="AI488" s="167">
        <v>6.0732596149964697E-3</v>
      </c>
      <c r="AJ488" s="167">
        <v>1.41773704636526E-3</v>
      </c>
      <c r="AK488" s="161"/>
      <c r="AL488" s="153"/>
    </row>
    <row r="489" spans="1:38">
      <c r="A489" s="2" t="s">
        <v>26</v>
      </c>
      <c r="B489" s="2">
        <v>9963</v>
      </c>
      <c r="C489" s="2" t="s">
        <v>2175</v>
      </c>
      <c r="D489" s="2" t="s">
        <v>2176</v>
      </c>
      <c r="E489" s="4" t="s">
        <v>1305</v>
      </c>
      <c r="F489" s="2" t="s">
        <v>2177</v>
      </c>
      <c r="G489" s="2" t="s">
        <v>2178</v>
      </c>
      <c r="H489" s="2" t="s">
        <v>319</v>
      </c>
      <c r="I489" s="2" t="s">
        <v>966</v>
      </c>
      <c r="J489" s="2" t="s">
        <v>31</v>
      </c>
      <c r="K489" s="2" t="s">
        <v>31</v>
      </c>
      <c r="L489" s="2" t="s">
        <v>325</v>
      </c>
      <c r="M489" s="2" t="s">
        <v>40</v>
      </c>
      <c r="N489" s="2" t="s">
        <v>444</v>
      </c>
      <c r="O489" s="2" t="s">
        <v>136</v>
      </c>
      <c r="P489" s="2" t="s">
        <v>1772</v>
      </c>
      <c r="Q489" s="2" t="s">
        <v>164</v>
      </c>
      <c r="R489" s="2" t="s">
        <v>407</v>
      </c>
      <c r="S489" s="2" t="s">
        <v>35</v>
      </c>
      <c r="T489" s="153">
        <v>3.27</v>
      </c>
      <c r="U489" s="2" t="s">
        <v>2179</v>
      </c>
      <c r="V489" s="165">
        <v>5.3400000000000003E-2</v>
      </c>
      <c r="W489" s="167">
        <v>5.7369999999999997E-2</v>
      </c>
      <c r="X489" s="4" t="s">
        <v>411</v>
      </c>
      <c r="Y489" s="4" t="s">
        <v>136</v>
      </c>
      <c r="Z489" s="153">
        <v>2000000</v>
      </c>
      <c r="AA489" s="153">
        <v>1</v>
      </c>
      <c r="AB489" s="153">
        <v>100.93</v>
      </c>
      <c r="AC489" s="11"/>
      <c r="AD489" s="153">
        <v>2018.6</v>
      </c>
      <c r="AG489" s="2" t="s">
        <v>37</v>
      </c>
      <c r="AH489" s="167">
        <v>5.0000000000000001E-3</v>
      </c>
      <c r="AI489" s="167">
        <v>8.4161135595678394E-3</v>
      </c>
      <c r="AJ489" s="167">
        <v>1.9646510665135199E-3</v>
      </c>
      <c r="AK489" s="161"/>
      <c r="AL489" s="153"/>
    </row>
    <row r="490" spans="1:38">
      <c r="A490" s="2" t="s">
        <v>26</v>
      </c>
      <c r="B490" s="2">
        <v>9963</v>
      </c>
      <c r="C490" s="2" t="s">
        <v>2180</v>
      </c>
      <c r="D490" s="2" t="s">
        <v>2181</v>
      </c>
      <c r="E490" s="4" t="s">
        <v>1305</v>
      </c>
      <c r="F490" s="2" t="s">
        <v>2182</v>
      </c>
      <c r="G490" s="2" t="s">
        <v>2183</v>
      </c>
      <c r="H490" s="2" t="s">
        <v>319</v>
      </c>
      <c r="I490" s="2" t="s">
        <v>966</v>
      </c>
      <c r="J490" s="2" t="s">
        <v>31</v>
      </c>
      <c r="K490" s="2" t="s">
        <v>31</v>
      </c>
      <c r="L490" s="2" t="s">
        <v>325</v>
      </c>
      <c r="M490" s="2" t="s">
        <v>40</v>
      </c>
      <c r="N490" s="2" t="s">
        <v>444</v>
      </c>
      <c r="O490" s="2" t="s">
        <v>136</v>
      </c>
      <c r="P490" s="2" t="s">
        <v>1752</v>
      </c>
      <c r="Q490" s="23" t="s">
        <v>1752</v>
      </c>
      <c r="R490" s="23" t="s">
        <v>1752</v>
      </c>
      <c r="S490" s="2" t="s">
        <v>35</v>
      </c>
      <c r="T490" s="153">
        <v>0.76500000000000001</v>
      </c>
      <c r="U490" s="2" t="s">
        <v>2184</v>
      </c>
      <c r="V490" s="165">
        <v>4.3499999999999997E-2</v>
      </c>
      <c r="W490" s="167">
        <v>6.3810000000000006E-2</v>
      </c>
      <c r="X490" s="4" t="s">
        <v>411</v>
      </c>
      <c r="Y490" s="4" t="s">
        <v>136</v>
      </c>
      <c r="Z490" s="153">
        <v>939000</v>
      </c>
      <c r="AA490" s="153">
        <v>1</v>
      </c>
      <c r="AB490" s="153">
        <v>99.5</v>
      </c>
      <c r="AC490" s="11"/>
      <c r="AD490" s="153">
        <v>934.30499999999995</v>
      </c>
      <c r="AG490" s="2" t="s">
        <v>37</v>
      </c>
      <c r="AH490" s="167">
        <v>1.3042E-2</v>
      </c>
      <c r="AI490" s="167">
        <v>3.8953814422233398E-3</v>
      </c>
      <c r="AJ490" s="167">
        <v>9.0933484330670401E-4</v>
      </c>
      <c r="AK490" s="161"/>
      <c r="AL490" s="153"/>
    </row>
    <row r="491" spans="1:38">
      <c r="A491" s="2" t="s">
        <v>26</v>
      </c>
      <c r="B491" s="2">
        <v>9963</v>
      </c>
      <c r="C491" s="2" t="s">
        <v>2180</v>
      </c>
      <c r="D491" s="2" t="s">
        <v>2181</v>
      </c>
      <c r="E491" s="4" t="s">
        <v>1305</v>
      </c>
      <c r="F491" s="2" t="s">
        <v>2185</v>
      </c>
      <c r="G491" s="2" t="s">
        <v>2186</v>
      </c>
      <c r="H491" s="2" t="s">
        <v>319</v>
      </c>
      <c r="I491" s="2" t="s">
        <v>966</v>
      </c>
      <c r="J491" s="2" t="s">
        <v>31</v>
      </c>
      <c r="K491" s="2" t="s">
        <v>31</v>
      </c>
      <c r="L491" s="2" t="s">
        <v>325</v>
      </c>
      <c r="M491" s="2" t="s">
        <v>40</v>
      </c>
      <c r="N491" s="2" t="s">
        <v>444</v>
      </c>
      <c r="O491" s="2" t="s">
        <v>136</v>
      </c>
      <c r="P491" s="2" t="s">
        <v>1752</v>
      </c>
      <c r="Q491" s="23" t="s">
        <v>1752</v>
      </c>
      <c r="R491" s="23" t="s">
        <v>1752</v>
      </c>
      <c r="S491" s="2" t="s">
        <v>35</v>
      </c>
      <c r="T491" s="153">
        <v>0.76600000000000001</v>
      </c>
      <c r="U491" s="2" t="s">
        <v>2184</v>
      </c>
      <c r="V491" s="165">
        <v>0.06</v>
      </c>
      <c r="W491" s="167">
        <v>6.7349999999999993E-2</v>
      </c>
      <c r="X491" s="4" t="s">
        <v>411</v>
      </c>
      <c r="Y491" s="4" t="s">
        <v>136</v>
      </c>
      <c r="Z491" s="153">
        <v>319000</v>
      </c>
      <c r="AA491" s="153">
        <v>1</v>
      </c>
      <c r="AB491" s="153">
        <v>100.82</v>
      </c>
      <c r="AC491" s="11"/>
      <c r="AD491" s="153">
        <v>321.61599999999999</v>
      </c>
      <c r="AG491" s="2" t="s">
        <v>37</v>
      </c>
      <c r="AH491" s="167">
        <v>0</v>
      </c>
      <c r="AI491" s="167">
        <v>1.3409071115383199E-3</v>
      </c>
      <c r="AJ491" s="167">
        <v>3.1302032323273502E-4</v>
      </c>
      <c r="AK491" s="161"/>
      <c r="AL491" s="153"/>
    </row>
    <row r="492" spans="1:38">
      <c r="A492" s="2" t="s">
        <v>26</v>
      </c>
      <c r="B492" s="2">
        <v>9963</v>
      </c>
      <c r="C492" s="2" t="s">
        <v>2187</v>
      </c>
      <c r="D492" s="2" t="s">
        <v>2188</v>
      </c>
      <c r="E492" s="4" t="s">
        <v>1305</v>
      </c>
      <c r="F492" s="2" t="s">
        <v>2189</v>
      </c>
      <c r="G492" s="2" t="s">
        <v>2190</v>
      </c>
      <c r="H492" s="2" t="s">
        <v>319</v>
      </c>
      <c r="I492" s="2" t="s">
        <v>966</v>
      </c>
      <c r="J492" s="2" t="s">
        <v>31</v>
      </c>
      <c r="K492" s="2" t="s">
        <v>31</v>
      </c>
      <c r="L492" s="2" t="s">
        <v>325</v>
      </c>
      <c r="M492" s="2" t="s">
        <v>40</v>
      </c>
      <c r="N492" s="2" t="s">
        <v>444</v>
      </c>
      <c r="O492" s="2" t="s">
        <v>136</v>
      </c>
      <c r="P492" s="2" t="s">
        <v>1752</v>
      </c>
      <c r="Q492" s="23" t="s">
        <v>1752</v>
      </c>
      <c r="R492" s="23" t="s">
        <v>1752</v>
      </c>
      <c r="S492" s="2" t="s">
        <v>35</v>
      </c>
      <c r="T492" s="153">
        <v>0.77700000000000002</v>
      </c>
      <c r="U492" s="2" t="s">
        <v>1715</v>
      </c>
      <c r="V492" s="165">
        <v>4.4900000000000002E-2</v>
      </c>
      <c r="W492" s="167">
        <v>5.5350000000000003E-2</v>
      </c>
      <c r="X492" s="4" t="s">
        <v>411</v>
      </c>
      <c r="Y492" s="4" t="s">
        <v>136</v>
      </c>
      <c r="Z492" s="153">
        <v>1866130</v>
      </c>
      <c r="AA492" s="153">
        <v>1</v>
      </c>
      <c r="AB492" s="153">
        <v>100.4</v>
      </c>
      <c r="AC492" s="11"/>
      <c r="AD492" s="153">
        <v>1873.595</v>
      </c>
      <c r="AG492" s="2" t="s">
        <v>37</v>
      </c>
      <c r="AH492" s="167">
        <v>1.7233999999999999E-2</v>
      </c>
      <c r="AI492" s="167">
        <v>7.8115447562191603E-3</v>
      </c>
      <c r="AJ492" s="167">
        <v>1.82352099075195E-3</v>
      </c>
      <c r="AK492" s="161"/>
      <c r="AL492" s="153"/>
    </row>
    <row r="493" spans="1:38">
      <c r="A493" s="2" t="s">
        <v>26</v>
      </c>
      <c r="B493" s="2">
        <v>9963</v>
      </c>
      <c r="C493" s="2" t="s">
        <v>1599</v>
      </c>
      <c r="D493" s="2" t="s">
        <v>1600</v>
      </c>
      <c r="E493" s="4" t="s">
        <v>1305</v>
      </c>
      <c r="F493" s="2" t="s">
        <v>2416</v>
      </c>
      <c r="G493" s="2" t="s">
        <v>2417</v>
      </c>
      <c r="H493" s="2" t="s">
        <v>319</v>
      </c>
      <c r="I493" s="2" t="s">
        <v>754</v>
      </c>
      <c r="J493" s="2" t="s">
        <v>31</v>
      </c>
      <c r="K493" s="2" t="s">
        <v>31</v>
      </c>
      <c r="L493" s="2" t="s">
        <v>325</v>
      </c>
      <c r="M493" s="2" t="s">
        <v>40</v>
      </c>
      <c r="N493" s="2" t="s">
        <v>461</v>
      </c>
      <c r="O493" s="2" t="s">
        <v>136</v>
      </c>
      <c r="P493" s="2" t="s">
        <v>1748</v>
      </c>
      <c r="Q493" s="2" t="s">
        <v>412</v>
      </c>
      <c r="R493" s="2" t="s">
        <v>405</v>
      </c>
      <c r="S493" s="2" t="s">
        <v>35</v>
      </c>
      <c r="T493" s="153">
        <v>2.5449999999999999</v>
      </c>
      <c r="U493" s="2" t="s">
        <v>2418</v>
      </c>
      <c r="V493" s="165">
        <v>0.04</v>
      </c>
      <c r="W493" s="167">
        <v>2.18E-2</v>
      </c>
      <c r="X493" s="4" t="s">
        <v>411</v>
      </c>
      <c r="Y493" s="4" t="s">
        <v>136</v>
      </c>
      <c r="Z493" s="153">
        <v>1335663.8799999999</v>
      </c>
      <c r="AA493" s="153">
        <v>1</v>
      </c>
      <c r="AB493" s="153">
        <v>117.41</v>
      </c>
      <c r="AC493" s="11"/>
      <c r="AD493" s="153">
        <v>1568.203</v>
      </c>
      <c r="AG493" s="2" t="s">
        <v>37</v>
      </c>
      <c r="AH493" s="167">
        <v>1.4350000000000001E-3</v>
      </c>
      <c r="AI493" s="167">
        <v>6.5382810901129101E-3</v>
      </c>
      <c r="AJ493" s="167">
        <v>1.52629130131594E-3</v>
      </c>
      <c r="AK493" s="161"/>
      <c r="AL493" s="153"/>
    </row>
    <row r="494" spans="1:38">
      <c r="A494" s="2" t="s">
        <v>26</v>
      </c>
      <c r="B494" s="2">
        <v>9963</v>
      </c>
      <c r="C494" s="2" t="s">
        <v>1383</v>
      </c>
      <c r="D494" s="2" t="s">
        <v>1384</v>
      </c>
      <c r="E494" s="4" t="s">
        <v>1305</v>
      </c>
      <c r="F494" s="2" t="s">
        <v>2195</v>
      </c>
      <c r="G494" s="2" t="s">
        <v>2196</v>
      </c>
      <c r="H494" s="2" t="s">
        <v>319</v>
      </c>
      <c r="I494" s="2" t="s">
        <v>754</v>
      </c>
      <c r="J494" s="2" t="s">
        <v>31</v>
      </c>
      <c r="K494" s="2" t="s">
        <v>31</v>
      </c>
      <c r="L494" s="2" t="s">
        <v>325</v>
      </c>
      <c r="M494" s="2" t="s">
        <v>40</v>
      </c>
      <c r="N494" s="2" t="s">
        <v>461</v>
      </c>
      <c r="O494" s="2" t="s">
        <v>136</v>
      </c>
      <c r="P494" s="2" t="s">
        <v>1724</v>
      </c>
      <c r="Q494" s="2" t="s">
        <v>412</v>
      </c>
      <c r="R494" s="2" t="s">
        <v>405</v>
      </c>
      <c r="S494" s="2" t="s">
        <v>35</v>
      </c>
      <c r="T494" s="153">
        <v>3.4420000000000002</v>
      </c>
      <c r="U494" s="2" t="s">
        <v>2197</v>
      </c>
      <c r="V494" s="165">
        <v>1.0800000000000001E-2</v>
      </c>
      <c r="W494" s="167">
        <v>3.1019999999999999E-2</v>
      </c>
      <c r="X494" s="4" t="s">
        <v>411</v>
      </c>
      <c r="Y494" s="4" t="s">
        <v>136</v>
      </c>
      <c r="Z494" s="153">
        <v>2078190</v>
      </c>
      <c r="AA494" s="153">
        <v>1</v>
      </c>
      <c r="AB494" s="153">
        <v>104.57</v>
      </c>
      <c r="AC494" s="11"/>
      <c r="AD494" s="153">
        <v>2173.163</v>
      </c>
      <c r="AG494" s="2" t="s">
        <v>37</v>
      </c>
      <c r="AH494" s="167">
        <v>7.7640000000000001E-3</v>
      </c>
      <c r="AI494" s="167">
        <v>9.0605315432533799E-3</v>
      </c>
      <c r="AJ494" s="167">
        <v>2.1150835042375699E-3</v>
      </c>
      <c r="AK494" s="161"/>
      <c r="AL494" s="153"/>
    </row>
    <row r="495" spans="1:38">
      <c r="A495" s="2" t="s">
        <v>26</v>
      </c>
      <c r="B495" s="2">
        <v>9963</v>
      </c>
      <c r="C495" s="2" t="s">
        <v>1383</v>
      </c>
      <c r="D495" s="2" t="s">
        <v>1384</v>
      </c>
      <c r="E495" s="4" t="s">
        <v>1305</v>
      </c>
      <c r="F495" s="2" t="s">
        <v>2198</v>
      </c>
      <c r="G495" s="2" t="s">
        <v>2199</v>
      </c>
      <c r="H495" s="2" t="s">
        <v>319</v>
      </c>
      <c r="I495" s="2" t="s">
        <v>754</v>
      </c>
      <c r="J495" s="2" t="s">
        <v>31</v>
      </c>
      <c r="K495" s="2" t="s">
        <v>31</v>
      </c>
      <c r="L495" s="2" t="s">
        <v>325</v>
      </c>
      <c r="M495" s="2" t="s">
        <v>40</v>
      </c>
      <c r="N495" s="2" t="s">
        <v>461</v>
      </c>
      <c r="O495" s="2" t="s">
        <v>136</v>
      </c>
      <c r="P495" s="2" t="s">
        <v>1890</v>
      </c>
      <c r="Q495" s="2" t="s">
        <v>412</v>
      </c>
      <c r="R495" s="2" t="s">
        <v>405</v>
      </c>
      <c r="S495" s="2" t="s">
        <v>35</v>
      </c>
      <c r="T495" s="153">
        <v>3.899</v>
      </c>
      <c r="U495" s="2" t="s">
        <v>1773</v>
      </c>
      <c r="V495" s="165">
        <v>9.4000000000000004E-3</v>
      </c>
      <c r="W495" s="167">
        <v>4.641E-2</v>
      </c>
      <c r="X495" s="4" t="s">
        <v>411</v>
      </c>
      <c r="Y495" s="4" t="s">
        <v>136</v>
      </c>
      <c r="Z495" s="153">
        <v>3468600</v>
      </c>
      <c r="AA495" s="153">
        <v>1</v>
      </c>
      <c r="AB495" s="153">
        <v>94.91</v>
      </c>
      <c r="AC495" s="11"/>
      <c r="AD495" s="153">
        <v>3292.0479999999998</v>
      </c>
      <c r="AG495" s="2" t="s">
        <v>37</v>
      </c>
      <c r="AH495" s="167">
        <v>8.7810000000000006E-3</v>
      </c>
      <c r="AI495" s="167">
        <v>1.37254790447527E-2</v>
      </c>
      <c r="AJ495" s="167">
        <v>3.2040652556340901E-3</v>
      </c>
      <c r="AK495" s="161"/>
      <c r="AL495" s="153"/>
    </row>
    <row r="496" spans="1:38">
      <c r="A496" s="2" t="s">
        <v>26</v>
      </c>
      <c r="B496" s="2">
        <v>9963</v>
      </c>
      <c r="C496" s="2" t="s">
        <v>2200</v>
      </c>
      <c r="D496" s="2" t="s">
        <v>2201</v>
      </c>
      <c r="E496" s="4" t="s">
        <v>1305</v>
      </c>
      <c r="F496" s="2" t="s">
        <v>2202</v>
      </c>
      <c r="G496" s="2" t="s">
        <v>2203</v>
      </c>
      <c r="H496" s="2" t="s">
        <v>319</v>
      </c>
      <c r="I496" s="2" t="s">
        <v>966</v>
      </c>
      <c r="J496" s="2" t="s">
        <v>31</v>
      </c>
      <c r="K496" s="2" t="s">
        <v>31</v>
      </c>
      <c r="L496" s="2" t="s">
        <v>325</v>
      </c>
      <c r="M496" s="2" t="s">
        <v>40</v>
      </c>
      <c r="N496" s="2" t="s">
        <v>440</v>
      </c>
      <c r="O496" s="2" t="s">
        <v>136</v>
      </c>
      <c r="P496" s="2" t="s">
        <v>2204</v>
      </c>
      <c r="Q496" s="2" t="s">
        <v>104</v>
      </c>
      <c r="R496" s="2" t="s">
        <v>405</v>
      </c>
      <c r="S496" s="2" t="s">
        <v>35</v>
      </c>
      <c r="T496" s="153">
        <v>0.95599999999999996</v>
      </c>
      <c r="U496" s="2" t="s">
        <v>1897</v>
      </c>
      <c r="V496" s="165">
        <v>3.15E-2</v>
      </c>
      <c r="W496" s="167">
        <v>0.10729</v>
      </c>
      <c r="X496" s="4" t="s">
        <v>411</v>
      </c>
      <c r="Y496" s="4" t="s">
        <v>136</v>
      </c>
      <c r="Z496" s="153">
        <v>749963.25</v>
      </c>
      <c r="AA496" s="153">
        <v>1</v>
      </c>
      <c r="AB496" s="153">
        <v>94.15</v>
      </c>
      <c r="AC496" s="11"/>
      <c r="AD496" s="153">
        <v>706.09</v>
      </c>
      <c r="AG496" s="2" t="s">
        <v>37</v>
      </c>
      <c r="AH496" s="167">
        <v>3.7499999999999999E-3</v>
      </c>
      <c r="AI496" s="167">
        <v>2.94389031441032E-3</v>
      </c>
      <c r="AJ496" s="167">
        <v>6.8721948735231105E-4</v>
      </c>
      <c r="AK496" s="161"/>
      <c r="AL496" s="153"/>
    </row>
    <row r="497" spans="1:38">
      <c r="A497" s="2" t="s">
        <v>26</v>
      </c>
      <c r="B497" s="2">
        <v>9963</v>
      </c>
      <c r="C497" s="2" t="s">
        <v>2200</v>
      </c>
      <c r="D497" s="2" t="s">
        <v>2201</v>
      </c>
      <c r="E497" s="4" t="s">
        <v>1305</v>
      </c>
      <c r="F497" s="2" t="s">
        <v>2205</v>
      </c>
      <c r="G497" s="2" t="s">
        <v>2203</v>
      </c>
      <c r="H497" s="2" t="s">
        <v>319</v>
      </c>
      <c r="I497" s="2" t="s">
        <v>966</v>
      </c>
      <c r="J497" s="2" t="s">
        <v>31</v>
      </c>
      <c r="K497" s="2" t="s">
        <v>31</v>
      </c>
      <c r="L497" s="23" t="s">
        <v>327</v>
      </c>
      <c r="M497" s="2" t="s">
        <v>40</v>
      </c>
      <c r="N497" s="2" t="s">
        <v>440</v>
      </c>
      <c r="O497" s="2" t="s">
        <v>136</v>
      </c>
      <c r="P497" s="2" t="s">
        <v>2083</v>
      </c>
      <c r="Q497" s="2" t="s">
        <v>104</v>
      </c>
      <c r="R497" s="2" t="s">
        <v>405</v>
      </c>
      <c r="S497" s="2" t="s">
        <v>35</v>
      </c>
      <c r="T497" s="153">
        <v>1.9</v>
      </c>
      <c r="U497" s="2" t="s">
        <v>1897</v>
      </c>
      <c r="V497" s="165">
        <v>2.9000000000000001E-2</v>
      </c>
      <c r="W497" s="167">
        <v>7.9600000000000004E-2</v>
      </c>
      <c r="X497" s="4" t="s">
        <v>411</v>
      </c>
      <c r="Y497" s="4" t="s">
        <v>136</v>
      </c>
      <c r="Z497" s="153">
        <v>1370000</v>
      </c>
      <c r="AA497" s="153">
        <v>1</v>
      </c>
      <c r="AB497" s="153">
        <v>93.238</v>
      </c>
      <c r="AC497" s="11"/>
      <c r="AD497" s="153">
        <v>1277.366</v>
      </c>
      <c r="AG497" s="2" t="s">
        <v>37</v>
      </c>
      <c r="AH497" s="167">
        <v>6.8500000000000002E-3</v>
      </c>
      <c r="AI497" s="167">
        <v>5.3256999833647201E-3</v>
      </c>
      <c r="AJ497" s="167">
        <v>1.2432273017934201E-3</v>
      </c>
      <c r="AK497" s="161"/>
      <c r="AL497" s="153"/>
    </row>
    <row r="498" spans="1:38">
      <c r="A498" s="2" t="s">
        <v>26</v>
      </c>
      <c r="B498" s="2">
        <v>9963</v>
      </c>
      <c r="C498" s="2" t="s">
        <v>2206</v>
      </c>
      <c r="D498" s="2" t="s">
        <v>2207</v>
      </c>
      <c r="E498" s="4" t="s">
        <v>1305</v>
      </c>
      <c r="F498" s="2" t="s">
        <v>2208</v>
      </c>
      <c r="G498" s="2" t="s">
        <v>2209</v>
      </c>
      <c r="H498" s="2" t="s">
        <v>319</v>
      </c>
      <c r="I498" s="2" t="s">
        <v>966</v>
      </c>
      <c r="J498" s="2" t="s">
        <v>31</v>
      </c>
      <c r="K498" s="2" t="s">
        <v>31</v>
      </c>
      <c r="L498" s="2" t="s">
        <v>325</v>
      </c>
      <c r="M498" s="2" t="s">
        <v>40</v>
      </c>
      <c r="N498" s="2" t="s">
        <v>461</v>
      </c>
      <c r="O498" s="2" t="s">
        <v>136</v>
      </c>
      <c r="P498" s="2" t="s">
        <v>1720</v>
      </c>
      <c r="Q498" s="2" t="s">
        <v>104</v>
      </c>
      <c r="R498" s="2" t="s">
        <v>405</v>
      </c>
      <c r="S498" s="2" t="s">
        <v>35</v>
      </c>
      <c r="T498" s="153">
        <v>3.18</v>
      </c>
      <c r="U498" s="2" t="s">
        <v>2210</v>
      </c>
      <c r="V498" s="165">
        <v>4.1000000000000002E-2</v>
      </c>
      <c r="W498" s="167">
        <v>5.849E-2</v>
      </c>
      <c r="X498" s="4" t="s">
        <v>411</v>
      </c>
      <c r="Y498" s="4" t="s">
        <v>136</v>
      </c>
      <c r="Z498" s="153">
        <v>500000.78</v>
      </c>
      <c r="AA498" s="153">
        <v>1</v>
      </c>
      <c r="AB498" s="153">
        <v>96.54</v>
      </c>
      <c r="AC498" s="11"/>
      <c r="AD498" s="153">
        <v>482.70100000000002</v>
      </c>
      <c r="AG498" s="2" t="s">
        <v>37</v>
      </c>
      <c r="AH498" s="167">
        <v>1.0120000000000001E-3</v>
      </c>
      <c r="AI498" s="167">
        <v>2.01251577956896E-3</v>
      </c>
      <c r="AJ498" s="167">
        <v>4.6980013336565102E-4</v>
      </c>
      <c r="AK498" s="161"/>
      <c r="AL498" s="153"/>
    </row>
    <row r="499" spans="1:38">
      <c r="A499" s="2" t="s">
        <v>26</v>
      </c>
      <c r="B499" s="2">
        <v>9963</v>
      </c>
      <c r="C499" s="2" t="s">
        <v>2384</v>
      </c>
      <c r="D499" s="2" t="s">
        <v>2385</v>
      </c>
      <c r="E499" s="4" t="s">
        <v>1305</v>
      </c>
      <c r="F499" s="2" t="s">
        <v>2386</v>
      </c>
      <c r="G499" s="2" t="s">
        <v>2387</v>
      </c>
      <c r="H499" s="2" t="s">
        <v>319</v>
      </c>
      <c r="I499" s="2" t="s">
        <v>755</v>
      </c>
      <c r="J499" s="2" t="s">
        <v>31</v>
      </c>
      <c r="K499" s="2" t="s">
        <v>31</v>
      </c>
      <c r="L499" s="2" t="s">
        <v>325</v>
      </c>
      <c r="M499" s="2" t="s">
        <v>40</v>
      </c>
      <c r="N499" s="2" t="s">
        <v>451</v>
      </c>
      <c r="O499" s="2" t="s">
        <v>136</v>
      </c>
      <c r="P499" s="2" t="s">
        <v>1896</v>
      </c>
      <c r="Q499" s="2" t="s">
        <v>104</v>
      </c>
      <c r="R499" s="2" t="s">
        <v>405</v>
      </c>
      <c r="S499" s="2" t="s">
        <v>35</v>
      </c>
      <c r="T499" s="153">
        <v>3.3</v>
      </c>
      <c r="U499" s="2" t="s">
        <v>2388</v>
      </c>
      <c r="V499" s="165">
        <v>4.6899999999999997E-2</v>
      </c>
      <c r="W499" s="167">
        <v>6.9029999999999994E-2</v>
      </c>
      <c r="X499" s="4" t="s">
        <v>411</v>
      </c>
      <c r="Y499" s="4" t="s">
        <v>136</v>
      </c>
      <c r="Z499" s="153">
        <v>3388811.74</v>
      </c>
      <c r="AA499" s="153">
        <v>1</v>
      </c>
      <c r="AB499" s="153">
        <v>98.27</v>
      </c>
      <c r="AC499" s="11"/>
      <c r="AD499" s="153">
        <v>3330.1849999999999</v>
      </c>
      <c r="AG499" s="2" t="s">
        <v>37</v>
      </c>
      <c r="AH499" s="167">
        <v>2.313E-3</v>
      </c>
      <c r="AI499" s="167">
        <v>1.38844831234998E-2</v>
      </c>
      <c r="AJ499" s="167">
        <v>3.2411830452978799E-3</v>
      </c>
      <c r="AK499" s="161"/>
      <c r="AL499" s="153"/>
    </row>
    <row r="500" spans="1:38">
      <c r="A500" s="2" t="s">
        <v>26</v>
      </c>
      <c r="B500" s="2">
        <v>9963</v>
      </c>
      <c r="C500" s="2" t="s">
        <v>2349</v>
      </c>
      <c r="D500" s="2" t="s">
        <v>2350</v>
      </c>
      <c r="E500" s="4" t="s">
        <v>1305</v>
      </c>
      <c r="F500" s="2" t="s">
        <v>2419</v>
      </c>
      <c r="G500" s="2" t="s">
        <v>2420</v>
      </c>
      <c r="H500" s="2" t="s">
        <v>319</v>
      </c>
      <c r="I500" s="2" t="s">
        <v>755</v>
      </c>
      <c r="J500" s="2" t="s">
        <v>31</v>
      </c>
      <c r="K500" s="2" t="s">
        <v>31</v>
      </c>
      <c r="L500" s="2" t="s">
        <v>325</v>
      </c>
      <c r="M500" s="2" t="s">
        <v>164</v>
      </c>
      <c r="N500" s="2" t="s">
        <v>437</v>
      </c>
      <c r="O500" s="2" t="s">
        <v>136</v>
      </c>
      <c r="P500" s="2" t="s">
        <v>2083</v>
      </c>
      <c r="Q500" s="2" t="s">
        <v>104</v>
      </c>
      <c r="R500" s="2" t="s">
        <v>407</v>
      </c>
      <c r="S500" s="2" t="s">
        <v>78</v>
      </c>
      <c r="T500" s="153">
        <v>13.74</v>
      </c>
      <c r="U500" s="2" t="s">
        <v>2421</v>
      </c>
      <c r="V500" s="165">
        <v>8.1000000000000003E-2</v>
      </c>
      <c r="W500" s="167">
        <v>7.0489999999999997E-2</v>
      </c>
      <c r="X500" s="4" t="s">
        <v>411</v>
      </c>
      <c r="Y500" s="4" t="s">
        <v>136</v>
      </c>
      <c r="Z500" s="153">
        <v>700000</v>
      </c>
      <c r="AA500" s="153">
        <v>3.681</v>
      </c>
      <c r="AB500" s="153">
        <v>117.542</v>
      </c>
      <c r="AC500" s="11"/>
      <c r="AD500" s="153">
        <v>3028.7049999999999</v>
      </c>
      <c r="AG500" s="2" t="s">
        <v>37</v>
      </c>
      <c r="AH500" s="167">
        <v>5.5999999999999999E-3</v>
      </c>
      <c r="AI500" s="167">
        <v>1.26275254193116E-2</v>
      </c>
      <c r="AJ500" s="167">
        <v>2.94775980705173E-3</v>
      </c>
      <c r="AK500" s="161"/>
      <c r="AL500" s="153"/>
    </row>
    <row r="501" spans="1:38">
      <c r="A501" s="2" t="s">
        <v>26</v>
      </c>
      <c r="B501" s="2">
        <v>9963</v>
      </c>
      <c r="C501" s="2" t="s">
        <v>2220</v>
      </c>
      <c r="D501" s="2" t="s">
        <v>2221</v>
      </c>
      <c r="E501" s="4" t="s">
        <v>312</v>
      </c>
      <c r="F501" s="2" t="s">
        <v>2222</v>
      </c>
      <c r="G501" s="2" t="s">
        <v>2223</v>
      </c>
      <c r="H501" s="2" t="s">
        <v>319</v>
      </c>
      <c r="I501" s="2" t="s">
        <v>755</v>
      </c>
      <c r="J501" s="2" t="s">
        <v>73</v>
      </c>
      <c r="K501" s="2" t="s">
        <v>293</v>
      </c>
      <c r="L501" s="2" t="s">
        <v>325</v>
      </c>
      <c r="M501" s="2" t="s">
        <v>164</v>
      </c>
      <c r="N501" s="2" t="s">
        <v>566</v>
      </c>
      <c r="O501" s="2" t="s">
        <v>136</v>
      </c>
      <c r="P501" s="2" t="s">
        <v>2224</v>
      </c>
      <c r="Q501" s="2" t="s">
        <v>77</v>
      </c>
      <c r="R501" s="2" t="s">
        <v>405</v>
      </c>
      <c r="S501" s="2" t="s">
        <v>1178</v>
      </c>
      <c r="T501" s="153">
        <v>1.28</v>
      </c>
      <c r="U501" s="2" t="s">
        <v>2225</v>
      </c>
      <c r="V501" s="165">
        <v>4.2500000000000003E-2</v>
      </c>
      <c r="W501" s="167">
        <v>7.8850000000000003E-2</v>
      </c>
      <c r="X501" s="4" t="s">
        <v>411</v>
      </c>
      <c r="Y501" s="4" t="s">
        <v>136</v>
      </c>
      <c r="Z501" s="153">
        <v>309000</v>
      </c>
      <c r="AA501" s="153">
        <v>3.9790000000000001</v>
      </c>
      <c r="AB501" s="153">
        <v>94.738</v>
      </c>
      <c r="AC501" s="11"/>
      <c r="AD501" s="153">
        <v>1193.729</v>
      </c>
      <c r="AG501" s="2" t="s">
        <v>37</v>
      </c>
      <c r="AH501" s="167">
        <v>6.1799999999999995E-4</v>
      </c>
      <c r="AI501" s="167">
        <v>4.9769937965652598E-3</v>
      </c>
      <c r="AJ501" s="167">
        <v>1.1618255981511701E-3</v>
      </c>
      <c r="AK501" s="161"/>
      <c r="AL501" s="153"/>
    </row>
    <row r="502" spans="1:38">
      <c r="A502" s="2" t="s">
        <v>26</v>
      </c>
      <c r="B502" s="2">
        <v>9963</v>
      </c>
      <c r="C502" s="2" t="s">
        <v>2226</v>
      </c>
      <c r="D502" s="2" t="s">
        <v>2227</v>
      </c>
      <c r="E502" s="4" t="s">
        <v>312</v>
      </c>
      <c r="F502" s="2" t="s">
        <v>2422</v>
      </c>
      <c r="G502" s="2" t="s">
        <v>2423</v>
      </c>
      <c r="H502" s="2" t="s">
        <v>319</v>
      </c>
      <c r="I502" s="2" t="s">
        <v>755</v>
      </c>
      <c r="J502" s="2" t="s">
        <v>73</v>
      </c>
      <c r="K502" s="2" t="s">
        <v>296</v>
      </c>
      <c r="L502" s="2" t="s">
        <v>325</v>
      </c>
      <c r="M502" s="2" t="s">
        <v>164</v>
      </c>
      <c r="N502" s="2" t="s">
        <v>484</v>
      </c>
      <c r="O502" s="2" t="s">
        <v>136</v>
      </c>
      <c r="P502" s="2" t="s">
        <v>2424</v>
      </c>
      <c r="Q502" s="2" t="s">
        <v>430</v>
      </c>
      <c r="R502" s="2" t="s">
        <v>405</v>
      </c>
      <c r="S502" s="2" t="s">
        <v>78</v>
      </c>
      <c r="T502" s="153">
        <v>2.62</v>
      </c>
      <c r="U502" s="2" t="s">
        <v>2425</v>
      </c>
      <c r="V502" s="165">
        <v>6.5000000000000002E-2</v>
      </c>
      <c r="W502" s="167">
        <v>8.48E-2</v>
      </c>
      <c r="X502" s="4" t="s">
        <v>411</v>
      </c>
      <c r="Y502" s="4" t="s">
        <v>136</v>
      </c>
      <c r="Z502" s="153">
        <v>800000</v>
      </c>
      <c r="AA502" s="153">
        <v>3.681</v>
      </c>
      <c r="AB502" s="153">
        <v>94.328999999999994</v>
      </c>
      <c r="AC502" s="11"/>
      <c r="AD502" s="153">
        <v>2857.5549999999998</v>
      </c>
      <c r="AG502" s="2" t="s">
        <v>37</v>
      </c>
      <c r="AH502" s="167">
        <v>1.7780000000000001E-3</v>
      </c>
      <c r="AI502" s="167">
        <v>1.19139555547707E-2</v>
      </c>
      <c r="AJ502" s="167">
        <v>2.7811846075276501E-3</v>
      </c>
      <c r="AK502" s="161"/>
      <c r="AL502" s="153"/>
    </row>
    <row r="503" spans="1:38">
      <c r="A503" s="2" t="s">
        <v>26</v>
      </c>
      <c r="B503" s="2">
        <v>9963</v>
      </c>
      <c r="C503" s="2" t="s">
        <v>2226</v>
      </c>
      <c r="D503" s="2" t="s">
        <v>2227</v>
      </c>
      <c r="E503" s="4" t="s">
        <v>312</v>
      </c>
      <c r="F503" s="2" t="s">
        <v>2228</v>
      </c>
      <c r="G503" s="2" t="s">
        <v>2229</v>
      </c>
      <c r="H503" s="2" t="s">
        <v>319</v>
      </c>
      <c r="I503" s="2" t="s">
        <v>755</v>
      </c>
      <c r="J503" s="2" t="s">
        <v>73</v>
      </c>
      <c r="K503" s="2" t="s">
        <v>296</v>
      </c>
      <c r="L503" s="2" t="s">
        <v>325</v>
      </c>
      <c r="M503" s="2" t="s">
        <v>164</v>
      </c>
      <c r="N503" s="2" t="s">
        <v>451</v>
      </c>
      <c r="O503" s="2" t="s">
        <v>136</v>
      </c>
      <c r="P503" s="2" t="s">
        <v>1714</v>
      </c>
      <c r="Q503" s="2" t="s">
        <v>77</v>
      </c>
      <c r="R503" s="2" t="s">
        <v>405</v>
      </c>
      <c r="S503" s="2" t="s">
        <v>78</v>
      </c>
      <c r="T503" s="153">
        <v>3.63</v>
      </c>
      <c r="U503" s="2" t="s">
        <v>2230</v>
      </c>
      <c r="V503" s="165">
        <v>5.3749999999999999E-2</v>
      </c>
      <c r="W503" s="167">
        <v>8.9200000000000002E-2</v>
      </c>
      <c r="X503" s="4" t="s">
        <v>411</v>
      </c>
      <c r="Y503" s="4" t="s">
        <v>136</v>
      </c>
      <c r="Z503" s="153">
        <v>400000</v>
      </c>
      <c r="AA503" s="153">
        <v>3.681</v>
      </c>
      <c r="AB503" s="153">
        <v>91.602000000000004</v>
      </c>
      <c r="AC503" s="161">
        <v>10.75</v>
      </c>
      <c r="AD503" s="153">
        <v>1388.319</v>
      </c>
      <c r="AG503" s="2" t="s">
        <v>37</v>
      </c>
      <c r="AH503" s="167">
        <v>6.4000000000000005E-4</v>
      </c>
      <c r="AI503" s="167">
        <v>5.7882923697750999E-3</v>
      </c>
      <c r="AJ503" s="167">
        <v>1.3512145121476499E-3</v>
      </c>
      <c r="AK503" s="161"/>
      <c r="AL503" s="153"/>
    </row>
    <row r="504" spans="1:38">
      <c r="A504" s="2" t="s">
        <v>26</v>
      </c>
      <c r="B504" s="2">
        <v>9963</v>
      </c>
      <c r="C504" s="2" t="s">
        <v>2226</v>
      </c>
      <c r="D504" s="2" t="s">
        <v>2227</v>
      </c>
      <c r="E504" s="4" t="s">
        <v>312</v>
      </c>
      <c r="F504" s="2" t="s">
        <v>2231</v>
      </c>
      <c r="G504" s="2" t="s">
        <v>2232</v>
      </c>
      <c r="H504" s="2" t="s">
        <v>319</v>
      </c>
      <c r="I504" s="2" t="s">
        <v>755</v>
      </c>
      <c r="J504" s="2" t="s">
        <v>73</v>
      </c>
      <c r="K504" s="2" t="s">
        <v>296</v>
      </c>
      <c r="L504" s="2" t="s">
        <v>325</v>
      </c>
      <c r="M504" s="2" t="s">
        <v>164</v>
      </c>
      <c r="N504" s="2" t="s">
        <v>451</v>
      </c>
      <c r="O504" s="2" t="s">
        <v>136</v>
      </c>
      <c r="P504" s="2" t="s">
        <v>1714</v>
      </c>
      <c r="Q504" s="2" t="s">
        <v>77</v>
      </c>
      <c r="R504" s="2" t="s">
        <v>405</v>
      </c>
      <c r="S504" s="2" t="s">
        <v>78</v>
      </c>
      <c r="T504" s="153">
        <v>5.72</v>
      </c>
      <c r="U504" s="2" t="s">
        <v>2233</v>
      </c>
      <c r="V504" s="165">
        <v>5.8749999999999997E-2</v>
      </c>
      <c r="W504" s="167">
        <v>9.0700000000000003E-2</v>
      </c>
      <c r="X504" s="4" t="s">
        <v>411</v>
      </c>
      <c r="Y504" s="4" t="s">
        <v>136</v>
      </c>
      <c r="Z504" s="153">
        <v>656000</v>
      </c>
      <c r="AA504" s="153">
        <v>3.681</v>
      </c>
      <c r="AB504" s="153">
        <v>87.728999999999999</v>
      </c>
      <c r="AC504" s="161">
        <v>19.27</v>
      </c>
      <c r="AD504" s="153">
        <v>2189.357</v>
      </c>
      <c r="AG504" s="2" t="s">
        <v>37</v>
      </c>
      <c r="AH504" s="167">
        <v>1.0499999999999999E-3</v>
      </c>
      <c r="AI504" s="167">
        <v>9.1280461200506004E-3</v>
      </c>
      <c r="AJ504" s="167">
        <v>2.1308440550394398E-3</v>
      </c>
      <c r="AK504" s="161"/>
      <c r="AL504" s="153"/>
    </row>
    <row r="505" spans="1:38">
      <c r="A505" s="2" t="s">
        <v>26</v>
      </c>
      <c r="B505" s="2">
        <v>9963</v>
      </c>
      <c r="C505" s="2" t="s">
        <v>2234</v>
      </c>
      <c r="D505" s="2" t="s">
        <v>2235</v>
      </c>
      <c r="E505" s="4" t="s">
        <v>312</v>
      </c>
      <c r="F505" s="2" t="s">
        <v>2236</v>
      </c>
      <c r="G505" s="2" t="s">
        <v>2237</v>
      </c>
      <c r="H505" s="2" t="s">
        <v>319</v>
      </c>
      <c r="I505" s="2" t="s">
        <v>755</v>
      </c>
      <c r="J505" s="2" t="s">
        <v>73</v>
      </c>
      <c r="K505" s="2" t="s">
        <v>74</v>
      </c>
      <c r="L505" s="2" t="s">
        <v>325</v>
      </c>
      <c r="M505" s="2" t="s">
        <v>164</v>
      </c>
      <c r="N505" s="2" t="s">
        <v>513</v>
      </c>
      <c r="O505" s="2" t="s">
        <v>136</v>
      </c>
      <c r="P505" s="2" t="s">
        <v>1890</v>
      </c>
      <c r="Q505" s="2" t="s">
        <v>77</v>
      </c>
      <c r="R505" s="2" t="s">
        <v>405</v>
      </c>
      <c r="S505" s="2" t="s">
        <v>78</v>
      </c>
      <c r="T505" s="153">
        <v>3.45</v>
      </c>
      <c r="U505" s="2" t="s">
        <v>2230</v>
      </c>
      <c r="V505" s="165">
        <v>5.6000000000000001E-2</v>
      </c>
      <c r="W505" s="167">
        <v>5.4300000000000001E-2</v>
      </c>
      <c r="X505" s="4" t="s">
        <v>411</v>
      </c>
      <c r="Y505" s="4" t="s">
        <v>136</v>
      </c>
      <c r="Z505" s="153">
        <v>530000</v>
      </c>
      <c r="AA505" s="153">
        <v>3.681</v>
      </c>
      <c r="AB505" s="153">
        <v>101.197</v>
      </c>
      <c r="AC505" s="11"/>
      <c r="AD505" s="153">
        <v>1974.2829999999999</v>
      </c>
      <c r="AG505" s="2" t="s">
        <v>37</v>
      </c>
      <c r="AH505" s="167">
        <v>6.6299999999999996E-4</v>
      </c>
      <c r="AI505" s="167">
        <v>8.2313419352204997E-3</v>
      </c>
      <c r="AJ505" s="167">
        <v>1.92151812085325E-3</v>
      </c>
      <c r="AK505" s="161"/>
      <c r="AL505" s="153"/>
    </row>
    <row r="506" spans="1:38">
      <c r="A506" s="2" t="s">
        <v>26</v>
      </c>
      <c r="B506" s="2">
        <v>9963</v>
      </c>
      <c r="C506" s="2" t="s">
        <v>2238</v>
      </c>
      <c r="D506" s="2" t="s">
        <v>2239</v>
      </c>
      <c r="E506" s="4" t="s">
        <v>312</v>
      </c>
      <c r="F506" s="2" t="s">
        <v>2240</v>
      </c>
      <c r="G506" s="2" t="s">
        <v>2241</v>
      </c>
      <c r="H506" s="2" t="s">
        <v>319</v>
      </c>
      <c r="I506" s="2" t="s">
        <v>755</v>
      </c>
      <c r="J506" s="2" t="s">
        <v>73</v>
      </c>
      <c r="K506" s="2" t="s">
        <v>233</v>
      </c>
      <c r="L506" s="2" t="s">
        <v>325</v>
      </c>
      <c r="M506" s="2" t="s">
        <v>164</v>
      </c>
      <c r="N506" s="2" t="s">
        <v>484</v>
      </c>
      <c r="O506" s="2" t="s">
        <v>136</v>
      </c>
      <c r="P506" s="2" t="s">
        <v>2242</v>
      </c>
      <c r="Q506" s="2" t="s">
        <v>77</v>
      </c>
      <c r="R506" s="2" t="s">
        <v>405</v>
      </c>
      <c r="S506" s="2" t="s">
        <v>78</v>
      </c>
      <c r="T506" s="153">
        <v>1.1599999999999999</v>
      </c>
      <c r="U506" s="2" t="s">
        <v>2243</v>
      </c>
      <c r="V506" s="165">
        <v>0.09</v>
      </c>
      <c r="W506" s="167">
        <v>8.1780000000000005E-2</v>
      </c>
      <c r="X506" s="4" t="s">
        <v>411</v>
      </c>
      <c r="Y506" s="4" t="s">
        <v>136</v>
      </c>
      <c r="Z506" s="153">
        <v>1315000</v>
      </c>
      <c r="AA506" s="153">
        <v>3.681</v>
      </c>
      <c r="AB506" s="153">
        <v>100.85</v>
      </c>
      <c r="AC506" s="11"/>
      <c r="AD506" s="153">
        <v>4972.4189999999999</v>
      </c>
      <c r="AG506" s="2" t="s">
        <v>37</v>
      </c>
      <c r="AH506" s="167">
        <v>2.104E-3</v>
      </c>
      <c r="AI506" s="167">
        <v>2.0731419426234299E-2</v>
      </c>
      <c r="AJ506" s="167">
        <v>4.8395265816947603E-3</v>
      </c>
      <c r="AK506" s="161"/>
      <c r="AL506" s="153"/>
    </row>
    <row r="507" spans="1:38">
      <c r="A507" s="2" t="s">
        <v>26</v>
      </c>
      <c r="B507" s="2">
        <v>9963</v>
      </c>
      <c r="C507" s="2" t="s">
        <v>1648</v>
      </c>
      <c r="D507" s="2" t="s">
        <v>1649</v>
      </c>
      <c r="E507" s="4" t="s">
        <v>312</v>
      </c>
      <c r="F507" s="2" t="s">
        <v>2244</v>
      </c>
      <c r="G507" s="2" t="s">
        <v>2245</v>
      </c>
      <c r="H507" s="2" t="s">
        <v>319</v>
      </c>
      <c r="I507" s="2" t="s">
        <v>755</v>
      </c>
      <c r="J507" s="2" t="s">
        <v>73</v>
      </c>
      <c r="K507" s="2" t="s">
        <v>74</v>
      </c>
      <c r="L507" s="2" t="s">
        <v>325</v>
      </c>
      <c r="M507" s="2" t="s">
        <v>164</v>
      </c>
      <c r="N507" s="2" t="s">
        <v>534</v>
      </c>
      <c r="O507" s="2" t="s">
        <v>136</v>
      </c>
      <c r="P507" s="2" t="s">
        <v>1724</v>
      </c>
      <c r="Q507" s="2" t="s">
        <v>77</v>
      </c>
      <c r="R507" s="2" t="s">
        <v>405</v>
      </c>
      <c r="S507" s="2" t="s">
        <v>78</v>
      </c>
      <c r="T507" s="153">
        <v>6.63</v>
      </c>
      <c r="U507" s="2" t="s">
        <v>2246</v>
      </c>
      <c r="V507" s="165">
        <v>4.9119999999999997E-2</v>
      </c>
      <c r="W507" s="167">
        <v>5.5989999999999998E-2</v>
      </c>
      <c r="X507" s="4" t="s">
        <v>411</v>
      </c>
      <c r="Y507" s="4" t="s">
        <v>136</v>
      </c>
      <c r="Z507" s="153">
        <v>286000</v>
      </c>
      <c r="AA507" s="153">
        <v>3.681</v>
      </c>
      <c r="AB507" s="153">
        <v>97.835999999999999</v>
      </c>
      <c r="AC507" s="11"/>
      <c r="AD507" s="153">
        <v>1039.3209999999999</v>
      </c>
      <c r="AG507" s="2" t="s">
        <v>37</v>
      </c>
      <c r="AH507" s="167">
        <v>8.2000000000000001E-5</v>
      </c>
      <c r="AI507" s="167">
        <v>4.3332228431522696E-3</v>
      </c>
      <c r="AJ507" s="167">
        <v>1.0115442026755401E-3</v>
      </c>
      <c r="AK507" s="161"/>
      <c r="AL507" s="153"/>
    </row>
    <row r="508" spans="1:38">
      <c r="A508" s="2" t="s">
        <v>26</v>
      </c>
      <c r="B508" s="2">
        <v>9963</v>
      </c>
      <c r="C508" s="2" t="s">
        <v>1176</v>
      </c>
      <c r="D508" s="2" t="s">
        <v>1364</v>
      </c>
      <c r="E508" s="4" t="s">
        <v>1305</v>
      </c>
      <c r="F508" s="2" t="s">
        <v>2247</v>
      </c>
      <c r="G508" s="2" t="s">
        <v>2248</v>
      </c>
      <c r="H508" s="2" t="s">
        <v>319</v>
      </c>
      <c r="I508" s="2" t="s">
        <v>755</v>
      </c>
      <c r="J508" s="2" t="s">
        <v>31</v>
      </c>
      <c r="K508" s="2" t="s">
        <v>31</v>
      </c>
      <c r="L508" s="2" t="s">
        <v>325</v>
      </c>
      <c r="M508" s="2" t="s">
        <v>164</v>
      </c>
      <c r="N508" s="2" t="s">
        <v>534</v>
      </c>
      <c r="O508" s="2" t="s">
        <v>136</v>
      </c>
      <c r="P508" s="2" t="s">
        <v>2249</v>
      </c>
      <c r="Q508" s="2" t="s">
        <v>430</v>
      </c>
      <c r="R508" s="2" t="s">
        <v>405</v>
      </c>
      <c r="S508" s="2" t="s">
        <v>78</v>
      </c>
      <c r="T508" s="153">
        <v>1.69</v>
      </c>
      <c r="U508" s="2" t="s">
        <v>2250</v>
      </c>
      <c r="V508" s="165">
        <v>3.2750000000000001E-2</v>
      </c>
      <c r="W508" s="167">
        <v>6.5809999999999994E-2</v>
      </c>
      <c r="X508" s="4" t="s">
        <v>411</v>
      </c>
      <c r="Y508" s="4" t="s">
        <v>136</v>
      </c>
      <c r="Z508" s="153">
        <v>243000</v>
      </c>
      <c r="AA508" s="153">
        <v>3.681</v>
      </c>
      <c r="AB508" s="153">
        <v>92.834000000000003</v>
      </c>
      <c r="AC508" s="11"/>
      <c r="AD508" s="153">
        <v>835.34699999999998</v>
      </c>
      <c r="AG508" s="2" t="s">
        <v>37</v>
      </c>
      <c r="AH508" s="167">
        <v>3.2400000000000001E-4</v>
      </c>
      <c r="AI508" s="167">
        <v>3.4827966465294999E-3</v>
      </c>
      <c r="AJ508" s="167">
        <v>8.1302136640908703E-4</v>
      </c>
      <c r="AK508" s="161"/>
      <c r="AL508" s="153"/>
    </row>
    <row r="509" spans="1:38">
      <c r="A509" s="2" t="s">
        <v>26</v>
      </c>
      <c r="B509" s="2">
        <v>9963</v>
      </c>
      <c r="C509" s="2" t="s">
        <v>1710</v>
      </c>
      <c r="D509" s="2" t="s">
        <v>1711</v>
      </c>
      <c r="E509" s="4" t="s">
        <v>1305</v>
      </c>
      <c r="F509" s="2" t="s">
        <v>2251</v>
      </c>
      <c r="G509" s="2" t="s">
        <v>2252</v>
      </c>
      <c r="H509" s="2" t="s">
        <v>319</v>
      </c>
      <c r="I509" s="2" t="s">
        <v>755</v>
      </c>
      <c r="J509" s="2" t="s">
        <v>31</v>
      </c>
      <c r="K509" s="2" t="s">
        <v>31</v>
      </c>
      <c r="L509" s="2" t="s">
        <v>325</v>
      </c>
      <c r="M509" s="2" t="s">
        <v>164</v>
      </c>
      <c r="N509" s="2" t="s">
        <v>484</v>
      </c>
      <c r="O509" s="2" t="s">
        <v>136</v>
      </c>
      <c r="P509" s="2" t="s">
        <v>2253</v>
      </c>
      <c r="Q509" s="2" t="s">
        <v>164</v>
      </c>
      <c r="R509" s="2" t="s">
        <v>407</v>
      </c>
      <c r="S509" s="2" t="s">
        <v>78</v>
      </c>
      <c r="T509" s="153">
        <v>2.79</v>
      </c>
      <c r="U509" s="2" t="s">
        <v>1822</v>
      </c>
      <c r="V509" s="165">
        <v>6.5000000000000002E-2</v>
      </c>
      <c r="W509" s="167">
        <v>7.7990000000000004E-2</v>
      </c>
      <c r="X509" s="4" t="s">
        <v>411</v>
      </c>
      <c r="Y509" s="4" t="s">
        <v>136</v>
      </c>
      <c r="Z509" s="153">
        <v>162000</v>
      </c>
      <c r="AA509" s="153">
        <v>3.681</v>
      </c>
      <c r="AB509" s="153">
        <v>96.843000000000004</v>
      </c>
      <c r="AC509" s="11"/>
      <c r="AD509" s="153">
        <v>587.18600000000004</v>
      </c>
      <c r="AG509" s="2" t="s">
        <v>37</v>
      </c>
      <c r="AH509" s="167">
        <v>2.7E-4</v>
      </c>
      <c r="AI509" s="167">
        <v>2.4481457330046402E-3</v>
      </c>
      <c r="AJ509" s="167">
        <v>5.7149325413511395E-4</v>
      </c>
      <c r="AK509" s="161"/>
      <c r="AL509" s="153"/>
    </row>
    <row r="510" spans="1:38">
      <c r="A510" s="2" t="s">
        <v>26</v>
      </c>
      <c r="B510" s="2">
        <v>9963</v>
      </c>
      <c r="C510" s="2" t="s">
        <v>2254</v>
      </c>
      <c r="D510" s="2" t="s">
        <v>2255</v>
      </c>
      <c r="E510" s="4" t="s">
        <v>312</v>
      </c>
      <c r="F510" s="2" t="s">
        <v>2256</v>
      </c>
      <c r="G510" s="2" t="s">
        <v>2257</v>
      </c>
      <c r="H510" s="2" t="s">
        <v>319</v>
      </c>
      <c r="I510" s="2" t="s">
        <v>755</v>
      </c>
      <c r="J510" s="2" t="s">
        <v>73</v>
      </c>
      <c r="K510" s="2" t="s">
        <v>241</v>
      </c>
      <c r="L510" s="2" t="s">
        <v>325</v>
      </c>
      <c r="M510" s="2" t="s">
        <v>164</v>
      </c>
      <c r="N510" s="2" t="s">
        <v>507</v>
      </c>
      <c r="O510" s="2" t="s">
        <v>136</v>
      </c>
      <c r="P510" s="2" t="s">
        <v>2083</v>
      </c>
      <c r="Q510" s="2" t="s">
        <v>77</v>
      </c>
      <c r="R510" s="2" t="s">
        <v>405</v>
      </c>
      <c r="S510" s="2" t="s">
        <v>78</v>
      </c>
      <c r="T510" s="153">
        <v>7.02</v>
      </c>
      <c r="U510" s="2" t="s">
        <v>2258</v>
      </c>
      <c r="V510" s="165">
        <v>5.8749999999999997E-2</v>
      </c>
      <c r="W510" s="167">
        <v>5.5879999999999999E-2</v>
      </c>
      <c r="X510" s="4" t="s">
        <v>411</v>
      </c>
      <c r="Y510" s="4" t="s">
        <v>136</v>
      </c>
      <c r="Z510" s="153">
        <v>526000</v>
      </c>
      <c r="AA510" s="153">
        <v>3.681</v>
      </c>
      <c r="AB510" s="153">
        <v>102.749</v>
      </c>
      <c r="AC510" s="11"/>
      <c r="AD510" s="153">
        <v>1994.4880000000001</v>
      </c>
      <c r="AG510" s="2" t="s">
        <v>37</v>
      </c>
      <c r="AH510" s="167">
        <v>7.0100000000000002E-4</v>
      </c>
      <c r="AI510" s="167">
        <v>8.3155836200039905E-3</v>
      </c>
      <c r="AJ510" s="167">
        <v>1.9411834348587499E-3</v>
      </c>
      <c r="AK510" s="161"/>
      <c r="AL510" s="153"/>
    </row>
    <row r="511" spans="1:38">
      <c r="A511" s="2" t="s">
        <v>26</v>
      </c>
      <c r="B511" s="2">
        <v>9963</v>
      </c>
      <c r="C511" s="2" t="s">
        <v>2259</v>
      </c>
      <c r="D511" s="2" t="s">
        <v>2260</v>
      </c>
      <c r="E511" s="4" t="s">
        <v>312</v>
      </c>
      <c r="F511" s="2" t="s">
        <v>2261</v>
      </c>
      <c r="G511" s="2" t="s">
        <v>2262</v>
      </c>
      <c r="H511" s="2" t="s">
        <v>319</v>
      </c>
      <c r="I511" s="2" t="s">
        <v>755</v>
      </c>
      <c r="J511" s="2" t="s">
        <v>73</v>
      </c>
      <c r="K511" s="21" t="s">
        <v>74</v>
      </c>
      <c r="L511" s="2" t="s">
        <v>325</v>
      </c>
      <c r="M511" s="2" t="s">
        <v>164</v>
      </c>
      <c r="N511" s="2" t="s">
        <v>2263</v>
      </c>
      <c r="O511" s="2" t="s">
        <v>136</v>
      </c>
      <c r="P511" s="2" t="s">
        <v>1890</v>
      </c>
      <c r="Q511" s="2" t="s">
        <v>77</v>
      </c>
      <c r="R511" s="2" t="s">
        <v>405</v>
      </c>
      <c r="S511" s="2" t="s">
        <v>78</v>
      </c>
      <c r="T511" s="153">
        <v>6.92</v>
      </c>
      <c r="U511" s="2" t="s">
        <v>2264</v>
      </c>
      <c r="V511" s="165">
        <v>5.8869999999999999E-2</v>
      </c>
      <c r="W511" s="167">
        <v>5.8110000000000002E-2</v>
      </c>
      <c r="X511" s="4" t="s">
        <v>411</v>
      </c>
      <c r="Y511" s="4" t="s">
        <v>136</v>
      </c>
      <c r="Z511" s="153">
        <v>544000</v>
      </c>
      <c r="AA511" s="153">
        <v>3.681</v>
      </c>
      <c r="AB511" s="153">
        <v>102.133</v>
      </c>
      <c r="AC511" s="11"/>
      <c r="AD511" s="153">
        <v>2079.56</v>
      </c>
      <c r="AG511" s="2" t="s">
        <v>37</v>
      </c>
      <c r="AH511" s="167">
        <v>7.2499999999999995E-4</v>
      </c>
      <c r="AI511" s="167">
        <v>8.6702717607901793E-3</v>
      </c>
      <c r="AJ511" s="167">
        <v>2.0239815612318299E-3</v>
      </c>
      <c r="AK511" s="161"/>
      <c r="AL511" s="153"/>
    </row>
    <row r="512" spans="1:38">
      <c r="A512" s="2" t="s">
        <v>26</v>
      </c>
      <c r="B512" s="2">
        <v>9963</v>
      </c>
      <c r="C512" s="2" t="s">
        <v>1518</v>
      </c>
      <c r="D512" s="2" t="s">
        <v>1519</v>
      </c>
      <c r="E512" s="4" t="s">
        <v>1305</v>
      </c>
      <c r="F512" s="2" t="s">
        <v>2265</v>
      </c>
      <c r="G512" s="2" t="s">
        <v>2266</v>
      </c>
      <c r="H512" s="2" t="s">
        <v>319</v>
      </c>
      <c r="I512" s="2" t="s">
        <v>755</v>
      </c>
      <c r="J512" s="2" t="s">
        <v>31</v>
      </c>
      <c r="K512" s="2" t="s">
        <v>31</v>
      </c>
      <c r="L512" s="2" t="s">
        <v>325</v>
      </c>
      <c r="M512" s="2" t="s">
        <v>164</v>
      </c>
      <c r="N512" s="2" t="s">
        <v>534</v>
      </c>
      <c r="O512" s="2" t="s">
        <v>136</v>
      </c>
      <c r="P512" s="2" t="s">
        <v>2267</v>
      </c>
      <c r="Q512" s="2" t="s">
        <v>412</v>
      </c>
      <c r="R512" s="2" t="s">
        <v>407</v>
      </c>
      <c r="S512" s="2" t="s">
        <v>78</v>
      </c>
      <c r="T512" s="153">
        <v>1.87</v>
      </c>
      <c r="U512" s="2" t="s">
        <v>2268</v>
      </c>
      <c r="V512" s="165">
        <v>3.0769999999999999E-2</v>
      </c>
      <c r="W512" s="167">
        <v>7.1179999999999993E-2</v>
      </c>
      <c r="X512" s="4" t="s">
        <v>411</v>
      </c>
      <c r="Y512" s="4" t="s">
        <v>136</v>
      </c>
      <c r="Z512" s="153">
        <v>243000</v>
      </c>
      <c r="AA512" s="153">
        <v>3.681</v>
      </c>
      <c r="AB512" s="153">
        <v>91.664000000000001</v>
      </c>
      <c r="AC512" s="11"/>
      <c r="AD512" s="153">
        <v>833.14499999999998</v>
      </c>
      <c r="AG512" s="2" t="s">
        <v>37</v>
      </c>
      <c r="AH512" s="167">
        <v>4.0499999999999998E-4</v>
      </c>
      <c r="AI512" s="167">
        <v>3.4736182639758801E-3</v>
      </c>
      <c r="AJ512" s="167">
        <v>8.1087877185576898E-4</v>
      </c>
      <c r="AK512" s="161"/>
      <c r="AL512" s="153"/>
    </row>
    <row r="513" spans="1:38">
      <c r="A513" s="2" t="s">
        <v>26</v>
      </c>
      <c r="B513" s="2">
        <v>9963</v>
      </c>
      <c r="C513" s="2" t="s">
        <v>2269</v>
      </c>
      <c r="D513" s="2" t="s">
        <v>2270</v>
      </c>
      <c r="E513" s="4" t="s">
        <v>312</v>
      </c>
      <c r="F513" s="2" t="s">
        <v>2271</v>
      </c>
      <c r="G513" s="2" t="s">
        <v>2272</v>
      </c>
      <c r="H513" s="2" t="s">
        <v>319</v>
      </c>
      <c r="I513" s="2" t="s">
        <v>755</v>
      </c>
      <c r="J513" s="2" t="s">
        <v>73</v>
      </c>
      <c r="K513" s="2" t="s">
        <v>74</v>
      </c>
      <c r="L513" s="2" t="s">
        <v>325</v>
      </c>
      <c r="M513" s="2" t="s">
        <v>164</v>
      </c>
      <c r="N513" s="2" t="s">
        <v>566</v>
      </c>
      <c r="O513" s="2" t="s">
        <v>136</v>
      </c>
      <c r="P513" s="2" t="s">
        <v>2267</v>
      </c>
      <c r="Q513" s="2" t="s">
        <v>164</v>
      </c>
      <c r="R513" s="2" t="s">
        <v>407</v>
      </c>
      <c r="S513" s="2" t="s">
        <v>78</v>
      </c>
      <c r="T513" s="153">
        <v>5.85</v>
      </c>
      <c r="U513" s="2" t="s">
        <v>2273</v>
      </c>
      <c r="V513" s="165">
        <v>3.3750000000000002E-2</v>
      </c>
      <c r="W513" s="167">
        <v>6.157E-2</v>
      </c>
      <c r="X513" s="4" t="s">
        <v>411</v>
      </c>
      <c r="Y513" s="4" t="s">
        <v>136</v>
      </c>
      <c r="Z513" s="153">
        <v>650000</v>
      </c>
      <c r="AA513" s="153">
        <v>3.681</v>
      </c>
      <c r="AB513" s="153">
        <v>85.453999999999994</v>
      </c>
      <c r="AC513" s="11"/>
      <c r="AD513" s="153">
        <v>2057.8490000000002</v>
      </c>
      <c r="AG513" s="2" t="s">
        <v>37</v>
      </c>
      <c r="AH513" s="167">
        <v>9.2900000000000003E-4</v>
      </c>
      <c r="AI513" s="167">
        <v>8.5797557124458607E-3</v>
      </c>
      <c r="AJ513" s="167">
        <v>2.00285156462976E-3</v>
      </c>
      <c r="AK513" s="161"/>
      <c r="AL513" s="153"/>
    </row>
    <row r="514" spans="1:38">
      <c r="A514" s="2" t="s">
        <v>26</v>
      </c>
      <c r="B514" s="2">
        <v>9963</v>
      </c>
      <c r="C514" s="2" t="s">
        <v>2274</v>
      </c>
      <c r="D514" s="2" t="s">
        <v>2275</v>
      </c>
      <c r="E514" s="4" t="s">
        <v>312</v>
      </c>
      <c r="F514" s="2" t="s">
        <v>2276</v>
      </c>
      <c r="G514" s="2" t="s">
        <v>2277</v>
      </c>
      <c r="H514" s="2" t="s">
        <v>319</v>
      </c>
      <c r="I514" s="2" t="s">
        <v>755</v>
      </c>
      <c r="J514" s="2" t="s">
        <v>73</v>
      </c>
      <c r="K514" s="2" t="s">
        <v>74</v>
      </c>
      <c r="L514" s="2" t="s">
        <v>325</v>
      </c>
      <c r="M514" s="2" t="s">
        <v>164</v>
      </c>
      <c r="N514" s="2" t="s">
        <v>2263</v>
      </c>
      <c r="O514" s="2" t="s">
        <v>136</v>
      </c>
      <c r="P514" s="2" t="s">
        <v>2278</v>
      </c>
      <c r="Q514" s="2" t="s">
        <v>77</v>
      </c>
      <c r="R514" s="2" t="s">
        <v>405</v>
      </c>
      <c r="S514" s="2" t="s">
        <v>78</v>
      </c>
      <c r="T514" s="153">
        <v>2.39</v>
      </c>
      <c r="U514" s="2" t="s">
        <v>2279</v>
      </c>
      <c r="V514" s="165">
        <v>3.3640000000000003E-2</v>
      </c>
      <c r="W514" s="167">
        <v>6.9589999999999999E-2</v>
      </c>
      <c r="X514" s="4" t="s">
        <v>411</v>
      </c>
      <c r="Y514" s="4" t="s">
        <v>136</v>
      </c>
      <c r="Z514" s="153">
        <v>320000</v>
      </c>
      <c r="AA514" s="153">
        <v>3.681</v>
      </c>
      <c r="AB514" s="153">
        <v>91.462000000000003</v>
      </c>
      <c r="AC514" s="11"/>
      <c r="AD514" s="153">
        <v>1092.2090000000001</v>
      </c>
      <c r="AG514" s="2" t="s">
        <v>37</v>
      </c>
      <c r="AH514" s="167">
        <v>1.067E-3</v>
      </c>
      <c r="AI514" s="167">
        <v>4.5537263644315996E-3</v>
      </c>
      <c r="AJ514" s="167">
        <v>1.06301837483175E-3</v>
      </c>
      <c r="AK514" s="161"/>
      <c r="AL514" s="153"/>
    </row>
    <row r="515" spans="1:38">
      <c r="A515" s="2" t="s">
        <v>26</v>
      </c>
      <c r="B515" s="2">
        <v>9963</v>
      </c>
      <c r="C515" s="2" t="s">
        <v>2280</v>
      </c>
      <c r="D515" s="2" t="s">
        <v>2281</v>
      </c>
      <c r="E515" s="4" t="s">
        <v>312</v>
      </c>
      <c r="F515" s="2" t="s">
        <v>2282</v>
      </c>
      <c r="G515" s="2" t="s">
        <v>2283</v>
      </c>
      <c r="H515" s="2" t="s">
        <v>319</v>
      </c>
      <c r="I515" s="2" t="s">
        <v>755</v>
      </c>
      <c r="J515" s="2" t="s">
        <v>73</v>
      </c>
      <c r="K515" s="2" t="s">
        <v>74</v>
      </c>
      <c r="L515" s="2" t="s">
        <v>325</v>
      </c>
      <c r="M515" s="2" t="s">
        <v>164</v>
      </c>
      <c r="N515" s="2" t="s">
        <v>534</v>
      </c>
      <c r="O515" s="2" t="s">
        <v>136</v>
      </c>
      <c r="P515" s="2" t="s">
        <v>2204</v>
      </c>
      <c r="Q515" s="2" t="s">
        <v>77</v>
      </c>
      <c r="R515" s="2" t="s">
        <v>405</v>
      </c>
      <c r="S515" s="2" t="s">
        <v>78</v>
      </c>
      <c r="T515" s="153">
        <v>3.55</v>
      </c>
      <c r="U515" s="2" t="s">
        <v>2284</v>
      </c>
      <c r="V515" s="165">
        <v>6.565E-2</v>
      </c>
      <c r="W515" s="167">
        <v>6.2109999999999999E-2</v>
      </c>
      <c r="X515" s="4" t="s">
        <v>411</v>
      </c>
      <c r="Y515" s="4" t="s">
        <v>136</v>
      </c>
      <c r="Z515" s="153">
        <v>298000</v>
      </c>
      <c r="AA515" s="153">
        <v>3.681</v>
      </c>
      <c r="AB515" s="153">
        <v>103.23699999999999</v>
      </c>
      <c r="AC515" s="11"/>
      <c r="AD515" s="153">
        <v>1154.05</v>
      </c>
      <c r="AG515" s="2" t="s">
        <v>37</v>
      </c>
      <c r="AH515" s="167">
        <v>5.9599999999999996E-4</v>
      </c>
      <c r="AI515" s="167">
        <v>4.8115607357611797E-3</v>
      </c>
      <c r="AJ515" s="167">
        <v>1.12320703186818E-3</v>
      </c>
      <c r="AK515" s="161"/>
      <c r="AL515" s="153"/>
    </row>
    <row r="516" spans="1:38">
      <c r="A516" s="2" t="s">
        <v>26</v>
      </c>
      <c r="B516" s="2">
        <v>9963</v>
      </c>
      <c r="C516" s="2" t="s">
        <v>2285</v>
      </c>
      <c r="D516" s="2" t="s">
        <v>2286</v>
      </c>
      <c r="E516" s="4" t="s">
        <v>312</v>
      </c>
      <c r="F516" s="2" t="s">
        <v>2287</v>
      </c>
      <c r="G516" s="2" t="s">
        <v>2288</v>
      </c>
      <c r="H516" s="2" t="s">
        <v>319</v>
      </c>
      <c r="I516" s="2" t="s">
        <v>755</v>
      </c>
      <c r="J516" s="2" t="s">
        <v>73</v>
      </c>
      <c r="K516" s="2" t="s">
        <v>238</v>
      </c>
      <c r="L516" s="2" t="s">
        <v>325</v>
      </c>
      <c r="M516" s="2" t="s">
        <v>164</v>
      </c>
      <c r="N516" s="2" t="s">
        <v>566</v>
      </c>
      <c r="O516" s="2" t="s">
        <v>136</v>
      </c>
      <c r="P516" s="2" t="s">
        <v>2289</v>
      </c>
      <c r="Q516" s="2" t="s">
        <v>164</v>
      </c>
      <c r="R516" s="2" t="s">
        <v>407</v>
      </c>
      <c r="S516" s="2" t="s">
        <v>1178</v>
      </c>
      <c r="T516" s="153">
        <v>0.77</v>
      </c>
      <c r="U516" s="2" t="s">
        <v>2290</v>
      </c>
      <c r="V516" s="165">
        <v>0.02</v>
      </c>
      <c r="W516" s="167">
        <v>7.6300000000000007E-2</v>
      </c>
      <c r="X516" s="4" t="s">
        <v>411</v>
      </c>
      <c r="Y516" s="4" t="s">
        <v>136</v>
      </c>
      <c r="Z516" s="153">
        <v>214000</v>
      </c>
      <c r="AA516" s="153">
        <v>3.9790000000000001</v>
      </c>
      <c r="AB516" s="153">
        <v>95.575999999999993</v>
      </c>
      <c r="AC516" s="11"/>
      <c r="AD516" s="153">
        <v>816.69399999999996</v>
      </c>
      <c r="AG516" s="2" t="s">
        <v>37</v>
      </c>
      <c r="AH516" s="167">
        <v>7.1299999999999998E-4</v>
      </c>
      <c r="AI516" s="167">
        <v>3.4050290157988401E-3</v>
      </c>
      <c r="AJ516" s="167">
        <v>7.9486735059480004E-4</v>
      </c>
      <c r="AK516" s="161"/>
      <c r="AL516" s="153"/>
    </row>
    <row r="517" spans="1:38">
      <c r="A517" s="2" t="s">
        <v>26</v>
      </c>
      <c r="B517" s="2">
        <v>9963</v>
      </c>
      <c r="C517" s="2" t="s">
        <v>1498</v>
      </c>
      <c r="D517" s="2" t="s">
        <v>1499</v>
      </c>
      <c r="E517" s="4" t="s">
        <v>1305</v>
      </c>
      <c r="F517" s="2" t="s">
        <v>2291</v>
      </c>
      <c r="G517" s="2" t="s">
        <v>2292</v>
      </c>
      <c r="H517" s="2" t="s">
        <v>319</v>
      </c>
      <c r="I517" s="2" t="s">
        <v>755</v>
      </c>
      <c r="J517" s="2" t="s">
        <v>31</v>
      </c>
      <c r="K517" s="2" t="s">
        <v>31</v>
      </c>
      <c r="L517" s="2" t="s">
        <v>325</v>
      </c>
      <c r="M517" s="2" t="s">
        <v>164</v>
      </c>
      <c r="N517" s="2" t="s">
        <v>464</v>
      </c>
      <c r="O517" s="2" t="s">
        <v>136</v>
      </c>
      <c r="P517" s="2" t="s">
        <v>2253</v>
      </c>
      <c r="Q517" s="2" t="s">
        <v>77</v>
      </c>
      <c r="R517" s="2" t="s">
        <v>405</v>
      </c>
      <c r="S517" s="2" t="s">
        <v>1178</v>
      </c>
      <c r="T517" s="153">
        <v>5.15</v>
      </c>
      <c r="U517" s="2" t="s">
        <v>2293</v>
      </c>
      <c r="V517" s="165">
        <v>4.3749999999999997E-2</v>
      </c>
      <c r="W517" s="167">
        <v>5.2049999999999999E-2</v>
      </c>
      <c r="X517" s="4" t="s">
        <v>411</v>
      </c>
      <c r="Y517" s="4" t="s">
        <v>136</v>
      </c>
      <c r="Z517" s="153">
        <v>709000</v>
      </c>
      <c r="AA517" s="153">
        <v>3.9790000000000001</v>
      </c>
      <c r="AB517" s="153">
        <v>96.337000000000003</v>
      </c>
      <c r="AC517" s="11"/>
      <c r="AD517" s="153">
        <v>2766.1840000000002</v>
      </c>
      <c r="AG517" s="2" t="s">
        <v>37</v>
      </c>
      <c r="AH517" s="167">
        <v>4.73E-4</v>
      </c>
      <c r="AI517" s="167">
        <v>1.1533002972764699E-2</v>
      </c>
      <c r="AJ517" s="167">
        <v>2.6922553302274098E-3</v>
      </c>
      <c r="AK517" s="161"/>
      <c r="AL517" s="153"/>
    </row>
    <row r="518" spans="1:38">
      <c r="A518" s="2" t="s">
        <v>26</v>
      </c>
      <c r="B518" s="2">
        <v>9963</v>
      </c>
      <c r="C518" s="2" t="s">
        <v>1498</v>
      </c>
      <c r="D518" s="2" t="s">
        <v>1499</v>
      </c>
      <c r="E518" s="4" t="s">
        <v>1305</v>
      </c>
      <c r="F518" s="2" t="s">
        <v>2294</v>
      </c>
      <c r="G518" s="2" t="s">
        <v>2295</v>
      </c>
      <c r="H518" s="2" t="s">
        <v>319</v>
      </c>
      <c r="I518" s="2" t="s">
        <v>755</v>
      </c>
      <c r="J518" s="2" t="s">
        <v>31</v>
      </c>
      <c r="K518" s="2" t="s">
        <v>31</v>
      </c>
      <c r="L518" s="2" t="s">
        <v>325</v>
      </c>
      <c r="M518" s="2" t="s">
        <v>164</v>
      </c>
      <c r="N518" s="2" t="s">
        <v>464</v>
      </c>
      <c r="O518" s="2" t="s">
        <v>136</v>
      </c>
      <c r="P518" s="2" t="s">
        <v>2253</v>
      </c>
      <c r="Q518" s="2" t="s">
        <v>77</v>
      </c>
      <c r="R518" s="2" t="s">
        <v>405</v>
      </c>
      <c r="S518" s="2" t="s">
        <v>78</v>
      </c>
      <c r="T518" s="153">
        <v>4.3</v>
      </c>
      <c r="U518" s="2" t="s">
        <v>2296</v>
      </c>
      <c r="V518" s="165">
        <v>5.1249999999999997E-2</v>
      </c>
      <c r="W518" s="167">
        <v>6.1269999999999998E-2</v>
      </c>
      <c r="X518" s="4" t="s">
        <v>411</v>
      </c>
      <c r="Y518" s="4" t="s">
        <v>136</v>
      </c>
      <c r="Z518" s="153">
        <v>425000</v>
      </c>
      <c r="AA518" s="153">
        <v>3.681</v>
      </c>
      <c r="AB518" s="153">
        <v>96.216999999999999</v>
      </c>
      <c r="AC518" s="11"/>
      <c r="AD518" s="153">
        <v>1536.645</v>
      </c>
      <c r="AG518" s="2" t="s">
        <v>37</v>
      </c>
      <c r="AH518" s="167">
        <v>4.2499999999999998E-4</v>
      </c>
      <c r="AI518" s="167">
        <v>6.4067085982919001E-3</v>
      </c>
      <c r="AJ518" s="167">
        <v>1.4955771201739601E-3</v>
      </c>
      <c r="AK518" s="161"/>
      <c r="AL518" s="153"/>
    </row>
    <row r="519" spans="1:38">
      <c r="A519" s="2" t="s">
        <v>26</v>
      </c>
      <c r="B519" s="2">
        <v>9963</v>
      </c>
      <c r="C519" s="2" t="s">
        <v>2297</v>
      </c>
      <c r="D519" s="2" t="s">
        <v>2298</v>
      </c>
      <c r="E519" s="4" t="s">
        <v>312</v>
      </c>
      <c r="F519" s="2" t="s">
        <v>2299</v>
      </c>
      <c r="G519" s="2" t="s">
        <v>2300</v>
      </c>
      <c r="H519" s="2" t="s">
        <v>319</v>
      </c>
      <c r="I519" s="2" t="s">
        <v>755</v>
      </c>
      <c r="J519" s="2" t="s">
        <v>73</v>
      </c>
      <c r="K519" s="2" t="s">
        <v>74</v>
      </c>
      <c r="L519" s="2" t="s">
        <v>325</v>
      </c>
      <c r="M519" s="2" t="s">
        <v>164</v>
      </c>
      <c r="N519" s="2" t="s">
        <v>528</v>
      </c>
      <c r="O519" s="2" t="s">
        <v>136</v>
      </c>
      <c r="P519" s="2" t="s">
        <v>1731</v>
      </c>
      <c r="Q519" s="2" t="s">
        <v>77</v>
      </c>
      <c r="R519" s="2" t="s">
        <v>405</v>
      </c>
      <c r="S519" s="2" t="s">
        <v>78</v>
      </c>
      <c r="T519" s="153">
        <v>4.83</v>
      </c>
      <c r="U519" s="2" t="s">
        <v>2301</v>
      </c>
      <c r="V519" s="165">
        <v>5.2999999999999999E-2</v>
      </c>
      <c r="W519" s="167">
        <v>4.9860000000000002E-2</v>
      </c>
      <c r="X519" s="4" t="s">
        <v>411</v>
      </c>
      <c r="Y519" s="4" t="s">
        <v>136</v>
      </c>
      <c r="Z519" s="153">
        <v>264000</v>
      </c>
      <c r="AA519" s="153">
        <v>3.681</v>
      </c>
      <c r="AB519" s="153">
        <v>102.42100000000001</v>
      </c>
      <c r="AC519" s="11"/>
      <c r="AD519" s="153">
        <v>1001.749</v>
      </c>
      <c r="AG519" s="2" t="s">
        <v>37</v>
      </c>
      <c r="AH519" s="167">
        <v>2.1100000000000001E-4</v>
      </c>
      <c r="AI519" s="167">
        <v>4.1765743597092899E-3</v>
      </c>
      <c r="AJ519" s="167">
        <v>9.7497630136507104E-4</v>
      </c>
      <c r="AK519" s="161"/>
      <c r="AL519" s="153"/>
    </row>
    <row r="520" spans="1:38">
      <c r="A520" s="2" t="s">
        <v>26</v>
      </c>
      <c r="B520" s="2">
        <v>9963</v>
      </c>
      <c r="C520" s="2" t="s">
        <v>2302</v>
      </c>
      <c r="D520" s="2" t="s">
        <v>2303</v>
      </c>
      <c r="E520" s="4" t="s">
        <v>312</v>
      </c>
      <c r="F520" s="2" t="s">
        <v>2304</v>
      </c>
      <c r="G520" s="2" t="s">
        <v>2305</v>
      </c>
      <c r="H520" s="2" t="s">
        <v>319</v>
      </c>
      <c r="I520" s="2" t="s">
        <v>755</v>
      </c>
      <c r="J520" s="2" t="s">
        <v>73</v>
      </c>
      <c r="K520" s="2" t="s">
        <v>74</v>
      </c>
      <c r="L520" s="2" t="s">
        <v>325</v>
      </c>
      <c r="M520" s="2" t="s">
        <v>164</v>
      </c>
      <c r="N520" s="2" t="s">
        <v>532</v>
      </c>
      <c r="O520" s="2" t="s">
        <v>136</v>
      </c>
      <c r="P520" s="2" t="s">
        <v>2278</v>
      </c>
      <c r="Q520" s="2" t="s">
        <v>77</v>
      </c>
      <c r="R520" s="2" t="s">
        <v>405</v>
      </c>
      <c r="S520" s="2" t="s">
        <v>78</v>
      </c>
      <c r="T520" s="153">
        <v>2.0299999999999998</v>
      </c>
      <c r="U520" s="2" t="s">
        <v>2306</v>
      </c>
      <c r="V520" s="165">
        <v>3.95E-2</v>
      </c>
      <c r="W520" s="167">
        <v>5.7439999999999998E-2</v>
      </c>
      <c r="X520" s="4" t="s">
        <v>411</v>
      </c>
      <c r="Y520" s="4" t="s">
        <v>136</v>
      </c>
      <c r="Z520" s="153">
        <v>289000</v>
      </c>
      <c r="AA520" s="153">
        <v>3.681</v>
      </c>
      <c r="AB520" s="153">
        <v>96.65</v>
      </c>
      <c r="AC520" s="11"/>
      <c r="AD520" s="153">
        <v>1040.4269999999999</v>
      </c>
      <c r="AG520" s="2" t="s">
        <v>37</v>
      </c>
      <c r="AH520" s="167">
        <v>1.2899999999999999E-4</v>
      </c>
      <c r="AI520" s="167">
        <v>4.3378355546711796E-3</v>
      </c>
      <c r="AJ520" s="167">
        <v>1.0126209904994E-3</v>
      </c>
      <c r="AK520" s="161"/>
      <c r="AL520" s="153"/>
    </row>
    <row r="521" spans="1:38">
      <c r="A521" s="2" t="s">
        <v>26</v>
      </c>
      <c r="B521" s="2">
        <v>9963</v>
      </c>
      <c r="C521" s="2" t="s">
        <v>1534</v>
      </c>
      <c r="D521" s="2" t="s">
        <v>1535</v>
      </c>
      <c r="E521" s="4" t="s">
        <v>1305</v>
      </c>
      <c r="F521" s="2" t="s">
        <v>2307</v>
      </c>
      <c r="G521" s="2" t="s">
        <v>2308</v>
      </c>
      <c r="H521" s="2" t="s">
        <v>319</v>
      </c>
      <c r="I521" s="2" t="s">
        <v>966</v>
      </c>
      <c r="J521" s="2" t="s">
        <v>73</v>
      </c>
      <c r="K521" s="2" t="s">
        <v>31</v>
      </c>
      <c r="L521" s="2" t="s">
        <v>325</v>
      </c>
      <c r="M521" s="2" t="s">
        <v>40</v>
      </c>
      <c r="N521" s="2" t="s">
        <v>451</v>
      </c>
      <c r="O521" s="2" t="s">
        <v>136</v>
      </c>
      <c r="P521" s="2" t="s">
        <v>1724</v>
      </c>
      <c r="Q521" s="2" t="s">
        <v>412</v>
      </c>
      <c r="R521" s="2" t="s">
        <v>405</v>
      </c>
      <c r="S521" s="2" t="s">
        <v>35</v>
      </c>
      <c r="T521" s="153">
        <v>2.8290000000000002</v>
      </c>
      <c r="U521" s="2" t="s">
        <v>2309</v>
      </c>
      <c r="V521" s="165">
        <v>5.2499999999999998E-2</v>
      </c>
      <c r="W521" s="167">
        <v>6.0940000000000001E-2</v>
      </c>
      <c r="X521" s="4" t="s">
        <v>411</v>
      </c>
      <c r="Y521" s="4" t="s">
        <v>136</v>
      </c>
      <c r="Z521" s="153">
        <v>2719000</v>
      </c>
      <c r="AA521" s="153">
        <v>1</v>
      </c>
      <c r="AB521" s="153">
        <v>99.03</v>
      </c>
      <c r="AC521" s="11"/>
      <c r="AD521" s="153">
        <v>2692.6260000000002</v>
      </c>
      <c r="AG521" s="2" t="s">
        <v>37</v>
      </c>
      <c r="AH521" s="167">
        <v>8.2389999999999998E-3</v>
      </c>
      <c r="AI521" s="167">
        <v>1.1226317083429501E-2</v>
      </c>
      <c r="AJ521" s="167">
        <v>2.6206628124574999E-3</v>
      </c>
      <c r="AK521" s="161"/>
      <c r="AL521" s="153"/>
    </row>
    <row r="522" spans="1:38">
      <c r="A522" s="2" t="s">
        <v>26</v>
      </c>
      <c r="B522" s="2">
        <v>9963</v>
      </c>
      <c r="C522" s="2" t="s">
        <v>2097</v>
      </c>
      <c r="D522" s="2" t="s">
        <v>2098</v>
      </c>
      <c r="E522" s="4" t="s">
        <v>311</v>
      </c>
      <c r="F522" s="2" t="s">
        <v>2310</v>
      </c>
      <c r="G522" s="2" t="s">
        <v>2311</v>
      </c>
      <c r="H522" s="2" t="s">
        <v>319</v>
      </c>
      <c r="I522" s="2" t="s">
        <v>966</v>
      </c>
      <c r="J522" s="2" t="s">
        <v>73</v>
      </c>
      <c r="K522" s="2" t="s">
        <v>74</v>
      </c>
      <c r="L522" s="2" t="s">
        <v>325</v>
      </c>
      <c r="M522" s="2" t="s">
        <v>40</v>
      </c>
      <c r="N522" s="2" t="s">
        <v>462</v>
      </c>
      <c r="O522" s="2" t="s">
        <v>136</v>
      </c>
      <c r="P522" s="2" t="s">
        <v>1739</v>
      </c>
      <c r="Q522" s="2" t="s">
        <v>412</v>
      </c>
      <c r="R522" s="2" t="s">
        <v>405</v>
      </c>
      <c r="S522" s="2" t="s">
        <v>35</v>
      </c>
      <c r="T522" s="153">
        <v>3.6259999999999999</v>
      </c>
      <c r="U522" s="2" t="s">
        <v>2312</v>
      </c>
      <c r="V522" s="165">
        <v>4.4999999999999998E-2</v>
      </c>
      <c r="W522" s="167">
        <v>6.3890000000000002E-2</v>
      </c>
      <c r="X522" s="4" t="s">
        <v>411</v>
      </c>
      <c r="Y522" s="4" t="s">
        <v>136</v>
      </c>
      <c r="Z522" s="153">
        <v>2111636.62</v>
      </c>
      <c r="AA522" s="153">
        <v>1</v>
      </c>
      <c r="AB522" s="153">
        <v>95.73</v>
      </c>
      <c r="AC522" s="11"/>
      <c r="AD522" s="153">
        <v>2021.47</v>
      </c>
      <c r="AG522" s="2" t="s">
        <v>37</v>
      </c>
      <c r="AH522" s="167">
        <v>3.5950000000000001E-3</v>
      </c>
      <c r="AI522" s="167">
        <v>8.4280783008764907E-3</v>
      </c>
      <c r="AJ522" s="167">
        <v>1.96744410650831E-3</v>
      </c>
      <c r="AK522" s="161"/>
      <c r="AL522" s="153"/>
    </row>
    <row r="523" spans="1:38">
      <c r="A523" s="2" t="s">
        <v>26</v>
      </c>
      <c r="B523" s="2">
        <v>9963</v>
      </c>
      <c r="C523" s="2" t="s">
        <v>2313</v>
      </c>
      <c r="D523" s="2" t="s">
        <v>2314</v>
      </c>
      <c r="E523" s="4" t="s">
        <v>1305</v>
      </c>
      <c r="F523" s="2" t="s">
        <v>2315</v>
      </c>
      <c r="G523" s="2" t="s">
        <v>2316</v>
      </c>
      <c r="H523" s="2" t="s">
        <v>319</v>
      </c>
      <c r="I523" s="2" t="s">
        <v>966</v>
      </c>
      <c r="J523" s="2" t="s">
        <v>73</v>
      </c>
      <c r="K523" s="2" t="s">
        <v>74</v>
      </c>
      <c r="L523" s="2" t="s">
        <v>325</v>
      </c>
      <c r="M523" s="2" t="s">
        <v>40</v>
      </c>
      <c r="N523" s="2" t="s">
        <v>462</v>
      </c>
      <c r="O523" s="2" t="s">
        <v>136</v>
      </c>
      <c r="P523" s="2" t="s">
        <v>1739</v>
      </c>
      <c r="Q523" s="2" t="s">
        <v>412</v>
      </c>
      <c r="R523" s="2" t="s">
        <v>405</v>
      </c>
      <c r="S523" s="2" t="s">
        <v>35</v>
      </c>
      <c r="T523" s="153">
        <v>1.2949999999999999</v>
      </c>
      <c r="U523" s="2" t="s">
        <v>2058</v>
      </c>
      <c r="V523" s="165">
        <v>3.9300000000000002E-2</v>
      </c>
      <c r="W523" s="167">
        <v>7.3649999999999993E-2</v>
      </c>
      <c r="X523" s="4" t="s">
        <v>411</v>
      </c>
      <c r="Y523" s="4" t="s">
        <v>136</v>
      </c>
      <c r="Z523" s="153">
        <v>2438788.6</v>
      </c>
      <c r="AA523" s="153">
        <v>1</v>
      </c>
      <c r="AB523" s="153">
        <v>96.54</v>
      </c>
      <c r="AC523" s="11"/>
      <c r="AD523" s="153">
        <v>2354.4070000000002</v>
      </c>
      <c r="AG523" s="2" t="s">
        <v>37</v>
      </c>
      <c r="AH523" s="167">
        <v>2.0939999999999999E-3</v>
      </c>
      <c r="AI523" s="167">
        <v>9.8161857678159808E-3</v>
      </c>
      <c r="AJ523" s="167">
        <v>2.29148284434802E-3</v>
      </c>
      <c r="AK523" s="161"/>
      <c r="AL523" s="153"/>
    </row>
    <row r="524" spans="1:38">
      <c r="A524" s="2" t="s">
        <v>26</v>
      </c>
      <c r="B524" s="2">
        <v>9964</v>
      </c>
      <c r="C524" s="2" t="s">
        <v>1710</v>
      </c>
      <c r="D524" s="2" t="s">
        <v>1711</v>
      </c>
      <c r="E524" s="4" t="s">
        <v>1305</v>
      </c>
      <c r="F524" s="2" t="s">
        <v>1712</v>
      </c>
      <c r="G524" s="2" t="s">
        <v>1713</v>
      </c>
      <c r="H524" s="2" t="s">
        <v>319</v>
      </c>
      <c r="I524" s="2" t="s">
        <v>755</v>
      </c>
      <c r="J524" s="2" t="s">
        <v>31</v>
      </c>
      <c r="K524" s="2" t="s">
        <v>31</v>
      </c>
      <c r="L524" s="2" t="s">
        <v>325</v>
      </c>
      <c r="M524" s="2" t="s">
        <v>164</v>
      </c>
      <c r="N524" s="2" t="s">
        <v>484</v>
      </c>
      <c r="O524" s="2" t="s">
        <v>136</v>
      </c>
      <c r="P524" s="2" t="s">
        <v>1714</v>
      </c>
      <c r="Q524" s="2" t="s">
        <v>77</v>
      </c>
      <c r="R524" s="2" t="s">
        <v>405</v>
      </c>
      <c r="S524" s="2" t="s">
        <v>78</v>
      </c>
      <c r="T524" s="153">
        <v>1.1399999999999999</v>
      </c>
      <c r="U524" s="2" t="s">
        <v>1715</v>
      </c>
      <c r="V524" s="165">
        <v>6.1249999999999999E-2</v>
      </c>
      <c r="W524" s="167">
        <v>7.5679999999999997E-2</v>
      </c>
      <c r="X524" s="4" t="s">
        <v>411</v>
      </c>
      <c r="Y524" s="4" t="s">
        <v>136</v>
      </c>
      <c r="Z524" s="153">
        <v>17000</v>
      </c>
      <c r="AA524" s="153">
        <v>3.681</v>
      </c>
      <c r="AB524" s="153">
        <v>98.581000000000003</v>
      </c>
      <c r="AC524" s="11"/>
      <c r="AD524" s="153">
        <v>62.646999999999998</v>
      </c>
      <c r="AG524" s="2" t="s">
        <v>37</v>
      </c>
      <c r="AH524" s="167">
        <v>2.8E-5</v>
      </c>
      <c r="AI524" s="167">
        <v>6.9500958743775E-3</v>
      </c>
      <c r="AJ524" s="167">
        <v>1.80593510262658E-3</v>
      </c>
      <c r="AK524" s="161"/>
      <c r="AL524" s="153"/>
    </row>
    <row r="525" spans="1:38">
      <c r="A525" s="2" t="s">
        <v>26</v>
      </c>
      <c r="B525" s="2">
        <v>9964</v>
      </c>
      <c r="C525" s="2" t="s">
        <v>1716</v>
      </c>
      <c r="D525" s="2" t="s">
        <v>1717</v>
      </c>
      <c r="E525" s="4" t="s">
        <v>1305</v>
      </c>
      <c r="F525" s="2" t="s">
        <v>1718</v>
      </c>
      <c r="G525" s="2" t="s">
        <v>1719</v>
      </c>
      <c r="H525" s="2" t="s">
        <v>319</v>
      </c>
      <c r="I525" s="2" t="s">
        <v>966</v>
      </c>
      <c r="J525" s="2" t="s">
        <v>31</v>
      </c>
      <c r="K525" s="2" t="s">
        <v>31</v>
      </c>
      <c r="L525" s="2" t="s">
        <v>325</v>
      </c>
      <c r="M525" s="2" t="s">
        <v>40</v>
      </c>
      <c r="N525" s="2" t="s">
        <v>444</v>
      </c>
      <c r="O525" s="2" t="s">
        <v>136</v>
      </c>
      <c r="P525" s="2" t="s">
        <v>1720</v>
      </c>
      <c r="Q525" s="2" t="s">
        <v>104</v>
      </c>
      <c r="R525" s="2" t="s">
        <v>405</v>
      </c>
      <c r="S525" s="2" t="s">
        <v>35</v>
      </c>
      <c r="T525" s="153">
        <v>1.9119999999999999</v>
      </c>
      <c r="U525" s="2" t="s">
        <v>1721</v>
      </c>
      <c r="V525" s="165">
        <v>3.5000000000000003E-2</v>
      </c>
      <c r="W525" s="167">
        <v>5.6559999999999999E-2</v>
      </c>
      <c r="X525" s="4" t="s">
        <v>411</v>
      </c>
      <c r="Y525" s="4" t="s">
        <v>136</v>
      </c>
      <c r="Z525" s="153">
        <v>47458</v>
      </c>
      <c r="AA525" s="153">
        <v>1</v>
      </c>
      <c r="AB525" s="153">
        <v>96.19</v>
      </c>
      <c r="AC525" s="11"/>
      <c r="AD525" s="153">
        <v>45.65</v>
      </c>
      <c r="AG525" s="2" t="s">
        <v>37</v>
      </c>
      <c r="AH525" s="167">
        <v>1.9000000000000001E-4</v>
      </c>
      <c r="AI525" s="167">
        <v>5.0644022299420003E-3</v>
      </c>
      <c r="AJ525" s="167">
        <v>1.3159504453155199E-3</v>
      </c>
      <c r="AK525" s="161"/>
      <c r="AL525" s="153"/>
    </row>
    <row r="526" spans="1:38">
      <c r="A526" s="2" t="s">
        <v>26</v>
      </c>
      <c r="B526" s="2">
        <v>9964</v>
      </c>
      <c r="C526" s="2" t="s">
        <v>1716</v>
      </c>
      <c r="D526" s="2" t="s">
        <v>1717</v>
      </c>
      <c r="E526" s="4" t="s">
        <v>1305</v>
      </c>
      <c r="F526" s="2" t="s">
        <v>1722</v>
      </c>
      <c r="G526" s="2" t="s">
        <v>1723</v>
      </c>
      <c r="H526" s="2" t="s">
        <v>319</v>
      </c>
      <c r="I526" s="2" t="s">
        <v>754</v>
      </c>
      <c r="J526" s="2" t="s">
        <v>31</v>
      </c>
      <c r="K526" s="2" t="s">
        <v>31</v>
      </c>
      <c r="L526" s="2" t="s">
        <v>325</v>
      </c>
      <c r="M526" s="2" t="s">
        <v>40</v>
      </c>
      <c r="N526" s="2" t="s">
        <v>444</v>
      </c>
      <c r="O526" s="2" t="s">
        <v>136</v>
      </c>
      <c r="P526" s="2" t="s">
        <v>1724</v>
      </c>
      <c r="Q526" s="2" t="s">
        <v>412</v>
      </c>
      <c r="R526" s="2" t="s">
        <v>405</v>
      </c>
      <c r="S526" s="2" t="s">
        <v>35</v>
      </c>
      <c r="T526" s="153">
        <v>3.2690000000000001</v>
      </c>
      <c r="U526" s="2" t="s">
        <v>1725</v>
      </c>
      <c r="V526" s="165">
        <v>3.85E-2</v>
      </c>
      <c r="W526" s="167">
        <v>3.1759999999999997E-2</v>
      </c>
      <c r="X526" s="4" t="s">
        <v>411</v>
      </c>
      <c r="Y526" s="4" t="s">
        <v>136</v>
      </c>
      <c r="Z526" s="153">
        <v>22000</v>
      </c>
      <c r="AA526" s="153">
        <v>1</v>
      </c>
      <c r="AB526" s="153">
        <v>106.03</v>
      </c>
      <c r="AC526" s="11"/>
      <c r="AD526" s="153">
        <v>23.327000000000002</v>
      </c>
      <c r="AG526" s="2" t="s">
        <v>37</v>
      </c>
      <c r="AH526" s="167">
        <v>1.2400000000000001E-4</v>
      </c>
      <c r="AI526" s="167">
        <v>2.5878570146318901E-3</v>
      </c>
      <c r="AJ526" s="167">
        <v>6.7243702932670102E-4</v>
      </c>
      <c r="AK526" s="161"/>
      <c r="AL526" s="153"/>
    </row>
    <row r="527" spans="1:38">
      <c r="A527" s="2" t="s">
        <v>26</v>
      </c>
      <c r="B527" s="2">
        <v>9964</v>
      </c>
      <c r="C527" s="2" t="s">
        <v>1716</v>
      </c>
      <c r="D527" s="2" t="s">
        <v>1717</v>
      </c>
      <c r="E527" s="4" t="s">
        <v>1305</v>
      </c>
      <c r="F527" s="2" t="s">
        <v>1726</v>
      </c>
      <c r="G527" s="2" t="s">
        <v>1723</v>
      </c>
      <c r="H527" s="2" t="s">
        <v>319</v>
      </c>
      <c r="I527" s="2" t="s">
        <v>754</v>
      </c>
      <c r="J527" s="2" t="s">
        <v>31</v>
      </c>
      <c r="K527" s="2" t="s">
        <v>31</v>
      </c>
      <c r="L527" s="23" t="s">
        <v>327</v>
      </c>
      <c r="M527" s="2" t="s">
        <v>40</v>
      </c>
      <c r="N527" s="2" t="s">
        <v>444</v>
      </c>
      <c r="O527" s="2" t="s">
        <v>136</v>
      </c>
      <c r="P527" s="2" t="s">
        <v>1724</v>
      </c>
      <c r="Q527" s="2" t="s">
        <v>412</v>
      </c>
      <c r="R527" s="2" t="s">
        <v>405</v>
      </c>
      <c r="S527" s="2" t="s">
        <v>35</v>
      </c>
      <c r="T527" s="153">
        <v>3.45</v>
      </c>
      <c r="U527" s="2" t="s">
        <v>1725</v>
      </c>
      <c r="V527" s="165">
        <v>3.85E-2</v>
      </c>
      <c r="W527" s="167">
        <v>2.9700000000000001E-2</v>
      </c>
      <c r="X527" s="4" t="s">
        <v>411</v>
      </c>
      <c r="Y527" s="4" t="s">
        <v>136</v>
      </c>
      <c r="Z527" s="153">
        <v>32000</v>
      </c>
      <c r="AA527" s="153">
        <v>1</v>
      </c>
      <c r="AB527" s="153">
        <v>105.578</v>
      </c>
      <c r="AC527" s="11"/>
      <c r="AD527" s="153">
        <v>33.784999999999997</v>
      </c>
      <c r="AG527" s="2" t="s">
        <v>37</v>
      </c>
      <c r="AH527" s="167">
        <v>1.8100000000000001E-4</v>
      </c>
      <c r="AI527" s="167">
        <v>3.7481057210923801E-3</v>
      </c>
      <c r="AJ527" s="167">
        <v>9.7391975771593303E-4</v>
      </c>
      <c r="AK527" s="161"/>
      <c r="AL527" s="153"/>
    </row>
    <row r="528" spans="1:38">
      <c r="A528" s="2" t="s">
        <v>26</v>
      </c>
      <c r="B528" s="2">
        <v>9964</v>
      </c>
      <c r="C528" s="2" t="s">
        <v>1727</v>
      </c>
      <c r="D528" s="2" t="s">
        <v>1728</v>
      </c>
      <c r="E528" s="4" t="s">
        <v>1305</v>
      </c>
      <c r="F528" s="2" t="s">
        <v>1733</v>
      </c>
      <c r="G528" s="2" t="s">
        <v>1734</v>
      </c>
      <c r="H528" s="2" t="s">
        <v>319</v>
      </c>
      <c r="I528" s="2" t="s">
        <v>754</v>
      </c>
      <c r="J528" s="2" t="s">
        <v>31</v>
      </c>
      <c r="K528" s="2" t="s">
        <v>31</v>
      </c>
      <c r="L528" s="2" t="s">
        <v>325</v>
      </c>
      <c r="M528" s="2" t="s">
        <v>40</v>
      </c>
      <c r="N528" s="2" t="s">
        <v>462</v>
      </c>
      <c r="O528" s="2" t="s">
        <v>136</v>
      </c>
      <c r="P528" s="2" t="s">
        <v>1731</v>
      </c>
      <c r="Q528" s="2" t="s">
        <v>104</v>
      </c>
      <c r="R528" s="2" t="s">
        <v>405</v>
      </c>
      <c r="S528" s="2" t="s">
        <v>35</v>
      </c>
      <c r="T528" s="153">
        <v>3.66</v>
      </c>
      <c r="U528" s="2" t="s">
        <v>62</v>
      </c>
      <c r="V528" s="165">
        <v>2.4500000000000001E-2</v>
      </c>
      <c r="W528" s="167">
        <v>3.526E-2</v>
      </c>
      <c r="X528" s="4" t="s">
        <v>411</v>
      </c>
      <c r="Y528" s="4" t="s">
        <v>136</v>
      </c>
      <c r="Z528" s="153">
        <v>14347.83</v>
      </c>
      <c r="AA528" s="153">
        <v>1</v>
      </c>
      <c r="AB528" s="153">
        <v>107.38</v>
      </c>
      <c r="AC528" s="11"/>
      <c r="AD528" s="153">
        <v>15.407</v>
      </c>
      <c r="AG528" s="2" t="s">
        <v>37</v>
      </c>
      <c r="AH528" s="167">
        <v>2.8E-5</v>
      </c>
      <c r="AI528" s="167">
        <v>1.70922193073581E-3</v>
      </c>
      <c r="AJ528" s="167">
        <v>4.4412968377525498E-4</v>
      </c>
      <c r="AK528" s="161"/>
      <c r="AL528" s="153"/>
    </row>
    <row r="529" spans="1:38">
      <c r="A529" s="2" t="s">
        <v>26</v>
      </c>
      <c r="B529" s="2">
        <v>9964</v>
      </c>
      <c r="C529" s="2" t="s">
        <v>1735</v>
      </c>
      <c r="D529" s="2" t="s">
        <v>1736</v>
      </c>
      <c r="E529" s="4" t="s">
        <v>1305</v>
      </c>
      <c r="F529" s="2" t="s">
        <v>1737</v>
      </c>
      <c r="G529" s="2" t="s">
        <v>1738</v>
      </c>
      <c r="H529" s="2" t="s">
        <v>319</v>
      </c>
      <c r="I529" s="2" t="s">
        <v>754</v>
      </c>
      <c r="J529" s="2" t="s">
        <v>31</v>
      </c>
      <c r="K529" s="2" t="s">
        <v>31</v>
      </c>
      <c r="L529" s="2" t="s">
        <v>325</v>
      </c>
      <c r="M529" s="2" t="s">
        <v>40</v>
      </c>
      <c r="N529" s="2" t="s">
        <v>453</v>
      </c>
      <c r="O529" s="2" t="s">
        <v>136</v>
      </c>
      <c r="P529" s="2" t="s">
        <v>1739</v>
      </c>
      <c r="Q529" s="2" t="s">
        <v>412</v>
      </c>
      <c r="R529" s="2" t="s">
        <v>405</v>
      </c>
      <c r="S529" s="2" t="s">
        <v>35</v>
      </c>
      <c r="T529" s="153">
        <v>5.6740000000000004</v>
      </c>
      <c r="U529" s="2" t="s">
        <v>1740</v>
      </c>
      <c r="V529" s="165">
        <v>5.1499999999999997E-2</v>
      </c>
      <c r="W529" s="167">
        <v>2.9309999999999999E-2</v>
      </c>
      <c r="X529" s="4" t="s">
        <v>411</v>
      </c>
      <c r="Y529" s="4" t="s">
        <v>136</v>
      </c>
      <c r="Z529" s="153">
        <v>19500</v>
      </c>
      <c r="AA529" s="153">
        <v>1</v>
      </c>
      <c r="AB529" s="153">
        <v>154.27000000000001</v>
      </c>
      <c r="AC529" s="11"/>
      <c r="AD529" s="153">
        <v>30.082999999999998</v>
      </c>
      <c r="AG529" s="2" t="s">
        <v>37</v>
      </c>
      <c r="AH529" s="167">
        <v>6.0000000000000002E-6</v>
      </c>
      <c r="AI529" s="167">
        <v>3.3373743632255102E-3</v>
      </c>
      <c r="AJ529" s="167">
        <v>8.6719401028331896E-4</v>
      </c>
      <c r="AK529" s="161"/>
      <c r="AL529" s="153"/>
    </row>
    <row r="530" spans="1:38">
      <c r="A530" s="2" t="s">
        <v>26</v>
      </c>
      <c r="B530" s="2">
        <v>9964</v>
      </c>
      <c r="C530" s="2" t="s">
        <v>1391</v>
      </c>
      <c r="D530" s="2" t="s">
        <v>1392</v>
      </c>
      <c r="E530" s="4" t="s">
        <v>1305</v>
      </c>
      <c r="F530" s="2" t="s">
        <v>1741</v>
      </c>
      <c r="G530" s="2" t="s">
        <v>1742</v>
      </c>
      <c r="H530" s="2" t="s">
        <v>319</v>
      </c>
      <c r="I530" s="2" t="s">
        <v>754</v>
      </c>
      <c r="J530" s="2" t="s">
        <v>31</v>
      </c>
      <c r="K530" s="2" t="s">
        <v>31</v>
      </c>
      <c r="L530" s="2" t="s">
        <v>325</v>
      </c>
      <c r="M530" s="2" t="s">
        <v>40</v>
      </c>
      <c r="N530" s="2" t="s">
        <v>437</v>
      </c>
      <c r="O530" s="2" t="s">
        <v>136</v>
      </c>
      <c r="P530" s="2" t="s">
        <v>1724</v>
      </c>
      <c r="Q530" s="2" t="s">
        <v>412</v>
      </c>
      <c r="R530" s="2" t="s">
        <v>407</v>
      </c>
      <c r="S530" s="2" t="s">
        <v>35</v>
      </c>
      <c r="T530" s="153">
        <v>3.3180000000000001</v>
      </c>
      <c r="U530" s="2" t="s">
        <v>1743</v>
      </c>
      <c r="V530" s="165">
        <v>2.75E-2</v>
      </c>
      <c r="W530" s="167">
        <v>2.7689999999999999E-2</v>
      </c>
      <c r="X530" s="4" t="s">
        <v>411</v>
      </c>
      <c r="Y530" s="4" t="s">
        <v>136</v>
      </c>
      <c r="Z530" s="153">
        <v>133202.97</v>
      </c>
      <c r="AA530" s="153">
        <v>1</v>
      </c>
      <c r="AB530" s="153">
        <v>110.77</v>
      </c>
      <c r="AC530" s="11"/>
      <c r="AD530" s="153">
        <v>147.54900000000001</v>
      </c>
      <c r="AG530" s="2" t="s">
        <v>37</v>
      </c>
      <c r="AH530" s="167">
        <v>1.4799999999999999E-4</v>
      </c>
      <c r="AI530" s="167">
        <v>1.6369103648320799E-2</v>
      </c>
      <c r="AJ530" s="167">
        <v>4.2534001561069399E-3</v>
      </c>
      <c r="AK530" s="161"/>
      <c r="AL530" s="153"/>
    </row>
    <row r="531" spans="1:38">
      <c r="A531" s="2" t="s">
        <v>26</v>
      </c>
      <c r="B531" s="2">
        <v>9964</v>
      </c>
      <c r="C531" s="2" t="s">
        <v>1744</v>
      </c>
      <c r="D531" s="2" t="s">
        <v>1745</v>
      </c>
      <c r="E531" s="4" t="s">
        <v>1305</v>
      </c>
      <c r="F531" s="2" t="s">
        <v>1746</v>
      </c>
      <c r="G531" s="2" t="s">
        <v>1747</v>
      </c>
      <c r="H531" s="2" t="s">
        <v>319</v>
      </c>
      <c r="I531" s="2" t="s">
        <v>754</v>
      </c>
      <c r="J531" s="2" t="s">
        <v>31</v>
      </c>
      <c r="K531" s="2" t="s">
        <v>31</v>
      </c>
      <c r="L531" s="2" t="s">
        <v>325</v>
      </c>
      <c r="M531" s="2" t="s">
        <v>40</v>
      </c>
      <c r="N531" s="2" t="s">
        <v>461</v>
      </c>
      <c r="O531" s="2" t="s">
        <v>136</v>
      </c>
      <c r="P531" s="2" t="s">
        <v>1748</v>
      </c>
      <c r="Q531" s="2" t="s">
        <v>412</v>
      </c>
      <c r="R531" s="2" t="s">
        <v>405</v>
      </c>
      <c r="S531" s="2" t="s">
        <v>35</v>
      </c>
      <c r="T531" s="153">
        <v>2.698</v>
      </c>
      <c r="U531" s="2" t="s">
        <v>1749</v>
      </c>
      <c r="V531" s="165">
        <v>2.3400000000000001E-2</v>
      </c>
      <c r="W531" s="167">
        <v>2.1569999999999999E-2</v>
      </c>
      <c r="X531" s="4" t="s">
        <v>411</v>
      </c>
      <c r="Y531" s="4" t="s">
        <v>136</v>
      </c>
      <c r="Z531" s="153">
        <v>45629.63</v>
      </c>
      <c r="AA531" s="153">
        <v>1</v>
      </c>
      <c r="AB531" s="153">
        <v>111.84</v>
      </c>
      <c r="AC531" s="11"/>
      <c r="AD531" s="153">
        <v>51.031999999999996</v>
      </c>
      <c r="AG531" s="2" t="s">
        <v>37</v>
      </c>
      <c r="AH531" s="167">
        <v>1.8E-5</v>
      </c>
      <c r="AI531" s="167">
        <v>5.6615186227787998E-3</v>
      </c>
      <c r="AJ531" s="167">
        <v>1.4711070753345701E-3</v>
      </c>
      <c r="AK531" s="161"/>
      <c r="AL531" s="153"/>
    </row>
    <row r="532" spans="1:38">
      <c r="A532" s="2" t="s">
        <v>26</v>
      </c>
      <c r="B532" s="2">
        <v>9964</v>
      </c>
      <c r="C532" s="2" t="s">
        <v>1411</v>
      </c>
      <c r="D532" s="2" t="s">
        <v>1412</v>
      </c>
      <c r="E532" s="4" t="s">
        <v>1305</v>
      </c>
      <c r="F532" s="2" t="s">
        <v>1750</v>
      </c>
      <c r="G532" s="2" t="s">
        <v>1751</v>
      </c>
      <c r="H532" s="2" t="s">
        <v>319</v>
      </c>
      <c r="I532" s="2" t="s">
        <v>967</v>
      </c>
      <c r="J532" s="2" t="s">
        <v>31</v>
      </c>
      <c r="K532" s="2" t="s">
        <v>31</v>
      </c>
      <c r="L532" s="2" t="s">
        <v>325</v>
      </c>
      <c r="M532" s="2" t="s">
        <v>40</v>
      </c>
      <c r="N532" s="2" t="s">
        <v>458</v>
      </c>
      <c r="O532" s="2" t="s">
        <v>136</v>
      </c>
      <c r="P532" s="2" t="s">
        <v>1752</v>
      </c>
      <c r="Q532" s="23" t="s">
        <v>1752</v>
      </c>
      <c r="R532" s="23" t="s">
        <v>1752</v>
      </c>
      <c r="S532" s="2" t="s">
        <v>35</v>
      </c>
      <c r="T532" s="153">
        <v>3.847</v>
      </c>
      <c r="U532" s="2" t="s">
        <v>1753</v>
      </c>
      <c r="V532" s="165">
        <v>4.8500000000000001E-2</v>
      </c>
      <c r="W532" s="167">
        <v>4.8070000000000002E-2</v>
      </c>
      <c r="X532" s="4" t="s">
        <v>411</v>
      </c>
      <c r="Y532" s="4" t="s">
        <v>136</v>
      </c>
      <c r="Z532" s="153">
        <v>38000</v>
      </c>
      <c r="AA532" s="153">
        <v>1</v>
      </c>
      <c r="AB532" s="153">
        <v>101.6</v>
      </c>
      <c r="AC532" s="11"/>
      <c r="AD532" s="153">
        <v>38.607999999999997</v>
      </c>
      <c r="AG532" s="2" t="s">
        <v>37</v>
      </c>
      <c r="AH532" s="167">
        <v>1.54E-4</v>
      </c>
      <c r="AI532" s="167">
        <v>4.2831781580216603E-3</v>
      </c>
      <c r="AJ532" s="167">
        <v>1.1129546881348E-3</v>
      </c>
      <c r="AK532" s="161"/>
      <c r="AL532" s="153"/>
    </row>
    <row r="533" spans="1:38">
      <c r="A533" s="2" t="s">
        <v>26</v>
      </c>
      <c r="B533" s="2">
        <v>9964</v>
      </c>
      <c r="C533" s="2" t="s">
        <v>1754</v>
      </c>
      <c r="D533" s="2" t="s">
        <v>1755</v>
      </c>
      <c r="E533" s="4" t="s">
        <v>1305</v>
      </c>
      <c r="F533" s="2" t="s">
        <v>1756</v>
      </c>
      <c r="G533" s="2" t="s">
        <v>1757</v>
      </c>
      <c r="H533" s="2" t="s">
        <v>319</v>
      </c>
      <c r="I533" s="2" t="s">
        <v>754</v>
      </c>
      <c r="J533" s="2" t="s">
        <v>31</v>
      </c>
      <c r="K533" s="2" t="s">
        <v>31</v>
      </c>
      <c r="L533" s="2" t="s">
        <v>325</v>
      </c>
      <c r="M533" s="2" t="s">
        <v>40</v>
      </c>
      <c r="N533" s="2" t="s">
        <v>475</v>
      </c>
      <c r="O533" s="2" t="s">
        <v>136</v>
      </c>
      <c r="P533" s="2" t="s">
        <v>1758</v>
      </c>
      <c r="Q533" s="2" t="s">
        <v>412</v>
      </c>
      <c r="R533" s="2" t="s">
        <v>405</v>
      </c>
      <c r="S533" s="2" t="s">
        <v>35</v>
      </c>
      <c r="T533" s="153">
        <v>2.036</v>
      </c>
      <c r="U533" s="2" t="s">
        <v>1759</v>
      </c>
      <c r="V533" s="165">
        <v>3.2000000000000001E-2</v>
      </c>
      <c r="W533" s="167">
        <v>2.9739999999999999E-2</v>
      </c>
      <c r="X533" s="4" t="s">
        <v>411</v>
      </c>
      <c r="Y533" s="4" t="s">
        <v>136</v>
      </c>
      <c r="Z533" s="153">
        <v>26350</v>
      </c>
      <c r="AA533" s="153">
        <v>1</v>
      </c>
      <c r="AB533" s="153">
        <v>104.3</v>
      </c>
      <c r="AC533" s="11"/>
      <c r="AD533" s="153">
        <v>27.483000000000001</v>
      </c>
      <c r="AG533" s="2" t="s">
        <v>37</v>
      </c>
      <c r="AH533" s="167">
        <v>7.2000000000000002E-5</v>
      </c>
      <c r="AI533" s="167">
        <v>3.0489742922663E-3</v>
      </c>
      <c r="AJ533" s="167">
        <v>7.9225521502650101E-4</v>
      </c>
      <c r="AK533" s="161"/>
      <c r="AL533" s="153"/>
    </row>
    <row r="534" spans="1:38">
      <c r="A534" s="2" t="s">
        <v>26</v>
      </c>
      <c r="B534" s="2">
        <v>9964</v>
      </c>
      <c r="C534" s="2" t="s">
        <v>1754</v>
      </c>
      <c r="D534" s="2" t="s">
        <v>1755</v>
      </c>
      <c r="E534" s="4" t="s">
        <v>1305</v>
      </c>
      <c r="F534" s="2" t="s">
        <v>1760</v>
      </c>
      <c r="G534" s="2" t="s">
        <v>1761</v>
      </c>
      <c r="H534" s="2" t="s">
        <v>319</v>
      </c>
      <c r="I534" s="2" t="s">
        <v>966</v>
      </c>
      <c r="J534" s="2" t="s">
        <v>31</v>
      </c>
      <c r="K534" s="2" t="s">
        <v>31</v>
      </c>
      <c r="L534" s="2" t="s">
        <v>325</v>
      </c>
      <c r="M534" s="2" t="s">
        <v>40</v>
      </c>
      <c r="N534" s="2" t="s">
        <v>475</v>
      </c>
      <c r="O534" s="2" t="s">
        <v>136</v>
      </c>
      <c r="P534" s="2" t="s">
        <v>1758</v>
      </c>
      <c r="Q534" s="2" t="s">
        <v>412</v>
      </c>
      <c r="R534" s="2" t="s">
        <v>405</v>
      </c>
      <c r="S534" s="2" t="s">
        <v>35</v>
      </c>
      <c r="T534" s="153">
        <v>2.0590000000000002</v>
      </c>
      <c r="U534" s="2" t="s">
        <v>1762</v>
      </c>
      <c r="V534" s="165">
        <v>5.7000000000000002E-2</v>
      </c>
      <c r="W534" s="167">
        <v>5.9130000000000002E-2</v>
      </c>
      <c r="X534" s="4" t="s">
        <v>411</v>
      </c>
      <c r="Y534" s="4" t="s">
        <v>136</v>
      </c>
      <c r="Z534" s="153">
        <v>25500</v>
      </c>
      <c r="AA534" s="153">
        <v>1</v>
      </c>
      <c r="AB534" s="153">
        <v>100.07</v>
      </c>
      <c r="AC534" s="11"/>
      <c r="AD534" s="153">
        <v>25.518000000000001</v>
      </c>
      <c r="AG534" s="2" t="s">
        <v>37</v>
      </c>
      <c r="AH534" s="167">
        <v>6.3999999999999997E-5</v>
      </c>
      <c r="AI534" s="167">
        <v>2.8309546663819198E-3</v>
      </c>
      <c r="AJ534" s="167">
        <v>7.3560429933228005E-4</v>
      </c>
      <c r="AK534" s="161"/>
      <c r="AL534" s="153"/>
    </row>
    <row r="535" spans="1:38">
      <c r="A535" s="2" t="s">
        <v>26</v>
      </c>
      <c r="B535" s="2">
        <v>9964</v>
      </c>
      <c r="C535" s="2" t="s">
        <v>1763</v>
      </c>
      <c r="D535" s="2" t="s">
        <v>1764</v>
      </c>
      <c r="E535" s="4" t="s">
        <v>1305</v>
      </c>
      <c r="F535" s="2" t="s">
        <v>1765</v>
      </c>
      <c r="G535" s="2" t="s">
        <v>1766</v>
      </c>
      <c r="H535" s="2" t="s">
        <v>319</v>
      </c>
      <c r="I535" s="2" t="s">
        <v>754</v>
      </c>
      <c r="J535" s="2" t="s">
        <v>31</v>
      </c>
      <c r="K535" s="2" t="s">
        <v>31</v>
      </c>
      <c r="L535" s="2" t="s">
        <v>325</v>
      </c>
      <c r="M535" s="2" t="s">
        <v>40</v>
      </c>
      <c r="N535" s="2" t="s">
        <v>475</v>
      </c>
      <c r="O535" s="2" t="s">
        <v>136</v>
      </c>
      <c r="P535" s="2" t="s">
        <v>1758</v>
      </c>
      <c r="Q535" s="2" t="s">
        <v>412</v>
      </c>
      <c r="R535" s="2" t="s">
        <v>405</v>
      </c>
      <c r="S535" s="2" t="s">
        <v>35</v>
      </c>
      <c r="T535" s="153">
        <v>2.9870000000000001</v>
      </c>
      <c r="U535" s="2" t="s">
        <v>1767</v>
      </c>
      <c r="V535" s="165">
        <v>3.2300000000000002E-2</v>
      </c>
      <c r="W535" s="167">
        <v>2.8750000000000001E-2</v>
      </c>
      <c r="X535" s="4" t="s">
        <v>411</v>
      </c>
      <c r="Y535" s="4" t="s">
        <v>136</v>
      </c>
      <c r="Z535" s="153">
        <v>29760</v>
      </c>
      <c r="AA535" s="153">
        <v>1</v>
      </c>
      <c r="AB535" s="153">
        <v>104.51</v>
      </c>
      <c r="AC535" s="11"/>
      <c r="AD535" s="153">
        <v>31.102</v>
      </c>
      <c r="AG535" s="2" t="s">
        <v>37</v>
      </c>
      <c r="AH535" s="167">
        <v>6.3E-5</v>
      </c>
      <c r="AI535" s="167">
        <v>3.4504807529565302E-3</v>
      </c>
      <c r="AJ535" s="167">
        <v>8.9658393572300305E-4</v>
      </c>
      <c r="AK535" s="161"/>
      <c r="AL535" s="153"/>
    </row>
    <row r="536" spans="1:38">
      <c r="A536" s="2" t="s">
        <v>26</v>
      </c>
      <c r="B536" s="2">
        <v>9964</v>
      </c>
      <c r="C536" s="2" t="s">
        <v>1768</v>
      </c>
      <c r="D536" s="2" t="s">
        <v>1769</v>
      </c>
      <c r="E536" s="4" t="s">
        <v>1305</v>
      </c>
      <c r="F536" s="2" t="s">
        <v>1770</v>
      </c>
      <c r="G536" s="2" t="s">
        <v>1771</v>
      </c>
      <c r="H536" s="2" t="s">
        <v>319</v>
      </c>
      <c r="I536" s="2" t="s">
        <v>754</v>
      </c>
      <c r="J536" s="2" t="s">
        <v>31</v>
      </c>
      <c r="K536" s="2" t="s">
        <v>31</v>
      </c>
      <c r="L536" s="2" t="s">
        <v>325</v>
      </c>
      <c r="M536" s="2" t="s">
        <v>40</v>
      </c>
      <c r="N536" s="2" t="s">
        <v>461</v>
      </c>
      <c r="O536" s="2" t="s">
        <v>136</v>
      </c>
      <c r="P536" s="2" t="s">
        <v>1772</v>
      </c>
      <c r="Q536" s="2" t="s">
        <v>412</v>
      </c>
      <c r="R536" s="2" t="s">
        <v>405</v>
      </c>
      <c r="S536" s="2" t="s">
        <v>35</v>
      </c>
      <c r="T536" s="153">
        <v>2.855</v>
      </c>
      <c r="U536" s="2" t="s">
        <v>1773</v>
      </c>
      <c r="V536" s="165">
        <v>2.4899999999999999E-2</v>
      </c>
      <c r="W536" s="167">
        <v>3.2489999999999998E-2</v>
      </c>
      <c r="X536" s="4" t="s">
        <v>411</v>
      </c>
      <c r="Y536" s="4" t="s">
        <v>136</v>
      </c>
      <c r="Z536" s="153">
        <v>62000</v>
      </c>
      <c r="AA536" s="153">
        <v>1</v>
      </c>
      <c r="AB536" s="153">
        <v>103.02</v>
      </c>
      <c r="AC536" s="11"/>
      <c r="AD536" s="153">
        <v>63.872</v>
      </c>
      <c r="AG536" s="2" t="s">
        <v>37</v>
      </c>
      <c r="AH536" s="167">
        <v>3.3100000000000002E-4</v>
      </c>
      <c r="AI536" s="167">
        <v>7.0860150378269501E-3</v>
      </c>
      <c r="AJ536" s="167">
        <v>1.8412527720270699E-3</v>
      </c>
      <c r="AK536" s="161"/>
      <c r="AL536" s="153"/>
    </row>
    <row r="537" spans="1:38">
      <c r="A537" s="2" t="s">
        <v>26</v>
      </c>
      <c r="B537" s="2">
        <v>9964</v>
      </c>
      <c r="C537" s="2" t="s">
        <v>2317</v>
      </c>
      <c r="D537" s="2" t="s">
        <v>2318</v>
      </c>
      <c r="E537" s="4" t="s">
        <v>1305</v>
      </c>
      <c r="F537" s="2" t="s">
        <v>2319</v>
      </c>
      <c r="G537" s="2" t="s">
        <v>2320</v>
      </c>
      <c r="H537" s="2" t="s">
        <v>319</v>
      </c>
      <c r="I537" s="2" t="s">
        <v>966</v>
      </c>
      <c r="J537" s="2" t="s">
        <v>31</v>
      </c>
      <c r="K537" s="2" t="s">
        <v>31</v>
      </c>
      <c r="L537" s="2" t="s">
        <v>325</v>
      </c>
      <c r="M537" s="2" t="s">
        <v>40</v>
      </c>
      <c r="N537" s="2" t="s">
        <v>438</v>
      </c>
      <c r="O537" s="2" t="s">
        <v>136</v>
      </c>
      <c r="P537" s="2" t="s">
        <v>2083</v>
      </c>
      <c r="Q537" s="2" t="s">
        <v>104</v>
      </c>
      <c r="R537" s="2" t="s">
        <v>407</v>
      </c>
      <c r="S537" s="2" t="s">
        <v>35</v>
      </c>
      <c r="T537" s="153">
        <v>3.82</v>
      </c>
      <c r="U537" s="2" t="s">
        <v>62</v>
      </c>
      <c r="V537" s="165">
        <v>5.5E-2</v>
      </c>
      <c r="W537" s="167">
        <v>6.694E-2</v>
      </c>
      <c r="X537" s="4" t="s">
        <v>411</v>
      </c>
      <c r="Y537" s="4" t="s">
        <v>136</v>
      </c>
      <c r="Z537" s="153">
        <v>34000</v>
      </c>
      <c r="AA537" s="153">
        <v>1</v>
      </c>
      <c r="AB537" s="153">
        <v>96.08</v>
      </c>
      <c r="AC537" s="11"/>
      <c r="AD537" s="153">
        <v>32.667000000000002</v>
      </c>
      <c r="AG537" s="2" t="s">
        <v>37</v>
      </c>
      <c r="AH537" s="167">
        <v>0</v>
      </c>
      <c r="AI537" s="167">
        <v>3.6241047845971099E-3</v>
      </c>
      <c r="AJ537" s="167">
        <v>9.4169895846034997E-4</v>
      </c>
      <c r="AK537" s="161"/>
      <c r="AL537" s="153"/>
    </row>
    <row r="538" spans="1:38">
      <c r="A538" s="2" t="s">
        <v>26</v>
      </c>
      <c r="B538" s="2">
        <v>9964</v>
      </c>
      <c r="C538" s="2" t="s">
        <v>1774</v>
      </c>
      <c r="D538" s="2" t="s">
        <v>1775</v>
      </c>
      <c r="E538" s="4" t="s">
        <v>1305</v>
      </c>
      <c r="F538" s="2" t="s">
        <v>1776</v>
      </c>
      <c r="G538" s="2" t="s">
        <v>1777</v>
      </c>
      <c r="H538" s="2" t="s">
        <v>319</v>
      </c>
      <c r="I538" s="2" t="s">
        <v>966</v>
      </c>
      <c r="J538" s="2" t="s">
        <v>31</v>
      </c>
      <c r="K538" s="2" t="s">
        <v>31</v>
      </c>
      <c r="L538" s="2" t="s">
        <v>325</v>
      </c>
      <c r="M538" s="2" t="s">
        <v>40</v>
      </c>
      <c r="N538" s="2" t="s">
        <v>448</v>
      </c>
      <c r="O538" s="2" t="s">
        <v>136</v>
      </c>
      <c r="P538" s="2" t="s">
        <v>1739</v>
      </c>
      <c r="Q538" s="2" t="s">
        <v>412</v>
      </c>
      <c r="R538" s="2" t="s">
        <v>405</v>
      </c>
      <c r="S538" s="2" t="s">
        <v>35</v>
      </c>
      <c r="T538" s="153">
        <v>2.7770000000000001</v>
      </c>
      <c r="U538" s="2" t="s">
        <v>1778</v>
      </c>
      <c r="V538" s="165">
        <v>2.0400000000000001E-2</v>
      </c>
      <c r="W538" s="167">
        <v>4.8500000000000001E-2</v>
      </c>
      <c r="X538" s="4" t="s">
        <v>411</v>
      </c>
      <c r="Y538" s="4" t="s">
        <v>136</v>
      </c>
      <c r="Z538" s="153">
        <v>54000</v>
      </c>
      <c r="AA538" s="153">
        <v>1</v>
      </c>
      <c r="AB538" s="153">
        <v>92.75</v>
      </c>
      <c r="AC538" s="11"/>
      <c r="AD538" s="153">
        <v>50.085000000000001</v>
      </c>
      <c r="AG538" s="2" t="s">
        <v>37</v>
      </c>
      <c r="AH538" s="167">
        <v>1.7000000000000001E-4</v>
      </c>
      <c r="AI538" s="167">
        <v>5.5564385113063301E-3</v>
      </c>
      <c r="AJ538" s="167">
        <v>1.44380272366431E-3</v>
      </c>
      <c r="AK538" s="161"/>
      <c r="AL538" s="153"/>
    </row>
    <row r="539" spans="1:38">
      <c r="A539" s="2" t="s">
        <v>26</v>
      </c>
      <c r="B539" s="2">
        <v>9964</v>
      </c>
      <c r="C539" s="2" t="s">
        <v>1779</v>
      </c>
      <c r="D539" s="2" t="s">
        <v>1780</v>
      </c>
      <c r="E539" s="4" t="s">
        <v>1305</v>
      </c>
      <c r="F539" s="2" t="s">
        <v>1781</v>
      </c>
      <c r="G539" s="2" t="s">
        <v>1782</v>
      </c>
      <c r="H539" s="2" t="s">
        <v>319</v>
      </c>
      <c r="I539" s="2" t="s">
        <v>966</v>
      </c>
      <c r="J539" s="2" t="s">
        <v>31</v>
      </c>
      <c r="K539" s="2" t="s">
        <v>31</v>
      </c>
      <c r="L539" s="2" t="s">
        <v>325</v>
      </c>
      <c r="M539" s="2" t="s">
        <v>40</v>
      </c>
      <c r="N539" s="2" t="s">
        <v>448</v>
      </c>
      <c r="O539" s="2" t="s">
        <v>136</v>
      </c>
      <c r="P539" s="2" t="s">
        <v>1758</v>
      </c>
      <c r="Q539" s="2" t="s">
        <v>412</v>
      </c>
      <c r="R539" s="2" t="s">
        <v>405</v>
      </c>
      <c r="S539" s="2" t="s">
        <v>35</v>
      </c>
      <c r="T539" s="153">
        <v>3.41</v>
      </c>
      <c r="U539" s="2" t="s">
        <v>1783</v>
      </c>
      <c r="V539" s="165">
        <v>0.04</v>
      </c>
      <c r="W539" s="167">
        <v>5.0200000000000002E-2</v>
      </c>
      <c r="X539" s="4" t="s">
        <v>411</v>
      </c>
      <c r="Y539" s="4" t="s">
        <v>136</v>
      </c>
      <c r="Z539" s="153">
        <v>28000</v>
      </c>
      <c r="AA539" s="153">
        <v>1</v>
      </c>
      <c r="AB539" s="153">
        <v>97.7</v>
      </c>
      <c r="AC539" s="11"/>
      <c r="AD539" s="153">
        <v>27.356000000000002</v>
      </c>
      <c r="AG539" s="2" t="s">
        <v>37</v>
      </c>
      <c r="AH539" s="167">
        <v>3.6000000000000001E-5</v>
      </c>
      <c r="AI539" s="167">
        <v>3.0348793434221001E-3</v>
      </c>
      <c r="AJ539" s="167">
        <v>7.88592738515738E-4</v>
      </c>
      <c r="AK539" s="161"/>
      <c r="AL539" s="153"/>
    </row>
    <row r="540" spans="1:38">
      <c r="A540" s="2" t="s">
        <v>26</v>
      </c>
      <c r="B540" s="2">
        <v>9964</v>
      </c>
      <c r="C540" s="2" t="s">
        <v>1784</v>
      </c>
      <c r="D540" s="2" t="s">
        <v>1785</v>
      </c>
      <c r="E540" s="4" t="s">
        <v>34</v>
      </c>
      <c r="F540" s="2" t="s">
        <v>1786</v>
      </c>
      <c r="G540" s="2" t="s">
        <v>1787</v>
      </c>
      <c r="H540" s="2" t="s">
        <v>319</v>
      </c>
      <c r="I540" s="2" t="s">
        <v>966</v>
      </c>
      <c r="J540" s="2" t="s">
        <v>31</v>
      </c>
      <c r="K540" s="2" t="s">
        <v>74</v>
      </c>
      <c r="L540" s="2" t="s">
        <v>325</v>
      </c>
      <c r="M540" s="2" t="s">
        <v>40</v>
      </c>
      <c r="N540" s="2" t="s">
        <v>462</v>
      </c>
      <c r="O540" s="2" t="s">
        <v>136</v>
      </c>
      <c r="P540" s="2" t="s">
        <v>1752</v>
      </c>
      <c r="Q540" s="23" t="s">
        <v>1752</v>
      </c>
      <c r="R540" s="23" t="s">
        <v>1752</v>
      </c>
      <c r="S540" s="2" t="s">
        <v>35</v>
      </c>
      <c r="T540" s="153">
        <v>2.1360000000000001</v>
      </c>
      <c r="U540" s="2" t="s">
        <v>1788</v>
      </c>
      <c r="V540" s="165">
        <v>4.4999999999999998E-2</v>
      </c>
      <c r="W540" s="167">
        <v>6.9360000000000005E-2</v>
      </c>
      <c r="X540" s="4" t="s">
        <v>411</v>
      </c>
      <c r="Y540" s="4" t="s">
        <v>136</v>
      </c>
      <c r="Z540" s="153">
        <v>97000</v>
      </c>
      <c r="AA540" s="153">
        <v>1</v>
      </c>
      <c r="AB540" s="153">
        <v>96.39</v>
      </c>
      <c r="AC540" s="11"/>
      <c r="AD540" s="153">
        <v>93.498000000000005</v>
      </c>
      <c r="AG540" s="2" t="s">
        <v>37</v>
      </c>
      <c r="AH540" s="167">
        <v>2.6899999999999998E-4</v>
      </c>
      <c r="AI540" s="167">
        <v>1.0372717477521699E-2</v>
      </c>
      <c r="AJ540" s="167">
        <v>2.6952800279121999E-3</v>
      </c>
      <c r="AK540" s="161"/>
      <c r="AL540" s="153"/>
    </row>
    <row r="541" spans="1:38">
      <c r="A541" s="2" t="s">
        <v>26</v>
      </c>
      <c r="B541" s="2">
        <v>9964</v>
      </c>
      <c r="C541" s="2" t="s">
        <v>1789</v>
      </c>
      <c r="D541" s="2" t="s">
        <v>1790</v>
      </c>
      <c r="E541" s="4" t="s">
        <v>1305</v>
      </c>
      <c r="F541" s="2" t="s">
        <v>1791</v>
      </c>
      <c r="G541" s="2" t="s">
        <v>1792</v>
      </c>
      <c r="H541" s="2" t="s">
        <v>319</v>
      </c>
      <c r="I541" s="2" t="s">
        <v>966</v>
      </c>
      <c r="J541" s="2" t="s">
        <v>31</v>
      </c>
      <c r="K541" s="2" t="s">
        <v>296</v>
      </c>
      <c r="L541" s="2" t="s">
        <v>325</v>
      </c>
      <c r="M541" s="2" t="s">
        <v>40</v>
      </c>
      <c r="N541" s="2" t="s">
        <v>462</v>
      </c>
      <c r="O541" s="2" t="s">
        <v>136</v>
      </c>
      <c r="P541" s="2" t="s">
        <v>1752</v>
      </c>
      <c r="Q541" s="23" t="s">
        <v>1752</v>
      </c>
      <c r="R541" s="23" t="s">
        <v>1752</v>
      </c>
      <c r="S541" s="2" t="s">
        <v>35</v>
      </c>
      <c r="T541" s="153">
        <v>0.93400000000000005</v>
      </c>
      <c r="U541" s="2" t="s">
        <v>1793</v>
      </c>
      <c r="V541" s="165">
        <v>7.2499999999999995E-2</v>
      </c>
      <c r="W541" s="167">
        <v>6.3920000000000005E-2</v>
      </c>
      <c r="X541" s="4" t="s">
        <v>411</v>
      </c>
      <c r="Y541" s="4" t="s">
        <v>136</v>
      </c>
      <c r="Z541" s="153">
        <v>30070</v>
      </c>
      <c r="AA541" s="153">
        <v>1</v>
      </c>
      <c r="AB541" s="153">
        <v>101.2</v>
      </c>
      <c r="AC541" s="11"/>
      <c r="AD541" s="153">
        <v>30.431000000000001</v>
      </c>
      <c r="AG541" s="2" t="s">
        <v>37</v>
      </c>
      <c r="AH541" s="167">
        <v>1.9699999999999999E-4</v>
      </c>
      <c r="AI541" s="167">
        <v>3.3760026216911499E-3</v>
      </c>
      <c r="AJ541" s="167">
        <v>8.7723130029734896E-4</v>
      </c>
      <c r="AK541" s="161"/>
      <c r="AL541" s="153"/>
    </row>
    <row r="542" spans="1:38">
      <c r="A542" s="2" t="s">
        <v>26</v>
      </c>
      <c r="B542" s="2">
        <v>9964</v>
      </c>
      <c r="C542" s="2" t="s">
        <v>1794</v>
      </c>
      <c r="D542" s="2" t="s">
        <v>1795</v>
      </c>
      <c r="E542" s="4" t="s">
        <v>34</v>
      </c>
      <c r="F542" s="2" t="s">
        <v>1796</v>
      </c>
      <c r="G542" s="2" t="s">
        <v>1797</v>
      </c>
      <c r="H542" s="2" t="s">
        <v>319</v>
      </c>
      <c r="I542" s="2" t="s">
        <v>966</v>
      </c>
      <c r="J542" s="2" t="s">
        <v>31</v>
      </c>
      <c r="K542" s="2" t="s">
        <v>74</v>
      </c>
      <c r="L542" s="2" t="s">
        <v>325</v>
      </c>
      <c r="M542" s="2" t="s">
        <v>40</v>
      </c>
      <c r="N542" s="2" t="s">
        <v>440</v>
      </c>
      <c r="O542" s="2" t="s">
        <v>136</v>
      </c>
      <c r="P542" s="2" t="s">
        <v>1758</v>
      </c>
      <c r="Q542" s="2" t="s">
        <v>412</v>
      </c>
      <c r="R542" s="2" t="s">
        <v>405</v>
      </c>
      <c r="S542" s="2" t="s">
        <v>35</v>
      </c>
      <c r="T542" s="153">
        <v>1.206</v>
      </c>
      <c r="U542" s="2" t="s">
        <v>1798</v>
      </c>
      <c r="V542" s="165">
        <v>4.7500000000000001E-2</v>
      </c>
      <c r="W542" s="167">
        <v>6.3960000000000003E-2</v>
      </c>
      <c r="X542" s="4" t="s">
        <v>411</v>
      </c>
      <c r="Y542" s="4" t="s">
        <v>136</v>
      </c>
      <c r="Z542" s="153">
        <v>161108.98000000001</v>
      </c>
      <c r="AA542" s="153">
        <v>1</v>
      </c>
      <c r="AB542" s="153">
        <v>98.34</v>
      </c>
      <c r="AC542" s="11"/>
      <c r="AD542" s="153">
        <v>158.435</v>
      </c>
      <c r="AG542" s="2" t="s">
        <v>37</v>
      </c>
      <c r="AH542" s="167">
        <v>2.9399999999999999E-4</v>
      </c>
      <c r="AI542" s="167">
        <v>1.7576758539460099E-2</v>
      </c>
      <c r="AJ542" s="167">
        <v>4.5672010588840399E-3</v>
      </c>
      <c r="AK542" s="161"/>
      <c r="AL542" s="153"/>
    </row>
    <row r="543" spans="1:38">
      <c r="A543" s="2" t="s">
        <v>26</v>
      </c>
      <c r="B543" s="2">
        <v>9964</v>
      </c>
      <c r="C543" s="2" t="s">
        <v>1799</v>
      </c>
      <c r="D543" s="2" t="s">
        <v>1800</v>
      </c>
      <c r="E543" s="4" t="s">
        <v>1305</v>
      </c>
      <c r="F543" s="2" t="s">
        <v>1801</v>
      </c>
      <c r="G543" s="2" t="s">
        <v>1802</v>
      </c>
      <c r="H543" s="2" t="s">
        <v>319</v>
      </c>
      <c r="I543" s="2" t="s">
        <v>966</v>
      </c>
      <c r="J543" s="2" t="s">
        <v>31</v>
      </c>
      <c r="K543" s="2" t="s">
        <v>31</v>
      </c>
      <c r="L543" s="23" t="s">
        <v>327</v>
      </c>
      <c r="M543" s="2" t="s">
        <v>40</v>
      </c>
      <c r="N543" s="2" t="s">
        <v>1803</v>
      </c>
      <c r="O543" s="2" t="s">
        <v>136</v>
      </c>
      <c r="P543" s="2" t="s">
        <v>1752</v>
      </c>
      <c r="Q543" s="23" t="s">
        <v>1752</v>
      </c>
      <c r="R543" s="23" t="s">
        <v>1752</v>
      </c>
      <c r="S543" s="2" t="s">
        <v>35</v>
      </c>
      <c r="T543" s="153">
        <v>1.62</v>
      </c>
      <c r="U543" s="2" t="s">
        <v>1804</v>
      </c>
      <c r="V543" s="165">
        <v>6.5000000000000002E-2</v>
      </c>
      <c r="W543" s="167">
        <v>7.7499999999999999E-2</v>
      </c>
      <c r="X543" s="4" t="s">
        <v>411</v>
      </c>
      <c r="Y543" s="4" t="s">
        <v>136</v>
      </c>
      <c r="Z543" s="153">
        <v>37592</v>
      </c>
      <c r="AA543" s="153">
        <v>1</v>
      </c>
      <c r="AB543" s="153">
        <v>99.29</v>
      </c>
      <c r="AC543" s="11"/>
      <c r="AD543" s="153">
        <v>37.325000000000003</v>
      </c>
      <c r="AG543" s="2" t="s">
        <v>37</v>
      </c>
      <c r="AH543" s="167">
        <v>3.4200000000000002E-4</v>
      </c>
      <c r="AI543" s="167">
        <v>4.1408526564391899E-3</v>
      </c>
      <c r="AJ543" s="167">
        <v>1.07597237537933E-3</v>
      </c>
      <c r="AK543" s="161"/>
      <c r="AL543" s="153"/>
    </row>
    <row r="544" spans="1:38">
      <c r="A544" s="2" t="s">
        <v>26</v>
      </c>
      <c r="B544" s="2">
        <v>9964</v>
      </c>
      <c r="C544" s="2" t="s">
        <v>1799</v>
      </c>
      <c r="D544" s="2" t="s">
        <v>1800</v>
      </c>
      <c r="E544" s="4" t="s">
        <v>1305</v>
      </c>
      <c r="F544" s="2" t="s">
        <v>1805</v>
      </c>
      <c r="G544" s="2" t="s">
        <v>1802</v>
      </c>
      <c r="H544" s="2" t="s">
        <v>319</v>
      </c>
      <c r="I544" s="2" t="s">
        <v>966</v>
      </c>
      <c r="J544" s="2" t="s">
        <v>31</v>
      </c>
      <c r="K544" s="2" t="s">
        <v>31</v>
      </c>
      <c r="L544" s="2" t="s">
        <v>325</v>
      </c>
      <c r="M544" s="2" t="s">
        <v>40</v>
      </c>
      <c r="N544" s="2" t="s">
        <v>461</v>
      </c>
      <c r="O544" s="2" t="s">
        <v>136</v>
      </c>
      <c r="P544" s="2" t="s">
        <v>1752</v>
      </c>
      <c r="Q544" s="23" t="s">
        <v>1752</v>
      </c>
      <c r="R544" s="23" t="s">
        <v>1752</v>
      </c>
      <c r="S544" s="2" t="s">
        <v>35</v>
      </c>
      <c r="T544" s="153">
        <v>1.3859999999999999</v>
      </c>
      <c r="U544" s="2" t="s">
        <v>1804</v>
      </c>
      <c r="V544" s="165">
        <v>6.5000000000000002E-2</v>
      </c>
      <c r="W544" s="167">
        <v>6.9199999999999998E-2</v>
      </c>
      <c r="X544" s="4" t="s">
        <v>411</v>
      </c>
      <c r="Y544" s="4" t="s">
        <v>136</v>
      </c>
      <c r="Z544" s="153">
        <v>31000</v>
      </c>
      <c r="AA544" s="153">
        <v>1</v>
      </c>
      <c r="AB544" s="153">
        <v>101.5</v>
      </c>
      <c r="AC544" s="11"/>
      <c r="AD544" s="153">
        <v>31.465</v>
      </c>
      <c r="AG544" s="2" t="s">
        <v>37</v>
      </c>
      <c r="AH544" s="167">
        <v>2.8200000000000002E-4</v>
      </c>
      <c r="AI544" s="167">
        <v>3.4907325098982498E-3</v>
      </c>
      <c r="AJ544" s="167">
        <v>9.0704308076464796E-4</v>
      </c>
      <c r="AK544" s="161"/>
      <c r="AL544" s="153"/>
    </row>
    <row r="545" spans="1:38">
      <c r="A545" s="2" t="s">
        <v>26</v>
      </c>
      <c r="B545" s="2">
        <v>9964</v>
      </c>
      <c r="C545" s="2" t="s">
        <v>1423</v>
      </c>
      <c r="D545" s="2" t="s">
        <v>1424</v>
      </c>
      <c r="E545" s="4" t="s">
        <v>1305</v>
      </c>
      <c r="F545" s="2" t="s">
        <v>1806</v>
      </c>
      <c r="G545" s="2" t="s">
        <v>1807</v>
      </c>
      <c r="H545" s="2" t="s">
        <v>319</v>
      </c>
      <c r="I545" s="2" t="s">
        <v>966</v>
      </c>
      <c r="J545" s="2" t="s">
        <v>31</v>
      </c>
      <c r="K545" s="2" t="s">
        <v>31</v>
      </c>
      <c r="L545" s="2" t="s">
        <v>325</v>
      </c>
      <c r="M545" s="2" t="s">
        <v>40</v>
      </c>
      <c r="N545" s="2" t="s">
        <v>438</v>
      </c>
      <c r="O545" s="2" t="s">
        <v>136</v>
      </c>
      <c r="P545" s="2" t="s">
        <v>1731</v>
      </c>
      <c r="Q545" s="2" t="s">
        <v>104</v>
      </c>
      <c r="R545" s="2" t="s">
        <v>405</v>
      </c>
      <c r="S545" s="2" t="s">
        <v>35</v>
      </c>
      <c r="T545" s="153">
        <v>1.9910000000000001</v>
      </c>
      <c r="U545" s="2" t="s">
        <v>1808</v>
      </c>
      <c r="V545" s="165">
        <v>3.4500000000000003E-2</v>
      </c>
      <c r="W545" s="167">
        <v>5.0560000000000001E-2</v>
      </c>
      <c r="X545" s="4" t="s">
        <v>411</v>
      </c>
      <c r="Y545" s="4" t="s">
        <v>136</v>
      </c>
      <c r="Z545" s="153">
        <v>62826.09</v>
      </c>
      <c r="AA545" s="153">
        <v>1</v>
      </c>
      <c r="AB545" s="153">
        <v>97.31</v>
      </c>
      <c r="AC545" s="11"/>
      <c r="AD545" s="153">
        <v>61.136000000000003</v>
      </c>
      <c r="AG545" s="2" t="s">
        <v>37</v>
      </c>
      <c r="AH545" s="167">
        <v>1.4300000000000001E-4</v>
      </c>
      <c r="AI545" s="167">
        <v>6.7824459151371698E-3</v>
      </c>
      <c r="AJ545" s="167">
        <v>1.7623724019360501E-3</v>
      </c>
      <c r="AK545" s="161"/>
      <c r="AL545" s="153"/>
    </row>
    <row r="546" spans="1:38">
      <c r="A546" s="2" t="s">
        <v>26</v>
      </c>
      <c r="B546" s="2">
        <v>9964</v>
      </c>
      <c r="C546" s="2" t="s">
        <v>1423</v>
      </c>
      <c r="D546" s="2" t="s">
        <v>1424</v>
      </c>
      <c r="E546" s="4" t="s">
        <v>1305</v>
      </c>
      <c r="F546" s="2" t="s">
        <v>1809</v>
      </c>
      <c r="G546" s="2" t="s">
        <v>1810</v>
      </c>
      <c r="H546" s="2" t="s">
        <v>319</v>
      </c>
      <c r="I546" s="2" t="s">
        <v>966</v>
      </c>
      <c r="J546" s="2" t="s">
        <v>31</v>
      </c>
      <c r="K546" s="2" t="s">
        <v>31</v>
      </c>
      <c r="L546" s="2" t="s">
        <v>325</v>
      </c>
      <c r="M546" s="2" t="s">
        <v>40</v>
      </c>
      <c r="N546" s="2" t="s">
        <v>438</v>
      </c>
      <c r="O546" s="2" t="s">
        <v>136</v>
      </c>
      <c r="P546" s="2" t="s">
        <v>1731</v>
      </c>
      <c r="Q546" s="2" t="s">
        <v>104</v>
      </c>
      <c r="R546" s="2" t="s">
        <v>405</v>
      </c>
      <c r="S546" s="2" t="s">
        <v>35</v>
      </c>
      <c r="T546" s="153">
        <v>4.2329999999999997</v>
      </c>
      <c r="U546" s="2" t="s">
        <v>1811</v>
      </c>
      <c r="V546" s="165">
        <v>1.4999999999999999E-2</v>
      </c>
      <c r="W546" s="167">
        <v>5.4089999999999999E-2</v>
      </c>
      <c r="X546" s="4" t="s">
        <v>411</v>
      </c>
      <c r="Y546" s="4" t="s">
        <v>136</v>
      </c>
      <c r="Z546" s="153">
        <v>150000</v>
      </c>
      <c r="AA546" s="153">
        <v>1</v>
      </c>
      <c r="AB546" s="153">
        <v>85.27</v>
      </c>
      <c r="AC546" s="11"/>
      <c r="AD546" s="153">
        <v>127.905</v>
      </c>
      <c r="AG546" s="2" t="s">
        <v>37</v>
      </c>
      <c r="AH546" s="167">
        <v>3.8900000000000002E-4</v>
      </c>
      <c r="AI546" s="167">
        <v>1.4189802691197699E-2</v>
      </c>
      <c r="AJ546" s="167">
        <v>3.6871236372223799E-3</v>
      </c>
      <c r="AK546" s="161"/>
      <c r="AL546" s="153"/>
    </row>
    <row r="547" spans="1:38">
      <c r="A547" s="2" t="s">
        <v>26</v>
      </c>
      <c r="B547" s="2">
        <v>9964</v>
      </c>
      <c r="C547" s="2" t="s">
        <v>1427</v>
      </c>
      <c r="D547" s="2" t="s">
        <v>1428</v>
      </c>
      <c r="E547" s="4" t="s">
        <v>1305</v>
      </c>
      <c r="F547" s="2" t="s">
        <v>1812</v>
      </c>
      <c r="G547" s="2" t="s">
        <v>1813</v>
      </c>
      <c r="H547" s="2" t="s">
        <v>319</v>
      </c>
      <c r="I547" s="2" t="s">
        <v>967</v>
      </c>
      <c r="J547" s="2" t="s">
        <v>31</v>
      </c>
      <c r="K547" s="2" t="s">
        <v>31</v>
      </c>
      <c r="L547" s="2" t="s">
        <v>325</v>
      </c>
      <c r="M547" s="2" t="s">
        <v>40</v>
      </c>
      <c r="N547" s="2" t="s">
        <v>438</v>
      </c>
      <c r="O547" s="2" t="s">
        <v>136</v>
      </c>
      <c r="P547" s="2" t="s">
        <v>1731</v>
      </c>
      <c r="Q547" s="2" t="s">
        <v>104</v>
      </c>
      <c r="R547" s="2" t="s">
        <v>405</v>
      </c>
      <c r="S547" s="2" t="s">
        <v>35</v>
      </c>
      <c r="T547" s="153">
        <v>3.32</v>
      </c>
      <c r="U547" s="2" t="s">
        <v>1814</v>
      </c>
      <c r="V547" s="165">
        <v>1.25E-3</v>
      </c>
      <c r="W547" s="167">
        <v>5.484E-2</v>
      </c>
      <c r="X547" s="4" t="s">
        <v>411</v>
      </c>
      <c r="Y547" s="4" t="s">
        <v>136</v>
      </c>
      <c r="Z547" s="153">
        <v>16000</v>
      </c>
      <c r="AA547" s="153">
        <v>1</v>
      </c>
      <c r="AB547" s="153">
        <v>84.5</v>
      </c>
      <c r="AC547" s="11"/>
      <c r="AD547" s="153">
        <v>13.52</v>
      </c>
      <c r="AG547" s="2" t="s">
        <v>37</v>
      </c>
      <c r="AH547" s="167">
        <v>2.8E-5</v>
      </c>
      <c r="AI547" s="167">
        <v>1.49991112454551E-3</v>
      </c>
      <c r="AJ547" s="167">
        <v>3.8974169559631501E-4</v>
      </c>
      <c r="AK547" s="161"/>
      <c r="AL547" s="153"/>
    </row>
    <row r="548" spans="1:38">
      <c r="A548" s="2" t="s">
        <v>26</v>
      </c>
      <c r="B548" s="2">
        <v>9964</v>
      </c>
      <c r="C548" s="2" t="s">
        <v>1815</v>
      </c>
      <c r="D548" s="2" t="s">
        <v>1816</v>
      </c>
      <c r="E548" s="4" t="s">
        <v>1305</v>
      </c>
      <c r="F548" s="2" t="s">
        <v>1817</v>
      </c>
      <c r="G548" s="2" t="s">
        <v>1818</v>
      </c>
      <c r="H548" s="2" t="s">
        <v>319</v>
      </c>
      <c r="I548" s="2" t="s">
        <v>966</v>
      </c>
      <c r="J548" s="2" t="s">
        <v>31</v>
      </c>
      <c r="K548" s="2" t="s">
        <v>31</v>
      </c>
      <c r="L548" s="2" t="s">
        <v>325</v>
      </c>
      <c r="M548" s="2" t="s">
        <v>40</v>
      </c>
      <c r="N548" s="2" t="s">
        <v>440</v>
      </c>
      <c r="O548" s="2" t="s">
        <v>136</v>
      </c>
      <c r="P548" s="2" t="s">
        <v>1720</v>
      </c>
      <c r="Q548" s="2" t="s">
        <v>104</v>
      </c>
      <c r="R548" s="2" t="s">
        <v>405</v>
      </c>
      <c r="S548" s="2" t="s">
        <v>35</v>
      </c>
      <c r="T548" s="153">
        <v>0.37</v>
      </c>
      <c r="U548" s="2" t="s">
        <v>1819</v>
      </c>
      <c r="V548" s="165">
        <v>3.2399999999999998E-2</v>
      </c>
      <c r="W548" s="167">
        <v>8.9459999999999998E-2</v>
      </c>
      <c r="X548" s="4" t="s">
        <v>411</v>
      </c>
      <c r="Y548" s="4" t="s">
        <v>136</v>
      </c>
      <c r="Z548" s="153">
        <v>18277.689999999999</v>
      </c>
      <c r="AA548" s="153">
        <v>1</v>
      </c>
      <c r="AB548" s="153">
        <v>98.07</v>
      </c>
      <c r="AC548" s="11"/>
      <c r="AD548" s="153">
        <v>17.925000000000001</v>
      </c>
      <c r="AG548" s="2" t="s">
        <v>37</v>
      </c>
      <c r="AH548" s="167">
        <v>6.8999999999999997E-5</v>
      </c>
      <c r="AI548" s="167">
        <v>1.98859488078015E-3</v>
      </c>
      <c r="AJ548" s="167">
        <v>5.1672284311129102E-4</v>
      </c>
      <c r="AK548" s="161"/>
      <c r="AL548" s="153"/>
    </row>
    <row r="549" spans="1:38">
      <c r="A549" s="2" t="s">
        <v>26</v>
      </c>
      <c r="B549" s="2">
        <v>9964</v>
      </c>
      <c r="C549" s="2" t="s">
        <v>1815</v>
      </c>
      <c r="D549" s="2" t="s">
        <v>1816</v>
      </c>
      <c r="E549" s="4" t="s">
        <v>1305</v>
      </c>
      <c r="F549" s="2" t="s">
        <v>1820</v>
      </c>
      <c r="G549" s="2" t="s">
        <v>1821</v>
      </c>
      <c r="H549" s="2" t="s">
        <v>319</v>
      </c>
      <c r="I549" s="2" t="s">
        <v>754</v>
      </c>
      <c r="J549" s="2" t="s">
        <v>31</v>
      </c>
      <c r="K549" s="2" t="s">
        <v>31</v>
      </c>
      <c r="L549" s="2" t="s">
        <v>325</v>
      </c>
      <c r="M549" s="2" t="s">
        <v>40</v>
      </c>
      <c r="N549" s="2" t="s">
        <v>440</v>
      </c>
      <c r="O549" s="2" t="s">
        <v>136</v>
      </c>
      <c r="P549" s="2" t="s">
        <v>1720</v>
      </c>
      <c r="Q549" s="2" t="s">
        <v>104</v>
      </c>
      <c r="R549" s="2" t="s">
        <v>405</v>
      </c>
      <c r="S549" s="2" t="s">
        <v>35</v>
      </c>
      <c r="T549" s="153">
        <v>1.694</v>
      </c>
      <c r="U549" s="2" t="s">
        <v>1822</v>
      </c>
      <c r="V549" s="165">
        <v>1.2500000000000001E-2</v>
      </c>
      <c r="W549" s="167">
        <v>4.546E-2</v>
      </c>
      <c r="X549" s="4" t="s">
        <v>411</v>
      </c>
      <c r="Y549" s="4" t="s">
        <v>136</v>
      </c>
      <c r="Z549" s="153">
        <v>25666.66</v>
      </c>
      <c r="AA549" s="153">
        <v>1</v>
      </c>
      <c r="AB549" s="153">
        <v>100.5</v>
      </c>
      <c r="AC549" s="11"/>
      <c r="AD549" s="153">
        <v>25.795000000000002</v>
      </c>
      <c r="AG549" s="2" t="s">
        <v>37</v>
      </c>
      <c r="AH549" s="167">
        <v>1.56E-4</v>
      </c>
      <c r="AI549" s="167">
        <v>2.8617009917342299E-3</v>
      </c>
      <c r="AJ549" s="167">
        <v>7.4359352268029398E-4</v>
      </c>
      <c r="AK549" s="161"/>
      <c r="AL549" s="153"/>
    </row>
    <row r="550" spans="1:38">
      <c r="A550" s="2" t="s">
        <v>26</v>
      </c>
      <c r="B550" s="2">
        <v>9964</v>
      </c>
      <c r="C550" s="2" t="s">
        <v>1823</v>
      </c>
      <c r="D550" s="2" t="s">
        <v>1824</v>
      </c>
      <c r="E550" s="4" t="s">
        <v>1305</v>
      </c>
      <c r="F550" s="2" t="s">
        <v>1830</v>
      </c>
      <c r="G550" s="2" t="s">
        <v>1831</v>
      </c>
      <c r="H550" s="2" t="s">
        <v>319</v>
      </c>
      <c r="I550" s="2" t="s">
        <v>966</v>
      </c>
      <c r="J550" s="2" t="s">
        <v>31</v>
      </c>
      <c r="K550" s="2" t="s">
        <v>31</v>
      </c>
      <c r="L550" s="2" t="s">
        <v>325</v>
      </c>
      <c r="M550" s="2" t="s">
        <v>40</v>
      </c>
      <c r="N550" s="2" t="s">
        <v>462</v>
      </c>
      <c r="O550" s="2" t="s">
        <v>136</v>
      </c>
      <c r="P550" s="2" t="s">
        <v>1731</v>
      </c>
      <c r="Q550" s="2" t="s">
        <v>104</v>
      </c>
      <c r="R550" s="2" t="s">
        <v>405</v>
      </c>
      <c r="S550" s="2" t="s">
        <v>35</v>
      </c>
      <c r="T550" s="153">
        <v>3.0419999999999998</v>
      </c>
      <c r="U550" s="2" t="s">
        <v>1832</v>
      </c>
      <c r="V550" s="165">
        <v>2.3E-2</v>
      </c>
      <c r="W550" s="167">
        <v>5.1999999999999998E-2</v>
      </c>
      <c r="X550" s="4" t="s">
        <v>411</v>
      </c>
      <c r="Y550" s="4" t="s">
        <v>136</v>
      </c>
      <c r="Z550" s="153">
        <v>121500</v>
      </c>
      <c r="AA550" s="153">
        <v>1</v>
      </c>
      <c r="AB550" s="153">
        <v>91.96</v>
      </c>
      <c r="AC550" s="11"/>
      <c r="AD550" s="153">
        <v>111.73099999999999</v>
      </c>
      <c r="AG550" s="2" t="s">
        <v>37</v>
      </c>
      <c r="AH550" s="167">
        <v>2.12E-4</v>
      </c>
      <c r="AI550" s="167">
        <v>1.23955007264086E-2</v>
      </c>
      <c r="AJ550" s="167">
        <v>3.22088648575074E-3</v>
      </c>
      <c r="AK550" s="161"/>
      <c r="AL550" s="153"/>
    </row>
    <row r="551" spans="1:38">
      <c r="A551" s="2" t="s">
        <v>26</v>
      </c>
      <c r="B551" s="2">
        <v>9964</v>
      </c>
      <c r="C551" s="2" t="s">
        <v>1833</v>
      </c>
      <c r="D551" s="2" t="s">
        <v>1834</v>
      </c>
      <c r="E551" s="4" t="s">
        <v>1305</v>
      </c>
      <c r="F551" s="2" t="s">
        <v>1835</v>
      </c>
      <c r="G551" s="2" t="s">
        <v>1836</v>
      </c>
      <c r="H551" s="2" t="s">
        <v>319</v>
      </c>
      <c r="I551" s="2" t="s">
        <v>966</v>
      </c>
      <c r="J551" s="2" t="s">
        <v>31</v>
      </c>
      <c r="K551" s="2" t="s">
        <v>31</v>
      </c>
      <c r="L551" s="2" t="s">
        <v>325</v>
      </c>
      <c r="M551" s="2" t="s">
        <v>40</v>
      </c>
      <c r="N551" s="2" t="s">
        <v>444</v>
      </c>
      <c r="O551" s="2" t="s">
        <v>136</v>
      </c>
      <c r="P551" s="2" t="s">
        <v>1752</v>
      </c>
      <c r="Q551" s="23" t="s">
        <v>1752</v>
      </c>
      <c r="R551" s="23" t="s">
        <v>1752</v>
      </c>
      <c r="S551" s="2" t="s">
        <v>35</v>
      </c>
      <c r="T551" s="153">
        <v>2.4129999999999998</v>
      </c>
      <c r="U551" s="2" t="s">
        <v>1822</v>
      </c>
      <c r="V551" s="165">
        <v>8.5000000000000006E-2</v>
      </c>
      <c r="W551" s="167">
        <v>7.0470000000000005E-2</v>
      </c>
      <c r="X551" s="4" t="s">
        <v>411</v>
      </c>
      <c r="Y551" s="4" t="s">
        <v>136</v>
      </c>
      <c r="Z551" s="153">
        <v>29000</v>
      </c>
      <c r="AA551" s="153">
        <v>1</v>
      </c>
      <c r="AB551" s="153">
        <v>108.4</v>
      </c>
      <c r="AC551" s="11"/>
      <c r="AD551" s="153">
        <v>31.436</v>
      </c>
      <c r="AG551" s="2" t="s">
        <v>37</v>
      </c>
      <c r="AH551" s="167">
        <v>2.9999999999999997E-4</v>
      </c>
      <c r="AI551" s="167">
        <v>3.48751524491217E-3</v>
      </c>
      <c r="AJ551" s="167">
        <v>9.0620709635841302E-4</v>
      </c>
      <c r="AK551" s="161"/>
      <c r="AL551" s="153"/>
    </row>
    <row r="552" spans="1:38">
      <c r="A552" s="2" t="s">
        <v>26</v>
      </c>
      <c r="B552" s="2">
        <v>9964</v>
      </c>
      <c r="C552" s="2" t="s">
        <v>1837</v>
      </c>
      <c r="D552" s="2" t="s">
        <v>1838</v>
      </c>
      <c r="E552" s="4" t="s">
        <v>1305</v>
      </c>
      <c r="F552" s="2" t="s">
        <v>1839</v>
      </c>
      <c r="G552" s="2" t="s">
        <v>1840</v>
      </c>
      <c r="H552" s="2" t="s">
        <v>319</v>
      </c>
      <c r="I552" s="2" t="s">
        <v>754</v>
      </c>
      <c r="J552" s="2" t="s">
        <v>31</v>
      </c>
      <c r="K552" s="2" t="s">
        <v>31</v>
      </c>
      <c r="L552" s="2" t="s">
        <v>325</v>
      </c>
      <c r="M552" s="2" t="s">
        <v>40</v>
      </c>
      <c r="N552" s="2" t="s">
        <v>448</v>
      </c>
      <c r="O552" s="2" t="s">
        <v>136</v>
      </c>
      <c r="P552" s="2" t="s">
        <v>1724</v>
      </c>
      <c r="Q552" s="2" t="s">
        <v>412</v>
      </c>
      <c r="R552" s="2" t="s">
        <v>407</v>
      </c>
      <c r="S552" s="2" t="s">
        <v>35</v>
      </c>
      <c r="T552" s="153">
        <v>3.0790000000000002</v>
      </c>
      <c r="U552" s="2" t="s">
        <v>1841</v>
      </c>
      <c r="V552" s="165">
        <v>2.8799999999999999E-2</v>
      </c>
      <c r="W552" s="167">
        <v>3.0550000000000001E-2</v>
      </c>
      <c r="X552" s="4" t="s">
        <v>411</v>
      </c>
      <c r="Y552" s="4" t="s">
        <v>136</v>
      </c>
      <c r="Z552" s="153">
        <v>51555.56</v>
      </c>
      <c r="AA552" s="153">
        <v>1</v>
      </c>
      <c r="AB552" s="153">
        <v>111.23</v>
      </c>
      <c r="AC552" s="11"/>
      <c r="AD552" s="153">
        <v>57.344999999999999</v>
      </c>
      <c r="AG552" s="2" t="s">
        <v>37</v>
      </c>
      <c r="AH552" s="167">
        <v>2.5500000000000002E-4</v>
      </c>
      <c r="AI552" s="167">
        <v>6.3618918266935996E-3</v>
      </c>
      <c r="AJ552" s="167">
        <v>1.65309428482786E-3</v>
      </c>
      <c r="AK552" s="161"/>
      <c r="AL552" s="153"/>
    </row>
    <row r="553" spans="1:38">
      <c r="A553" s="2" t="s">
        <v>26</v>
      </c>
      <c r="B553" s="2">
        <v>9964</v>
      </c>
      <c r="C553" s="2" t="s">
        <v>1842</v>
      </c>
      <c r="D553" s="2" t="s">
        <v>1843</v>
      </c>
      <c r="E553" s="4" t="s">
        <v>34</v>
      </c>
      <c r="F553" s="2" t="s">
        <v>1844</v>
      </c>
      <c r="G553" s="2" t="s">
        <v>1845</v>
      </c>
      <c r="H553" s="2" t="s">
        <v>319</v>
      </c>
      <c r="I553" s="2" t="s">
        <v>966</v>
      </c>
      <c r="J553" s="2" t="s">
        <v>31</v>
      </c>
      <c r="K553" s="2" t="s">
        <v>31</v>
      </c>
      <c r="L553" s="2" t="s">
        <v>325</v>
      </c>
      <c r="M553" s="2" t="s">
        <v>40</v>
      </c>
      <c r="N553" s="2" t="s">
        <v>462</v>
      </c>
      <c r="O553" s="2" t="s">
        <v>136</v>
      </c>
      <c r="P553" s="2" t="s">
        <v>1720</v>
      </c>
      <c r="Q553" s="2" t="s">
        <v>104</v>
      </c>
      <c r="R553" s="2" t="s">
        <v>405</v>
      </c>
      <c r="S553" s="2" t="s">
        <v>35</v>
      </c>
      <c r="T553" s="153">
        <v>1.44</v>
      </c>
      <c r="U553" s="2" t="s">
        <v>1846</v>
      </c>
      <c r="V553" s="165">
        <v>7.0000000000000007E-2</v>
      </c>
      <c r="W553" s="167">
        <v>6.7129999999999995E-2</v>
      </c>
      <c r="X553" s="4" t="s">
        <v>411</v>
      </c>
      <c r="Y553" s="4" t="s">
        <v>136</v>
      </c>
      <c r="Z553" s="153">
        <v>106843.34</v>
      </c>
      <c r="AA553" s="153">
        <v>1</v>
      </c>
      <c r="AB553" s="153">
        <v>100.59</v>
      </c>
      <c r="AC553" s="11"/>
      <c r="AD553" s="153">
        <v>107.474</v>
      </c>
      <c r="AG553" s="2" t="s">
        <v>37</v>
      </c>
      <c r="AH553" s="167">
        <v>1.7799999999999999E-4</v>
      </c>
      <c r="AI553" s="167">
        <v>1.19231524987922E-2</v>
      </c>
      <c r="AJ553" s="167">
        <v>3.09815001414887E-3</v>
      </c>
      <c r="AK553" s="161"/>
      <c r="AL553" s="153"/>
    </row>
    <row r="554" spans="1:38">
      <c r="A554" s="2" t="s">
        <v>26</v>
      </c>
      <c r="B554" s="2">
        <v>9964</v>
      </c>
      <c r="C554" s="2" t="s">
        <v>1842</v>
      </c>
      <c r="D554" s="2" t="s">
        <v>1843</v>
      </c>
      <c r="E554" s="4" t="s">
        <v>34</v>
      </c>
      <c r="F554" s="2" t="s">
        <v>1847</v>
      </c>
      <c r="G554" s="2" t="s">
        <v>1848</v>
      </c>
      <c r="H554" s="2" t="s">
        <v>319</v>
      </c>
      <c r="I554" s="2" t="s">
        <v>966</v>
      </c>
      <c r="J554" s="2" t="s">
        <v>31</v>
      </c>
      <c r="K554" s="2" t="s">
        <v>31</v>
      </c>
      <c r="L554" s="23" t="s">
        <v>327</v>
      </c>
      <c r="M554" s="2" t="s">
        <v>40</v>
      </c>
      <c r="N554" s="2" t="s">
        <v>444</v>
      </c>
      <c r="O554" s="2" t="s">
        <v>136</v>
      </c>
      <c r="P554" s="2" t="s">
        <v>1720</v>
      </c>
      <c r="Q554" s="2" t="s">
        <v>104</v>
      </c>
      <c r="R554" s="2" t="s">
        <v>405</v>
      </c>
      <c r="S554" s="2" t="s">
        <v>35</v>
      </c>
      <c r="T554" s="153">
        <v>3.15</v>
      </c>
      <c r="U554" s="2" t="s">
        <v>1849</v>
      </c>
      <c r="V554" s="165">
        <v>6.5000000000000002E-2</v>
      </c>
      <c r="W554" s="167">
        <v>8.9200000000000002E-2</v>
      </c>
      <c r="X554" s="4" t="s">
        <v>411</v>
      </c>
      <c r="Y554" s="4" t="s">
        <v>136</v>
      </c>
      <c r="Z554" s="153">
        <v>103000</v>
      </c>
      <c r="AA554" s="153">
        <v>1</v>
      </c>
      <c r="AB554" s="153">
        <v>98.662999999999997</v>
      </c>
      <c r="AC554" s="11"/>
      <c r="AD554" s="153">
        <v>101.623</v>
      </c>
      <c r="AG554" s="2" t="s">
        <v>37</v>
      </c>
      <c r="AH554" s="167">
        <v>0</v>
      </c>
      <c r="AI554" s="167">
        <v>1.12740608890136E-2</v>
      </c>
      <c r="AJ554" s="167">
        <v>2.9294879778104898E-3</v>
      </c>
      <c r="AK554" s="161"/>
      <c r="AL554" s="153"/>
    </row>
    <row r="555" spans="1:38">
      <c r="A555" s="2" t="s">
        <v>26</v>
      </c>
      <c r="B555" s="2">
        <v>9964</v>
      </c>
      <c r="C555" s="2" t="s">
        <v>1850</v>
      </c>
      <c r="D555" s="2" t="s">
        <v>1851</v>
      </c>
      <c r="E555" s="4" t="s">
        <v>1305</v>
      </c>
      <c r="F555" s="2" t="s">
        <v>1852</v>
      </c>
      <c r="G555" s="2" t="s">
        <v>1853</v>
      </c>
      <c r="H555" s="2" t="s">
        <v>319</v>
      </c>
      <c r="I555" s="2" t="s">
        <v>754</v>
      </c>
      <c r="J555" s="2" t="s">
        <v>31</v>
      </c>
      <c r="K555" s="2" t="s">
        <v>31</v>
      </c>
      <c r="L555" s="2" t="s">
        <v>325</v>
      </c>
      <c r="M555" s="2" t="s">
        <v>40</v>
      </c>
      <c r="N555" s="2" t="s">
        <v>461</v>
      </c>
      <c r="O555" s="2" t="s">
        <v>136</v>
      </c>
      <c r="P555" s="2" t="s">
        <v>1752</v>
      </c>
      <c r="Q555" s="23" t="s">
        <v>1752</v>
      </c>
      <c r="R555" s="23" t="s">
        <v>1752</v>
      </c>
      <c r="S555" s="2" t="s">
        <v>35</v>
      </c>
      <c r="T555" s="153">
        <v>2.8159999999999998</v>
      </c>
      <c r="U555" s="2" t="s">
        <v>1854</v>
      </c>
      <c r="V555" s="165">
        <v>1.9E-2</v>
      </c>
      <c r="W555" s="167">
        <v>2.894E-2</v>
      </c>
      <c r="X555" s="4" t="s">
        <v>411</v>
      </c>
      <c r="Y555" s="4" t="s">
        <v>136</v>
      </c>
      <c r="Z555" s="153">
        <v>30535</v>
      </c>
      <c r="AA555" s="153">
        <v>1</v>
      </c>
      <c r="AB555" s="153">
        <v>103.96</v>
      </c>
      <c r="AC555" s="11"/>
      <c r="AD555" s="153">
        <v>32.07</v>
      </c>
      <c r="AG555" s="2" t="s">
        <v>37</v>
      </c>
      <c r="AH555" s="167">
        <v>5.1999999999999997E-5</v>
      </c>
      <c r="AI555" s="167">
        <v>3.5578936930639E-3</v>
      </c>
      <c r="AJ555" s="167">
        <v>9.2449445703413698E-4</v>
      </c>
      <c r="AK555" s="161"/>
      <c r="AL555" s="153"/>
    </row>
    <row r="556" spans="1:38">
      <c r="A556" s="2" t="s">
        <v>26</v>
      </c>
      <c r="B556" s="2">
        <v>9964</v>
      </c>
      <c r="C556" s="2" t="s">
        <v>1744</v>
      </c>
      <c r="D556" s="2" t="s">
        <v>1745</v>
      </c>
      <c r="E556" s="4" t="s">
        <v>1305</v>
      </c>
      <c r="F556" s="2" t="s">
        <v>1855</v>
      </c>
      <c r="G556" s="2" t="s">
        <v>1856</v>
      </c>
      <c r="H556" s="2" t="s">
        <v>319</v>
      </c>
      <c r="I556" s="2" t="s">
        <v>754</v>
      </c>
      <c r="J556" s="2" t="s">
        <v>31</v>
      </c>
      <c r="K556" s="2" t="s">
        <v>31</v>
      </c>
      <c r="L556" s="2" t="s">
        <v>325</v>
      </c>
      <c r="M556" s="2" t="s">
        <v>40</v>
      </c>
      <c r="N556" s="2" t="s">
        <v>461</v>
      </c>
      <c r="O556" s="2" t="s">
        <v>136</v>
      </c>
      <c r="P556" s="2" t="s">
        <v>1748</v>
      </c>
      <c r="Q556" s="2" t="s">
        <v>412</v>
      </c>
      <c r="R556" s="2" t="s">
        <v>405</v>
      </c>
      <c r="S556" s="2" t="s">
        <v>35</v>
      </c>
      <c r="T556" s="153">
        <v>5.4580000000000002</v>
      </c>
      <c r="U556" s="2" t="s">
        <v>1857</v>
      </c>
      <c r="V556" s="165">
        <v>6.4999999999999997E-3</v>
      </c>
      <c r="W556" s="167">
        <v>2.6950000000000002E-2</v>
      </c>
      <c r="X556" s="4" t="s">
        <v>411</v>
      </c>
      <c r="Y556" s="4" t="s">
        <v>136</v>
      </c>
      <c r="Z556" s="153">
        <v>35000</v>
      </c>
      <c r="AA556" s="153">
        <v>1</v>
      </c>
      <c r="AB556" s="153">
        <v>99.03</v>
      </c>
      <c r="AC556" s="11"/>
      <c r="AD556" s="153">
        <v>34.659999999999997</v>
      </c>
      <c r="AG556" s="2" t="s">
        <v>37</v>
      </c>
      <c r="AH556" s="167">
        <v>1.5E-5</v>
      </c>
      <c r="AI556" s="167">
        <v>3.8452418293128299E-3</v>
      </c>
      <c r="AJ556" s="167">
        <v>9.9915991421716389E-4</v>
      </c>
      <c r="AK556" s="161"/>
      <c r="AL556" s="153"/>
    </row>
    <row r="557" spans="1:38">
      <c r="A557" s="2" t="s">
        <v>26</v>
      </c>
      <c r="B557" s="2">
        <v>9964</v>
      </c>
      <c r="C557" s="2" t="s">
        <v>1858</v>
      </c>
      <c r="D557" s="2" t="s">
        <v>1859</v>
      </c>
      <c r="E557" s="4" t="s">
        <v>1305</v>
      </c>
      <c r="F557" s="2" t="s">
        <v>1860</v>
      </c>
      <c r="G557" s="2" t="s">
        <v>1861</v>
      </c>
      <c r="H557" s="2" t="s">
        <v>319</v>
      </c>
      <c r="I557" s="2" t="s">
        <v>966</v>
      </c>
      <c r="J557" s="2" t="s">
        <v>31</v>
      </c>
      <c r="K557" s="2" t="s">
        <v>31</v>
      </c>
      <c r="L557" s="2" t="s">
        <v>325</v>
      </c>
      <c r="M557" s="2" t="s">
        <v>40</v>
      </c>
      <c r="N557" s="2" t="s">
        <v>437</v>
      </c>
      <c r="O557" s="2" t="s">
        <v>136</v>
      </c>
      <c r="P557" s="2" t="s">
        <v>1758</v>
      </c>
      <c r="Q557" s="2" t="s">
        <v>412</v>
      </c>
      <c r="R557" s="2" t="s">
        <v>405</v>
      </c>
      <c r="S557" s="2" t="s">
        <v>35</v>
      </c>
      <c r="T557" s="153">
        <v>3.6160000000000001</v>
      </c>
      <c r="U557" s="2" t="s">
        <v>1862</v>
      </c>
      <c r="V557" s="165">
        <v>0.05</v>
      </c>
      <c r="W557" s="167">
        <v>5.287E-2</v>
      </c>
      <c r="X557" s="4" t="s">
        <v>411</v>
      </c>
      <c r="Y557" s="4" t="s">
        <v>136</v>
      </c>
      <c r="Z557" s="153">
        <v>49029.74</v>
      </c>
      <c r="AA557" s="153">
        <v>1</v>
      </c>
      <c r="AB557" s="153">
        <v>99.32</v>
      </c>
      <c r="AC557" s="11"/>
      <c r="AD557" s="153">
        <v>48.695999999999998</v>
      </c>
      <c r="AG557" s="2" t="s">
        <v>37</v>
      </c>
      <c r="AH557" s="167">
        <v>4.6999999999999997E-5</v>
      </c>
      <c r="AI557" s="167">
        <v>5.4023800845302301E-3</v>
      </c>
      <c r="AJ557" s="167">
        <v>1.40377169016503E-3</v>
      </c>
      <c r="AK557" s="161"/>
      <c r="AL557" s="153"/>
    </row>
    <row r="558" spans="1:38">
      <c r="A558" s="2" t="s">
        <v>26</v>
      </c>
      <c r="B558" s="2">
        <v>9964</v>
      </c>
      <c r="C558" s="2" t="s">
        <v>1863</v>
      </c>
      <c r="D558" s="2" t="s">
        <v>1864</v>
      </c>
      <c r="E558" s="4" t="s">
        <v>1305</v>
      </c>
      <c r="F558" s="2" t="s">
        <v>2333</v>
      </c>
      <c r="G558" s="2" t="s">
        <v>2334</v>
      </c>
      <c r="H558" s="2" t="s">
        <v>319</v>
      </c>
      <c r="I558" s="2" t="s">
        <v>754</v>
      </c>
      <c r="J558" s="2" t="s">
        <v>31</v>
      </c>
      <c r="K558" s="2" t="s">
        <v>31</v>
      </c>
      <c r="L558" s="2" t="s">
        <v>325</v>
      </c>
      <c r="M558" s="2" t="s">
        <v>40</v>
      </c>
      <c r="N558" s="2" t="s">
        <v>445</v>
      </c>
      <c r="O558" s="2" t="s">
        <v>136</v>
      </c>
      <c r="P558" s="2" t="s">
        <v>76</v>
      </c>
      <c r="Q558" s="2" t="s">
        <v>104</v>
      </c>
      <c r="R558" s="2" t="s">
        <v>405</v>
      </c>
      <c r="S558" s="2" t="s">
        <v>35</v>
      </c>
      <c r="T558" s="153">
        <v>0.22700000000000001</v>
      </c>
      <c r="U558" s="2" t="s">
        <v>2335</v>
      </c>
      <c r="V558" s="165">
        <v>5.0000000000000001E-3</v>
      </c>
      <c r="W558" s="167">
        <v>7.1900000000000002E-3</v>
      </c>
      <c r="X558" s="4" t="s">
        <v>411</v>
      </c>
      <c r="Y558" s="4" t="s">
        <v>136</v>
      </c>
      <c r="Z558" s="153">
        <v>34334.019999999997</v>
      </c>
      <c r="AA558" s="153">
        <v>1</v>
      </c>
      <c r="AB558" s="153">
        <v>112.22</v>
      </c>
      <c r="AC558" s="11"/>
      <c r="AD558" s="153">
        <v>38.53</v>
      </c>
      <c r="AG558" s="2" t="s">
        <v>37</v>
      </c>
      <c r="AH558" s="167">
        <v>1.5200000000000001E-4</v>
      </c>
      <c r="AI558" s="167">
        <v>4.2744845803978099E-3</v>
      </c>
      <c r="AJ558" s="167">
        <v>1.1106957211677101E-3</v>
      </c>
      <c r="AK558" s="161"/>
      <c r="AL558" s="153"/>
    </row>
    <row r="559" spans="1:38">
      <c r="A559" s="2" t="s">
        <v>26</v>
      </c>
      <c r="B559" s="2">
        <v>9964</v>
      </c>
      <c r="C559" s="2" t="s">
        <v>1863</v>
      </c>
      <c r="D559" s="2" t="s">
        <v>1864</v>
      </c>
      <c r="E559" s="4" t="s">
        <v>1305</v>
      </c>
      <c r="F559" s="2" t="s">
        <v>1865</v>
      </c>
      <c r="G559" s="2" t="s">
        <v>1866</v>
      </c>
      <c r="H559" s="2" t="s">
        <v>319</v>
      </c>
      <c r="I559" s="2" t="s">
        <v>754</v>
      </c>
      <c r="J559" s="2" t="s">
        <v>31</v>
      </c>
      <c r="K559" s="2" t="s">
        <v>31</v>
      </c>
      <c r="L559" s="2" t="s">
        <v>325</v>
      </c>
      <c r="M559" s="2" t="s">
        <v>40</v>
      </c>
      <c r="N559" s="2" t="s">
        <v>445</v>
      </c>
      <c r="O559" s="2" t="s">
        <v>136</v>
      </c>
      <c r="P559" s="2" t="s">
        <v>1867</v>
      </c>
      <c r="Q559" s="2" t="s">
        <v>104</v>
      </c>
      <c r="R559" s="2" t="s">
        <v>405</v>
      </c>
      <c r="S559" s="2" t="s">
        <v>35</v>
      </c>
      <c r="T559" s="153">
        <v>3.9329999999999998</v>
      </c>
      <c r="U559" s="2" t="s">
        <v>1868</v>
      </c>
      <c r="V559" s="165">
        <v>1.09E-2</v>
      </c>
      <c r="W559" s="167">
        <v>2.5860000000000001E-2</v>
      </c>
      <c r="X559" s="4" t="s">
        <v>411</v>
      </c>
      <c r="Y559" s="4" t="s">
        <v>136</v>
      </c>
      <c r="Z559" s="153">
        <v>50000</v>
      </c>
      <c r="AA559" s="153">
        <v>1</v>
      </c>
      <c r="AB559" s="153">
        <v>102.9</v>
      </c>
      <c r="AC559" s="11"/>
      <c r="AD559" s="153">
        <v>51.45</v>
      </c>
      <c r="AG559" s="2" t="s">
        <v>37</v>
      </c>
      <c r="AH559" s="167">
        <v>5.5000000000000002E-5</v>
      </c>
      <c r="AI559" s="167">
        <v>5.7078718459960204E-3</v>
      </c>
      <c r="AJ559" s="167">
        <v>1.4831516448543199E-3</v>
      </c>
      <c r="AK559" s="161"/>
      <c r="AL559" s="153"/>
    </row>
    <row r="560" spans="1:38">
      <c r="A560" s="2" t="s">
        <v>26</v>
      </c>
      <c r="B560" s="2">
        <v>9964</v>
      </c>
      <c r="C560" s="2" t="s">
        <v>1583</v>
      </c>
      <c r="D560" s="2" t="s">
        <v>1584</v>
      </c>
      <c r="E560" s="4" t="s">
        <v>1305</v>
      </c>
      <c r="F560" s="2" t="s">
        <v>1869</v>
      </c>
      <c r="G560" s="2" t="s">
        <v>1870</v>
      </c>
      <c r="H560" s="2" t="s">
        <v>319</v>
      </c>
      <c r="I560" s="2" t="s">
        <v>966</v>
      </c>
      <c r="J560" s="2" t="s">
        <v>31</v>
      </c>
      <c r="K560" s="2" t="s">
        <v>31</v>
      </c>
      <c r="L560" s="2" t="s">
        <v>325</v>
      </c>
      <c r="M560" s="2" t="s">
        <v>40</v>
      </c>
      <c r="N560" s="2" t="s">
        <v>437</v>
      </c>
      <c r="O560" s="2" t="s">
        <v>136</v>
      </c>
      <c r="P560" s="2" t="s">
        <v>1720</v>
      </c>
      <c r="Q560" s="2" t="s">
        <v>104</v>
      </c>
      <c r="R560" s="2" t="s">
        <v>405</v>
      </c>
      <c r="S560" s="2" t="s">
        <v>35</v>
      </c>
      <c r="T560" s="153">
        <v>3.07</v>
      </c>
      <c r="U560" s="2" t="s">
        <v>1871</v>
      </c>
      <c r="V560" s="165">
        <v>7.2499999999999995E-2</v>
      </c>
      <c r="W560" s="167">
        <v>6.232E-2</v>
      </c>
      <c r="X560" s="4" t="s">
        <v>411</v>
      </c>
      <c r="Y560" s="4" t="s">
        <v>136</v>
      </c>
      <c r="Z560" s="153">
        <v>154000</v>
      </c>
      <c r="AA560" s="153">
        <v>1</v>
      </c>
      <c r="AB560" s="153">
        <v>108.29</v>
      </c>
      <c r="AC560" s="11"/>
      <c r="AD560" s="153">
        <v>166.767</v>
      </c>
      <c r="AG560" s="2" t="s">
        <v>37</v>
      </c>
      <c r="AH560" s="167">
        <v>2.6600000000000001E-4</v>
      </c>
      <c r="AI560" s="167">
        <v>1.85011152768218E-2</v>
      </c>
      <c r="AJ560" s="167">
        <v>4.8073888648544703E-3</v>
      </c>
      <c r="AK560" s="161"/>
      <c r="AL560" s="153"/>
    </row>
    <row r="561" spans="1:38">
      <c r="A561" s="2" t="s">
        <v>26</v>
      </c>
      <c r="B561" s="2">
        <v>9964</v>
      </c>
      <c r="C561" s="2" t="s">
        <v>1458</v>
      </c>
      <c r="D561" s="2" t="s">
        <v>1459</v>
      </c>
      <c r="E561" s="4" t="s">
        <v>1305</v>
      </c>
      <c r="F561" s="2" t="s">
        <v>1872</v>
      </c>
      <c r="G561" s="2" t="s">
        <v>1873</v>
      </c>
      <c r="H561" s="2" t="s">
        <v>319</v>
      </c>
      <c r="I561" s="2" t="s">
        <v>754</v>
      </c>
      <c r="J561" s="2" t="s">
        <v>31</v>
      </c>
      <c r="K561" s="2" t="s">
        <v>31</v>
      </c>
      <c r="L561" s="2" t="s">
        <v>325</v>
      </c>
      <c r="M561" s="2" t="s">
        <v>40</v>
      </c>
      <c r="N561" s="2" t="s">
        <v>461</v>
      </c>
      <c r="O561" s="2" t="s">
        <v>136</v>
      </c>
      <c r="P561" s="2" t="s">
        <v>1748</v>
      </c>
      <c r="Q561" s="2" t="s">
        <v>412</v>
      </c>
      <c r="R561" s="2" t="s">
        <v>405</v>
      </c>
      <c r="S561" s="2" t="s">
        <v>35</v>
      </c>
      <c r="T561" s="153">
        <v>3.839</v>
      </c>
      <c r="U561" s="2" t="s">
        <v>1874</v>
      </c>
      <c r="V561" s="165">
        <v>5.0000000000000001E-3</v>
      </c>
      <c r="W561" s="167">
        <v>2.52E-2</v>
      </c>
      <c r="X561" s="4" t="s">
        <v>411</v>
      </c>
      <c r="Y561" s="4" t="s">
        <v>136</v>
      </c>
      <c r="Z561" s="153">
        <v>13410.34</v>
      </c>
      <c r="AA561" s="153">
        <v>1</v>
      </c>
      <c r="AB561" s="153">
        <v>103.12</v>
      </c>
      <c r="AC561" s="11"/>
      <c r="AD561" s="153">
        <v>13.829000000000001</v>
      </c>
      <c r="AG561" s="2" t="s">
        <v>37</v>
      </c>
      <c r="AH561" s="167">
        <v>7.9999999999999996E-6</v>
      </c>
      <c r="AI561" s="167">
        <v>1.5341630825603299E-3</v>
      </c>
      <c r="AJ561" s="167">
        <v>3.9864183372832301E-4</v>
      </c>
      <c r="AK561" s="161"/>
      <c r="AL561" s="153"/>
    </row>
    <row r="562" spans="1:38">
      <c r="A562" s="2" t="s">
        <v>26</v>
      </c>
      <c r="B562" s="2">
        <v>9964</v>
      </c>
      <c r="C562" s="2" t="s">
        <v>1458</v>
      </c>
      <c r="D562" s="2" t="s">
        <v>1459</v>
      </c>
      <c r="E562" s="4" t="s">
        <v>1305</v>
      </c>
      <c r="F562" s="2" t="s">
        <v>1875</v>
      </c>
      <c r="G562" s="2" t="s">
        <v>1876</v>
      </c>
      <c r="H562" s="2" t="s">
        <v>319</v>
      </c>
      <c r="I562" s="2" t="s">
        <v>754</v>
      </c>
      <c r="J562" s="2" t="s">
        <v>31</v>
      </c>
      <c r="K562" s="2" t="s">
        <v>31</v>
      </c>
      <c r="L562" s="2" t="s">
        <v>325</v>
      </c>
      <c r="M562" s="2" t="s">
        <v>40</v>
      </c>
      <c r="N562" s="2" t="s">
        <v>461</v>
      </c>
      <c r="O562" s="2" t="s">
        <v>136</v>
      </c>
      <c r="P562" s="2" t="s">
        <v>1748</v>
      </c>
      <c r="Q562" s="2" t="s">
        <v>412</v>
      </c>
      <c r="R562" s="2" t="s">
        <v>405</v>
      </c>
      <c r="S562" s="2" t="s">
        <v>35</v>
      </c>
      <c r="T562" s="153">
        <v>1.466</v>
      </c>
      <c r="U562" s="2" t="s">
        <v>1846</v>
      </c>
      <c r="V562" s="165">
        <v>4.7500000000000001E-2</v>
      </c>
      <c r="W562" s="167">
        <v>1.567E-2</v>
      </c>
      <c r="X562" s="4" t="s">
        <v>411</v>
      </c>
      <c r="Y562" s="4" t="s">
        <v>136</v>
      </c>
      <c r="Z562" s="153">
        <v>88351.06</v>
      </c>
      <c r="AA562" s="153">
        <v>1</v>
      </c>
      <c r="AB562" s="153">
        <v>141.47999999999999</v>
      </c>
      <c r="AC562" s="11"/>
      <c r="AD562" s="153">
        <v>124.999</v>
      </c>
      <c r="AG562" s="2" t="s">
        <v>37</v>
      </c>
      <c r="AH562" s="167">
        <v>6.7999999999999999E-5</v>
      </c>
      <c r="AI562" s="167">
        <v>1.38674193921584E-2</v>
      </c>
      <c r="AJ562" s="167">
        <v>3.6033545314778101E-3</v>
      </c>
      <c r="AK562" s="161"/>
      <c r="AL562" s="153"/>
    </row>
    <row r="563" spans="1:38">
      <c r="A563" s="2" t="s">
        <v>26</v>
      </c>
      <c r="B563" s="2">
        <v>9964</v>
      </c>
      <c r="C563" s="2" t="s">
        <v>1877</v>
      </c>
      <c r="D563" s="2" t="s">
        <v>1878</v>
      </c>
      <c r="E563" s="4" t="s">
        <v>1305</v>
      </c>
      <c r="F563" s="2" t="s">
        <v>1879</v>
      </c>
      <c r="G563" s="2" t="s">
        <v>1880</v>
      </c>
      <c r="H563" s="2" t="s">
        <v>319</v>
      </c>
      <c r="I563" s="2" t="s">
        <v>966</v>
      </c>
      <c r="J563" s="2" t="s">
        <v>31</v>
      </c>
      <c r="K563" s="2" t="s">
        <v>31</v>
      </c>
      <c r="L563" s="23" t="s">
        <v>327</v>
      </c>
      <c r="M563" s="2" t="s">
        <v>40</v>
      </c>
      <c r="N563" s="2" t="s">
        <v>444</v>
      </c>
      <c r="O563" s="2" t="s">
        <v>136</v>
      </c>
      <c r="P563" s="2" t="s">
        <v>1752</v>
      </c>
      <c r="Q563" s="23" t="s">
        <v>1752</v>
      </c>
      <c r="R563" s="23" t="s">
        <v>1752</v>
      </c>
      <c r="S563" s="2" t="s">
        <v>35</v>
      </c>
      <c r="T563" s="153">
        <v>1.61</v>
      </c>
      <c r="U563" s="2" t="s">
        <v>1822</v>
      </c>
      <c r="V563" s="165">
        <v>6.25E-2</v>
      </c>
      <c r="W563" s="167">
        <v>6.4699999999999994E-2</v>
      </c>
      <c r="X563" s="4" t="s">
        <v>411</v>
      </c>
      <c r="Y563" s="4" t="s">
        <v>136</v>
      </c>
      <c r="Z563" s="153">
        <v>13934</v>
      </c>
      <c r="AA563" s="153">
        <v>1</v>
      </c>
      <c r="AB563" s="153">
        <v>100.23</v>
      </c>
      <c r="AC563" s="11"/>
      <c r="AD563" s="153">
        <v>13.965999999999999</v>
      </c>
      <c r="AG563" s="2" t="s">
        <v>37</v>
      </c>
      <c r="AH563" s="167">
        <v>0</v>
      </c>
      <c r="AI563" s="167">
        <v>1.5493957885442801E-3</v>
      </c>
      <c r="AJ563" s="167">
        <v>4.0259994868697198E-4</v>
      </c>
      <c r="AK563" s="161"/>
      <c r="AL563" s="153"/>
    </row>
    <row r="564" spans="1:38">
      <c r="A564" s="2" t="s">
        <v>26</v>
      </c>
      <c r="B564" s="2">
        <v>9964</v>
      </c>
      <c r="C564" s="2" t="s">
        <v>1877</v>
      </c>
      <c r="D564" s="2" t="s">
        <v>1878</v>
      </c>
      <c r="E564" s="4" t="s">
        <v>1305</v>
      </c>
      <c r="F564" s="2" t="s">
        <v>1881</v>
      </c>
      <c r="G564" s="2" t="s">
        <v>1882</v>
      </c>
      <c r="H564" s="2" t="s">
        <v>319</v>
      </c>
      <c r="I564" s="2" t="s">
        <v>966</v>
      </c>
      <c r="J564" s="2" t="s">
        <v>31</v>
      </c>
      <c r="K564" s="2" t="s">
        <v>31</v>
      </c>
      <c r="L564" s="2" t="s">
        <v>325</v>
      </c>
      <c r="M564" s="2" t="s">
        <v>40</v>
      </c>
      <c r="N564" s="2" t="s">
        <v>444</v>
      </c>
      <c r="O564" s="2" t="s">
        <v>136</v>
      </c>
      <c r="P564" s="2" t="s">
        <v>1752</v>
      </c>
      <c r="Q564" s="23" t="s">
        <v>1752</v>
      </c>
      <c r="R564" s="23" t="s">
        <v>1752</v>
      </c>
      <c r="S564" s="2" t="s">
        <v>35</v>
      </c>
      <c r="T564" s="153">
        <v>2.0339999999999998</v>
      </c>
      <c r="U564" s="2" t="s">
        <v>1788</v>
      </c>
      <c r="V564" s="165">
        <v>3.8699999999999998E-2</v>
      </c>
      <c r="W564" s="167">
        <v>5.9580000000000001E-2</v>
      </c>
      <c r="X564" s="4" t="s">
        <v>411</v>
      </c>
      <c r="Y564" s="4" t="s">
        <v>136</v>
      </c>
      <c r="Z564" s="153">
        <v>10576.92</v>
      </c>
      <c r="AA564" s="153">
        <v>1</v>
      </c>
      <c r="AB564" s="153">
        <v>97.05</v>
      </c>
      <c r="AC564" s="11"/>
      <c r="AD564" s="153">
        <v>10.265000000000001</v>
      </c>
      <c r="AG564" s="2" t="s">
        <v>37</v>
      </c>
      <c r="AH564" s="167">
        <v>3.3000000000000003E-5</v>
      </c>
      <c r="AI564" s="167">
        <v>1.1387898662922099E-3</v>
      </c>
      <c r="AJ564" s="167">
        <v>2.95906794845005E-4</v>
      </c>
      <c r="AK564" s="161"/>
      <c r="AL564" s="153"/>
    </row>
    <row r="565" spans="1:38">
      <c r="A565" s="2" t="s">
        <v>26</v>
      </c>
      <c r="B565" s="2">
        <v>9964</v>
      </c>
      <c r="C565" s="2" t="s">
        <v>1877</v>
      </c>
      <c r="D565" s="2" t="s">
        <v>1878</v>
      </c>
      <c r="E565" s="4" t="s">
        <v>1305</v>
      </c>
      <c r="F565" s="2" t="s">
        <v>1883</v>
      </c>
      <c r="G565" s="2" t="s">
        <v>1882</v>
      </c>
      <c r="H565" s="2" t="s">
        <v>319</v>
      </c>
      <c r="I565" s="2" t="s">
        <v>966</v>
      </c>
      <c r="J565" s="2" t="s">
        <v>31</v>
      </c>
      <c r="K565" s="2" t="s">
        <v>31</v>
      </c>
      <c r="L565" s="23" t="s">
        <v>327</v>
      </c>
      <c r="M565" s="2" t="s">
        <v>40</v>
      </c>
      <c r="N565" s="2" t="s">
        <v>444</v>
      </c>
      <c r="O565" s="2" t="s">
        <v>136</v>
      </c>
      <c r="P565" s="2" t="s">
        <v>1752</v>
      </c>
      <c r="Q565" s="23" t="s">
        <v>1752</v>
      </c>
      <c r="R565" s="23" t="s">
        <v>1752</v>
      </c>
      <c r="S565" s="2" t="s">
        <v>35</v>
      </c>
      <c r="T565" s="153">
        <v>2.2799999999999998</v>
      </c>
      <c r="U565" s="2" t="s">
        <v>1788</v>
      </c>
      <c r="V565" s="165">
        <v>3.8699999999999998E-2</v>
      </c>
      <c r="W565" s="167">
        <v>5.8299999999999998E-2</v>
      </c>
      <c r="X565" s="4" t="s">
        <v>411</v>
      </c>
      <c r="Y565" s="4" t="s">
        <v>136</v>
      </c>
      <c r="Z565" s="153">
        <v>20000</v>
      </c>
      <c r="AA565" s="153">
        <v>1</v>
      </c>
      <c r="AB565" s="153">
        <v>96.995000000000005</v>
      </c>
      <c r="AC565" s="11"/>
      <c r="AD565" s="153">
        <v>19.399000000000001</v>
      </c>
      <c r="AG565" s="2" t="s">
        <v>37</v>
      </c>
      <c r="AH565" s="167">
        <v>6.2000000000000003E-5</v>
      </c>
      <c r="AI565" s="167">
        <v>2.1521372705582999E-3</v>
      </c>
      <c r="AJ565" s="167">
        <v>5.59218219837911E-4</v>
      </c>
      <c r="AK565" s="161"/>
      <c r="AL565" s="153"/>
    </row>
    <row r="566" spans="1:38">
      <c r="A566" s="2" t="s">
        <v>26</v>
      </c>
      <c r="B566" s="2">
        <v>9964</v>
      </c>
      <c r="C566" s="2" t="s">
        <v>1877</v>
      </c>
      <c r="D566" s="2" t="s">
        <v>1878</v>
      </c>
      <c r="E566" s="4" t="s">
        <v>1305</v>
      </c>
      <c r="F566" s="2" t="s">
        <v>1884</v>
      </c>
      <c r="G566" s="2" t="s">
        <v>1885</v>
      </c>
      <c r="H566" s="2" t="s">
        <v>319</v>
      </c>
      <c r="I566" s="2" t="s">
        <v>966</v>
      </c>
      <c r="J566" s="2" t="s">
        <v>31</v>
      </c>
      <c r="K566" s="2" t="s">
        <v>31</v>
      </c>
      <c r="L566" s="23" t="s">
        <v>327</v>
      </c>
      <c r="M566" s="2" t="s">
        <v>40</v>
      </c>
      <c r="N566" s="2" t="s">
        <v>444</v>
      </c>
      <c r="O566" s="2" t="s">
        <v>136</v>
      </c>
      <c r="P566" s="2" t="s">
        <v>1752</v>
      </c>
      <c r="Q566" s="23" t="s">
        <v>1752</v>
      </c>
      <c r="R566" s="23" t="s">
        <v>1752</v>
      </c>
      <c r="S566" s="2" t="s">
        <v>35</v>
      </c>
      <c r="T566" s="153">
        <v>2.12</v>
      </c>
      <c r="U566" s="2" t="s">
        <v>1822</v>
      </c>
      <c r="V566" s="165">
        <v>4.19E-2</v>
      </c>
      <c r="W566" s="167">
        <v>7.4999999999999997E-2</v>
      </c>
      <c r="X566" s="4" t="s">
        <v>411</v>
      </c>
      <c r="Y566" s="4" t="s">
        <v>136</v>
      </c>
      <c r="Z566" s="153">
        <v>20348</v>
      </c>
      <c r="AA566" s="153">
        <v>1</v>
      </c>
      <c r="AB566" s="153">
        <v>92.72</v>
      </c>
      <c r="AC566" s="11"/>
      <c r="AD566" s="153">
        <v>18.867000000000001</v>
      </c>
      <c r="AG566" s="2" t="s">
        <v>37</v>
      </c>
      <c r="AH566" s="167">
        <v>0</v>
      </c>
      <c r="AI566" s="167">
        <v>2.0930711254822502E-3</v>
      </c>
      <c r="AJ566" s="167">
        <v>5.4387028411188301E-4</v>
      </c>
      <c r="AK566" s="161"/>
      <c r="AL566" s="153"/>
    </row>
    <row r="567" spans="1:38">
      <c r="A567" s="2" t="s">
        <v>26</v>
      </c>
      <c r="B567" s="2">
        <v>9964</v>
      </c>
      <c r="C567" s="2" t="s">
        <v>1886</v>
      </c>
      <c r="D567" s="2" t="s">
        <v>1887</v>
      </c>
      <c r="E567" s="4" t="s">
        <v>34</v>
      </c>
      <c r="F567" s="2" t="s">
        <v>1888</v>
      </c>
      <c r="G567" s="2" t="s">
        <v>1889</v>
      </c>
      <c r="H567" s="2" t="s">
        <v>319</v>
      </c>
      <c r="I567" s="2" t="s">
        <v>966</v>
      </c>
      <c r="J567" s="2" t="s">
        <v>31</v>
      </c>
      <c r="K567" s="2" t="s">
        <v>74</v>
      </c>
      <c r="L567" s="2" t="s">
        <v>325</v>
      </c>
      <c r="M567" s="2" t="s">
        <v>40</v>
      </c>
      <c r="N567" s="2" t="s">
        <v>462</v>
      </c>
      <c r="O567" s="2" t="s">
        <v>136</v>
      </c>
      <c r="P567" s="2" t="s">
        <v>1890</v>
      </c>
      <c r="Q567" s="2" t="s">
        <v>412</v>
      </c>
      <c r="R567" s="2" t="s">
        <v>405</v>
      </c>
      <c r="S567" s="2" t="s">
        <v>35</v>
      </c>
      <c r="T567" s="153">
        <v>2.42</v>
      </c>
      <c r="U567" s="2" t="s">
        <v>1891</v>
      </c>
      <c r="V567" s="165">
        <v>7.1915999999999994E-2</v>
      </c>
      <c r="W567" s="167">
        <v>0.10178</v>
      </c>
      <c r="X567" s="4" t="s">
        <v>411</v>
      </c>
      <c r="Y567" s="4" t="s">
        <v>136</v>
      </c>
      <c r="Z567" s="153">
        <v>63000</v>
      </c>
      <c r="AA567" s="153">
        <v>1</v>
      </c>
      <c r="AB567" s="153">
        <v>111.01</v>
      </c>
      <c r="AC567" s="11"/>
      <c r="AD567" s="153">
        <v>69.936000000000007</v>
      </c>
      <c r="AG567" s="2" t="s">
        <v>37</v>
      </c>
      <c r="AH567" s="167">
        <v>4.3399999999999998E-4</v>
      </c>
      <c r="AI567" s="167">
        <v>7.7587451464165604E-3</v>
      </c>
      <c r="AJ567" s="167">
        <v>2.0160571113707502E-3</v>
      </c>
      <c r="AK567" s="161"/>
      <c r="AL567" s="153"/>
    </row>
    <row r="568" spans="1:38">
      <c r="A568" s="2" t="s">
        <v>26</v>
      </c>
      <c r="B568" s="2">
        <v>9964</v>
      </c>
      <c r="C568" s="2" t="s">
        <v>1898</v>
      </c>
      <c r="D568" s="2" t="s">
        <v>1899</v>
      </c>
      <c r="E568" s="4" t="s">
        <v>1305</v>
      </c>
      <c r="F568" s="2" t="s">
        <v>1900</v>
      </c>
      <c r="G568" s="2" t="s">
        <v>1901</v>
      </c>
      <c r="H568" s="2" t="s">
        <v>319</v>
      </c>
      <c r="I568" s="2" t="s">
        <v>967</v>
      </c>
      <c r="J568" s="2" t="s">
        <v>31</v>
      </c>
      <c r="K568" s="2" t="s">
        <v>31</v>
      </c>
      <c r="L568" s="2" t="s">
        <v>325</v>
      </c>
      <c r="M568" s="2" t="s">
        <v>40</v>
      </c>
      <c r="N568" s="2" t="s">
        <v>444</v>
      </c>
      <c r="O568" s="2" t="s">
        <v>136</v>
      </c>
      <c r="P568" s="2" t="s">
        <v>1752</v>
      </c>
      <c r="Q568" s="23" t="s">
        <v>1752</v>
      </c>
      <c r="R568" s="23" t="s">
        <v>1752</v>
      </c>
      <c r="S568" s="2" t="s">
        <v>35</v>
      </c>
      <c r="T568" s="153">
        <v>3.9950000000000001</v>
      </c>
      <c r="U568" s="2" t="s">
        <v>1743</v>
      </c>
      <c r="V568" s="165">
        <v>7.0000000000000007E-2</v>
      </c>
      <c r="W568" s="167">
        <v>2.546E-2</v>
      </c>
      <c r="X568" s="4" t="s">
        <v>411</v>
      </c>
      <c r="Y568" s="4" t="s">
        <v>136</v>
      </c>
      <c r="Z568" s="153">
        <v>13000</v>
      </c>
      <c r="AA568" s="153">
        <v>1</v>
      </c>
      <c r="AB568" s="153">
        <v>118.9</v>
      </c>
      <c r="AC568" s="11"/>
      <c r="AD568" s="153">
        <v>15.457000000000001</v>
      </c>
      <c r="AG568" s="2" t="s">
        <v>37</v>
      </c>
      <c r="AH568" s="167">
        <v>0</v>
      </c>
      <c r="AI568" s="167">
        <v>1.7148022375813501E-3</v>
      </c>
      <c r="AJ568" s="167">
        <v>4.4557968852309399E-4</v>
      </c>
      <c r="AK568" s="161"/>
      <c r="AL568" s="153"/>
    </row>
    <row r="569" spans="1:38">
      <c r="A569" s="2" t="s">
        <v>26</v>
      </c>
      <c r="B569" s="2">
        <v>9964</v>
      </c>
      <c r="C569" s="2" t="s">
        <v>1902</v>
      </c>
      <c r="D569" s="2" t="s">
        <v>1903</v>
      </c>
      <c r="E569" s="4" t="s">
        <v>34</v>
      </c>
      <c r="F569" s="2" t="s">
        <v>2426</v>
      </c>
      <c r="G569" s="2" t="s">
        <v>2427</v>
      </c>
      <c r="H569" s="2" t="s">
        <v>319</v>
      </c>
      <c r="I569" s="2" t="s">
        <v>966</v>
      </c>
      <c r="J569" s="2" t="s">
        <v>31</v>
      </c>
      <c r="K569" s="2" t="s">
        <v>74</v>
      </c>
      <c r="L569" s="2" t="s">
        <v>325</v>
      </c>
      <c r="M569" s="2" t="s">
        <v>40</v>
      </c>
      <c r="N569" s="2" t="s">
        <v>462</v>
      </c>
      <c r="O569" s="2" t="s">
        <v>136</v>
      </c>
      <c r="P569" s="2" t="s">
        <v>1772</v>
      </c>
      <c r="Q569" s="2" t="s">
        <v>412</v>
      </c>
      <c r="R569" s="2" t="s">
        <v>405</v>
      </c>
      <c r="S569" s="2" t="s">
        <v>35</v>
      </c>
      <c r="T569" s="153">
        <v>0.247</v>
      </c>
      <c r="U569" s="2" t="s">
        <v>2428</v>
      </c>
      <c r="V569" s="165">
        <v>0.05</v>
      </c>
      <c r="W569" s="167">
        <v>6.0600000000000001E-2</v>
      </c>
      <c r="X569" s="4" t="s">
        <v>411</v>
      </c>
      <c r="Y569" s="4" t="s">
        <v>136</v>
      </c>
      <c r="Z569" s="153">
        <v>3885.2</v>
      </c>
      <c r="AA569" s="153">
        <v>1</v>
      </c>
      <c r="AB569" s="153">
        <v>101.04</v>
      </c>
      <c r="AC569" s="11"/>
      <c r="AD569" s="153">
        <v>3.9260000000000002</v>
      </c>
      <c r="AG569" s="2" t="s">
        <v>37</v>
      </c>
      <c r="AH569" s="167">
        <v>1.47E-4</v>
      </c>
      <c r="AI569" s="167">
        <v>4.3550741345972399E-4</v>
      </c>
      <c r="AJ569" s="167">
        <v>1.13163636824142E-4</v>
      </c>
      <c r="AK569" s="161"/>
      <c r="AL569" s="153"/>
    </row>
    <row r="570" spans="1:38">
      <c r="A570" s="2" t="s">
        <v>26</v>
      </c>
      <c r="B570" s="2">
        <v>9964</v>
      </c>
      <c r="C570" s="2" t="s">
        <v>1902</v>
      </c>
      <c r="D570" s="2" t="s">
        <v>1903</v>
      </c>
      <c r="E570" s="4" t="s">
        <v>34</v>
      </c>
      <c r="F570" s="2" t="s">
        <v>1904</v>
      </c>
      <c r="G570" s="2" t="s">
        <v>1905</v>
      </c>
      <c r="H570" s="2" t="s">
        <v>319</v>
      </c>
      <c r="I570" s="2" t="s">
        <v>966</v>
      </c>
      <c r="J570" s="2" t="s">
        <v>31</v>
      </c>
      <c r="K570" s="2" t="s">
        <v>74</v>
      </c>
      <c r="L570" s="2" t="s">
        <v>325</v>
      </c>
      <c r="M570" s="2" t="s">
        <v>40</v>
      </c>
      <c r="N570" s="2" t="s">
        <v>462</v>
      </c>
      <c r="O570" s="2" t="s">
        <v>136</v>
      </c>
      <c r="P570" s="2" t="s">
        <v>1724</v>
      </c>
      <c r="Q570" s="2" t="s">
        <v>412</v>
      </c>
      <c r="R570" s="2" t="s">
        <v>405</v>
      </c>
      <c r="S570" s="2" t="s">
        <v>35</v>
      </c>
      <c r="T570" s="153">
        <v>2.0030000000000001</v>
      </c>
      <c r="U570" s="2" t="s">
        <v>1753</v>
      </c>
      <c r="V570" s="165">
        <v>7.7499999999999999E-2</v>
      </c>
      <c r="W570" s="167">
        <v>7.9750000000000001E-2</v>
      </c>
      <c r="X570" s="4" t="s">
        <v>411</v>
      </c>
      <c r="Y570" s="4" t="s">
        <v>136</v>
      </c>
      <c r="Z570" s="153">
        <v>79000</v>
      </c>
      <c r="AA570" s="153">
        <v>1</v>
      </c>
      <c r="AB570" s="153">
        <v>101.82</v>
      </c>
      <c r="AC570" s="11"/>
      <c r="AD570" s="153">
        <v>80.438000000000002</v>
      </c>
      <c r="AG570" s="2" t="s">
        <v>37</v>
      </c>
      <c r="AH570" s="167">
        <v>2.02E-4</v>
      </c>
      <c r="AI570" s="167">
        <v>8.9237833619797702E-3</v>
      </c>
      <c r="AJ570" s="167">
        <v>2.3187843610974301E-3</v>
      </c>
      <c r="AK570" s="161"/>
      <c r="AL570" s="153"/>
    </row>
    <row r="571" spans="1:38">
      <c r="A571" s="2" t="s">
        <v>26</v>
      </c>
      <c r="B571" s="2">
        <v>9964</v>
      </c>
      <c r="C571" s="2" t="s">
        <v>1902</v>
      </c>
      <c r="D571" s="2" t="s">
        <v>1903</v>
      </c>
      <c r="E571" s="4" t="s">
        <v>34</v>
      </c>
      <c r="F571" s="2" t="s">
        <v>1906</v>
      </c>
      <c r="G571" s="2" t="s">
        <v>1907</v>
      </c>
      <c r="H571" s="2" t="s">
        <v>319</v>
      </c>
      <c r="I571" s="2" t="s">
        <v>966</v>
      </c>
      <c r="J571" s="2" t="s">
        <v>31</v>
      </c>
      <c r="K571" s="2" t="s">
        <v>31</v>
      </c>
      <c r="L571" s="2" t="s">
        <v>325</v>
      </c>
      <c r="M571" s="2" t="s">
        <v>40</v>
      </c>
      <c r="N571" s="2" t="s">
        <v>462</v>
      </c>
      <c r="O571" s="2" t="s">
        <v>136</v>
      </c>
      <c r="P571" s="2" t="s">
        <v>1772</v>
      </c>
      <c r="Q571" s="2" t="s">
        <v>412</v>
      </c>
      <c r="R571" s="2" t="s">
        <v>405</v>
      </c>
      <c r="S571" s="2" t="s">
        <v>35</v>
      </c>
      <c r="T571" s="153">
        <v>2.4140000000000001</v>
      </c>
      <c r="U571" s="2" t="s">
        <v>1908</v>
      </c>
      <c r="V571" s="165">
        <v>6.8000000000000005E-2</v>
      </c>
      <c r="W571" s="167">
        <v>6.3850000000000004E-2</v>
      </c>
      <c r="X571" s="4" t="s">
        <v>411</v>
      </c>
      <c r="Y571" s="4" t="s">
        <v>136</v>
      </c>
      <c r="Z571" s="153">
        <v>45000</v>
      </c>
      <c r="AA571" s="153">
        <v>1</v>
      </c>
      <c r="AB571" s="153">
        <v>102.93</v>
      </c>
      <c r="AC571" s="11"/>
      <c r="AD571" s="153">
        <v>46.319000000000003</v>
      </c>
      <c r="AG571" s="2" t="s">
        <v>37</v>
      </c>
      <c r="AH571" s="167">
        <v>1.44E-4</v>
      </c>
      <c r="AI571" s="167">
        <v>5.1385823537175301E-3</v>
      </c>
      <c r="AJ571" s="167">
        <v>1.3352256455235101E-3</v>
      </c>
      <c r="AK571" s="161"/>
      <c r="AL571" s="153"/>
    </row>
    <row r="572" spans="1:38">
      <c r="A572" s="2" t="s">
        <v>26</v>
      </c>
      <c r="B572" s="2">
        <v>9964</v>
      </c>
      <c r="C572" s="2" t="s">
        <v>1909</v>
      </c>
      <c r="D572" s="2" t="s">
        <v>1910</v>
      </c>
      <c r="E572" s="4" t="s">
        <v>1305</v>
      </c>
      <c r="F572" s="2" t="s">
        <v>1911</v>
      </c>
      <c r="G572" s="2" t="s">
        <v>1912</v>
      </c>
      <c r="H572" s="2" t="s">
        <v>319</v>
      </c>
      <c r="I572" s="2" t="s">
        <v>754</v>
      </c>
      <c r="J572" s="2" t="s">
        <v>31</v>
      </c>
      <c r="K572" s="2" t="s">
        <v>31</v>
      </c>
      <c r="L572" s="2" t="s">
        <v>325</v>
      </c>
      <c r="M572" s="2" t="s">
        <v>40</v>
      </c>
      <c r="N572" s="2" t="s">
        <v>445</v>
      </c>
      <c r="O572" s="2" t="s">
        <v>136</v>
      </c>
      <c r="P572" s="2" t="s">
        <v>76</v>
      </c>
      <c r="Q572" s="2" t="s">
        <v>104</v>
      </c>
      <c r="R572" s="2" t="s">
        <v>405</v>
      </c>
      <c r="S572" s="2" t="s">
        <v>35</v>
      </c>
      <c r="T572" s="153">
        <v>4.2549999999999999</v>
      </c>
      <c r="U572" s="2" t="s">
        <v>1913</v>
      </c>
      <c r="V572" s="165">
        <v>2E-3</v>
      </c>
      <c r="W572" s="167">
        <v>1.9359999999999999E-2</v>
      </c>
      <c r="X572" s="4" t="s">
        <v>411</v>
      </c>
      <c r="Y572" s="4" t="s">
        <v>136</v>
      </c>
      <c r="Z572" s="153">
        <v>55132.03</v>
      </c>
      <c r="AA572" s="153">
        <v>1</v>
      </c>
      <c r="AB572" s="153">
        <v>101.27</v>
      </c>
      <c r="AC572" s="11"/>
      <c r="AD572" s="153">
        <v>55.832000000000001</v>
      </c>
      <c r="AG572" s="2" t="s">
        <v>37</v>
      </c>
      <c r="AH572" s="167">
        <v>1.2999999999999999E-5</v>
      </c>
      <c r="AI572" s="167">
        <v>6.1940346197297998E-3</v>
      </c>
      <c r="AJ572" s="167">
        <v>1.60947773222714E-3</v>
      </c>
      <c r="AK572" s="161"/>
      <c r="AL572" s="153"/>
    </row>
    <row r="573" spans="1:38">
      <c r="A573" s="2" t="s">
        <v>26</v>
      </c>
      <c r="B573" s="2">
        <v>9964</v>
      </c>
      <c r="C573" s="2" t="s">
        <v>1909</v>
      </c>
      <c r="D573" s="2" t="s">
        <v>1910</v>
      </c>
      <c r="E573" s="4" t="s">
        <v>1305</v>
      </c>
      <c r="F573" s="2" t="s">
        <v>2339</v>
      </c>
      <c r="G573" s="2" t="s">
        <v>2340</v>
      </c>
      <c r="H573" s="2" t="s">
        <v>319</v>
      </c>
      <c r="I573" s="2" t="s">
        <v>754</v>
      </c>
      <c r="J573" s="2" t="s">
        <v>31</v>
      </c>
      <c r="K573" s="2" t="s">
        <v>31</v>
      </c>
      <c r="L573" s="2" t="s">
        <v>325</v>
      </c>
      <c r="M573" s="2" t="s">
        <v>40</v>
      </c>
      <c r="N573" s="2" t="s">
        <v>445</v>
      </c>
      <c r="O573" s="2" t="s">
        <v>136</v>
      </c>
      <c r="P573" s="2" t="s">
        <v>1867</v>
      </c>
      <c r="Q573" s="2" t="s">
        <v>104</v>
      </c>
      <c r="R573" s="2" t="s">
        <v>405</v>
      </c>
      <c r="S573" s="2" t="s">
        <v>35</v>
      </c>
      <c r="T573" s="153">
        <v>3.5739999999999998</v>
      </c>
      <c r="U573" s="2" t="s">
        <v>2341</v>
      </c>
      <c r="V573" s="165">
        <v>2E-3</v>
      </c>
      <c r="W573" s="167">
        <v>2.6440000000000002E-2</v>
      </c>
      <c r="X573" s="4" t="s">
        <v>411</v>
      </c>
      <c r="Y573" s="4" t="s">
        <v>136</v>
      </c>
      <c r="Z573" s="153">
        <v>50000</v>
      </c>
      <c r="AA573" s="153">
        <v>1</v>
      </c>
      <c r="AB573" s="153">
        <v>99.7</v>
      </c>
      <c r="AC573" s="11"/>
      <c r="AD573" s="153">
        <v>49.85</v>
      </c>
      <c r="AG573" s="2" t="s">
        <v>37</v>
      </c>
      <c r="AH573" s="167">
        <v>8.7000000000000001E-5</v>
      </c>
      <c r="AI573" s="167">
        <v>5.53036757090188E-3</v>
      </c>
      <c r="AJ573" s="167">
        <v>1.43702836726896E-3</v>
      </c>
      <c r="AK573" s="161"/>
      <c r="AL573" s="153"/>
    </row>
    <row r="574" spans="1:38">
      <c r="A574" s="2" t="s">
        <v>26</v>
      </c>
      <c r="B574" s="2">
        <v>9964</v>
      </c>
      <c r="C574" s="2" t="s">
        <v>1917</v>
      </c>
      <c r="D574" s="2" t="s">
        <v>1918</v>
      </c>
      <c r="E574" s="4" t="s">
        <v>1305</v>
      </c>
      <c r="F574" s="2" t="s">
        <v>1919</v>
      </c>
      <c r="G574" s="2" t="s">
        <v>1920</v>
      </c>
      <c r="H574" s="2" t="s">
        <v>319</v>
      </c>
      <c r="I574" s="2" t="s">
        <v>754</v>
      </c>
      <c r="J574" s="2" t="s">
        <v>31</v>
      </c>
      <c r="K574" s="2" t="s">
        <v>31</v>
      </c>
      <c r="L574" s="2" t="s">
        <v>325</v>
      </c>
      <c r="M574" s="2" t="s">
        <v>40</v>
      </c>
      <c r="N574" s="2" t="s">
        <v>437</v>
      </c>
      <c r="O574" s="2" t="s">
        <v>136</v>
      </c>
      <c r="P574" s="2" t="s">
        <v>1720</v>
      </c>
      <c r="Q574" s="2" t="s">
        <v>104</v>
      </c>
      <c r="R574" s="2" t="s">
        <v>405</v>
      </c>
      <c r="S574" s="2" t="s">
        <v>35</v>
      </c>
      <c r="T574" s="153">
        <v>3.9649999999999999</v>
      </c>
      <c r="U574" s="2" t="s">
        <v>1921</v>
      </c>
      <c r="V574" s="165">
        <v>1.7999999999999999E-2</v>
      </c>
      <c r="W574" s="167">
        <v>3.1009999999999999E-2</v>
      </c>
      <c r="X574" s="4" t="s">
        <v>411</v>
      </c>
      <c r="Y574" s="4" t="s">
        <v>136</v>
      </c>
      <c r="Z574" s="153">
        <v>42603.08</v>
      </c>
      <c r="AA574" s="153">
        <v>1</v>
      </c>
      <c r="AB574" s="153">
        <v>106.25</v>
      </c>
      <c r="AC574" s="11"/>
      <c r="AD574" s="153">
        <v>45.265999999999998</v>
      </c>
      <c r="AG574" s="2" t="s">
        <v>37</v>
      </c>
      <c r="AH574" s="167">
        <v>3.8999999999999999E-5</v>
      </c>
      <c r="AI574" s="167">
        <v>5.02179258386805E-3</v>
      </c>
      <c r="AJ574" s="167">
        <v>1.30487861883336E-3</v>
      </c>
      <c r="AK574" s="161"/>
      <c r="AL574" s="153"/>
    </row>
    <row r="575" spans="1:38">
      <c r="A575" s="2" t="s">
        <v>26</v>
      </c>
      <c r="B575" s="2">
        <v>9964</v>
      </c>
      <c r="C575" s="2" t="s">
        <v>1922</v>
      </c>
      <c r="D575" s="2" t="s">
        <v>1923</v>
      </c>
      <c r="E575" s="4" t="s">
        <v>1305</v>
      </c>
      <c r="F575" s="2" t="s">
        <v>1924</v>
      </c>
      <c r="G575" s="2" t="s">
        <v>1925</v>
      </c>
      <c r="H575" s="2" t="s">
        <v>319</v>
      </c>
      <c r="I575" s="2" t="s">
        <v>754</v>
      </c>
      <c r="J575" s="2" t="s">
        <v>31</v>
      </c>
      <c r="K575" s="2" t="s">
        <v>31</v>
      </c>
      <c r="L575" s="2" t="s">
        <v>325</v>
      </c>
      <c r="M575" s="2" t="s">
        <v>40</v>
      </c>
      <c r="N575" s="2" t="s">
        <v>461</v>
      </c>
      <c r="O575" s="2" t="s">
        <v>136</v>
      </c>
      <c r="P575" s="2" t="s">
        <v>1772</v>
      </c>
      <c r="Q575" s="2" t="s">
        <v>412</v>
      </c>
      <c r="R575" s="2" t="s">
        <v>405</v>
      </c>
      <c r="S575" s="2" t="s">
        <v>35</v>
      </c>
      <c r="T575" s="153">
        <v>3.665</v>
      </c>
      <c r="U575" s="2" t="s">
        <v>1926</v>
      </c>
      <c r="V575" s="165">
        <v>2.7E-2</v>
      </c>
      <c r="W575" s="167">
        <v>2.8670000000000001E-2</v>
      </c>
      <c r="X575" s="4" t="s">
        <v>411</v>
      </c>
      <c r="Y575" s="4" t="s">
        <v>136</v>
      </c>
      <c r="Z575" s="153">
        <v>22000</v>
      </c>
      <c r="AA575" s="153">
        <v>1</v>
      </c>
      <c r="AB575" s="153">
        <v>103.46</v>
      </c>
      <c r="AC575" s="11"/>
      <c r="AD575" s="153">
        <v>22.760999999999999</v>
      </c>
      <c r="AG575" s="2" t="s">
        <v>37</v>
      </c>
      <c r="AH575" s="167">
        <v>5.8999999999999998E-5</v>
      </c>
      <c r="AI575" s="167">
        <v>2.5251314414204999E-3</v>
      </c>
      <c r="AJ575" s="167">
        <v>6.5613821610997303E-4</v>
      </c>
      <c r="AK575" s="161"/>
      <c r="AL575" s="153"/>
    </row>
    <row r="576" spans="1:38">
      <c r="A576" s="2" t="s">
        <v>26</v>
      </c>
      <c r="B576" s="2">
        <v>9964</v>
      </c>
      <c r="C576" s="2" t="s">
        <v>1922</v>
      </c>
      <c r="D576" s="2" t="s">
        <v>1923</v>
      </c>
      <c r="E576" s="4" t="s">
        <v>1305</v>
      </c>
      <c r="F576" s="2" t="s">
        <v>1927</v>
      </c>
      <c r="G576" s="2" t="s">
        <v>1928</v>
      </c>
      <c r="H576" s="2" t="s">
        <v>319</v>
      </c>
      <c r="I576" s="2" t="s">
        <v>754</v>
      </c>
      <c r="J576" s="2" t="s">
        <v>31</v>
      </c>
      <c r="K576" s="2" t="s">
        <v>31</v>
      </c>
      <c r="L576" s="2" t="s">
        <v>325</v>
      </c>
      <c r="M576" s="2" t="s">
        <v>40</v>
      </c>
      <c r="N576" s="2" t="s">
        <v>461</v>
      </c>
      <c r="O576" s="2" t="s">
        <v>136</v>
      </c>
      <c r="P576" s="2" t="s">
        <v>1772</v>
      </c>
      <c r="Q576" s="2" t="s">
        <v>412</v>
      </c>
      <c r="R576" s="2" t="s">
        <v>405</v>
      </c>
      <c r="S576" s="2" t="s">
        <v>35</v>
      </c>
      <c r="T576" s="153">
        <v>3.2709999999999999</v>
      </c>
      <c r="U576" s="2" t="s">
        <v>1849</v>
      </c>
      <c r="V576" s="165">
        <v>1.7999999999999999E-2</v>
      </c>
      <c r="W576" s="167">
        <v>2.4129999999999999E-2</v>
      </c>
      <c r="X576" s="4" t="s">
        <v>411</v>
      </c>
      <c r="Y576" s="4" t="s">
        <v>136</v>
      </c>
      <c r="Z576" s="153">
        <v>126315.78</v>
      </c>
      <c r="AA576" s="153">
        <v>1</v>
      </c>
      <c r="AB576" s="153">
        <v>110.59</v>
      </c>
      <c r="AC576" s="11"/>
      <c r="AD576" s="153">
        <v>139.69300000000001</v>
      </c>
      <c r="AG576" s="2" t="s">
        <v>37</v>
      </c>
      <c r="AH576" s="167">
        <v>1.5100000000000001E-4</v>
      </c>
      <c r="AI576" s="167">
        <v>1.54975234029445E-2</v>
      </c>
      <c r="AJ576" s="167">
        <v>4.02692596232152E-3</v>
      </c>
      <c r="AK576" s="161"/>
      <c r="AL576" s="153"/>
    </row>
    <row r="577" spans="1:38">
      <c r="A577" s="2" t="s">
        <v>26</v>
      </c>
      <c r="B577" s="2">
        <v>9964</v>
      </c>
      <c r="C577" s="2" t="s">
        <v>1929</v>
      </c>
      <c r="D577" s="2" t="s">
        <v>1930</v>
      </c>
      <c r="E577" s="4" t="s">
        <v>1305</v>
      </c>
      <c r="F577" s="2" t="s">
        <v>1931</v>
      </c>
      <c r="G577" s="2" t="s">
        <v>1932</v>
      </c>
      <c r="H577" s="2" t="s">
        <v>319</v>
      </c>
      <c r="I577" s="2" t="s">
        <v>966</v>
      </c>
      <c r="J577" s="2" t="s">
        <v>31</v>
      </c>
      <c r="K577" s="2" t="s">
        <v>31</v>
      </c>
      <c r="L577" s="2" t="s">
        <v>325</v>
      </c>
      <c r="M577" s="2" t="s">
        <v>40</v>
      </c>
      <c r="N577" s="2" t="s">
        <v>444</v>
      </c>
      <c r="O577" s="2" t="s">
        <v>136</v>
      </c>
      <c r="P577" s="2" t="s">
        <v>1752</v>
      </c>
      <c r="Q577" s="23" t="s">
        <v>1752</v>
      </c>
      <c r="R577" s="23" t="s">
        <v>1752</v>
      </c>
      <c r="S577" s="2" t="s">
        <v>35</v>
      </c>
      <c r="T577" s="153">
        <v>0.73899999999999999</v>
      </c>
      <c r="U577" s="2" t="s">
        <v>1933</v>
      </c>
      <c r="V577" s="165">
        <v>4.8399999999999999E-2</v>
      </c>
      <c r="W577" s="167">
        <v>6.7040000000000002E-2</v>
      </c>
      <c r="X577" s="4" t="s">
        <v>411</v>
      </c>
      <c r="Y577" s="4" t="s">
        <v>136</v>
      </c>
      <c r="Z577" s="153">
        <v>14300</v>
      </c>
      <c r="AA577" s="153">
        <v>1</v>
      </c>
      <c r="AB577" s="153">
        <v>99.95</v>
      </c>
      <c r="AC577" s="11"/>
      <c r="AD577" s="153">
        <v>14.292999999999999</v>
      </c>
      <c r="AG577" s="2" t="s">
        <v>37</v>
      </c>
      <c r="AH577" s="167">
        <v>2.3699999999999999E-4</v>
      </c>
      <c r="AI577" s="167">
        <v>1.58565123642457E-3</v>
      </c>
      <c r="AJ577" s="167">
        <v>4.1202068002246897E-4</v>
      </c>
      <c r="AK577" s="161"/>
      <c r="AL577" s="153"/>
    </row>
    <row r="578" spans="1:38">
      <c r="A578" s="2" t="s">
        <v>26</v>
      </c>
      <c r="B578" s="2">
        <v>9964</v>
      </c>
      <c r="C578" s="2" t="s">
        <v>1482</v>
      </c>
      <c r="D578" s="2" t="s">
        <v>1483</v>
      </c>
      <c r="E578" s="4" t="s">
        <v>1305</v>
      </c>
      <c r="F578" s="2" t="s">
        <v>1934</v>
      </c>
      <c r="G578" s="2" t="s">
        <v>1935</v>
      </c>
      <c r="H578" s="2" t="s">
        <v>319</v>
      </c>
      <c r="I578" s="2" t="s">
        <v>966</v>
      </c>
      <c r="J578" s="2" t="s">
        <v>31</v>
      </c>
      <c r="K578" s="2" t="s">
        <v>31</v>
      </c>
      <c r="L578" s="2" t="s">
        <v>325</v>
      </c>
      <c r="M578" s="2" t="s">
        <v>40</v>
      </c>
      <c r="N578" s="2" t="s">
        <v>461</v>
      </c>
      <c r="O578" s="2" t="s">
        <v>136</v>
      </c>
      <c r="P578" s="2" t="s">
        <v>1752</v>
      </c>
      <c r="Q578" s="23" t="s">
        <v>1752</v>
      </c>
      <c r="R578" s="23" t="s">
        <v>1752</v>
      </c>
      <c r="S578" s="2" t="s">
        <v>35</v>
      </c>
      <c r="T578" s="153">
        <v>2.0259999999999998</v>
      </c>
      <c r="U578" s="2" t="s">
        <v>1936</v>
      </c>
      <c r="V578" s="165">
        <v>2.9000000000000001E-2</v>
      </c>
      <c r="W578" s="167">
        <v>6.9419999999999996E-2</v>
      </c>
      <c r="X578" s="4" t="s">
        <v>411</v>
      </c>
      <c r="Y578" s="4" t="s">
        <v>136</v>
      </c>
      <c r="Z578" s="153">
        <v>83700</v>
      </c>
      <c r="AA578" s="153">
        <v>1</v>
      </c>
      <c r="AB578" s="153">
        <v>93.16</v>
      </c>
      <c r="AC578" s="11"/>
      <c r="AD578" s="153">
        <v>77.974999999999994</v>
      </c>
      <c r="AG578" s="2" t="s">
        <v>37</v>
      </c>
      <c r="AH578" s="167">
        <v>5.5800000000000001E-4</v>
      </c>
      <c r="AI578" s="167">
        <v>8.6505510313273498E-3</v>
      </c>
      <c r="AJ578" s="167">
        <v>2.2477867999102798E-3</v>
      </c>
      <c r="AK578" s="161"/>
      <c r="AL578" s="153"/>
    </row>
    <row r="579" spans="1:38">
      <c r="A579" s="2" t="s">
        <v>26</v>
      </c>
      <c r="B579" s="2">
        <v>9964</v>
      </c>
      <c r="C579" s="2" t="s">
        <v>1482</v>
      </c>
      <c r="D579" s="2" t="s">
        <v>1483</v>
      </c>
      <c r="E579" s="4" t="s">
        <v>1305</v>
      </c>
      <c r="F579" s="2" t="s">
        <v>1937</v>
      </c>
      <c r="G579" s="2" t="s">
        <v>1938</v>
      </c>
      <c r="H579" s="2" t="s">
        <v>319</v>
      </c>
      <c r="I579" s="2" t="s">
        <v>754</v>
      </c>
      <c r="J579" s="2" t="s">
        <v>31</v>
      </c>
      <c r="K579" s="2" t="s">
        <v>31</v>
      </c>
      <c r="L579" s="2" t="s">
        <v>325</v>
      </c>
      <c r="M579" s="2" t="s">
        <v>40</v>
      </c>
      <c r="N579" s="2" t="s">
        <v>444</v>
      </c>
      <c r="O579" s="2" t="s">
        <v>136</v>
      </c>
      <c r="P579" s="2" t="s">
        <v>1752</v>
      </c>
      <c r="Q579" s="23" t="s">
        <v>1752</v>
      </c>
      <c r="R579" s="23" t="s">
        <v>1752</v>
      </c>
      <c r="S579" s="2" t="s">
        <v>35</v>
      </c>
      <c r="T579" s="153">
        <v>2.1030000000000002</v>
      </c>
      <c r="U579" s="2" t="s">
        <v>1908</v>
      </c>
      <c r="V579" s="165">
        <v>3.5000000000000003E-2</v>
      </c>
      <c r="W579" s="167">
        <v>4.3380000000000002E-2</v>
      </c>
      <c r="X579" s="4" t="s">
        <v>411</v>
      </c>
      <c r="Y579" s="4" t="s">
        <v>136</v>
      </c>
      <c r="Z579" s="153">
        <v>35100</v>
      </c>
      <c r="AA579" s="153">
        <v>1</v>
      </c>
      <c r="AB579" s="153">
        <v>105</v>
      </c>
      <c r="AC579" s="11"/>
      <c r="AD579" s="153">
        <v>36.854999999999997</v>
      </c>
      <c r="AG579" s="2" t="s">
        <v>37</v>
      </c>
      <c r="AH579" s="167">
        <v>1.85E-4</v>
      </c>
      <c r="AI579" s="167">
        <v>4.0887000366216404E-3</v>
      </c>
      <c r="AJ579" s="167">
        <v>1.0624208721303401E-3</v>
      </c>
      <c r="AK579" s="161"/>
      <c r="AL579" s="153"/>
    </row>
    <row r="580" spans="1:38">
      <c r="A580" s="2" t="s">
        <v>26</v>
      </c>
      <c r="B580" s="2">
        <v>9964</v>
      </c>
      <c r="C580" s="2" t="s">
        <v>1482</v>
      </c>
      <c r="D580" s="2" t="s">
        <v>1483</v>
      </c>
      <c r="E580" s="4" t="s">
        <v>1305</v>
      </c>
      <c r="F580" s="2" t="s">
        <v>1939</v>
      </c>
      <c r="G580" s="2" t="s">
        <v>1940</v>
      </c>
      <c r="H580" s="2" t="s">
        <v>319</v>
      </c>
      <c r="I580" s="2" t="s">
        <v>966</v>
      </c>
      <c r="J580" s="2" t="s">
        <v>31</v>
      </c>
      <c r="K580" s="2" t="s">
        <v>31</v>
      </c>
      <c r="L580" s="2" t="s">
        <v>325</v>
      </c>
      <c r="M580" s="2" t="s">
        <v>40</v>
      </c>
      <c r="N580" s="2" t="s">
        <v>444</v>
      </c>
      <c r="O580" s="2" t="s">
        <v>136</v>
      </c>
      <c r="P580" s="2" t="s">
        <v>1752</v>
      </c>
      <c r="Q580" s="23" t="s">
        <v>1752</v>
      </c>
      <c r="R580" s="23" t="s">
        <v>1752</v>
      </c>
      <c r="S580" s="2" t="s">
        <v>35</v>
      </c>
      <c r="T580" s="153">
        <v>0.86399999999999999</v>
      </c>
      <c r="U580" s="2" t="s">
        <v>1941</v>
      </c>
      <c r="V580" s="165">
        <v>5.62E-2</v>
      </c>
      <c r="W580" s="167">
        <v>6.4380000000000007E-2</v>
      </c>
      <c r="X580" s="4" t="s">
        <v>411</v>
      </c>
      <c r="Y580" s="4" t="s">
        <v>136</v>
      </c>
      <c r="Z580" s="153">
        <v>49000</v>
      </c>
      <c r="AA580" s="153">
        <v>1</v>
      </c>
      <c r="AB580" s="153">
        <v>100.8</v>
      </c>
      <c r="AC580" s="11"/>
      <c r="AD580" s="153">
        <v>49.392000000000003</v>
      </c>
      <c r="AG580" s="2" t="s">
        <v>37</v>
      </c>
      <c r="AH580" s="167">
        <v>2.3800000000000001E-4</v>
      </c>
      <c r="AI580" s="167">
        <v>5.4795569721561802E-3</v>
      </c>
      <c r="AJ580" s="167">
        <v>1.42382557906015E-3</v>
      </c>
      <c r="AK580" s="161"/>
      <c r="AL580" s="153"/>
    </row>
    <row r="581" spans="1:38">
      <c r="A581" s="2" t="s">
        <v>26</v>
      </c>
      <c r="B581" s="2">
        <v>9964</v>
      </c>
      <c r="C581" s="2" t="s">
        <v>1482</v>
      </c>
      <c r="D581" s="2" t="s">
        <v>1483</v>
      </c>
      <c r="E581" s="4" t="s">
        <v>1305</v>
      </c>
      <c r="F581" s="2" t="s">
        <v>1942</v>
      </c>
      <c r="G581" s="2" t="s">
        <v>1943</v>
      </c>
      <c r="H581" s="2" t="s">
        <v>319</v>
      </c>
      <c r="I581" s="2" t="s">
        <v>967</v>
      </c>
      <c r="J581" s="2" t="s">
        <v>31</v>
      </c>
      <c r="K581" s="2" t="s">
        <v>31</v>
      </c>
      <c r="L581" s="2" t="s">
        <v>325</v>
      </c>
      <c r="M581" s="2" t="s">
        <v>40</v>
      </c>
      <c r="N581" s="2" t="s">
        <v>444</v>
      </c>
      <c r="O581" s="2" t="s">
        <v>136</v>
      </c>
      <c r="P581" s="2" t="s">
        <v>1890</v>
      </c>
      <c r="Q581" s="2" t="s">
        <v>412</v>
      </c>
      <c r="R581" s="2" t="s">
        <v>405</v>
      </c>
      <c r="S581" s="2" t="s">
        <v>35</v>
      </c>
      <c r="T581" s="153">
        <v>0.747</v>
      </c>
      <c r="U581" s="2" t="s">
        <v>1933</v>
      </c>
      <c r="V581" s="165">
        <v>1.4999999999999999E-2</v>
      </c>
      <c r="W581" s="167">
        <v>4.972E-2</v>
      </c>
      <c r="X581" s="4" t="s">
        <v>411</v>
      </c>
      <c r="Y581" s="4" t="s">
        <v>136</v>
      </c>
      <c r="Z581" s="153">
        <v>4.04</v>
      </c>
      <c r="AA581" s="153">
        <v>1</v>
      </c>
      <c r="AB581" s="153">
        <v>97.9</v>
      </c>
      <c r="AC581" s="11"/>
      <c r="AD581" s="153">
        <v>4.0000000000000001E-3</v>
      </c>
      <c r="AG581" s="2" t="s">
        <v>37</v>
      </c>
      <c r="AH581" s="167">
        <v>0</v>
      </c>
      <c r="AI581" s="167">
        <v>4.3878613042584303E-7</v>
      </c>
      <c r="AJ581" s="167">
        <v>1.14015589109077E-7</v>
      </c>
      <c r="AK581" s="161"/>
      <c r="AL581" s="153"/>
    </row>
    <row r="582" spans="1:38">
      <c r="A582" s="2" t="s">
        <v>26</v>
      </c>
      <c r="B582" s="2">
        <v>9964</v>
      </c>
      <c r="C582" s="2" t="s">
        <v>2349</v>
      </c>
      <c r="D582" s="2" t="s">
        <v>2350</v>
      </c>
      <c r="E582" s="4" t="s">
        <v>1305</v>
      </c>
      <c r="F582" s="2" t="s">
        <v>2351</v>
      </c>
      <c r="G582" s="2" t="s">
        <v>2352</v>
      </c>
      <c r="H582" s="2" t="s">
        <v>319</v>
      </c>
      <c r="I582" s="2" t="s">
        <v>754</v>
      </c>
      <c r="J582" s="2" t="s">
        <v>31</v>
      </c>
      <c r="K582" s="2" t="s">
        <v>31</v>
      </c>
      <c r="L582" s="2" t="s">
        <v>325</v>
      </c>
      <c r="M582" s="2" t="s">
        <v>40</v>
      </c>
      <c r="N582" s="2" t="s">
        <v>437</v>
      </c>
      <c r="O582" s="2" t="s">
        <v>136</v>
      </c>
      <c r="P582" s="2" t="s">
        <v>2136</v>
      </c>
      <c r="Q582" s="2" t="s">
        <v>104</v>
      </c>
      <c r="R582" s="2" t="s">
        <v>405</v>
      </c>
      <c r="S582" s="2" t="s">
        <v>35</v>
      </c>
      <c r="T582" s="153">
        <v>1.383</v>
      </c>
      <c r="U582" s="2" t="s">
        <v>2353</v>
      </c>
      <c r="V582" s="165">
        <v>4.4999999999999998E-2</v>
      </c>
      <c r="W582" s="167">
        <v>1.524E-2</v>
      </c>
      <c r="X582" s="4" t="s">
        <v>411</v>
      </c>
      <c r="Y582" s="4" t="s">
        <v>136</v>
      </c>
      <c r="Z582" s="153">
        <v>150000</v>
      </c>
      <c r="AA582" s="153">
        <v>1</v>
      </c>
      <c r="AB582" s="153">
        <v>118.26</v>
      </c>
      <c r="AC582" s="11"/>
      <c r="AD582" s="153">
        <v>177.39</v>
      </c>
      <c r="AG582" s="2" t="s">
        <v>37</v>
      </c>
      <c r="AH582" s="167">
        <v>5.1E-5</v>
      </c>
      <c r="AI582" s="167">
        <v>1.96796770993437E-2</v>
      </c>
      <c r="AJ582" s="167">
        <v>5.1136301317921797E-3</v>
      </c>
      <c r="AK582" s="161"/>
      <c r="AL582" s="153"/>
    </row>
    <row r="583" spans="1:38">
      <c r="A583" s="2" t="s">
        <v>26</v>
      </c>
      <c r="B583" s="2">
        <v>9964</v>
      </c>
      <c r="C583" s="2" t="s">
        <v>1944</v>
      </c>
      <c r="D583" s="2" t="s">
        <v>1945</v>
      </c>
      <c r="E583" s="4" t="s">
        <v>34</v>
      </c>
      <c r="F583" s="2" t="s">
        <v>1946</v>
      </c>
      <c r="G583" s="2" t="s">
        <v>1947</v>
      </c>
      <c r="H583" s="2" t="s">
        <v>319</v>
      </c>
      <c r="I583" s="2" t="s">
        <v>755</v>
      </c>
      <c r="J583" s="2" t="s">
        <v>31</v>
      </c>
      <c r="K583" s="2" t="s">
        <v>74</v>
      </c>
      <c r="L583" s="2" t="s">
        <v>325</v>
      </c>
      <c r="M583" s="2" t="s">
        <v>40</v>
      </c>
      <c r="N583" s="2" t="s">
        <v>462</v>
      </c>
      <c r="O583" s="2" t="s">
        <v>136</v>
      </c>
      <c r="P583" s="2" t="s">
        <v>1739</v>
      </c>
      <c r="Q583" s="2" t="s">
        <v>412</v>
      </c>
      <c r="R583" s="2" t="s">
        <v>405</v>
      </c>
      <c r="S583" s="2" t="s">
        <v>78</v>
      </c>
      <c r="T583" s="153">
        <v>3.04</v>
      </c>
      <c r="U583" s="2" t="s">
        <v>1948</v>
      </c>
      <c r="V583" s="165">
        <v>4.7199999999999999E-2</v>
      </c>
      <c r="W583" s="167">
        <v>7.2169999999999998E-2</v>
      </c>
      <c r="X583" s="4" t="s">
        <v>411</v>
      </c>
      <c r="Y583" s="4" t="s">
        <v>136</v>
      </c>
      <c r="Z583" s="153">
        <v>48000</v>
      </c>
      <c r="AA583" s="153">
        <v>3.681</v>
      </c>
      <c r="AB583" s="153">
        <v>108.5</v>
      </c>
      <c r="AC583" s="11"/>
      <c r="AD583" s="153">
        <v>52.08</v>
      </c>
      <c r="AG583" s="2" t="s">
        <v>37</v>
      </c>
      <c r="AH583" s="167">
        <v>1.46E-4</v>
      </c>
      <c r="AI583" s="167">
        <v>5.7777641543143403E-3</v>
      </c>
      <c r="AJ583" s="167">
        <v>1.50131268540356E-3</v>
      </c>
      <c r="AK583" s="161"/>
      <c r="AL583" s="153"/>
    </row>
    <row r="584" spans="1:38">
      <c r="A584" s="2" t="s">
        <v>26</v>
      </c>
      <c r="B584" s="2">
        <v>9964</v>
      </c>
      <c r="C584" s="2" t="s">
        <v>1949</v>
      </c>
      <c r="D584" s="2" t="s">
        <v>1950</v>
      </c>
      <c r="E584" s="4" t="s">
        <v>1305</v>
      </c>
      <c r="F584" s="2" t="s">
        <v>1951</v>
      </c>
      <c r="G584" s="2" t="s">
        <v>1952</v>
      </c>
      <c r="H584" s="2" t="s">
        <v>319</v>
      </c>
      <c r="I584" s="2" t="s">
        <v>966</v>
      </c>
      <c r="J584" s="2" t="s">
        <v>31</v>
      </c>
      <c r="K584" s="2" t="s">
        <v>31</v>
      </c>
      <c r="L584" s="2" t="s">
        <v>325</v>
      </c>
      <c r="M584" s="2" t="s">
        <v>40</v>
      </c>
      <c r="N584" s="2" t="s">
        <v>444</v>
      </c>
      <c r="O584" s="2" t="s">
        <v>136</v>
      </c>
      <c r="P584" s="2" t="s">
        <v>1752</v>
      </c>
      <c r="Q584" s="23" t="s">
        <v>1752</v>
      </c>
      <c r="R584" s="23" t="s">
        <v>1752</v>
      </c>
      <c r="S584" s="2" t="s">
        <v>35</v>
      </c>
      <c r="T584" s="153">
        <v>1.944</v>
      </c>
      <c r="U584" s="2" t="s">
        <v>1953</v>
      </c>
      <c r="V584" s="165">
        <v>5.6000000000000001E-2</v>
      </c>
      <c r="W584" s="167">
        <v>6.8479999999999999E-2</v>
      </c>
      <c r="X584" s="4" t="s">
        <v>411</v>
      </c>
      <c r="Y584" s="4" t="s">
        <v>136</v>
      </c>
      <c r="Z584" s="153">
        <v>45000</v>
      </c>
      <c r="AA584" s="153">
        <v>1</v>
      </c>
      <c r="AB584" s="153">
        <v>99.2</v>
      </c>
      <c r="AC584" s="11"/>
      <c r="AD584" s="153">
        <v>44.64</v>
      </c>
      <c r="AG584" s="2" t="s">
        <v>37</v>
      </c>
      <c r="AH584" s="167">
        <v>2.6499999999999999E-4</v>
      </c>
      <c r="AI584" s="167">
        <v>4.9523692751265802E-3</v>
      </c>
      <c r="AJ584" s="167">
        <v>1.2868394446316201E-3</v>
      </c>
      <c r="AK584" s="161"/>
      <c r="AL584" s="153"/>
    </row>
    <row r="585" spans="1:38">
      <c r="A585" s="2" t="s">
        <v>26</v>
      </c>
      <c r="B585" s="2">
        <v>9964</v>
      </c>
      <c r="C585" s="2" t="s">
        <v>1949</v>
      </c>
      <c r="D585" s="2" t="s">
        <v>1950</v>
      </c>
      <c r="E585" s="4" t="s">
        <v>1305</v>
      </c>
      <c r="F585" s="2" t="s">
        <v>1954</v>
      </c>
      <c r="G585" s="2" t="s">
        <v>1955</v>
      </c>
      <c r="H585" s="2" t="s">
        <v>319</v>
      </c>
      <c r="I585" s="2" t="s">
        <v>966</v>
      </c>
      <c r="J585" s="2" t="s">
        <v>31</v>
      </c>
      <c r="K585" s="2" t="s">
        <v>31</v>
      </c>
      <c r="L585" s="2" t="s">
        <v>325</v>
      </c>
      <c r="M585" s="2" t="s">
        <v>40</v>
      </c>
      <c r="N585" s="2" t="s">
        <v>444</v>
      </c>
      <c r="O585" s="2" t="s">
        <v>136</v>
      </c>
      <c r="P585" s="2" t="s">
        <v>1752</v>
      </c>
      <c r="Q585" s="23" t="s">
        <v>1752</v>
      </c>
      <c r="R585" s="23" t="s">
        <v>1752</v>
      </c>
      <c r="S585" s="2" t="s">
        <v>35</v>
      </c>
      <c r="T585" s="153">
        <v>1.9790000000000001</v>
      </c>
      <c r="U585" s="2" t="s">
        <v>1953</v>
      </c>
      <c r="V585" s="165">
        <v>8.8900000000000007E-2</v>
      </c>
      <c r="W585" s="167">
        <v>6.7559999999999995E-2</v>
      </c>
      <c r="X585" s="4" t="s">
        <v>411</v>
      </c>
      <c r="Y585" s="4" t="s">
        <v>136</v>
      </c>
      <c r="Z585" s="153">
        <v>26173</v>
      </c>
      <c r="AA585" s="153">
        <v>1</v>
      </c>
      <c r="AB585" s="153">
        <v>106.57</v>
      </c>
      <c r="AC585" s="11"/>
      <c r="AD585" s="153">
        <v>27.893000000000001</v>
      </c>
      <c r="AG585" s="2" t="s">
        <v>37</v>
      </c>
      <c r="AH585" s="167">
        <v>0</v>
      </c>
      <c r="AI585" s="167">
        <v>3.0944060788099699E-3</v>
      </c>
      <c r="AJ585" s="167">
        <v>8.0406035549898604E-4</v>
      </c>
      <c r="AK585" s="161"/>
      <c r="AL585" s="153"/>
    </row>
    <row r="586" spans="1:38">
      <c r="A586" s="2" t="s">
        <v>26</v>
      </c>
      <c r="B586" s="2">
        <v>9964</v>
      </c>
      <c r="C586" s="2" t="s">
        <v>1514</v>
      </c>
      <c r="D586" s="2" t="s">
        <v>1515</v>
      </c>
      <c r="E586" s="4" t="s">
        <v>1305</v>
      </c>
      <c r="F586" s="2" t="s">
        <v>1956</v>
      </c>
      <c r="G586" s="2" t="s">
        <v>1957</v>
      </c>
      <c r="H586" s="2" t="s">
        <v>319</v>
      </c>
      <c r="I586" s="2" t="s">
        <v>966</v>
      </c>
      <c r="J586" s="2" t="s">
        <v>31</v>
      </c>
      <c r="K586" s="2" t="s">
        <v>31</v>
      </c>
      <c r="L586" s="2" t="s">
        <v>325</v>
      </c>
      <c r="M586" s="2" t="s">
        <v>40</v>
      </c>
      <c r="N586" s="2" t="s">
        <v>473</v>
      </c>
      <c r="O586" s="2" t="s">
        <v>136</v>
      </c>
      <c r="P586" s="2" t="s">
        <v>1896</v>
      </c>
      <c r="Q586" s="2" t="s">
        <v>104</v>
      </c>
      <c r="R586" s="2" t="s">
        <v>405</v>
      </c>
      <c r="S586" s="2" t="s">
        <v>35</v>
      </c>
      <c r="T586" s="153">
        <v>3.7559999999999998</v>
      </c>
      <c r="U586" s="2" t="s">
        <v>1958</v>
      </c>
      <c r="V586" s="165">
        <v>3.9399999999999998E-2</v>
      </c>
      <c r="W586" s="167">
        <v>5.126E-2</v>
      </c>
      <c r="X586" s="4" t="s">
        <v>411</v>
      </c>
      <c r="Y586" s="4" t="s">
        <v>136</v>
      </c>
      <c r="Z586" s="153">
        <v>6045.2</v>
      </c>
      <c r="AA586" s="153">
        <v>1</v>
      </c>
      <c r="AB586" s="153">
        <v>96.87</v>
      </c>
      <c r="AC586" s="11"/>
      <c r="AD586" s="153">
        <v>5.8559999999999999</v>
      </c>
      <c r="AG586" s="2" t="s">
        <v>37</v>
      </c>
      <c r="AH586" s="167">
        <v>3.1000000000000001E-5</v>
      </c>
      <c r="AI586" s="167">
        <v>6.4966400936762396E-4</v>
      </c>
      <c r="AJ586" s="167">
        <v>1.6881077047519201E-4</v>
      </c>
      <c r="AK586" s="161"/>
      <c r="AL586" s="153"/>
    </row>
    <row r="587" spans="1:38">
      <c r="A587" s="2" t="s">
        <v>26</v>
      </c>
      <c r="B587" s="2">
        <v>9964</v>
      </c>
      <c r="C587" s="2" t="s">
        <v>1959</v>
      </c>
      <c r="D587" s="2" t="s">
        <v>1960</v>
      </c>
      <c r="E587" s="4" t="s">
        <v>1305</v>
      </c>
      <c r="F587" s="2" t="s">
        <v>1961</v>
      </c>
      <c r="G587" s="2" t="s">
        <v>1962</v>
      </c>
      <c r="H587" s="2" t="s">
        <v>319</v>
      </c>
      <c r="I587" s="2" t="s">
        <v>754</v>
      </c>
      <c r="J587" s="2" t="s">
        <v>31</v>
      </c>
      <c r="K587" s="2" t="s">
        <v>31</v>
      </c>
      <c r="L587" s="2" t="s">
        <v>325</v>
      </c>
      <c r="M587" s="2" t="s">
        <v>40</v>
      </c>
      <c r="N587" s="2" t="s">
        <v>459</v>
      </c>
      <c r="O587" s="2" t="s">
        <v>136</v>
      </c>
      <c r="P587" s="2" t="s">
        <v>1739</v>
      </c>
      <c r="Q587" s="2" t="s">
        <v>412</v>
      </c>
      <c r="R587" s="2" t="s">
        <v>405</v>
      </c>
      <c r="S587" s="2" t="s">
        <v>35</v>
      </c>
      <c r="T587" s="153">
        <v>3.3039999999999998</v>
      </c>
      <c r="U587" s="2" t="s">
        <v>1963</v>
      </c>
      <c r="V587" s="165">
        <v>2.1999999999999999E-2</v>
      </c>
      <c r="W587" s="167">
        <v>2.6200000000000001E-2</v>
      </c>
      <c r="X587" s="4" t="s">
        <v>411</v>
      </c>
      <c r="Y587" s="4" t="s">
        <v>136</v>
      </c>
      <c r="Z587" s="153">
        <v>59862.07</v>
      </c>
      <c r="AA587" s="153">
        <v>1</v>
      </c>
      <c r="AB587" s="153">
        <v>102.62</v>
      </c>
      <c r="AC587" s="11"/>
      <c r="AD587" s="153">
        <v>61.43</v>
      </c>
      <c r="AG587" s="2" t="s">
        <v>37</v>
      </c>
      <c r="AH587" s="167">
        <v>2.99E-4</v>
      </c>
      <c r="AI587" s="167">
        <v>6.81510537657414E-3</v>
      </c>
      <c r="AJ587" s="167">
        <v>1.7708587406726601E-3</v>
      </c>
      <c r="AK587" s="161"/>
      <c r="AL587" s="153"/>
    </row>
    <row r="588" spans="1:38">
      <c r="A588" s="2" t="s">
        <v>26</v>
      </c>
      <c r="B588" s="2">
        <v>9964</v>
      </c>
      <c r="C588" s="2" t="s">
        <v>1964</v>
      </c>
      <c r="D588" s="2" t="s">
        <v>1965</v>
      </c>
      <c r="E588" s="4" t="s">
        <v>1305</v>
      </c>
      <c r="F588" s="2" t="s">
        <v>1966</v>
      </c>
      <c r="G588" s="2" t="s">
        <v>1967</v>
      </c>
      <c r="H588" s="2" t="s">
        <v>319</v>
      </c>
      <c r="I588" s="2" t="s">
        <v>754</v>
      </c>
      <c r="J588" s="2" t="s">
        <v>31</v>
      </c>
      <c r="K588" s="2" t="s">
        <v>31</v>
      </c>
      <c r="L588" s="2" t="s">
        <v>325</v>
      </c>
      <c r="M588" s="2" t="s">
        <v>40</v>
      </c>
      <c r="N588" s="2" t="s">
        <v>445</v>
      </c>
      <c r="O588" s="2" t="s">
        <v>136</v>
      </c>
      <c r="P588" s="2" t="s">
        <v>1739</v>
      </c>
      <c r="Q588" s="2" t="s">
        <v>104</v>
      </c>
      <c r="R588" s="2" t="s">
        <v>405</v>
      </c>
      <c r="S588" s="2" t="s">
        <v>35</v>
      </c>
      <c r="T588" s="153">
        <v>0.16400000000000001</v>
      </c>
      <c r="U588" s="2" t="s">
        <v>1968</v>
      </c>
      <c r="V588" s="165">
        <v>6.7999999999999996E-3</v>
      </c>
      <c r="W588" s="167">
        <v>1.25E-3</v>
      </c>
      <c r="X588" s="4" t="s">
        <v>411</v>
      </c>
      <c r="Y588" s="4" t="s">
        <v>136</v>
      </c>
      <c r="Z588" s="153">
        <v>19566</v>
      </c>
      <c r="AA588" s="153">
        <v>1</v>
      </c>
      <c r="AB588" s="153">
        <v>113.14</v>
      </c>
      <c r="AC588" s="11"/>
      <c r="AD588" s="153">
        <v>22.137</v>
      </c>
      <c r="AG588" s="2" t="s">
        <v>37</v>
      </c>
      <c r="AH588" s="167">
        <v>8.7000000000000001E-5</v>
      </c>
      <c r="AI588" s="167">
        <v>2.4558795241506502E-3</v>
      </c>
      <c r="AJ588" s="167">
        <v>6.38143576815445E-4</v>
      </c>
      <c r="AK588" s="161"/>
      <c r="AL588" s="153"/>
    </row>
    <row r="589" spans="1:38">
      <c r="A589" s="2" t="s">
        <v>26</v>
      </c>
      <c r="B589" s="2">
        <v>9964</v>
      </c>
      <c r="C589" s="2" t="s">
        <v>1964</v>
      </c>
      <c r="D589" s="2" t="s">
        <v>1965</v>
      </c>
      <c r="E589" s="4" t="s">
        <v>1305</v>
      </c>
      <c r="F589" s="2" t="s">
        <v>1969</v>
      </c>
      <c r="G589" s="2" t="s">
        <v>1970</v>
      </c>
      <c r="H589" s="2" t="s">
        <v>319</v>
      </c>
      <c r="I589" s="2" t="s">
        <v>754</v>
      </c>
      <c r="J589" s="2" t="s">
        <v>31</v>
      </c>
      <c r="K589" s="2" t="s">
        <v>31</v>
      </c>
      <c r="L589" s="2" t="s">
        <v>325</v>
      </c>
      <c r="M589" s="2" t="s">
        <v>40</v>
      </c>
      <c r="N589" s="2" t="s">
        <v>445</v>
      </c>
      <c r="O589" s="2" t="s">
        <v>136</v>
      </c>
      <c r="P589" s="2" t="s">
        <v>1739</v>
      </c>
      <c r="Q589" s="2" t="s">
        <v>412</v>
      </c>
      <c r="R589" s="2" t="s">
        <v>405</v>
      </c>
      <c r="S589" s="2" t="s">
        <v>35</v>
      </c>
      <c r="T589" s="153">
        <v>5.0140000000000002</v>
      </c>
      <c r="U589" s="2" t="s">
        <v>1971</v>
      </c>
      <c r="V589" s="165">
        <v>2.5899999999999999E-2</v>
      </c>
      <c r="W589" s="167">
        <v>2.1850000000000001E-2</v>
      </c>
      <c r="X589" s="4" t="s">
        <v>411</v>
      </c>
      <c r="Y589" s="4" t="s">
        <v>136</v>
      </c>
      <c r="Z589" s="153">
        <v>30000</v>
      </c>
      <c r="AA589" s="153">
        <v>1</v>
      </c>
      <c r="AB589" s="153">
        <v>102.82</v>
      </c>
      <c r="AC589" s="11"/>
      <c r="AD589" s="153">
        <v>30.846</v>
      </c>
      <c r="AG589" s="2" t="s">
        <v>37</v>
      </c>
      <c r="AH589" s="167">
        <v>0</v>
      </c>
      <c r="AI589" s="167">
        <v>3.4220605434712001E-3</v>
      </c>
      <c r="AJ589" s="167">
        <v>8.8919913774881097E-4</v>
      </c>
      <c r="AK589" s="161"/>
      <c r="AL589" s="153"/>
    </row>
    <row r="590" spans="1:38">
      <c r="A590" s="2" t="s">
        <v>26</v>
      </c>
      <c r="B590" s="2">
        <v>9964</v>
      </c>
      <c r="C590" s="2" t="s">
        <v>1972</v>
      </c>
      <c r="D590" s="2" t="s">
        <v>1973</v>
      </c>
      <c r="E590" s="4" t="s">
        <v>1305</v>
      </c>
      <c r="F590" s="2" t="s">
        <v>1974</v>
      </c>
      <c r="G590" s="2" t="s">
        <v>1975</v>
      </c>
      <c r="H590" s="2" t="s">
        <v>319</v>
      </c>
      <c r="I590" s="2" t="s">
        <v>754</v>
      </c>
      <c r="J590" s="2" t="s">
        <v>31</v>
      </c>
      <c r="K590" s="2" t="s">
        <v>31</v>
      </c>
      <c r="L590" s="2" t="s">
        <v>325</v>
      </c>
      <c r="M590" s="2" t="s">
        <v>40</v>
      </c>
      <c r="N590" s="2" t="s">
        <v>461</v>
      </c>
      <c r="O590" s="2" t="s">
        <v>136</v>
      </c>
      <c r="P590" s="2" t="s">
        <v>1752</v>
      </c>
      <c r="Q590" s="23" t="s">
        <v>1752</v>
      </c>
      <c r="R590" s="23" t="s">
        <v>1752</v>
      </c>
      <c r="S590" s="2" t="s">
        <v>35</v>
      </c>
      <c r="T590" s="153">
        <v>3.4340000000000002</v>
      </c>
      <c r="U590" s="2" t="s">
        <v>1849</v>
      </c>
      <c r="V590" s="165">
        <v>4.4999999999999998E-2</v>
      </c>
      <c r="W590" s="167">
        <v>3.8449999999999998E-2</v>
      </c>
      <c r="X590" s="4" t="s">
        <v>411</v>
      </c>
      <c r="Y590" s="4" t="s">
        <v>136</v>
      </c>
      <c r="Z590" s="153">
        <v>48000</v>
      </c>
      <c r="AA590" s="153">
        <v>1</v>
      </c>
      <c r="AB590" s="153">
        <v>104.19</v>
      </c>
      <c r="AC590" s="11"/>
      <c r="AD590" s="153">
        <v>50.011000000000003</v>
      </c>
      <c r="AG590" s="2" t="s">
        <v>37</v>
      </c>
      <c r="AH590" s="167">
        <v>0</v>
      </c>
      <c r="AI590" s="167">
        <v>5.5482511266176197E-3</v>
      </c>
      <c r="AJ590" s="167">
        <v>1.4416752874856799E-3</v>
      </c>
      <c r="AK590" s="161"/>
      <c r="AL590" s="153"/>
    </row>
    <row r="591" spans="1:38">
      <c r="A591" s="2" t="s">
        <v>26</v>
      </c>
      <c r="B591" s="2">
        <v>9964</v>
      </c>
      <c r="C591" s="2" t="s">
        <v>1976</v>
      </c>
      <c r="D591" s="2" t="s">
        <v>1977</v>
      </c>
      <c r="E591" s="4" t="s">
        <v>1305</v>
      </c>
      <c r="F591" s="2" t="s">
        <v>1978</v>
      </c>
      <c r="G591" s="2" t="s">
        <v>1979</v>
      </c>
      <c r="H591" s="2" t="s">
        <v>319</v>
      </c>
      <c r="I591" s="2" t="s">
        <v>966</v>
      </c>
      <c r="J591" s="2" t="s">
        <v>31</v>
      </c>
      <c r="K591" s="2" t="s">
        <v>31</v>
      </c>
      <c r="L591" s="2" t="s">
        <v>325</v>
      </c>
      <c r="M591" s="2" t="s">
        <v>40</v>
      </c>
      <c r="N591" s="2" t="s">
        <v>444</v>
      </c>
      <c r="O591" s="2" t="s">
        <v>136</v>
      </c>
      <c r="P591" s="2" t="s">
        <v>1752</v>
      </c>
      <c r="Q591" s="23" t="s">
        <v>1752</v>
      </c>
      <c r="R591" s="23" t="s">
        <v>1752</v>
      </c>
      <c r="S591" s="2" t="s">
        <v>35</v>
      </c>
      <c r="T591" s="153">
        <v>2.1629999999999998</v>
      </c>
      <c r="U591" s="2" t="s">
        <v>1822</v>
      </c>
      <c r="V591" s="165">
        <v>3.95E-2</v>
      </c>
      <c r="W591" s="167">
        <v>7.1110000000000007E-2</v>
      </c>
      <c r="X591" s="4" t="s">
        <v>411</v>
      </c>
      <c r="Y591" s="4" t="s">
        <v>136</v>
      </c>
      <c r="Z591" s="153">
        <v>64000</v>
      </c>
      <c r="AA591" s="153">
        <v>1</v>
      </c>
      <c r="AB591" s="153">
        <v>94.72</v>
      </c>
      <c r="AC591" s="11"/>
      <c r="AD591" s="153">
        <v>60.621000000000002</v>
      </c>
      <c r="AG591" s="2" t="s">
        <v>37</v>
      </c>
      <c r="AH591" s="167">
        <v>7.6000000000000004E-5</v>
      </c>
      <c r="AI591" s="167">
        <v>6.7252819747668797E-3</v>
      </c>
      <c r="AJ591" s="167">
        <v>1.74751874115422E-3</v>
      </c>
      <c r="AK591" s="161"/>
      <c r="AL591" s="153"/>
    </row>
    <row r="592" spans="1:38">
      <c r="A592" s="2" t="s">
        <v>26</v>
      </c>
      <c r="B592" s="2">
        <v>9964</v>
      </c>
      <c r="C592" s="2" t="s">
        <v>1980</v>
      </c>
      <c r="D592" s="2" t="s">
        <v>1981</v>
      </c>
      <c r="E592" s="4" t="s">
        <v>1305</v>
      </c>
      <c r="F592" s="2" t="s">
        <v>1982</v>
      </c>
      <c r="G592" s="2" t="s">
        <v>1983</v>
      </c>
      <c r="H592" s="2" t="s">
        <v>319</v>
      </c>
      <c r="I592" s="2" t="s">
        <v>754</v>
      </c>
      <c r="J592" s="2" t="s">
        <v>31</v>
      </c>
      <c r="K592" s="2" t="s">
        <v>31</v>
      </c>
      <c r="L592" s="2" t="s">
        <v>325</v>
      </c>
      <c r="M592" s="2" t="s">
        <v>40</v>
      </c>
      <c r="N592" s="2" t="s">
        <v>461</v>
      </c>
      <c r="O592" s="2" t="s">
        <v>136</v>
      </c>
      <c r="P592" s="2" t="s">
        <v>1984</v>
      </c>
      <c r="Q592" s="2" t="s">
        <v>104</v>
      </c>
      <c r="R592" s="2" t="s">
        <v>405</v>
      </c>
      <c r="S592" s="2" t="s">
        <v>35</v>
      </c>
      <c r="T592" s="153">
        <v>2.5910000000000002</v>
      </c>
      <c r="U592" s="2" t="s">
        <v>1985</v>
      </c>
      <c r="V592" s="165">
        <v>1.5800000000000002E-2</v>
      </c>
      <c r="W592" s="167">
        <v>2.0109999999999999E-2</v>
      </c>
      <c r="X592" s="4" t="s">
        <v>411</v>
      </c>
      <c r="Y592" s="4" t="s">
        <v>136</v>
      </c>
      <c r="Z592" s="153">
        <v>27198.79</v>
      </c>
      <c r="AA592" s="153">
        <v>1</v>
      </c>
      <c r="AB592" s="153">
        <v>112.1</v>
      </c>
      <c r="AC592" s="11"/>
      <c r="AD592" s="153">
        <v>30.49</v>
      </c>
      <c r="AG592" s="2" t="s">
        <v>37</v>
      </c>
      <c r="AH592" s="167">
        <v>5.8E-5</v>
      </c>
      <c r="AI592" s="167">
        <v>3.38254849011046E-3</v>
      </c>
      <c r="AJ592" s="167">
        <v>8.7893219964741299E-4</v>
      </c>
      <c r="AK592" s="161"/>
      <c r="AL592" s="153"/>
    </row>
    <row r="593" spans="1:38">
      <c r="A593" s="2" t="s">
        <v>26</v>
      </c>
      <c r="B593" s="2">
        <v>9964</v>
      </c>
      <c r="C593" s="2" t="s">
        <v>1980</v>
      </c>
      <c r="D593" s="2" t="s">
        <v>1981</v>
      </c>
      <c r="E593" s="4" t="s">
        <v>1305</v>
      </c>
      <c r="F593" s="2" t="s">
        <v>1986</v>
      </c>
      <c r="G593" s="2" t="s">
        <v>1987</v>
      </c>
      <c r="H593" s="2" t="s">
        <v>319</v>
      </c>
      <c r="I593" s="2" t="s">
        <v>754</v>
      </c>
      <c r="J593" s="2" t="s">
        <v>31</v>
      </c>
      <c r="K593" s="2" t="s">
        <v>31</v>
      </c>
      <c r="L593" s="2" t="s">
        <v>325</v>
      </c>
      <c r="M593" s="2" t="s">
        <v>40</v>
      </c>
      <c r="N593" s="2" t="s">
        <v>461</v>
      </c>
      <c r="O593" s="2" t="s">
        <v>136</v>
      </c>
      <c r="P593" s="2" t="s">
        <v>1984</v>
      </c>
      <c r="Q593" s="2" t="s">
        <v>104</v>
      </c>
      <c r="R593" s="2" t="s">
        <v>405</v>
      </c>
      <c r="S593" s="2" t="s">
        <v>35</v>
      </c>
      <c r="T593" s="153">
        <v>5.2309999999999999</v>
      </c>
      <c r="U593" s="2" t="s">
        <v>1988</v>
      </c>
      <c r="V593" s="165">
        <v>8.3999999999999995E-3</v>
      </c>
      <c r="W593" s="167">
        <v>2.6040000000000001E-2</v>
      </c>
      <c r="X593" s="4" t="s">
        <v>411</v>
      </c>
      <c r="Y593" s="4" t="s">
        <v>136</v>
      </c>
      <c r="Z593" s="153">
        <v>61890.11</v>
      </c>
      <c r="AA593" s="153">
        <v>1</v>
      </c>
      <c r="AB593" s="153">
        <v>101.26</v>
      </c>
      <c r="AC593" s="11"/>
      <c r="AD593" s="153">
        <v>62.67</v>
      </c>
      <c r="AG593" s="2" t="s">
        <v>37</v>
      </c>
      <c r="AH593" s="167">
        <v>1.3899999999999999E-4</v>
      </c>
      <c r="AI593" s="167">
        <v>6.9526122974037097E-3</v>
      </c>
      <c r="AJ593" s="167">
        <v>1.80658897802028E-3</v>
      </c>
      <c r="AK593" s="161"/>
      <c r="AL593" s="153"/>
    </row>
    <row r="594" spans="1:38">
      <c r="A594" s="2" t="s">
        <v>26</v>
      </c>
      <c r="B594" s="2">
        <v>9964</v>
      </c>
      <c r="C594" s="2" t="s">
        <v>1176</v>
      </c>
      <c r="D594" s="2" t="s">
        <v>1364</v>
      </c>
      <c r="E594" s="4" t="s">
        <v>1305</v>
      </c>
      <c r="F594" s="2" t="s">
        <v>1991</v>
      </c>
      <c r="G594" s="2" t="s">
        <v>1992</v>
      </c>
      <c r="H594" s="2" t="s">
        <v>319</v>
      </c>
      <c r="I594" s="2" t="s">
        <v>754</v>
      </c>
      <c r="J594" s="2" t="s">
        <v>31</v>
      </c>
      <c r="K594" s="2" t="s">
        <v>31</v>
      </c>
      <c r="L594" s="2" t="s">
        <v>325</v>
      </c>
      <c r="M594" s="2" t="s">
        <v>40</v>
      </c>
      <c r="N594" s="2" t="s">
        <v>445</v>
      </c>
      <c r="O594" s="2" t="s">
        <v>136</v>
      </c>
      <c r="P594" s="2" t="s">
        <v>1175</v>
      </c>
      <c r="Q594" s="2" t="s">
        <v>412</v>
      </c>
      <c r="R594" s="2" t="s">
        <v>405</v>
      </c>
      <c r="S594" s="2" t="s">
        <v>35</v>
      </c>
      <c r="T594" s="153">
        <v>3.07</v>
      </c>
      <c r="U594" s="2" t="s">
        <v>1993</v>
      </c>
      <c r="V594" s="165">
        <v>1.8599999999999998E-2</v>
      </c>
      <c r="W594" s="167">
        <v>1.8350000000000002E-2</v>
      </c>
      <c r="X594" s="4" t="s">
        <v>411</v>
      </c>
      <c r="Y594" s="4" t="s">
        <v>136</v>
      </c>
      <c r="Z594" s="153">
        <v>48000</v>
      </c>
      <c r="AA594" s="153">
        <v>1</v>
      </c>
      <c r="AB594" s="153">
        <v>100.55</v>
      </c>
      <c r="AC594" s="11"/>
      <c r="AD594" s="153">
        <v>48.264000000000003</v>
      </c>
      <c r="AG594" s="2" t="s">
        <v>37</v>
      </c>
      <c r="AH594" s="167">
        <v>3.8999999999999999E-5</v>
      </c>
      <c r="AI594" s="167">
        <v>5.3544164582148097E-3</v>
      </c>
      <c r="AJ594" s="167">
        <v>1.3913086683624699E-3</v>
      </c>
      <c r="AK594" s="161"/>
      <c r="AL594" s="153"/>
    </row>
    <row r="595" spans="1:38">
      <c r="A595" s="2" t="s">
        <v>26</v>
      </c>
      <c r="B595" s="2">
        <v>9964</v>
      </c>
      <c r="C595" s="2" t="s">
        <v>1176</v>
      </c>
      <c r="D595" s="2" t="s">
        <v>1364</v>
      </c>
      <c r="E595" s="4" t="s">
        <v>1305</v>
      </c>
      <c r="F595" s="2" t="s">
        <v>1994</v>
      </c>
      <c r="G595" s="2" t="s">
        <v>1995</v>
      </c>
      <c r="H595" s="2" t="s">
        <v>319</v>
      </c>
      <c r="I595" s="2" t="s">
        <v>754</v>
      </c>
      <c r="J595" s="2" t="s">
        <v>31</v>
      </c>
      <c r="K595" s="2" t="s">
        <v>31</v>
      </c>
      <c r="L595" s="2" t="s">
        <v>325</v>
      </c>
      <c r="M595" s="2" t="s">
        <v>40</v>
      </c>
      <c r="N595" s="2" t="s">
        <v>445</v>
      </c>
      <c r="O595" s="2" t="s">
        <v>136</v>
      </c>
      <c r="P595" s="2" t="s">
        <v>1175</v>
      </c>
      <c r="Q595" s="2" t="s">
        <v>412</v>
      </c>
      <c r="R595" s="2" t="s">
        <v>405</v>
      </c>
      <c r="S595" s="2" t="s">
        <v>35</v>
      </c>
      <c r="T595" s="153">
        <v>3.6459999999999999</v>
      </c>
      <c r="U595" s="2" t="s">
        <v>1996</v>
      </c>
      <c r="V595" s="165">
        <v>1E-3</v>
      </c>
      <c r="W595" s="167">
        <v>1.8010000000000002E-2</v>
      </c>
      <c r="X595" s="4" t="s">
        <v>411</v>
      </c>
      <c r="Y595" s="4" t="s">
        <v>136</v>
      </c>
      <c r="Z595" s="153">
        <v>46000</v>
      </c>
      <c r="AA595" s="153">
        <v>1</v>
      </c>
      <c r="AB595" s="153">
        <v>102.55</v>
      </c>
      <c r="AC595" s="11"/>
      <c r="AD595" s="153">
        <v>47.173000000000002</v>
      </c>
      <c r="AG595" s="2" t="s">
        <v>37</v>
      </c>
      <c r="AH595" s="167">
        <v>1.5E-5</v>
      </c>
      <c r="AI595" s="167">
        <v>5.2333807306349997E-3</v>
      </c>
      <c r="AJ595" s="167">
        <v>1.3598583584589501E-3</v>
      </c>
      <c r="AK595" s="161"/>
      <c r="AL595" s="153"/>
    </row>
    <row r="596" spans="1:38">
      <c r="A596" s="2" t="s">
        <v>26</v>
      </c>
      <c r="B596" s="2">
        <v>9964</v>
      </c>
      <c r="C596" s="2" t="s">
        <v>1176</v>
      </c>
      <c r="D596" s="2" t="s">
        <v>1364</v>
      </c>
      <c r="E596" s="4" t="s">
        <v>1305</v>
      </c>
      <c r="F596" s="2" t="s">
        <v>1997</v>
      </c>
      <c r="G596" s="2" t="s">
        <v>1998</v>
      </c>
      <c r="H596" s="2" t="s">
        <v>319</v>
      </c>
      <c r="I596" s="2" t="s">
        <v>754</v>
      </c>
      <c r="J596" s="2" t="s">
        <v>31</v>
      </c>
      <c r="K596" s="2" t="s">
        <v>31</v>
      </c>
      <c r="L596" s="2" t="s">
        <v>325</v>
      </c>
      <c r="M596" s="2" t="s">
        <v>40</v>
      </c>
      <c r="N596" s="2" t="s">
        <v>445</v>
      </c>
      <c r="O596" s="2" t="s">
        <v>136</v>
      </c>
      <c r="P596" s="2" t="s">
        <v>1175</v>
      </c>
      <c r="Q596" s="2" t="s">
        <v>412</v>
      </c>
      <c r="R596" s="2" t="s">
        <v>405</v>
      </c>
      <c r="S596" s="2" t="s">
        <v>35</v>
      </c>
      <c r="T596" s="153">
        <v>5.54</v>
      </c>
      <c r="U596" s="2" t="s">
        <v>1999</v>
      </c>
      <c r="V596" s="165">
        <v>2.0199999999999999E-2</v>
      </c>
      <c r="W596" s="167">
        <v>2.0369999999999999E-2</v>
      </c>
      <c r="X596" s="4" t="s">
        <v>411</v>
      </c>
      <c r="Y596" s="4" t="s">
        <v>136</v>
      </c>
      <c r="Z596" s="153">
        <v>48000</v>
      </c>
      <c r="AA596" s="153">
        <v>1</v>
      </c>
      <c r="AB596" s="153">
        <v>100.75</v>
      </c>
      <c r="AC596" s="11"/>
      <c r="AD596" s="153">
        <v>48.36</v>
      </c>
      <c r="AG596" s="2" t="s">
        <v>37</v>
      </c>
      <c r="AH596" s="167">
        <v>2.3E-5</v>
      </c>
      <c r="AI596" s="167">
        <v>5.3650667147204598E-3</v>
      </c>
      <c r="AJ596" s="167">
        <v>1.39407606501759E-3</v>
      </c>
      <c r="AK596" s="161"/>
      <c r="AL596" s="153"/>
    </row>
    <row r="597" spans="1:38">
      <c r="A597" s="2" t="s">
        <v>26</v>
      </c>
      <c r="B597" s="2">
        <v>9964</v>
      </c>
      <c r="C597" s="2" t="s">
        <v>1176</v>
      </c>
      <c r="D597" s="2" t="s">
        <v>1364</v>
      </c>
      <c r="E597" s="4" t="s">
        <v>1305</v>
      </c>
      <c r="F597" s="2" t="s">
        <v>2000</v>
      </c>
      <c r="G597" s="2" t="s">
        <v>2001</v>
      </c>
      <c r="H597" s="2" t="s">
        <v>319</v>
      </c>
      <c r="I597" s="2" t="s">
        <v>754</v>
      </c>
      <c r="J597" s="2" t="s">
        <v>31</v>
      </c>
      <c r="K597" s="2" t="s">
        <v>31</v>
      </c>
      <c r="L597" s="2" t="s">
        <v>325</v>
      </c>
      <c r="M597" s="2" t="s">
        <v>40</v>
      </c>
      <c r="N597" s="2" t="s">
        <v>445</v>
      </c>
      <c r="O597" s="2" t="s">
        <v>136</v>
      </c>
      <c r="P597" s="2" t="s">
        <v>1175</v>
      </c>
      <c r="Q597" s="2" t="s">
        <v>412</v>
      </c>
      <c r="R597" s="2" t="s">
        <v>405</v>
      </c>
      <c r="S597" s="2" t="s">
        <v>35</v>
      </c>
      <c r="T597" s="153">
        <v>5.6390000000000002</v>
      </c>
      <c r="U597" s="2" t="s">
        <v>2002</v>
      </c>
      <c r="V597" s="165">
        <v>1E-3</v>
      </c>
      <c r="W597" s="167">
        <v>2.069E-2</v>
      </c>
      <c r="X597" s="4" t="s">
        <v>411</v>
      </c>
      <c r="Y597" s="4" t="s">
        <v>136</v>
      </c>
      <c r="Z597" s="153">
        <v>48000</v>
      </c>
      <c r="AA597" s="153">
        <v>1</v>
      </c>
      <c r="AB597" s="153">
        <v>97.7</v>
      </c>
      <c r="AC597" s="11"/>
      <c r="AD597" s="153">
        <v>46.896000000000001</v>
      </c>
      <c r="AG597" s="2" t="s">
        <v>37</v>
      </c>
      <c r="AH597" s="167">
        <v>4.8000000000000001E-5</v>
      </c>
      <c r="AI597" s="167">
        <v>5.2026503030093204E-3</v>
      </c>
      <c r="AJ597" s="167">
        <v>1.3518732660269799E-3</v>
      </c>
      <c r="AK597" s="161"/>
      <c r="AL597" s="153"/>
    </row>
    <row r="598" spans="1:38">
      <c r="A598" s="2" t="s">
        <v>26</v>
      </c>
      <c r="B598" s="2">
        <v>9964</v>
      </c>
      <c r="C598" s="2" t="s">
        <v>1176</v>
      </c>
      <c r="D598" s="2" t="s">
        <v>1364</v>
      </c>
      <c r="E598" s="4" t="s">
        <v>1305</v>
      </c>
      <c r="F598" s="2" t="s">
        <v>2003</v>
      </c>
      <c r="G598" s="2" t="s">
        <v>2004</v>
      </c>
      <c r="H598" s="2" t="s">
        <v>319</v>
      </c>
      <c r="I598" s="2" t="s">
        <v>754</v>
      </c>
      <c r="J598" s="2" t="s">
        <v>31</v>
      </c>
      <c r="K598" s="2" t="s">
        <v>31</v>
      </c>
      <c r="L598" s="2" t="s">
        <v>325</v>
      </c>
      <c r="M598" s="2" t="s">
        <v>40</v>
      </c>
      <c r="N598" s="2" t="s">
        <v>445</v>
      </c>
      <c r="O598" s="2" t="s">
        <v>136</v>
      </c>
      <c r="P598" s="2" t="s">
        <v>1748</v>
      </c>
      <c r="Q598" s="2" t="s">
        <v>412</v>
      </c>
      <c r="R598" s="2" t="s">
        <v>405</v>
      </c>
      <c r="S598" s="2" t="s">
        <v>35</v>
      </c>
      <c r="T598" s="153">
        <v>0.91200000000000003</v>
      </c>
      <c r="U598" s="2" t="s">
        <v>2005</v>
      </c>
      <c r="V598" s="165">
        <v>2.4199999999999999E-2</v>
      </c>
      <c r="W598" s="167">
        <v>1.8509999999999999E-2</v>
      </c>
      <c r="X598" s="4" t="s">
        <v>411</v>
      </c>
      <c r="Y598" s="4" t="s">
        <v>136</v>
      </c>
      <c r="Z598" s="153">
        <v>100000</v>
      </c>
      <c r="AA598" s="153">
        <v>1</v>
      </c>
      <c r="AB598" s="153">
        <v>112.35</v>
      </c>
      <c r="AC598" s="11"/>
      <c r="AD598" s="153">
        <v>112.35</v>
      </c>
      <c r="AG598" s="2" t="s">
        <v>37</v>
      </c>
      <c r="AH598" s="167">
        <v>6.8999999999999997E-5</v>
      </c>
      <c r="AI598" s="167">
        <v>1.24641283167668E-2</v>
      </c>
      <c r="AJ598" s="167">
        <v>3.2387188979471899E-3</v>
      </c>
      <c r="AK598" s="161"/>
      <c r="AL598" s="153"/>
    </row>
    <row r="599" spans="1:38">
      <c r="A599" s="2" t="s">
        <v>26</v>
      </c>
      <c r="B599" s="2">
        <v>9964</v>
      </c>
      <c r="C599" s="2" t="s">
        <v>1176</v>
      </c>
      <c r="D599" s="2" t="s">
        <v>1364</v>
      </c>
      <c r="E599" s="4" t="s">
        <v>1305</v>
      </c>
      <c r="F599" s="2" t="s">
        <v>2006</v>
      </c>
      <c r="G599" s="2" t="s">
        <v>2007</v>
      </c>
      <c r="H599" s="2" t="s">
        <v>319</v>
      </c>
      <c r="I599" s="2" t="s">
        <v>754</v>
      </c>
      <c r="J599" s="2" t="s">
        <v>31</v>
      </c>
      <c r="K599" s="2" t="s">
        <v>31</v>
      </c>
      <c r="L599" s="2" t="s">
        <v>325</v>
      </c>
      <c r="M599" s="2" t="s">
        <v>40</v>
      </c>
      <c r="N599" s="2" t="s">
        <v>445</v>
      </c>
      <c r="O599" s="2" t="s">
        <v>136</v>
      </c>
      <c r="P599" s="2" t="s">
        <v>1984</v>
      </c>
      <c r="Q599" s="2" t="s">
        <v>104</v>
      </c>
      <c r="R599" s="2" t="s">
        <v>405</v>
      </c>
      <c r="S599" s="2" t="s">
        <v>35</v>
      </c>
      <c r="T599" s="153">
        <v>3.899</v>
      </c>
      <c r="U599" s="2" t="s">
        <v>2008</v>
      </c>
      <c r="V599" s="165">
        <v>1.4999999999999999E-2</v>
      </c>
      <c r="W599" s="167">
        <v>2.6530000000000001E-2</v>
      </c>
      <c r="X599" s="4" t="s">
        <v>411</v>
      </c>
      <c r="Y599" s="4" t="s">
        <v>136</v>
      </c>
      <c r="Z599" s="153">
        <v>50000</v>
      </c>
      <c r="AA599" s="153">
        <v>1</v>
      </c>
      <c r="AB599" s="153">
        <v>103</v>
      </c>
      <c r="AC599" s="11"/>
      <c r="AD599" s="153">
        <v>51.5</v>
      </c>
      <c r="AG599" s="2" t="s">
        <v>37</v>
      </c>
      <c r="AH599" s="167">
        <v>3.6000000000000001E-5</v>
      </c>
      <c r="AI599" s="167">
        <v>5.71341885459272E-3</v>
      </c>
      <c r="AJ599" s="167">
        <v>1.48459299727886E-3</v>
      </c>
      <c r="AK599" s="161"/>
      <c r="AL599" s="153"/>
    </row>
    <row r="600" spans="1:38">
      <c r="A600" s="2" t="s">
        <v>26</v>
      </c>
      <c r="B600" s="2">
        <v>9964</v>
      </c>
      <c r="C600" s="2" t="s">
        <v>2009</v>
      </c>
      <c r="D600" s="2" t="s">
        <v>2010</v>
      </c>
      <c r="E600" s="4" t="s">
        <v>1305</v>
      </c>
      <c r="F600" s="2" t="s">
        <v>2011</v>
      </c>
      <c r="G600" s="2" t="s">
        <v>2012</v>
      </c>
      <c r="H600" s="2" t="s">
        <v>319</v>
      </c>
      <c r="I600" s="2" t="s">
        <v>754</v>
      </c>
      <c r="J600" s="2" t="s">
        <v>31</v>
      </c>
      <c r="K600" s="2" t="s">
        <v>31</v>
      </c>
      <c r="L600" s="2" t="s">
        <v>325</v>
      </c>
      <c r="M600" s="2" t="s">
        <v>40</v>
      </c>
      <c r="N600" s="2" t="s">
        <v>448</v>
      </c>
      <c r="O600" s="2" t="s">
        <v>136</v>
      </c>
      <c r="P600" s="2" t="s">
        <v>1731</v>
      </c>
      <c r="Q600" s="2" t="s">
        <v>104</v>
      </c>
      <c r="R600" s="2" t="s">
        <v>405</v>
      </c>
      <c r="S600" s="2" t="s">
        <v>35</v>
      </c>
      <c r="T600" s="153">
        <v>3.4660000000000002</v>
      </c>
      <c r="U600" s="2" t="s">
        <v>2013</v>
      </c>
      <c r="V600" s="165">
        <v>3.73E-2</v>
      </c>
      <c r="W600" s="167">
        <v>3.4209999999999997E-2</v>
      </c>
      <c r="X600" s="4" t="s">
        <v>411</v>
      </c>
      <c r="Y600" s="4" t="s">
        <v>136</v>
      </c>
      <c r="Z600" s="153">
        <v>32000</v>
      </c>
      <c r="AA600" s="153">
        <v>1</v>
      </c>
      <c r="AB600" s="153">
        <v>105.42</v>
      </c>
      <c r="AC600" s="11"/>
      <c r="AD600" s="153">
        <v>33.734000000000002</v>
      </c>
      <c r="AG600" s="2" t="s">
        <v>37</v>
      </c>
      <c r="AH600" s="167">
        <v>1.36E-4</v>
      </c>
      <c r="AI600" s="167">
        <v>3.7425001360849E-3</v>
      </c>
      <c r="AJ600" s="167">
        <v>9.72463184609787E-4</v>
      </c>
      <c r="AK600" s="161"/>
      <c r="AL600" s="153"/>
    </row>
    <row r="601" spans="1:38">
      <c r="A601" s="2" t="s">
        <v>26</v>
      </c>
      <c r="B601" s="2">
        <v>9964</v>
      </c>
      <c r="C601" s="2" t="s">
        <v>2014</v>
      </c>
      <c r="D601" s="2" t="s">
        <v>2015</v>
      </c>
      <c r="E601" s="4" t="s">
        <v>1305</v>
      </c>
      <c r="F601" s="2" t="s">
        <v>2016</v>
      </c>
      <c r="G601" s="2" t="s">
        <v>2017</v>
      </c>
      <c r="H601" s="2" t="s">
        <v>319</v>
      </c>
      <c r="I601" s="2" t="s">
        <v>966</v>
      </c>
      <c r="J601" s="2" t="s">
        <v>73</v>
      </c>
      <c r="K601" s="2" t="s">
        <v>31</v>
      </c>
      <c r="L601" s="2" t="s">
        <v>325</v>
      </c>
      <c r="M601" s="2" t="s">
        <v>40</v>
      </c>
      <c r="N601" s="2" t="s">
        <v>444</v>
      </c>
      <c r="O601" s="2" t="s">
        <v>136</v>
      </c>
      <c r="P601" s="2" t="s">
        <v>1752</v>
      </c>
      <c r="Q601" s="23" t="s">
        <v>1752</v>
      </c>
      <c r="R601" s="23" t="s">
        <v>1752</v>
      </c>
      <c r="S601" s="2" t="s">
        <v>35</v>
      </c>
      <c r="T601" s="153">
        <v>3.8239999999999998</v>
      </c>
      <c r="U601" s="2" t="s">
        <v>2018</v>
      </c>
      <c r="V601" s="165">
        <v>8.1500000000000003E-2</v>
      </c>
      <c r="W601" s="167">
        <v>6.8169999999999994E-2</v>
      </c>
      <c r="X601" s="4" t="s">
        <v>411</v>
      </c>
      <c r="Y601" s="4" t="s">
        <v>136</v>
      </c>
      <c r="Z601" s="153">
        <v>31000</v>
      </c>
      <c r="AA601" s="153">
        <v>1</v>
      </c>
      <c r="AB601" s="153">
        <v>105.58</v>
      </c>
      <c r="AC601" s="11"/>
      <c r="AD601" s="153">
        <v>32.729999999999997</v>
      </c>
      <c r="AG601" s="2" t="s">
        <v>37</v>
      </c>
      <c r="AH601" s="167">
        <v>0</v>
      </c>
      <c r="AI601" s="167">
        <v>3.6310496393601702E-3</v>
      </c>
      <c r="AJ601" s="167">
        <v>9.4350353169587705E-4</v>
      </c>
      <c r="AK601" s="161"/>
      <c r="AL601" s="153"/>
    </row>
    <row r="602" spans="1:38">
      <c r="A602" s="2" t="s">
        <v>26</v>
      </c>
      <c r="B602" s="2">
        <v>9964</v>
      </c>
      <c r="C602" s="2" t="s">
        <v>2019</v>
      </c>
      <c r="D602" s="2" t="s">
        <v>2020</v>
      </c>
      <c r="E602" s="4" t="s">
        <v>1305</v>
      </c>
      <c r="F602" s="2" t="s">
        <v>2021</v>
      </c>
      <c r="G602" s="2" t="s">
        <v>2022</v>
      </c>
      <c r="H602" s="2" t="s">
        <v>319</v>
      </c>
      <c r="I602" s="2" t="s">
        <v>966</v>
      </c>
      <c r="J602" s="2" t="s">
        <v>73</v>
      </c>
      <c r="K602" s="2" t="s">
        <v>74</v>
      </c>
      <c r="L602" s="2" t="s">
        <v>325</v>
      </c>
      <c r="M602" s="2" t="s">
        <v>40</v>
      </c>
      <c r="N602" s="2" t="s">
        <v>462</v>
      </c>
      <c r="O602" s="2" t="s">
        <v>136</v>
      </c>
      <c r="P602" s="2" t="s">
        <v>1896</v>
      </c>
      <c r="Q602" s="2" t="s">
        <v>104</v>
      </c>
      <c r="R602" s="2" t="s">
        <v>405</v>
      </c>
      <c r="S602" s="2" t="s">
        <v>35</v>
      </c>
      <c r="T602" s="153">
        <v>1.607</v>
      </c>
      <c r="U602" s="2" t="s">
        <v>2023</v>
      </c>
      <c r="V602" s="165">
        <v>3.95E-2</v>
      </c>
      <c r="W602" s="167">
        <v>5.9790000000000003E-2</v>
      </c>
      <c r="X602" s="4" t="s">
        <v>411</v>
      </c>
      <c r="Y602" s="4" t="s">
        <v>136</v>
      </c>
      <c r="Z602" s="153">
        <v>16000</v>
      </c>
      <c r="AA602" s="153">
        <v>1</v>
      </c>
      <c r="AB602" s="153">
        <v>98.29</v>
      </c>
      <c r="AC602" s="11"/>
      <c r="AD602" s="153">
        <v>15.726000000000001</v>
      </c>
      <c r="AG602" s="2" t="s">
        <v>37</v>
      </c>
      <c r="AH602" s="167">
        <v>2.5000000000000001E-5</v>
      </c>
      <c r="AI602" s="167">
        <v>1.74468951990033E-3</v>
      </c>
      <c r="AJ602" s="167">
        <v>4.5334569538653001E-4</v>
      </c>
      <c r="AK602" s="161"/>
      <c r="AL602" s="153"/>
    </row>
    <row r="603" spans="1:38">
      <c r="A603" s="2" t="s">
        <v>26</v>
      </c>
      <c r="B603" s="2">
        <v>9964</v>
      </c>
      <c r="C603" s="2" t="s">
        <v>1367</v>
      </c>
      <c r="D603" s="2" t="s">
        <v>1368</v>
      </c>
      <c r="E603" s="4" t="s">
        <v>1305</v>
      </c>
      <c r="F603" s="2" t="s">
        <v>2024</v>
      </c>
      <c r="G603" s="2" t="s">
        <v>2025</v>
      </c>
      <c r="H603" s="2" t="s">
        <v>319</v>
      </c>
      <c r="I603" s="2" t="s">
        <v>754</v>
      </c>
      <c r="J603" s="2" t="s">
        <v>31</v>
      </c>
      <c r="K603" s="2" t="s">
        <v>31</v>
      </c>
      <c r="L603" s="2" t="s">
        <v>325</v>
      </c>
      <c r="M603" s="2" t="s">
        <v>40</v>
      </c>
      <c r="N603" s="2" t="s">
        <v>461</v>
      </c>
      <c r="O603" s="2" t="s">
        <v>136</v>
      </c>
      <c r="P603" s="2" t="s">
        <v>1984</v>
      </c>
      <c r="Q603" s="2" t="s">
        <v>104</v>
      </c>
      <c r="R603" s="2" t="s">
        <v>405</v>
      </c>
      <c r="S603" s="2" t="s">
        <v>35</v>
      </c>
      <c r="T603" s="153">
        <v>3.903</v>
      </c>
      <c r="U603" s="2" t="s">
        <v>1926</v>
      </c>
      <c r="V603" s="165">
        <v>2.81E-2</v>
      </c>
      <c r="W603" s="167">
        <v>2.4490000000000001E-2</v>
      </c>
      <c r="X603" s="4" t="s">
        <v>411</v>
      </c>
      <c r="Y603" s="4" t="s">
        <v>136</v>
      </c>
      <c r="Z603" s="153">
        <v>33750</v>
      </c>
      <c r="AA603" s="153">
        <v>1</v>
      </c>
      <c r="AB603" s="153">
        <v>115.32</v>
      </c>
      <c r="AC603" s="11"/>
      <c r="AD603" s="153">
        <v>38.92</v>
      </c>
      <c r="AG603" s="2" t="s">
        <v>37</v>
      </c>
      <c r="AH603" s="167">
        <v>2.5000000000000001E-5</v>
      </c>
      <c r="AI603" s="167">
        <v>4.3178469617509898E-3</v>
      </c>
      <c r="AJ603" s="167">
        <v>1.12196314078819E-3</v>
      </c>
      <c r="AK603" s="161"/>
      <c r="AL603" s="153"/>
    </row>
    <row r="604" spans="1:38">
      <c r="A604" s="2" t="s">
        <v>26</v>
      </c>
      <c r="B604" s="2">
        <v>9964</v>
      </c>
      <c r="C604" s="2" t="s">
        <v>1367</v>
      </c>
      <c r="D604" s="2" t="s">
        <v>1368</v>
      </c>
      <c r="E604" s="4" t="s">
        <v>1305</v>
      </c>
      <c r="F604" s="2" t="s">
        <v>2370</v>
      </c>
      <c r="G604" s="2" t="s">
        <v>2371</v>
      </c>
      <c r="H604" s="2" t="s">
        <v>319</v>
      </c>
      <c r="I604" s="2" t="s">
        <v>754</v>
      </c>
      <c r="J604" s="2" t="s">
        <v>31</v>
      </c>
      <c r="K604" s="2" t="s">
        <v>31</v>
      </c>
      <c r="L604" s="2" t="s">
        <v>325</v>
      </c>
      <c r="M604" s="2" t="s">
        <v>40</v>
      </c>
      <c r="N604" s="2" t="s">
        <v>461</v>
      </c>
      <c r="O604" s="2" t="s">
        <v>136</v>
      </c>
      <c r="P604" s="2" t="s">
        <v>1984</v>
      </c>
      <c r="Q604" s="2" t="s">
        <v>104</v>
      </c>
      <c r="R604" s="2" t="s">
        <v>405</v>
      </c>
      <c r="S604" s="2" t="s">
        <v>35</v>
      </c>
      <c r="T604" s="153">
        <v>2.1539999999999999</v>
      </c>
      <c r="U604" s="2" t="s">
        <v>1753</v>
      </c>
      <c r="V604" s="165">
        <v>3.6999999999999998E-2</v>
      </c>
      <c r="W604" s="167">
        <v>2.189E-2</v>
      </c>
      <c r="X604" s="4" t="s">
        <v>411</v>
      </c>
      <c r="Y604" s="4" t="s">
        <v>136</v>
      </c>
      <c r="Z604" s="153">
        <v>47081.279999999999</v>
      </c>
      <c r="AA604" s="153">
        <v>1</v>
      </c>
      <c r="AB604" s="153">
        <v>116.15</v>
      </c>
      <c r="AC604" s="11"/>
      <c r="AD604" s="153">
        <v>54.685000000000002</v>
      </c>
      <c r="AG604" s="2" t="s">
        <v>37</v>
      </c>
      <c r="AH604" s="167">
        <v>1.25E-4</v>
      </c>
      <c r="AI604" s="167">
        <v>6.0667529537027599E-3</v>
      </c>
      <c r="AJ604" s="167">
        <v>1.5764044577351399E-3</v>
      </c>
      <c r="AK604" s="161"/>
      <c r="AL604" s="153"/>
    </row>
    <row r="605" spans="1:38">
      <c r="A605" s="2" t="s">
        <v>26</v>
      </c>
      <c r="B605" s="2">
        <v>9964</v>
      </c>
      <c r="C605" s="2" t="s">
        <v>2026</v>
      </c>
      <c r="D605" s="2" t="s">
        <v>2027</v>
      </c>
      <c r="E605" s="4" t="s">
        <v>1305</v>
      </c>
      <c r="F605" s="2" t="s">
        <v>2028</v>
      </c>
      <c r="G605" s="2" t="s">
        <v>2029</v>
      </c>
      <c r="H605" s="2" t="s">
        <v>319</v>
      </c>
      <c r="I605" s="2" t="s">
        <v>754</v>
      </c>
      <c r="J605" s="2" t="s">
        <v>31</v>
      </c>
      <c r="K605" s="2" t="s">
        <v>31</v>
      </c>
      <c r="L605" s="2" t="s">
        <v>325</v>
      </c>
      <c r="M605" s="2" t="s">
        <v>40</v>
      </c>
      <c r="N605" s="2" t="s">
        <v>461</v>
      </c>
      <c r="O605" s="2" t="s">
        <v>136</v>
      </c>
      <c r="P605" s="2" t="s">
        <v>1758</v>
      </c>
      <c r="Q605" s="2" t="s">
        <v>412</v>
      </c>
      <c r="R605" s="2" t="s">
        <v>405</v>
      </c>
      <c r="S605" s="2" t="s">
        <v>35</v>
      </c>
      <c r="T605" s="153">
        <v>2.077</v>
      </c>
      <c r="U605" s="2" t="s">
        <v>2030</v>
      </c>
      <c r="V605" s="165">
        <v>2.0500000000000001E-2</v>
      </c>
      <c r="W605" s="167">
        <v>2.3279999999999999E-2</v>
      </c>
      <c r="X605" s="4" t="s">
        <v>411</v>
      </c>
      <c r="Y605" s="4" t="s">
        <v>136</v>
      </c>
      <c r="Z605" s="153">
        <v>57413.440000000002</v>
      </c>
      <c r="AA605" s="153">
        <v>1</v>
      </c>
      <c r="AB605" s="153">
        <v>112.41</v>
      </c>
      <c r="AC605" s="11"/>
      <c r="AD605" s="153">
        <v>64.537999999999997</v>
      </c>
      <c r="AG605" s="2" t="s">
        <v>37</v>
      </c>
      <c r="AH605" s="167">
        <v>7.4999999999999993E-5</v>
      </c>
      <c r="AI605" s="167">
        <v>7.1599065068128796E-3</v>
      </c>
      <c r="AJ605" s="167">
        <v>1.86045296725291E-3</v>
      </c>
      <c r="AK605" s="161"/>
      <c r="AL605" s="153"/>
    </row>
    <row r="606" spans="1:38">
      <c r="A606" s="2" t="s">
        <v>26</v>
      </c>
      <c r="B606" s="2">
        <v>9964</v>
      </c>
      <c r="C606" s="2" t="s">
        <v>2031</v>
      </c>
      <c r="D606" s="2" t="s">
        <v>2032</v>
      </c>
      <c r="E606" s="4" t="s">
        <v>1305</v>
      </c>
      <c r="F606" s="2" t="s">
        <v>2033</v>
      </c>
      <c r="G606" s="2" t="s">
        <v>2034</v>
      </c>
      <c r="H606" s="2" t="s">
        <v>319</v>
      </c>
      <c r="I606" s="2" t="s">
        <v>754</v>
      </c>
      <c r="J606" s="2" t="s">
        <v>31</v>
      </c>
      <c r="K606" s="2" t="s">
        <v>31</v>
      </c>
      <c r="L606" s="2" t="s">
        <v>325</v>
      </c>
      <c r="M606" s="2" t="s">
        <v>40</v>
      </c>
      <c r="N606" s="2" t="s">
        <v>461</v>
      </c>
      <c r="O606" s="2" t="s">
        <v>136</v>
      </c>
      <c r="P606" s="2" t="s">
        <v>1724</v>
      </c>
      <c r="Q606" s="2" t="s">
        <v>412</v>
      </c>
      <c r="R606" s="2" t="s">
        <v>405</v>
      </c>
      <c r="S606" s="2" t="s">
        <v>35</v>
      </c>
      <c r="T606" s="153">
        <v>4.4800000000000004</v>
      </c>
      <c r="U606" s="2" t="s">
        <v>1743</v>
      </c>
      <c r="V606" s="165">
        <v>3.0000000000000001E-3</v>
      </c>
      <c r="W606" s="167">
        <v>3.0700000000000002E-2</v>
      </c>
      <c r="X606" s="4" t="s">
        <v>411</v>
      </c>
      <c r="Y606" s="4" t="s">
        <v>136</v>
      </c>
      <c r="Z606" s="153">
        <v>44000</v>
      </c>
      <c r="AA606" s="153">
        <v>1</v>
      </c>
      <c r="AB606" s="153">
        <v>97.4</v>
      </c>
      <c r="AC606" s="11"/>
      <c r="AD606" s="153">
        <v>42.856000000000002</v>
      </c>
      <c r="AG606" s="2" t="s">
        <v>37</v>
      </c>
      <c r="AH606" s="167">
        <v>1.22E-4</v>
      </c>
      <c r="AI606" s="167">
        <v>4.75445200839661E-3</v>
      </c>
      <c r="AJ606" s="167">
        <v>1.2354119901239399E-3</v>
      </c>
      <c r="AK606" s="161"/>
      <c r="AL606" s="153"/>
    </row>
    <row r="607" spans="1:38">
      <c r="A607" s="2" t="s">
        <v>26</v>
      </c>
      <c r="B607" s="2">
        <v>9964</v>
      </c>
      <c r="C607" s="2" t="s">
        <v>2035</v>
      </c>
      <c r="D607" s="2" t="s">
        <v>2036</v>
      </c>
      <c r="E607" s="4" t="s">
        <v>1305</v>
      </c>
      <c r="F607" s="2" t="s">
        <v>2040</v>
      </c>
      <c r="G607" s="2" t="s">
        <v>2041</v>
      </c>
      <c r="H607" s="2" t="s">
        <v>319</v>
      </c>
      <c r="I607" s="2" t="s">
        <v>754</v>
      </c>
      <c r="J607" s="2" t="s">
        <v>31</v>
      </c>
      <c r="K607" s="2" t="s">
        <v>31</v>
      </c>
      <c r="L607" s="2" t="s">
        <v>325</v>
      </c>
      <c r="M607" s="2" t="s">
        <v>40</v>
      </c>
      <c r="N607" s="2" t="s">
        <v>445</v>
      </c>
      <c r="O607" s="2" t="s">
        <v>136</v>
      </c>
      <c r="P607" s="2" t="s">
        <v>76</v>
      </c>
      <c r="Q607" s="2" t="s">
        <v>104</v>
      </c>
      <c r="R607" s="2" t="s">
        <v>405</v>
      </c>
      <c r="S607" s="2" t="s">
        <v>35</v>
      </c>
      <c r="T607" s="153">
        <v>4.5510000000000002</v>
      </c>
      <c r="U607" s="2" t="s">
        <v>2042</v>
      </c>
      <c r="V607" s="165">
        <v>1E-3</v>
      </c>
      <c r="W607" s="167">
        <v>1.9689999999999999E-2</v>
      </c>
      <c r="X607" s="4" t="s">
        <v>411</v>
      </c>
      <c r="Y607" s="4" t="s">
        <v>136</v>
      </c>
      <c r="Z607" s="153">
        <v>63000</v>
      </c>
      <c r="AA607" s="153">
        <v>1</v>
      </c>
      <c r="AB607" s="153">
        <v>100.35</v>
      </c>
      <c r="AC607" s="11"/>
      <c r="AD607" s="153">
        <v>63.220999999999997</v>
      </c>
      <c r="AG607" s="2" t="s">
        <v>37</v>
      </c>
      <c r="AH607" s="167">
        <v>1.9000000000000001E-5</v>
      </c>
      <c r="AI607" s="167">
        <v>7.01369313974328E-3</v>
      </c>
      <c r="AJ607" s="167">
        <v>1.8224604191158899E-3</v>
      </c>
      <c r="AK607" s="161"/>
      <c r="AL607" s="153"/>
    </row>
    <row r="608" spans="1:38">
      <c r="A608" s="2" t="s">
        <v>26</v>
      </c>
      <c r="B608" s="2">
        <v>9964</v>
      </c>
      <c r="C608" s="2" t="s">
        <v>2035</v>
      </c>
      <c r="D608" s="2" t="s">
        <v>2036</v>
      </c>
      <c r="E608" s="4" t="s">
        <v>1305</v>
      </c>
      <c r="F608" s="2" t="s">
        <v>2429</v>
      </c>
      <c r="G608" s="2" t="s">
        <v>2430</v>
      </c>
      <c r="H608" s="2" t="s">
        <v>319</v>
      </c>
      <c r="I608" s="2" t="s">
        <v>754</v>
      </c>
      <c r="J608" s="2" t="s">
        <v>31</v>
      </c>
      <c r="K608" s="2" t="s">
        <v>31</v>
      </c>
      <c r="L608" s="2" t="s">
        <v>325</v>
      </c>
      <c r="M608" s="2" t="s">
        <v>40</v>
      </c>
      <c r="N608" s="2" t="s">
        <v>445</v>
      </c>
      <c r="O608" s="2" t="s">
        <v>136</v>
      </c>
      <c r="P608" s="2" t="s">
        <v>76</v>
      </c>
      <c r="Q608" s="2" t="s">
        <v>104</v>
      </c>
      <c r="R608" s="2" t="s">
        <v>405</v>
      </c>
      <c r="S608" s="2" t="s">
        <v>35</v>
      </c>
      <c r="T608" s="153">
        <v>0.496</v>
      </c>
      <c r="U608" s="2" t="s">
        <v>2431</v>
      </c>
      <c r="V608" s="165">
        <v>8.6E-3</v>
      </c>
      <c r="W608" s="167">
        <v>1.3089999999999999E-2</v>
      </c>
      <c r="X608" s="4" t="s">
        <v>411</v>
      </c>
      <c r="Y608" s="4" t="s">
        <v>136</v>
      </c>
      <c r="Z608" s="153">
        <v>220000</v>
      </c>
      <c r="AA608" s="153">
        <v>1</v>
      </c>
      <c r="AB608" s="153">
        <v>113.09</v>
      </c>
      <c r="AC608" s="11"/>
      <c r="AD608" s="153">
        <v>248.798</v>
      </c>
      <c r="AG608" s="2" t="s">
        <v>37</v>
      </c>
      <c r="AH608" s="167">
        <v>8.7999999999999998E-5</v>
      </c>
      <c r="AI608" s="167">
        <v>2.7601692896795298E-2</v>
      </c>
      <c r="AJ608" s="167">
        <v>7.1721120104269202E-3</v>
      </c>
      <c r="AK608" s="161"/>
      <c r="AL608" s="153"/>
    </row>
    <row r="609" spans="1:38">
      <c r="A609" s="2" t="s">
        <v>26</v>
      </c>
      <c r="B609" s="2">
        <v>9964</v>
      </c>
      <c r="C609" s="2" t="s">
        <v>2046</v>
      </c>
      <c r="D609" s="2" t="s">
        <v>2047</v>
      </c>
      <c r="E609" s="4" t="s">
        <v>1305</v>
      </c>
      <c r="F609" s="2" t="s">
        <v>2048</v>
      </c>
      <c r="G609" s="2" t="s">
        <v>2049</v>
      </c>
      <c r="H609" s="2" t="s">
        <v>319</v>
      </c>
      <c r="I609" s="2" t="s">
        <v>754</v>
      </c>
      <c r="J609" s="2" t="s">
        <v>31</v>
      </c>
      <c r="K609" s="2" t="s">
        <v>31</v>
      </c>
      <c r="L609" s="2" t="s">
        <v>325</v>
      </c>
      <c r="M609" s="2" t="s">
        <v>40</v>
      </c>
      <c r="N609" s="2" t="s">
        <v>440</v>
      </c>
      <c r="O609" s="2" t="s">
        <v>136</v>
      </c>
      <c r="P609" s="2" t="s">
        <v>1896</v>
      </c>
      <c r="Q609" s="2" t="s">
        <v>104</v>
      </c>
      <c r="R609" s="2" t="s">
        <v>405</v>
      </c>
      <c r="S609" s="2" t="s">
        <v>35</v>
      </c>
      <c r="T609" s="153">
        <v>1.044</v>
      </c>
      <c r="U609" s="2" t="s">
        <v>1897</v>
      </c>
      <c r="V609" s="165">
        <v>1.8499999999999999E-2</v>
      </c>
      <c r="W609" s="167">
        <v>1.9130000000000001E-2</v>
      </c>
      <c r="X609" s="4" t="s">
        <v>411</v>
      </c>
      <c r="Y609" s="4" t="s">
        <v>136</v>
      </c>
      <c r="Z609" s="153">
        <v>41132.1</v>
      </c>
      <c r="AA609" s="153">
        <v>1</v>
      </c>
      <c r="AB609" s="153">
        <v>111.87</v>
      </c>
      <c r="AC609" s="11"/>
      <c r="AD609" s="153">
        <v>46.014000000000003</v>
      </c>
      <c r="AG609" s="2" t="s">
        <v>37</v>
      </c>
      <c r="AH609" s="167">
        <v>6.9999999999999994E-5</v>
      </c>
      <c r="AI609" s="167">
        <v>5.1048543526000497E-3</v>
      </c>
      <c r="AJ609" s="167">
        <v>1.3264616540246299E-3</v>
      </c>
      <c r="AK609" s="161"/>
      <c r="AL609" s="153"/>
    </row>
    <row r="610" spans="1:38">
      <c r="A610" s="2" t="s">
        <v>26</v>
      </c>
      <c r="B610" s="2">
        <v>9964</v>
      </c>
      <c r="C610" s="2" t="s">
        <v>2046</v>
      </c>
      <c r="D610" s="2" t="s">
        <v>2047</v>
      </c>
      <c r="E610" s="4" t="s">
        <v>1305</v>
      </c>
      <c r="F610" s="2" t="s">
        <v>2050</v>
      </c>
      <c r="G610" s="2" t="s">
        <v>2051</v>
      </c>
      <c r="H610" s="2" t="s">
        <v>319</v>
      </c>
      <c r="I610" s="2" t="s">
        <v>754</v>
      </c>
      <c r="J610" s="2" t="s">
        <v>31</v>
      </c>
      <c r="K610" s="2" t="s">
        <v>31</v>
      </c>
      <c r="L610" s="2" t="s">
        <v>325</v>
      </c>
      <c r="M610" s="2" t="s">
        <v>40</v>
      </c>
      <c r="N610" s="2" t="s">
        <v>440</v>
      </c>
      <c r="O610" s="2" t="s">
        <v>136</v>
      </c>
      <c r="P610" s="2" t="s">
        <v>1896</v>
      </c>
      <c r="Q610" s="2" t="s">
        <v>104</v>
      </c>
      <c r="R610" s="2" t="s">
        <v>405</v>
      </c>
      <c r="S610" s="2" t="s">
        <v>35</v>
      </c>
      <c r="T610" s="153">
        <v>3.4689999999999999</v>
      </c>
      <c r="U610" s="2" t="s">
        <v>2052</v>
      </c>
      <c r="V610" s="165">
        <v>0.01</v>
      </c>
      <c r="W610" s="167">
        <v>3.6119999999999999E-2</v>
      </c>
      <c r="X610" s="4" t="s">
        <v>411</v>
      </c>
      <c r="Y610" s="4" t="s">
        <v>136</v>
      </c>
      <c r="Z610" s="153">
        <v>50000</v>
      </c>
      <c r="AA610" s="153">
        <v>1</v>
      </c>
      <c r="AB610" s="153">
        <v>99.91</v>
      </c>
      <c r="AC610" s="11"/>
      <c r="AD610" s="153">
        <v>49.954999999999998</v>
      </c>
      <c r="AG610" s="2" t="s">
        <v>37</v>
      </c>
      <c r="AH610" s="167">
        <v>4.1999999999999998E-5</v>
      </c>
      <c r="AI610" s="167">
        <v>5.5420162889549401E-3</v>
      </c>
      <c r="AJ610" s="167">
        <v>1.4400552073605001E-3</v>
      </c>
      <c r="AK610" s="161"/>
      <c r="AL610" s="153"/>
    </row>
    <row r="611" spans="1:38">
      <c r="A611" s="2" t="s">
        <v>26</v>
      </c>
      <c r="B611" s="2">
        <v>9964</v>
      </c>
      <c r="C611" s="2" t="s">
        <v>2046</v>
      </c>
      <c r="D611" s="2" t="s">
        <v>2047</v>
      </c>
      <c r="E611" s="4" t="s">
        <v>1305</v>
      </c>
      <c r="F611" s="2" t="s">
        <v>2053</v>
      </c>
      <c r="G611" s="2" t="s">
        <v>2054</v>
      </c>
      <c r="H611" s="2" t="s">
        <v>319</v>
      </c>
      <c r="I611" s="2" t="s">
        <v>754</v>
      </c>
      <c r="J611" s="2" t="s">
        <v>31</v>
      </c>
      <c r="K611" s="2" t="s">
        <v>31</v>
      </c>
      <c r="L611" s="2" t="s">
        <v>325</v>
      </c>
      <c r="M611" s="2" t="s">
        <v>40</v>
      </c>
      <c r="N611" s="2" t="s">
        <v>440</v>
      </c>
      <c r="O611" s="2" t="s">
        <v>136</v>
      </c>
      <c r="P611" s="2" t="s">
        <v>1896</v>
      </c>
      <c r="Q611" s="2" t="s">
        <v>104</v>
      </c>
      <c r="R611" s="2" t="s">
        <v>405</v>
      </c>
      <c r="S611" s="2" t="s">
        <v>35</v>
      </c>
      <c r="T611" s="153">
        <v>2.129</v>
      </c>
      <c r="U611" s="2" t="s">
        <v>2055</v>
      </c>
      <c r="V611" s="165">
        <v>3.5400000000000001E-2</v>
      </c>
      <c r="W611" s="167">
        <v>3.2099999999999997E-2</v>
      </c>
      <c r="X611" s="4" t="s">
        <v>411</v>
      </c>
      <c r="Y611" s="4" t="s">
        <v>136</v>
      </c>
      <c r="Z611" s="153">
        <v>56000</v>
      </c>
      <c r="AA611" s="153">
        <v>1</v>
      </c>
      <c r="AB611" s="153">
        <v>104.17</v>
      </c>
      <c r="AC611" s="11"/>
      <c r="AD611" s="153">
        <v>58.335000000000001</v>
      </c>
      <c r="AG611" s="2" t="s">
        <v>37</v>
      </c>
      <c r="AH611" s="167">
        <v>8.2000000000000001E-5</v>
      </c>
      <c r="AI611" s="167">
        <v>6.4717171177948998E-3</v>
      </c>
      <c r="AJ611" s="167">
        <v>1.68163163912353E-3</v>
      </c>
      <c r="AK611" s="161"/>
      <c r="AL611" s="153"/>
    </row>
    <row r="612" spans="1:38">
      <c r="A612" s="2" t="s">
        <v>26</v>
      </c>
      <c r="B612" s="2">
        <v>9964</v>
      </c>
      <c r="C612" s="2" t="s">
        <v>2046</v>
      </c>
      <c r="D612" s="2" t="s">
        <v>2047</v>
      </c>
      <c r="E612" s="4" t="s">
        <v>1305</v>
      </c>
      <c r="F612" s="2" t="s">
        <v>2056</v>
      </c>
      <c r="G612" s="2" t="s">
        <v>2057</v>
      </c>
      <c r="H612" s="2" t="s">
        <v>319</v>
      </c>
      <c r="I612" s="2" t="s">
        <v>754</v>
      </c>
      <c r="J612" s="2" t="s">
        <v>31</v>
      </c>
      <c r="K612" s="2" t="s">
        <v>31</v>
      </c>
      <c r="L612" s="2" t="s">
        <v>325</v>
      </c>
      <c r="M612" s="2" t="s">
        <v>40</v>
      </c>
      <c r="N612" s="2" t="s">
        <v>440</v>
      </c>
      <c r="O612" s="2" t="s">
        <v>136</v>
      </c>
      <c r="P612" s="2" t="s">
        <v>1896</v>
      </c>
      <c r="Q612" s="2" t="s">
        <v>104</v>
      </c>
      <c r="R612" s="2" t="s">
        <v>405</v>
      </c>
      <c r="S612" s="2" t="s">
        <v>35</v>
      </c>
      <c r="T612" s="153">
        <v>0.90300000000000002</v>
      </c>
      <c r="U612" s="2" t="s">
        <v>2058</v>
      </c>
      <c r="V612" s="165">
        <v>0.01</v>
      </c>
      <c r="W612" s="167">
        <v>2.2270000000000002E-2</v>
      </c>
      <c r="X612" s="4" t="s">
        <v>411</v>
      </c>
      <c r="Y612" s="4" t="s">
        <v>136</v>
      </c>
      <c r="Z612" s="153">
        <v>65666.64</v>
      </c>
      <c r="AA612" s="153">
        <v>1</v>
      </c>
      <c r="AB612" s="153">
        <v>109.27</v>
      </c>
      <c r="AC612" s="11"/>
      <c r="AD612" s="153">
        <v>71.754000000000005</v>
      </c>
      <c r="AG612" s="2" t="s">
        <v>37</v>
      </c>
      <c r="AH612" s="167">
        <v>6.8999999999999997E-5</v>
      </c>
      <c r="AI612" s="167">
        <v>7.9603941662862703E-3</v>
      </c>
      <c r="AJ612" s="167">
        <v>2.0684542365291998E-3</v>
      </c>
      <c r="AK612" s="161"/>
      <c r="AL612" s="153"/>
    </row>
    <row r="613" spans="1:38">
      <c r="A613" s="2" t="s">
        <v>26</v>
      </c>
      <c r="B613" s="2">
        <v>9964</v>
      </c>
      <c r="C613" s="2" t="s">
        <v>1526</v>
      </c>
      <c r="D613" s="2" t="s">
        <v>1527</v>
      </c>
      <c r="E613" s="4" t="s">
        <v>1305</v>
      </c>
      <c r="F613" s="2" t="s">
        <v>2059</v>
      </c>
      <c r="G613" s="2" t="s">
        <v>2060</v>
      </c>
      <c r="H613" s="2" t="s">
        <v>319</v>
      </c>
      <c r="I613" s="2" t="s">
        <v>754</v>
      </c>
      <c r="J613" s="2" t="s">
        <v>31</v>
      </c>
      <c r="K613" s="2" t="s">
        <v>31</v>
      </c>
      <c r="L613" s="2" t="s">
        <v>325</v>
      </c>
      <c r="M613" s="2" t="s">
        <v>40</v>
      </c>
      <c r="N613" s="2" t="s">
        <v>461</v>
      </c>
      <c r="O613" s="2" t="s">
        <v>136</v>
      </c>
      <c r="P613" s="2" t="s">
        <v>1748</v>
      </c>
      <c r="Q613" s="2" t="s">
        <v>412</v>
      </c>
      <c r="R613" s="2" t="s">
        <v>405</v>
      </c>
      <c r="S613" s="2" t="s">
        <v>35</v>
      </c>
      <c r="T613" s="153">
        <v>4.7629999999999999</v>
      </c>
      <c r="U613" s="2" t="s">
        <v>1773</v>
      </c>
      <c r="V613" s="165">
        <v>1.43E-2</v>
      </c>
      <c r="W613" s="167">
        <v>2.5770000000000001E-2</v>
      </c>
      <c r="X613" s="4" t="s">
        <v>411</v>
      </c>
      <c r="Y613" s="4" t="s">
        <v>136</v>
      </c>
      <c r="Z613" s="153">
        <v>65000</v>
      </c>
      <c r="AA613" s="153">
        <v>1</v>
      </c>
      <c r="AB613" s="153">
        <v>105.95</v>
      </c>
      <c r="AC613" s="11"/>
      <c r="AD613" s="153">
        <v>68.867999999999995</v>
      </c>
      <c r="AG613" s="2" t="s">
        <v>37</v>
      </c>
      <c r="AH613" s="167">
        <v>5.7000000000000003E-5</v>
      </c>
      <c r="AI613" s="167">
        <v>7.6401722906536702E-3</v>
      </c>
      <c r="AJ613" s="167">
        <v>1.9852467619437299E-3</v>
      </c>
      <c r="AK613" s="161"/>
      <c r="AL613" s="153"/>
    </row>
    <row r="614" spans="1:38">
      <c r="A614" s="2" t="s">
        <v>26</v>
      </c>
      <c r="B614" s="2">
        <v>9964</v>
      </c>
      <c r="C614" s="2" t="s">
        <v>1526</v>
      </c>
      <c r="D614" s="2" t="s">
        <v>1527</v>
      </c>
      <c r="E614" s="4" t="s">
        <v>1305</v>
      </c>
      <c r="F614" s="2" t="s">
        <v>2432</v>
      </c>
      <c r="G614" s="2" t="s">
        <v>2433</v>
      </c>
      <c r="H614" s="2" t="s">
        <v>319</v>
      </c>
      <c r="I614" s="2" t="s">
        <v>754</v>
      </c>
      <c r="J614" s="2" t="s">
        <v>31</v>
      </c>
      <c r="K614" s="2" t="s">
        <v>31</v>
      </c>
      <c r="L614" s="2" t="s">
        <v>325</v>
      </c>
      <c r="M614" s="2" t="s">
        <v>40</v>
      </c>
      <c r="N614" s="2" t="s">
        <v>461</v>
      </c>
      <c r="O614" s="2" t="s">
        <v>136</v>
      </c>
      <c r="P614" s="2" t="s">
        <v>1748</v>
      </c>
      <c r="Q614" s="2" t="s">
        <v>412</v>
      </c>
      <c r="R614" s="2" t="s">
        <v>405</v>
      </c>
      <c r="S614" s="2" t="s">
        <v>35</v>
      </c>
      <c r="T614" s="153">
        <v>1.2430000000000001</v>
      </c>
      <c r="U614" s="2" t="s">
        <v>2374</v>
      </c>
      <c r="V614" s="165">
        <v>1.7600000000000001E-2</v>
      </c>
      <c r="W614" s="167">
        <v>1.3939999999999999E-2</v>
      </c>
      <c r="X614" s="4" t="s">
        <v>411</v>
      </c>
      <c r="Y614" s="4" t="s">
        <v>136</v>
      </c>
      <c r="Z614" s="153">
        <v>109016.52</v>
      </c>
      <c r="AA614" s="153">
        <v>1</v>
      </c>
      <c r="AB614" s="153">
        <v>114.03</v>
      </c>
      <c r="AC614" s="161">
        <v>51.348999999999997</v>
      </c>
      <c r="AD614" s="153">
        <v>124.667</v>
      </c>
      <c r="AG614" s="2" t="s">
        <v>37</v>
      </c>
      <c r="AH614" s="167">
        <v>8.2000000000000001E-5</v>
      </c>
      <c r="AI614" s="167">
        <v>1.3830585007539401E-2</v>
      </c>
      <c r="AJ614" s="167">
        <v>3.5937833673716701E-3</v>
      </c>
      <c r="AK614" s="161"/>
      <c r="AL614" s="153"/>
    </row>
    <row r="615" spans="1:38">
      <c r="A615" s="2" t="s">
        <v>26</v>
      </c>
      <c r="B615" s="2">
        <v>9964</v>
      </c>
      <c r="C615" s="2" t="s">
        <v>1526</v>
      </c>
      <c r="D615" s="2" t="s">
        <v>1527</v>
      </c>
      <c r="E615" s="4" t="s">
        <v>1305</v>
      </c>
      <c r="F615" s="2" t="s">
        <v>2372</v>
      </c>
      <c r="G615" s="2" t="s">
        <v>2373</v>
      </c>
      <c r="H615" s="2" t="s">
        <v>319</v>
      </c>
      <c r="I615" s="2" t="s">
        <v>754</v>
      </c>
      <c r="J615" s="2" t="s">
        <v>31</v>
      </c>
      <c r="K615" s="2" t="s">
        <v>31</v>
      </c>
      <c r="L615" s="2" t="s">
        <v>325</v>
      </c>
      <c r="M615" s="2" t="s">
        <v>40</v>
      </c>
      <c r="N615" s="2" t="s">
        <v>461</v>
      </c>
      <c r="O615" s="2" t="s">
        <v>136</v>
      </c>
      <c r="P615" s="2" t="s">
        <v>1748</v>
      </c>
      <c r="Q615" s="2" t="s">
        <v>412</v>
      </c>
      <c r="R615" s="2" t="s">
        <v>405</v>
      </c>
      <c r="S615" s="2" t="s">
        <v>35</v>
      </c>
      <c r="T615" s="153">
        <v>1.24</v>
      </c>
      <c r="U615" s="2" t="s">
        <v>2374</v>
      </c>
      <c r="V615" s="165">
        <v>2.3E-2</v>
      </c>
      <c r="W615" s="167">
        <v>1.95E-2</v>
      </c>
      <c r="X615" s="4" t="s">
        <v>411</v>
      </c>
      <c r="Y615" s="4" t="s">
        <v>136</v>
      </c>
      <c r="Z615" s="153">
        <v>118356.12</v>
      </c>
      <c r="AA615" s="153">
        <v>1</v>
      </c>
      <c r="AB615" s="153">
        <v>114.63</v>
      </c>
      <c r="AC615" s="11"/>
      <c r="AD615" s="153">
        <v>135.672</v>
      </c>
      <c r="AG615" s="2" t="s">
        <v>37</v>
      </c>
      <c r="AH615" s="167">
        <v>1.2300000000000001E-4</v>
      </c>
      <c r="AI615" s="167">
        <v>1.50514328888372E-2</v>
      </c>
      <c r="AJ615" s="167">
        <v>3.91101237883483E-3</v>
      </c>
      <c r="AK615" s="161"/>
      <c r="AL615" s="153"/>
    </row>
    <row r="616" spans="1:38">
      <c r="A616" s="2" t="s">
        <v>26</v>
      </c>
      <c r="B616" s="2">
        <v>9964</v>
      </c>
      <c r="C616" s="2" t="s">
        <v>1526</v>
      </c>
      <c r="D616" s="2" t="s">
        <v>1527</v>
      </c>
      <c r="E616" s="4" t="s">
        <v>1305</v>
      </c>
      <c r="F616" s="2" t="s">
        <v>2064</v>
      </c>
      <c r="G616" s="2" t="s">
        <v>2065</v>
      </c>
      <c r="H616" s="2" t="s">
        <v>319</v>
      </c>
      <c r="I616" s="2" t="s">
        <v>754</v>
      </c>
      <c r="J616" s="2" t="s">
        <v>31</v>
      </c>
      <c r="K616" s="2" t="s">
        <v>31</v>
      </c>
      <c r="L616" s="2" t="s">
        <v>325</v>
      </c>
      <c r="M616" s="2" t="s">
        <v>40</v>
      </c>
      <c r="N616" s="2" t="s">
        <v>461</v>
      </c>
      <c r="O616" s="2" t="s">
        <v>136</v>
      </c>
      <c r="P616" s="2" t="s">
        <v>1748</v>
      </c>
      <c r="Q616" s="2" t="s">
        <v>412</v>
      </c>
      <c r="R616" s="2" t="s">
        <v>405</v>
      </c>
      <c r="S616" s="2" t="s">
        <v>35</v>
      </c>
      <c r="T616" s="153">
        <v>5.657</v>
      </c>
      <c r="U616" s="2" t="s">
        <v>2066</v>
      </c>
      <c r="V616" s="165">
        <v>2.5000000000000001E-3</v>
      </c>
      <c r="W616" s="167">
        <v>2.648E-2</v>
      </c>
      <c r="X616" s="4" t="s">
        <v>411</v>
      </c>
      <c r="Y616" s="4" t="s">
        <v>136</v>
      </c>
      <c r="Z616" s="153">
        <v>54000</v>
      </c>
      <c r="AA616" s="153">
        <v>1</v>
      </c>
      <c r="AB616" s="153">
        <v>95.66</v>
      </c>
      <c r="AC616" s="11"/>
      <c r="AD616" s="153">
        <v>51.655999999999999</v>
      </c>
      <c r="AG616" s="2" t="s">
        <v>37</v>
      </c>
      <c r="AH616" s="167">
        <v>4.1999999999999998E-5</v>
      </c>
      <c r="AI616" s="167">
        <v>5.7307698974831704E-3</v>
      </c>
      <c r="AJ616" s="167">
        <v>1.4891015476628301E-3</v>
      </c>
      <c r="AK616" s="161"/>
      <c r="AL616" s="153"/>
    </row>
    <row r="617" spans="1:38">
      <c r="A617" s="2" t="s">
        <v>26</v>
      </c>
      <c r="B617" s="2">
        <v>9964</v>
      </c>
      <c r="C617" s="2" t="s">
        <v>2067</v>
      </c>
      <c r="D617" s="2" t="s">
        <v>2068</v>
      </c>
      <c r="E617" s="4" t="s">
        <v>1305</v>
      </c>
      <c r="F617" s="2" t="s">
        <v>2434</v>
      </c>
      <c r="G617" s="2" t="s">
        <v>2435</v>
      </c>
      <c r="H617" s="2" t="s">
        <v>319</v>
      </c>
      <c r="I617" s="2" t="s">
        <v>966</v>
      </c>
      <c r="J617" s="2" t="s">
        <v>31</v>
      </c>
      <c r="K617" s="2" t="s">
        <v>31</v>
      </c>
      <c r="L617" s="2" t="s">
        <v>325</v>
      </c>
      <c r="M617" s="2" t="s">
        <v>40</v>
      </c>
      <c r="N617" s="2" t="s">
        <v>440</v>
      </c>
      <c r="O617" s="2" t="s">
        <v>136</v>
      </c>
      <c r="P617" s="2" t="s">
        <v>1890</v>
      </c>
      <c r="Q617" s="2" t="s">
        <v>412</v>
      </c>
      <c r="R617" s="2" t="s">
        <v>405</v>
      </c>
      <c r="S617" s="2" t="s">
        <v>35</v>
      </c>
      <c r="T617" s="153">
        <v>0.51100000000000001</v>
      </c>
      <c r="U617" s="2" t="s">
        <v>1933</v>
      </c>
      <c r="V617" s="165">
        <v>4.9000000000000002E-2</v>
      </c>
      <c r="W617" s="167">
        <v>0.19692000000000001</v>
      </c>
      <c r="X617" s="4" t="s">
        <v>411</v>
      </c>
      <c r="Y617" s="4" t="s">
        <v>136</v>
      </c>
      <c r="Z617" s="153">
        <v>0.05</v>
      </c>
      <c r="AA617" s="153">
        <v>1</v>
      </c>
      <c r="AB617" s="153">
        <v>94.64</v>
      </c>
      <c r="AC617" s="11"/>
      <c r="AD617" s="153">
        <v>0</v>
      </c>
      <c r="AG617" s="2" t="s">
        <v>37</v>
      </c>
      <c r="AH617" s="167">
        <v>0</v>
      </c>
      <c r="AI617" s="167">
        <v>5.2496889359092702E-9</v>
      </c>
      <c r="AJ617" s="167">
        <v>1.3640959345871E-9</v>
      </c>
      <c r="AK617" s="161"/>
      <c r="AL617" s="153"/>
    </row>
    <row r="618" spans="1:38">
      <c r="A618" s="2" t="s">
        <v>26</v>
      </c>
      <c r="B618" s="2">
        <v>9964</v>
      </c>
      <c r="C618" s="2" t="s">
        <v>2067</v>
      </c>
      <c r="D618" s="2" t="s">
        <v>2068</v>
      </c>
      <c r="E618" s="4" t="s">
        <v>1305</v>
      </c>
      <c r="F618" s="2" t="s">
        <v>2069</v>
      </c>
      <c r="G618" s="2" t="s">
        <v>2070</v>
      </c>
      <c r="H618" s="2" t="s">
        <v>319</v>
      </c>
      <c r="I618" s="2" t="s">
        <v>966</v>
      </c>
      <c r="J618" s="2" t="s">
        <v>31</v>
      </c>
      <c r="K618" s="2" t="s">
        <v>31</v>
      </c>
      <c r="L618" s="2" t="s">
        <v>325</v>
      </c>
      <c r="M618" s="2" t="s">
        <v>40</v>
      </c>
      <c r="N618" s="2" t="s">
        <v>440</v>
      </c>
      <c r="O618" s="2" t="s">
        <v>136</v>
      </c>
      <c r="P618" s="2" t="s">
        <v>1890</v>
      </c>
      <c r="Q618" s="2" t="s">
        <v>412</v>
      </c>
      <c r="R618" s="2" t="s">
        <v>405</v>
      </c>
      <c r="S618" s="2" t="s">
        <v>35</v>
      </c>
      <c r="T618" s="153">
        <v>1.169</v>
      </c>
      <c r="U618" s="2" t="s">
        <v>2071</v>
      </c>
      <c r="V618" s="165">
        <v>3.4000000000000002E-2</v>
      </c>
      <c r="W618" s="167">
        <v>0.17133999999999999</v>
      </c>
      <c r="X618" s="4" t="s">
        <v>411</v>
      </c>
      <c r="Y618" s="4" t="s">
        <v>136</v>
      </c>
      <c r="Z618" s="153">
        <v>56400</v>
      </c>
      <c r="AA618" s="153">
        <v>1</v>
      </c>
      <c r="AB618" s="153">
        <v>86.38</v>
      </c>
      <c r="AC618" s="11"/>
      <c r="AD618" s="153">
        <v>48.718000000000004</v>
      </c>
      <c r="AG618" s="2" t="s">
        <v>37</v>
      </c>
      <c r="AH618" s="167">
        <v>2.2900000000000001E-4</v>
      </c>
      <c r="AI618" s="167">
        <v>5.4048187971278E-3</v>
      </c>
      <c r="AJ618" s="167">
        <v>1.4044053730328299E-3</v>
      </c>
      <c r="AK618" s="161"/>
      <c r="AL618" s="153"/>
    </row>
    <row r="619" spans="1:38">
      <c r="A619" s="2" t="s">
        <v>26</v>
      </c>
      <c r="B619" s="2">
        <v>9964</v>
      </c>
      <c r="C619" s="2" t="s">
        <v>2067</v>
      </c>
      <c r="D619" s="2" t="s">
        <v>2068</v>
      </c>
      <c r="E619" s="4" t="s">
        <v>1305</v>
      </c>
      <c r="F619" s="2" t="s">
        <v>2072</v>
      </c>
      <c r="G619" s="2" t="s">
        <v>2073</v>
      </c>
      <c r="H619" s="2" t="s">
        <v>319</v>
      </c>
      <c r="I619" s="2" t="s">
        <v>966</v>
      </c>
      <c r="J619" s="2" t="s">
        <v>31</v>
      </c>
      <c r="K619" s="2" t="s">
        <v>31</v>
      </c>
      <c r="L619" s="2" t="s">
        <v>325</v>
      </c>
      <c r="M619" s="2" t="s">
        <v>40</v>
      </c>
      <c r="N619" s="2" t="s">
        <v>440</v>
      </c>
      <c r="O619" s="2" t="s">
        <v>136</v>
      </c>
      <c r="P619" s="2" t="s">
        <v>1890</v>
      </c>
      <c r="Q619" s="2" t="s">
        <v>412</v>
      </c>
      <c r="R619" s="2" t="s">
        <v>405</v>
      </c>
      <c r="S619" s="2" t="s">
        <v>35</v>
      </c>
      <c r="T619" s="153">
        <v>1.8029999999999999</v>
      </c>
      <c r="U619" s="2" t="s">
        <v>1822</v>
      </c>
      <c r="V619" s="165">
        <v>8.6999999999999994E-2</v>
      </c>
      <c r="W619" s="167">
        <v>0.20196</v>
      </c>
      <c r="X619" s="4" t="s">
        <v>411</v>
      </c>
      <c r="Y619" s="4" t="s">
        <v>136</v>
      </c>
      <c r="Z619" s="153">
        <v>41104</v>
      </c>
      <c r="AA619" s="153">
        <v>1</v>
      </c>
      <c r="AB619" s="153">
        <v>85.15</v>
      </c>
      <c r="AC619" s="11"/>
      <c r="AD619" s="153">
        <v>35</v>
      </c>
      <c r="AG619" s="2" t="s">
        <v>37</v>
      </c>
      <c r="AH619" s="167">
        <v>3.3799999999999998E-4</v>
      </c>
      <c r="AI619" s="167">
        <v>3.8829122303339998E-3</v>
      </c>
      <c r="AJ619" s="167">
        <v>1.00894831149452E-3</v>
      </c>
      <c r="AK619" s="161"/>
      <c r="AL619" s="153"/>
    </row>
    <row r="620" spans="1:38">
      <c r="A620" s="2" t="s">
        <v>26</v>
      </c>
      <c r="B620" s="2">
        <v>9964</v>
      </c>
      <c r="C620" s="2" t="s">
        <v>2074</v>
      </c>
      <c r="D620" s="2" t="s">
        <v>2075</v>
      </c>
      <c r="E620" s="4" t="s">
        <v>1305</v>
      </c>
      <c r="F620" s="2" t="s">
        <v>2076</v>
      </c>
      <c r="G620" s="2" t="s">
        <v>2077</v>
      </c>
      <c r="H620" s="2" t="s">
        <v>319</v>
      </c>
      <c r="I620" s="2" t="s">
        <v>966</v>
      </c>
      <c r="J620" s="2" t="s">
        <v>31</v>
      </c>
      <c r="K620" s="2" t="s">
        <v>31</v>
      </c>
      <c r="L620" s="2" t="s">
        <v>325</v>
      </c>
      <c r="M620" s="2" t="s">
        <v>40</v>
      </c>
      <c r="N620" s="2" t="s">
        <v>440</v>
      </c>
      <c r="O620" s="2" t="s">
        <v>136</v>
      </c>
      <c r="P620" s="2" t="s">
        <v>1720</v>
      </c>
      <c r="Q620" s="2" t="s">
        <v>104</v>
      </c>
      <c r="R620" s="2" t="s">
        <v>405</v>
      </c>
      <c r="S620" s="2" t="s">
        <v>35</v>
      </c>
      <c r="T620" s="153">
        <v>1.4410000000000001</v>
      </c>
      <c r="U620" s="2" t="s">
        <v>2078</v>
      </c>
      <c r="V620" s="165">
        <v>0.114</v>
      </c>
      <c r="W620" s="167">
        <v>6.4250000000000002E-2</v>
      </c>
      <c r="X620" s="4" t="s">
        <v>411</v>
      </c>
      <c r="Y620" s="4" t="s">
        <v>136</v>
      </c>
      <c r="Z620" s="153">
        <v>60000</v>
      </c>
      <c r="AA620" s="153">
        <v>1</v>
      </c>
      <c r="AB620" s="153">
        <v>100.84</v>
      </c>
      <c r="AC620" s="11"/>
      <c r="AD620" s="153">
        <v>60.503999999999998</v>
      </c>
      <c r="AG620" s="2" t="s">
        <v>37</v>
      </c>
      <c r="AH620" s="167">
        <v>1.8799999999999999E-4</v>
      </c>
      <c r="AI620" s="167">
        <v>6.7123241626849996E-3</v>
      </c>
      <c r="AJ620" s="167">
        <v>1.74415174189049E-3</v>
      </c>
      <c r="AK620" s="161"/>
      <c r="AL620" s="153"/>
    </row>
    <row r="621" spans="1:38">
      <c r="A621" s="2" t="s">
        <v>26</v>
      </c>
      <c r="B621" s="2">
        <v>9964</v>
      </c>
      <c r="C621" s="2" t="s">
        <v>2079</v>
      </c>
      <c r="D621" s="2" t="s">
        <v>2080</v>
      </c>
      <c r="E621" s="4" t="s">
        <v>1305</v>
      </c>
      <c r="F621" s="2" t="s">
        <v>2081</v>
      </c>
      <c r="G621" s="2" t="s">
        <v>2082</v>
      </c>
      <c r="H621" s="2" t="s">
        <v>319</v>
      </c>
      <c r="I621" s="2" t="s">
        <v>754</v>
      </c>
      <c r="J621" s="2" t="s">
        <v>31</v>
      </c>
      <c r="K621" s="2" t="s">
        <v>31</v>
      </c>
      <c r="L621" s="2" t="s">
        <v>325</v>
      </c>
      <c r="M621" s="2" t="s">
        <v>40</v>
      </c>
      <c r="N621" s="2" t="s">
        <v>444</v>
      </c>
      <c r="O621" s="2" t="s">
        <v>136</v>
      </c>
      <c r="P621" s="2" t="s">
        <v>2083</v>
      </c>
      <c r="Q621" s="2" t="s">
        <v>104</v>
      </c>
      <c r="R621" s="2" t="s">
        <v>405</v>
      </c>
      <c r="S621" s="2" t="s">
        <v>35</v>
      </c>
      <c r="T621" s="153">
        <v>3.6669999999999998</v>
      </c>
      <c r="U621" s="2" t="s">
        <v>2084</v>
      </c>
      <c r="V621" s="165">
        <v>2.07E-2</v>
      </c>
      <c r="W621" s="167">
        <v>4.2130000000000001E-2</v>
      </c>
      <c r="X621" s="4" t="s">
        <v>411</v>
      </c>
      <c r="Y621" s="4" t="s">
        <v>136</v>
      </c>
      <c r="Z621" s="153">
        <v>32000</v>
      </c>
      <c r="AA621" s="153">
        <v>1</v>
      </c>
      <c r="AB621" s="153">
        <v>101.49</v>
      </c>
      <c r="AC621" s="11"/>
      <c r="AD621" s="153">
        <v>32.476999999999997</v>
      </c>
      <c r="AG621" s="2" t="s">
        <v>37</v>
      </c>
      <c r="AH621" s="167">
        <v>6.8999999999999997E-5</v>
      </c>
      <c r="AI621" s="167">
        <v>3.6029817758609101E-3</v>
      </c>
      <c r="AJ621" s="167">
        <v>9.3621028842769203E-4</v>
      </c>
      <c r="AK621" s="161"/>
      <c r="AL621" s="153"/>
    </row>
    <row r="622" spans="1:38">
      <c r="A622" s="2" t="s">
        <v>26</v>
      </c>
      <c r="B622" s="2">
        <v>9964</v>
      </c>
      <c r="C622" s="2" t="s">
        <v>2079</v>
      </c>
      <c r="D622" s="2" t="s">
        <v>2080</v>
      </c>
      <c r="E622" s="4" t="s">
        <v>1305</v>
      </c>
      <c r="F622" s="2" t="s">
        <v>2085</v>
      </c>
      <c r="G622" s="2" t="s">
        <v>2082</v>
      </c>
      <c r="H622" s="2" t="s">
        <v>319</v>
      </c>
      <c r="I622" s="2" t="s">
        <v>754</v>
      </c>
      <c r="J622" s="2" t="s">
        <v>31</v>
      </c>
      <c r="K622" s="2" t="s">
        <v>31</v>
      </c>
      <c r="L622" s="23" t="s">
        <v>327</v>
      </c>
      <c r="M622" s="2" t="s">
        <v>40</v>
      </c>
      <c r="N622" s="2" t="s">
        <v>444</v>
      </c>
      <c r="O622" s="2" t="s">
        <v>136</v>
      </c>
      <c r="P622" s="2" t="s">
        <v>2083</v>
      </c>
      <c r="Q622" s="2" t="s">
        <v>104</v>
      </c>
      <c r="R622" s="2" t="s">
        <v>405</v>
      </c>
      <c r="S622" s="2" t="s">
        <v>35</v>
      </c>
      <c r="T622" s="158" t="s">
        <v>2845</v>
      </c>
      <c r="U622" s="2" t="s">
        <v>2084</v>
      </c>
      <c r="V622" s="165">
        <v>1.8200000000000001E-2</v>
      </c>
      <c r="W622" s="167">
        <v>4.2099999999999999E-2</v>
      </c>
      <c r="X622" s="4" t="s">
        <v>411</v>
      </c>
      <c r="Y622" s="4" t="s">
        <v>136</v>
      </c>
      <c r="Z622" s="153">
        <v>72000</v>
      </c>
      <c r="AA622" s="153">
        <v>1</v>
      </c>
      <c r="AB622" s="153">
        <v>100.203</v>
      </c>
      <c r="AC622" s="11"/>
      <c r="AD622" s="153">
        <v>72.146000000000001</v>
      </c>
      <c r="AG622" s="2" t="s">
        <v>37</v>
      </c>
      <c r="AH622" s="167">
        <v>0</v>
      </c>
      <c r="AI622" s="167">
        <v>8.0039073947662694E-3</v>
      </c>
      <c r="AJ622" s="167">
        <v>2.0797608527487401E-3</v>
      </c>
      <c r="AK622" s="161"/>
      <c r="AL622" s="153"/>
    </row>
    <row r="623" spans="1:38">
      <c r="A623" s="2" t="s">
        <v>26</v>
      </c>
      <c r="B623" s="2">
        <v>9964</v>
      </c>
      <c r="C623" s="2" t="s">
        <v>1534</v>
      </c>
      <c r="D623" s="2" t="s">
        <v>1535</v>
      </c>
      <c r="E623" s="4" t="s">
        <v>1305</v>
      </c>
      <c r="F623" s="2" t="s">
        <v>2086</v>
      </c>
      <c r="G623" s="2" t="s">
        <v>2087</v>
      </c>
      <c r="H623" s="2" t="s">
        <v>319</v>
      </c>
      <c r="I623" s="2" t="s">
        <v>966</v>
      </c>
      <c r="J623" s="2" t="s">
        <v>31</v>
      </c>
      <c r="K623" s="2" t="s">
        <v>74</v>
      </c>
      <c r="L623" s="23" t="s">
        <v>327</v>
      </c>
      <c r="M623" s="2" t="s">
        <v>40</v>
      </c>
      <c r="N623" s="2" t="s">
        <v>451</v>
      </c>
      <c r="O623" s="2" t="s">
        <v>136</v>
      </c>
      <c r="P623" s="2" t="s">
        <v>1724</v>
      </c>
      <c r="Q623" s="2" t="s">
        <v>412</v>
      </c>
      <c r="R623" s="2" t="s">
        <v>405</v>
      </c>
      <c r="S623" s="2" t="s">
        <v>35</v>
      </c>
      <c r="T623" s="153">
        <v>3.52</v>
      </c>
      <c r="U623" s="2" t="s">
        <v>2088</v>
      </c>
      <c r="V623" s="165">
        <v>6.5000000000000002E-2</v>
      </c>
      <c r="W623" s="167">
        <v>6.1499999999999999E-2</v>
      </c>
      <c r="X623" s="4" t="s">
        <v>411</v>
      </c>
      <c r="Y623" s="4" t="s">
        <v>136</v>
      </c>
      <c r="Z623" s="153">
        <v>67000</v>
      </c>
      <c r="AA623" s="153">
        <v>1</v>
      </c>
      <c r="AB623" s="153">
        <v>101.78</v>
      </c>
      <c r="AC623" s="11"/>
      <c r="AD623" s="153">
        <v>68.192999999999998</v>
      </c>
      <c r="AG623" s="2" t="s">
        <v>37</v>
      </c>
      <c r="AH623" s="167">
        <v>0</v>
      </c>
      <c r="AI623" s="167">
        <v>7.56530620160704E-3</v>
      </c>
      <c r="AJ623" s="167">
        <v>1.9657933183294999E-3</v>
      </c>
      <c r="AK623" s="161"/>
      <c r="AL623" s="153"/>
    </row>
    <row r="624" spans="1:38">
      <c r="A624" s="2" t="s">
        <v>26</v>
      </c>
      <c r="B624" s="2">
        <v>9964</v>
      </c>
      <c r="C624" s="2" t="s">
        <v>1534</v>
      </c>
      <c r="D624" s="2" t="s">
        <v>1535</v>
      </c>
      <c r="E624" s="4" t="s">
        <v>1305</v>
      </c>
      <c r="F624" s="2" t="s">
        <v>2089</v>
      </c>
      <c r="G624" s="2" t="s">
        <v>2090</v>
      </c>
      <c r="H624" s="2" t="s">
        <v>319</v>
      </c>
      <c r="I624" s="2" t="s">
        <v>966</v>
      </c>
      <c r="J624" s="2" t="s">
        <v>31</v>
      </c>
      <c r="K624" s="2" t="s">
        <v>31</v>
      </c>
      <c r="L624" s="2" t="s">
        <v>325</v>
      </c>
      <c r="M624" s="2" t="s">
        <v>32</v>
      </c>
      <c r="N624" s="2" t="s">
        <v>451</v>
      </c>
      <c r="O624" s="2" t="s">
        <v>136</v>
      </c>
      <c r="P624" s="2" t="s">
        <v>1724</v>
      </c>
      <c r="Q624" s="2" t="s">
        <v>412</v>
      </c>
      <c r="R624" s="2" t="s">
        <v>405</v>
      </c>
      <c r="S624" s="2" t="s">
        <v>35</v>
      </c>
      <c r="T624" s="153">
        <v>4.1399999999999997</v>
      </c>
      <c r="U624" s="2" t="s">
        <v>1767</v>
      </c>
      <c r="V624" s="165">
        <v>6.7000000000000004E-2</v>
      </c>
      <c r="W624" s="167">
        <v>6.089E-2</v>
      </c>
      <c r="X624" s="4" t="s">
        <v>411</v>
      </c>
      <c r="Y624" s="4" t="s">
        <v>136</v>
      </c>
      <c r="Z624" s="153">
        <v>55000</v>
      </c>
      <c r="AA624" s="153">
        <v>1</v>
      </c>
      <c r="AB624" s="153">
        <v>103.21</v>
      </c>
      <c r="AC624" s="11"/>
      <c r="AD624" s="153">
        <v>56.765999999999998</v>
      </c>
      <c r="AG624" s="2" t="s">
        <v>37</v>
      </c>
      <c r="AH624" s="167">
        <v>0</v>
      </c>
      <c r="AI624" s="167">
        <v>6.2975743299103501E-3</v>
      </c>
      <c r="AJ624" s="167">
        <v>1.63638182110744E-3</v>
      </c>
      <c r="AK624" s="161"/>
      <c r="AL624" s="153"/>
    </row>
    <row r="625" spans="1:38">
      <c r="A625" s="2" t="s">
        <v>26</v>
      </c>
      <c r="B625" s="2">
        <v>9964</v>
      </c>
      <c r="C625" s="2" t="s">
        <v>1318</v>
      </c>
      <c r="D625" s="2" t="s">
        <v>1319</v>
      </c>
      <c r="E625" s="4" t="s">
        <v>1305</v>
      </c>
      <c r="F625" s="2" t="s">
        <v>2091</v>
      </c>
      <c r="G625" s="2" t="s">
        <v>2092</v>
      </c>
      <c r="H625" s="2" t="s">
        <v>319</v>
      </c>
      <c r="I625" s="2" t="s">
        <v>754</v>
      </c>
      <c r="J625" s="2" t="s">
        <v>31</v>
      </c>
      <c r="K625" s="2" t="s">
        <v>31</v>
      </c>
      <c r="L625" s="2" t="s">
        <v>325</v>
      </c>
      <c r="M625" s="2" t="s">
        <v>40</v>
      </c>
      <c r="N625" s="2" t="s">
        <v>438</v>
      </c>
      <c r="O625" s="2" t="s">
        <v>136</v>
      </c>
      <c r="P625" s="2" t="s">
        <v>1752</v>
      </c>
      <c r="Q625" s="23" t="s">
        <v>1752</v>
      </c>
      <c r="R625" s="23" t="s">
        <v>1752</v>
      </c>
      <c r="S625" s="2" t="s">
        <v>35</v>
      </c>
      <c r="T625" s="153">
        <v>2.7650000000000001</v>
      </c>
      <c r="U625" s="2" t="s">
        <v>1849</v>
      </c>
      <c r="V625" s="165">
        <v>1.4800000000000001E-2</v>
      </c>
      <c r="W625" s="167">
        <v>3.6080000000000001E-2</v>
      </c>
      <c r="X625" s="4" t="s">
        <v>411</v>
      </c>
      <c r="Y625" s="4" t="s">
        <v>136</v>
      </c>
      <c r="Z625" s="153">
        <v>75600</v>
      </c>
      <c r="AA625" s="153">
        <v>1</v>
      </c>
      <c r="AB625" s="153">
        <v>103.65</v>
      </c>
      <c r="AC625" s="11"/>
      <c r="AD625" s="153">
        <v>78.358999999999995</v>
      </c>
      <c r="AG625" s="2" t="s">
        <v>37</v>
      </c>
      <c r="AH625" s="167">
        <v>8.7000000000000001E-5</v>
      </c>
      <c r="AI625" s="167">
        <v>8.6932053086324797E-3</v>
      </c>
      <c r="AJ625" s="167">
        <v>2.2588702235140398E-3</v>
      </c>
      <c r="AK625" s="161"/>
      <c r="AL625" s="153"/>
    </row>
    <row r="626" spans="1:38">
      <c r="A626" s="2" t="s">
        <v>26</v>
      </c>
      <c r="B626" s="2">
        <v>9964</v>
      </c>
      <c r="C626" s="2" t="s">
        <v>1552</v>
      </c>
      <c r="D626" s="2" t="s">
        <v>1553</v>
      </c>
      <c r="E626" s="4" t="s">
        <v>1305</v>
      </c>
      <c r="F626" s="2" t="s">
        <v>2095</v>
      </c>
      <c r="G626" s="2" t="s">
        <v>2096</v>
      </c>
      <c r="H626" s="2" t="s">
        <v>319</v>
      </c>
      <c r="I626" s="2" t="s">
        <v>754</v>
      </c>
      <c r="J626" s="2" t="s">
        <v>31</v>
      </c>
      <c r="K626" s="2" t="s">
        <v>31</v>
      </c>
      <c r="L626" s="2" t="s">
        <v>325</v>
      </c>
      <c r="M626" s="2" t="s">
        <v>40</v>
      </c>
      <c r="N626" s="2" t="s">
        <v>461</v>
      </c>
      <c r="O626" s="2" t="s">
        <v>136</v>
      </c>
      <c r="P626" s="2" t="s">
        <v>1772</v>
      </c>
      <c r="Q626" s="2" t="s">
        <v>412</v>
      </c>
      <c r="R626" s="2" t="s">
        <v>405</v>
      </c>
      <c r="S626" s="2" t="s">
        <v>35</v>
      </c>
      <c r="T626" s="153">
        <v>4.4139999999999997</v>
      </c>
      <c r="U626" s="2" t="s">
        <v>1773</v>
      </c>
      <c r="V626" s="165">
        <v>3.6200000000000003E-2</v>
      </c>
      <c r="W626" s="167">
        <v>3.5619999999999999E-2</v>
      </c>
      <c r="X626" s="4" t="s">
        <v>411</v>
      </c>
      <c r="Y626" s="4" t="s">
        <v>136</v>
      </c>
      <c r="Z626" s="153">
        <v>29100</v>
      </c>
      <c r="AA626" s="153">
        <v>1</v>
      </c>
      <c r="AB626" s="153">
        <v>103.98</v>
      </c>
      <c r="AC626" s="11"/>
      <c r="AD626" s="153">
        <v>30.257999999999999</v>
      </c>
      <c r="AG626" s="2" t="s">
        <v>37</v>
      </c>
      <c r="AH626" s="167">
        <v>1.5999999999999999E-5</v>
      </c>
      <c r="AI626" s="167">
        <v>3.3568476916050502E-3</v>
      </c>
      <c r="AJ626" s="167">
        <v>8.7225402210491798E-4</v>
      </c>
      <c r="AK626" s="161"/>
      <c r="AL626" s="153"/>
    </row>
    <row r="627" spans="1:38">
      <c r="A627" s="2" t="s">
        <v>26</v>
      </c>
      <c r="B627" s="2">
        <v>9964</v>
      </c>
      <c r="C627" s="2" t="s">
        <v>2097</v>
      </c>
      <c r="D627" s="2" t="s">
        <v>2098</v>
      </c>
      <c r="E627" s="4" t="s">
        <v>311</v>
      </c>
      <c r="F627" s="2" t="s">
        <v>2099</v>
      </c>
      <c r="G627" s="2" t="s">
        <v>2100</v>
      </c>
      <c r="H627" s="2" t="s">
        <v>319</v>
      </c>
      <c r="I627" s="2" t="s">
        <v>966</v>
      </c>
      <c r="J627" s="2" t="s">
        <v>31</v>
      </c>
      <c r="K627" s="2" t="s">
        <v>31</v>
      </c>
      <c r="L627" s="2" t="s">
        <v>325</v>
      </c>
      <c r="M627" s="2" t="s">
        <v>40</v>
      </c>
      <c r="N627" s="2" t="s">
        <v>462</v>
      </c>
      <c r="O627" s="2" t="s">
        <v>136</v>
      </c>
      <c r="P627" s="2" t="s">
        <v>1748</v>
      </c>
      <c r="Q627" s="2" t="s">
        <v>412</v>
      </c>
      <c r="R627" s="2" t="s">
        <v>405</v>
      </c>
      <c r="S627" s="2" t="s">
        <v>35</v>
      </c>
      <c r="T627" s="153">
        <v>2.8650000000000002</v>
      </c>
      <c r="U627" s="2" t="s">
        <v>1822</v>
      </c>
      <c r="V627" s="165">
        <v>6.3500000000000001E-2</v>
      </c>
      <c r="W627" s="167">
        <v>5.8930000000000003E-2</v>
      </c>
      <c r="X627" s="4" t="s">
        <v>411</v>
      </c>
      <c r="Y627" s="4" t="s">
        <v>136</v>
      </c>
      <c r="Z627" s="153">
        <v>31000</v>
      </c>
      <c r="AA627" s="153">
        <v>1</v>
      </c>
      <c r="AB627" s="153">
        <v>103.15</v>
      </c>
      <c r="AC627" s="11"/>
      <c r="AD627" s="153">
        <v>31.977</v>
      </c>
      <c r="AG627" s="2" t="s">
        <v>37</v>
      </c>
      <c r="AH627" s="167">
        <v>7.6000000000000004E-5</v>
      </c>
      <c r="AI627" s="167">
        <v>3.5474784078424102E-3</v>
      </c>
      <c r="AJ627" s="167">
        <v>9.2178811606771901E-4</v>
      </c>
      <c r="AK627" s="161"/>
      <c r="AL627" s="153"/>
    </row>
    <row r="628" spans="1:38">
      <c r="A628" s="2" t="s">
        <v>26</v>
      </c>
      <c r="B628" s="2">
        <v>9964</v>
      </c>
      <c r="C628" s="2" t="s">
        <v>1559</v>
      </c>
      <c r="D628" s="2" t="s">
        <v>1560</v>
      </c>
      <c r="E628" s="4" t="s">
        <v>1305</v>
      </c>
      <c r="F628" s="2" t="s">
        <v>2101</v>
      </c>
      <c r="G628" s="2" t="s">
        <v>2102</v>
      </c>
      <c r="H628" s="2" t="s">
        <v>319</v>
      </c>
      <c r="I628" s="2" t="s">
        <v>754</v>
      </c>
      <c r="J628" s="2" t="s">
        <v>31</v>
      </c>
      <c r="K628" s="2" t="s">
        <v>31</v>
      </c>
      <c r="L628" s="2" t="s">
        <v>325</v>
      </c>
      <c r="M628" s="2" t="s">
        <v>40</v>
      </c>
      <c r="N628" s="2" t="s">
        <v>438</v>
      </c>
      <c r="O628" s="2" t="s">
        <v>136</v>
      </c>
      <c r="P628" s="2" t="s">
        <v>1752</v>
      </c>
      <c r="Q628" s="23" t="s">
        <v>1752</v>
      </c>
      <c r="R628" s="23" t="s">
        <v>1752</v>
      </c>
      <c r="S628" s="2" t="s">
        <v>35</v>
      </c>
      <c r="T628" s="153">
        <v>2.57</v>
      </c>
      <c r="U628" s="2" t="s">
        <v>1849</v>
      </c>
      <c r="V628" s="165">
        <v>2.3E-2</v>
      </c>
      <c r="W628" s="167">
        <v>4.7849999999999997E-2</v>
      </c>
      <c r="X628" s="4" t="s">
        <v>411</v>
      </c>
      <c r="Y628" s="4" t="s">
        <v>136</v>
      </c>
      <c r="Z628" s="153">
        <v>59172.3</v>
      </c>
      <c r="AA628" s="153">
        <v>1</v>
      </c>
      <c r="AB628" s="153">
        <v>102.88</v>
      </c>
      <c r="AC628" s="11"/>
      <c r="AD628" s="153">
        <v>60.875999999999998</v>
      </c>
      <c r="AG628" s="2" t="s">
        <v>37</v>
      </c>
      <c r="AH628" s="167">
        <v>2.4499999999999999E-4</v>
      </c>
      <c r="AI628" s="167">
        <v>6.7536451876294701E-3</v>
      </c>
      <c r="AJ628" s="167">
        <v>1.7548887289439801E-3</v>
      </c>
      <c r="AK628" s="161"/>
      <c r="AL628" s="153"/>
    </row>
    <row r="629" spans="1:38">
      <c r="A629" s="2" t="s">
        <v>26</v>
      </c>
      <c r="B629" s="2">
        <v>9964</v>
      </c>
      <c r="C629" s="2" t="s">
        <v>2103</v>
      </c>
      <c r="D629" s="2" t="s">
        <v>2104</v>
      </c>
      <c r="E629" s="4" t="s">
        <v>1305</v>
      </c>
      <c r="F629" s="2" t="s">
        <v>2105</v>
      </c>
      <c r="G629" s="2" t="s">
        <v>2106</v>
      </c>
      <c r="H629" s="2" t="s">
        <v>319</v>
      </c>
      <c r="I629" s="2" t="s">
        <v>754</v>
      </c>
      <c r="J629" s="2" t="s">
        <v>31</v>
      </c>
      <c r="K629" s="2" t="s">
        <v>31</v>
      </c>
      <c r="L629" s="2" t="s">
        <v>325</v>
      </c>
      <c r="M629" s="2" t="s">
        <v>40</v>
      </c>
      <c r="N629" s="2" t="s">
        <v>438</v>
      </c>
      <c r="O629" s="2" t="s">
        <v>136</v>
      </c>
      <c r="P629" s="2" t="s">
        <v>1752</v>
      </c>
      <c r="Q629" s="23" t="s">
        <v>1752</v>
      </c>
      <c r="R629" s="23" t="s">
        <v>1752</v>
      </c>
      <c r="S629" s="2" t="s">
        <v>35</v>
      </c>
      <c r="T629" s="153">
        <v>2.57</v>
      </c>
      <c r="U629" s="2" t="s">
        <v>1849</v>
      </c>
      <c r="V629" s="165">
        <v>2.9499999999999998E-2</v>
      </c>
      <c r="W629" s="167">
        <v>3.9440000000000003E-2</v>
      </c>
      <c r="X629" s="4" t="s">
        <v>411</v>
      </c>
      <c r="Y629" s="4" t="s">
        <v>136</v>
      </c>
      <c r="Z629" s="153">
        <v>29450</v>
      </c>
      <c r="AA629" s="153">
        <v>1</v>
      </c>
      <c r="AB629" s="153">
        <v>105.44</v>
      </c>
      <c r="AC629" s="11"/>
      <c r="AD629" s="153">
        <v>31.052</v>
      </c>
      <c r="AG629" s="2" t="s">
        <v>37</v>
      </c>
      <c r="AH629" s="167">
        <v>1.6200000000000001E-4</v>
      </c>
      <c r="AI629" s="167">
        <v>3.4449230941033301E-3</v>
      </c>
      <c r="AJ629" s="167">
        <v>8.9513981590180595E-4</v>
      </c>
      <c r="AK629" s="161"/>
      <c r="AL629" s="153"/>
    </row>
    <row r="630" spans="1:38">
      <c r="A630" s="2" t="s">
        <v>26</v>
      </c>
      <c r="B630" s="2">
        <v>9964</v>
      </c>
      <c r="C630" s="2" t="s">
        <v>2107</v>
      </c>
      <c r="D630" s="2" t="s">
        <v>2108</v>
      </c>
      <c r="E630" s="4" t="s">
        <v>34</v>
      </c>
      <c r="F630" s="2" t="s">
        <v>2111</v>
      </c>
      <c r="G630" s="2" t="s">
        <v>2112</v>
      </c>
      <c r="H630" s="2" t="s">
        <v>319</v>
      </c>
      <c r="I630" s="2" t="s">
        <v>966</v>
      </c>
      <c r="J630" s="2" t="s">
        <v>31</v>
      </c>
      <c r="K630" s="2" t="s">
        <v>74</v>
      </c>
      <c r="L630" s="2" t="s">
        <v>325</v>
      </c>
      <c r="M630" s="2" t="s">
        <v>40</v>
      </c>
      <c r="N630" s="2" t="s">
        <v>462</v>
      </c>
      <c r="O630" s="2" t="s">
        <v>136</v>
      </c>
      <c r="P630" s="2" t="s">
        <v>1772</v>
      </c>
      <c r="Q630" s="2" t="s">
        <v>412</v>
      </c>
      <c r="R630" s="2" t="s">
        <v>405</v>
      </c>
      <c r="S630" s="2" t="s">
        <v>35</v>
      </c>
      <c r="T630" s="153">
        <v>2.15</v>
      </c>
      <c r="U630" s="2" t="s">
        <v>2078</v>
      </c>
      <c r="V630" s="165">
        <v>9.0999999999999998E-2</v>
      </c>
      <c r="W630" s="167">
        <v>6.9690000000000002E-2</v>
      </c>
      <c r="X630" s="4" t="s">
        <v>411</v>
      </c>
      <c r="Y630" s="4" t="s">
        <v>136</v>
      </c>
      <c r="Z630" s="153">
        <v>58000</v>
      </c>
      <c r="AA630" s="153">
        <v>1</v>
      </c>
      <c r="AB630" s="153">
        <v>104.76</v>
      </c>
      <c r="AC630" s="11"/>
      <c r="AD630" s="153">
        <v>60.761000000000003</v>
      </c>
      <c r="AG630" s="2" t="s">
        <v>37</v>
      </c>
      <c r="AH630" s="167">
        <v>3.79E-4</v>
      </c>
      <c r="AI630" s="167">
        <v>6.7408135988376201E-3</v>
      </c>
      <c r="AJ630" s="167">
        <v>1.75155452794294E-3</v>
      </c>
      <c r="AK630" s="161"/>
      <c r="AL630" s="153"/>
    </row>
    <row r="631" spans="1:38">
      <c r="A631" s="2" t="s">
        <v>26</v>
      </c>
      <c r="B631" s="2">
        <v>9964</v>
      </c>
      <c r="C631" s="2" t="s">
        <v>2113</v>
      </c>
      <c r="D631" s="2" t="s">
        <v>2114</v>
      </c>
      <c r="E631" s="4" t="s">
        <v>34</v>
      </c>
      <c r="F631" s="2" t="s">
        <v>2115</v>
      </c>
      <c r="G631" s="2" t="s">
        <v>2116</v>
      </c>
      <c r="H631" s="2" t="s">
        <v>319</v>
      </c>
      <c r="I631" s="2" t="s">
        <v>755</v>
      </c>
      <c r="J631" s="2" t="s">
        <v>31</v>
      </c>
      <c r="K631" s="2" t="s">
        <v>74</v>
      </c>
      <c r="L631" s="23" t="s">
        <v>327</v>
      </c>
      <c r="M631" s="2" t="s">
        <v>40</v>
      </c>
      <c r="N631" s="2" t="s">
        <v>440</v>
      </c>
      <c r="O631" s="2" t="s">
        <v>136</v>
      </c>
      <c r="P631" s="2" t="s">
        <v>1896</v>
      </c>
      <c r="Q631" s="2" t="s">
        <v>104</v>
      </c>
      <c r="R631" s="2" t="s">
        <v>405</v>
      </c>
      <c r="S631" s="2" t="s">
        <v>35</v>
      </c>
      <c r="T631" s="153">
        <v>2.4</v>
      </c>
      <c r="U631" s="2" t="s">
        <v>2117</v>
      </c>
      <c r="V631" s="165">
        <v>8.9126999999999998E-2</v>
      </c>
      <c r="W631" s="167">
        <v>6.5500000000000003E-2</v>
      </c>
      <c r="X631" s="4" t="s">
        <v>411</v>
      </c>
      <c r="Y631" s="4" t="s">
        <v>136</v>
      </c>
      <c r="Z631" s="153">
        <v>46000</v>
      </c>
      <c r="AA631" s="153">
        <v>1</v>
      </c>
      <c r="AB631" s="153">
        <v>104.923</v>
      </c>
      <c r="AC631" s="11"/>
      <c r="AD631" s="153">
        <v>48.265000000000001</v>
      </c>
      <c r="AG631" s="2" t="s">
        <v>37</v>
      </c>
      <c r="AH631" s="167">
        <v>0</v>
      </c>
      <c r="AI631" s="167">
        <v>5.3544808035145396E-3</v>
      </c>
      <c r="AJ631" s="167">
        <v>1.39132538805059E-3</v>
      </c>
      <c r="AK631" s="161"/>
      <c r="AL631" s="153"/>
    </row>
    <row r="632" spans="1:38">
      <c r="A632" s="2" t="s">
        <v>26</v>
      </c>
      <c r="B632" s="2">
        <v>9964</v>
      </c>
      <c r="C632" s="2" t="s">
        <v>2118</v>
      </c>
      <c r="D632" s="2" t="s">
        <v>2119</v>
      </c>
      <c r="E632" s="4" t="s">
        <v>1305</v>
      </c>
      <c r="F632" s="2" t="s">
        <v>2120</v>
      </c>
      <c r="G632" s="2" t="s">
        <v>2121</v>
      </c>
      <c r="H632" s="2" t="s">
        <v>319</v>
      </c>
      <c r="I632" s="2" t="s">
        <v>966</v>
      </c>
      <c r="J632" s="2" t="s">
        <v>31</v>
      </c>
      <c r="K632" s="2" t="s">
        <v>31</v>
      </c>
      <c r="L632" s="2" t="s">
        <v>325</v>
      </c>
      <c r="M632" s="2" t="s">
        <v>40</v>
      </c>
      <c r="N632" s="2" t="s">
        <v>462</v>
      </c>
      <c r="O632" s="2" t="s">
        <v>136</v>
      </c>
      <c r="P632" s="2" t="s">
        <v>1752</v>
      </c>
      <c r="Q632" s="23" t="s">
        <v>1752</v>
      </c>
      <c r="R632" s="23" t="s">
        <v>1752</v>
      </c>
      <c r="S632" s="2" t="s">
        <v>35</v>
      </c>
      <c r="T632" s="153">
        <v>2.0870000000000002</v>
      </c>
      <c r="U632" s="2" t="s">
        <v>1788</v>
      </c>
      <c r="V632" s="165">
        <v>6.7500000000000004E-2</v>
      </c>
      <c r="W632" s="167">
        <v>7.4859999999999996E-2</v>
      </c>
      <c r="X632" s="4" t="s">
        <v>411</v>
      </c>
      <c r="Y632" s="4" t="s">
        <v>136</v>
      </c>
      <c r="Z632" s="153">
        <v>95000</v>
      </c>
      <c r="AA632" s="153">
        <v>1</v>
      </c>
      <c r="AB632" s="153">
        <v>100.49</v>
      </c>
      <c r="AC632" s="11"/>
      <c r="AD632" s="153">
        <v>95.465999999999994</v>
      </c>
      <c r="AG632" s="2" t="s">
        <v>37</v>
      </c>
      <c r="AH632" s="167">
        <v>3.2699999999999998E-4</v>
      </c>
      <c r="AI632" s="167">
        <v>1.05909589837499E-2</v>
      </c>
      <c r="AJ632" s="167">
        <v>2.7519885977034001E-3</v>
      </c>
      <c r="AK632" s="161"/>
      <c r="AL632" s="153"/>
    </row>
    <row r="633" spans="1:38">
      <c r="A633" s="2" t="s">
        <v>26</v>
      </c>
      <c r="B633" s="2">
        <v>9964</v>
      </c>
      <c r="C633" s="2" t="s">
        <v>2118</v>
      </c>
      <c r="D633" s="2" t="s">
        <v>2119</v>
      </c>
      <c r="E633" s="4" t="s">
        <v>1305</v>
      </c>
      <c r="F633" s="2" t="s">
        <v>2122</v>
      </c>
      <c r="G633" s="2" t="s">
        <v>2123</v>
      </c>
      <c r="H633" s="2" t="s">
        <v>319</v>
      </c>
      <c r="I633" s="2" t="s">
        <v>966</v>
      </c>
      <c r="J633" s="2" t="s">
        <v>31</v>
      </c>
      <c r="K633" s="2" t="s">
        <v>31</v>
      </c>
      <c r="L633" s="2" t="s">
        <v>325</v>
      </c>
      <c r="M633" s="2" t="s">
        <v>40</v>
      </c>
      <c r="N633" s="2" t="s">
        <v>462</v>
      </c>
      <c r="O633" s="2" t="s">
        <v>136</v>
      </c>
      <c r="P633" s="2" t="s">
        <v>1752</v>
      </c>
      <c r="Q633" s="23" t="s">
        <v>1752</v>
      </c>
      <c r="R633" s="23" t="s">
        <v>1752</v>
      </c>
      <c r="S633" s="2" t="s">
        <v>35</v>
      </c>
      <c r="T633" s="153">
        <v>0.748</v>
      </c>
      <c r="U633" s="2" t="s">
        <v>2124</v>
      </c>
      <c r="V633" s="165">
        <v>0.06</v>
      </c>
      <c r="W633" s="167">
        <v>0.14593</v>
      </c>
      <c r="X633" s="4" t="s">
        <v>411</v>
      </c>
      <c r="Y633" s="4" t="s">
        <v>136</v>
      </c>
      <c r="Z633" s="153">
        <v>8726.32</v>
      </c>
      <c r="AA633" s="153">
        <v>1</v>
      </c>
      <c r="AB633" s="153">
        <v>95.56</v>
      </c>
      <c r="AC633" s="11"/>
      <c r="AD633" s="153">
        <v>8.3390000000000004</v>
      </c>
      <c r="AG633" s="2" t="s">
        <v>37</v>
      </c>
      <c r="AH633" s="167">
        <v>4.8999999999999998E-5</v>
      </c>
      <c r="AI633" s="167">
        <v>9.2511582596265299E-4</v>
      </c>
      <c r="AJ633" s="167">
        <v>2.4038504997616001E-4</v>
      </c>
      <c r="AK633" s="161"/>
      <c r="AL633" s="153"/>
    </row>
    <row r="634" spans="1:38">
      <c r="A634" s="2" t="s">
        <v>26</v>
      </c>
      <c r="B634" s="2">
        <v>9964</v>
      </c>
      <c r="C634" s="2" t="s">
        <v>2125</v>
      </c>
      <c r="D634" s="2" t="s">
        <v>2126</v>
      </c>
      <c r="E634" s="4" t="s">
        <v>311</v>
      </c>
      <c r="F634" s="2" t="s">
        <v>2132</v>
      </c>
      <c r="G634" s="2" t="s">
        <v>2133</v>
      </c>
      <c r="H634" s="2" t="s">
        <v>319</v>
      </c>
      <c r="I634" s="2" t="s">
        <v>966</v>
      </c>
      <c r="J634" s="2" t="s">
        <v>31</v>
      </c>
      <c r="K634" s="2" t="s">
        <v>31</v>
      </c>
      <c r="L634" s="2" t="s">
        <v>325</v>
      </c>
      <c r="M634" s="2" t="s">
        <v>40</v>
      </c>
      <c r="N634" s="2" t="s">
        <v>462</v>
      </c>
      <c r="O634" s="2" t="s">
        <v>136</v>
      </c>
      <c r="P634" s="2" t="s">
        <v>1772</v>
      </c>
      <c r="Q634" s="2" t="s">
        <v>412</v>
      </c>
      <c r="R634" s="2" t="s">
        <v>407</v>
      </c>
      <c r="S634" s="2" t="s">
        <v>35</v>
      </c>
      <c r="T634" s="153">
        <v>2.6139999999999999</v>
      </c>
      <c r="U634" s="2" t="s">
        <v>1993</v>
      </c>
      <c r="V634" s="165">
        <v>7.2400000000000006E-2</v>
      </c>
      <c r="W634" s="167">
        <v>6.9650000000000004E-2</v>
      </c>
      <c r="X634" s="4" t="s">
        <v>411</v>
      </c>
      <c r="Y634" s="4" t="s">
        <v>136</v>
      </c>
      <c r="Z634" s="153">
        <v>31040</v>
      </c>
      <c r="AA634" s="153">
        <v>1</v>
      </c>
      <c r="AB634" s="153">
        <v>101.61</v>
      </c>
      <c r="AC634" s="11"/>
      <c r="AD634" s="153">
        <v>31.54</v>
      </c>
      <c r="AG634" s="2" t="s">
        <v>37</v>
      </c>
      <c r="AH634" s="167">
        <v>1.1900000000000001E-4</v>
      </c>
      <c r="AI634" s="167">
        <v>3.4990246221092698E-3</v>
      </c>
      <c r="AJ634" s="167">
        <v>9.0919772967704799E-4</v>
      </c>
      <c r="AK634" s="161"/>
      <c r="AL634" s="153"/>
    </row>
    <row r="635" spans="1:38">
      <c r="A635" s="2" t="s">
        <v>26</v>
      </c>
      <c r="B635" s="2">
        <v>9964</v>
      </c>
      <c r="C635" s="2" t="s">
        <v>1371</v>
      </c>
      <c r="D635" s="2" t="s">
        <v>1372</v>
      </c>
      <c r="E635" s="4" t="s">
        <v>1305</v>
      </c>
      <c r="F635" s="2" t="s">
        <v>2134</v>
      </c>
      <c r="G635" s="2" t="s">
        <v>2135</v>
      </c>
      <c r="H635" s="2" t="s">
        <v>319</v>
      </c>
      <c r="I635" s="2" t="s">
        <v>754</v>
      </c>
      <c r="J635" s="2" t="s">
        <v>31</v>
      </c>
      <c r="K635" s="2" t="s">
        <v>31</v>
      </c>
      <c r="L635" s="2" t="s">
        <v>325</v>
      </c>
      <c r="M635" s="2" t="s">
        <v>40</v>
      </c>
      <c r="N635" s="2" t="s">
        <v>461</v>
      </c>
      <c r="O635" s="2" t="s">
        <v>136</v>
      </c>
      <c r="P635" s="2" t="s">
        <v>2136</v>
      </c>
      <c r="Q635" s="2" t="s">
        <v>104</v>
      </c>
      <c r="R635" s="2" t="s">
        <v>405</v>
      </c>
      <c r="S635" s="2" t="s">
        <v>35</v>
      </c>
      <c r="T635" s="153">
        <v>3.1419999999999999</v>
      </c>
      <c r="U635" s="2" t="s">
        <v>2137</v>
      </c>
      <c r="V635" s="165">
        <v>1.34E-2</v>
      </c>
      <c r="W635" s="167">
        <v>2.206E-2</v>
      </c>
      <c r="X635" s="4" t="s">
        <v>411</v>
      </c>
      <c r="Y635" s="4" t="s">
        <v>136</v>
      </c>
      <c r="Z635" s="153">
        <v>97500</v>
      </c>
      <c r="AA635" s="153">
        <v>1</v>
      </c>
      <c r="AB635" s="153">
        <v>110.26</v>
      </c>
      <c r="AC635" s="11"/>
      <c r="AD635" s="153">
        <v>107.504</v>
      </c>
      <c r="AG635" s="2" t="s">
        <v>37</v>
      </c>
      <c r="AH635" s="167">
        <v>3.1999999999999999E-5</v>
      </c>
      <c r="AI635" s="167">
        <v>1.19264567734895E-2</v>
      </c>
      <c r="AJ635" s="167">
        <v>3.09900860743627E-3</v>
      </c>
      <c r="AK635" s="161"/>
      <c r="AL635" s="153"/>
    </row>
    <row r="636" spans="1:38">
      <c r="A636" s="2" t="s">
        <v>26</v>
      </c>
      <c r="B636" s="2">
        <v>9964</v>
      </c>
      <c r="C636" s="2" t="s">
        <v>1371</v>
      </c>
      <c r="D636" s="2" t="s">
        <v>1372</v>
      </c>
      <c r="E636" s="4" t="s">
        <v>1305</v>
      </c>
      <c r="F636" s="2" t="s">
        <v>2138</v>
      </c>
      <c r="G636" s="2" t="s">
        <v>2139</v>
      </c>
      <c r="H636" s="2" t="s">
        <v>319</v>
      </c>
      <c r="I636" s="2" t="s">
        <v>754</v>
      </c>
      <c r="J636" s="2" t="s">
        <v>31</v>
      </c>
      <c r="K636" s="2" t="s">
        <v>31</v>
      </c>
      <c r="L636" s="2" t="s">
        <v>325</v>
      </c>
      <c r="M636" s="2" t="s">
        <v>40</v>
      </c>
      <c r="N636" s="2" t="s">
        <v>461</v>
      </c>
      <c r="O636" s="2" t="s">
        <v>136</v>
      </c>
      <c r="P636" s="2" t="s">
        <v>2136</v>
      </c>
      <c r="Q636" s="2" t="s">
        <v>104</v>
      </c>
      <c r="R636" s="2" t="s">
        <v>405</v>
      </c>
      <c r="S636" s="2" t="s">
        <v>35</v>
      </c>
      <c r="T636" s="153">
        <v>2.8639999999999999</v>
      </c>
      <c r="U636" s="2" t="s">
        <v>1753</v>
      </c>
      <c r="V636" s="165">
        <v>1.77E-2</v>
      </c>
      <c r="W636" s="167">
        <v>2.0539999999999999E-2</v>
      </c>
      <c r="X636" s="4" t="s">
        <v>411</v>
      </c>
      <c r="Y636" s="4" t="s">
        <v>136</v>
      </c>
      <c r="Z636" s="153">
        <v>86820.2</v>
      </c>
      <c r="AA636" s="153">
        <v>1</v>
      </c>
      <c r="AB636" s="153">
        <v>111.11</v>
      </c>
      <c r="AC636" s="11"/>
      <c r="AD636" s="153">
        <v>96.465999999999994</v>
      </c>
      <c r="AG636" s="2" t="s">
        <v>37</v>
      </c>
      <c r="AH636" s="167">
        <v>3.1000000000000001E-5</v>
      </c>
      <c r="AI636" s="167">
        <v>1.07019462187235E-2</v>
      </c>
      <c r="AJ636" s="167">
        <v>2.7808278752047598E-3</v>
      </c>
      <c r="AK636" s="161"/>
      <c r="AL636" s="153"/>
    </row>
    <row r="637" spans="1:38">
      <c r="A637" s="2" t="s">
        <v>26</v>
      </c>
      <c r="B637" s="2">
        <v>9964</v>
      </c>
      <c r="C637" s="2" t="s">
        <v>1371</v>
      </c>
      <c r="D637" s="2" t="s">
        <v>1372</v>
      </c>
      <c r="E637" s="4" t="s">
        <v>1305</v>
      </c>
      <c r="F637" s="2" t="s">
        <v>2140</v>
      </c>
      <c r="G637" s="2" t="s">
        <v>2141</v>
      </c>
      <c r="H637" s="2" t="s">
        <v>319</v>
      </c>
      <c r="I637" s="2" t="s">
        <v>754</v>
      </c>
      <c r="J637" s="2" t="s">
        <v>31</v>
      </c>
      <c r="K637" s="2" t="s">
        <v>31</v>
      </c>
      <c r="L637" s="2" t="s">
        <v>325</v>
      </c>
      <c r="M637" s="2" t="s">
        <v>40</v>
      </c>
      <c r="N637" s="2" t="s">
        <v>461</v>
      </c>
      <c r="O637" s="2" t="s">
        <v>136</v>
      </c>
      <c r="P637" s="2" t="s">
        <v>1308</v>
      </c>
      <c r="Q637" s="2" t="s">
        <v>412</v>
      </c>
      <c r="R637" s="2" t="s">
        <v>405</v>
      </c>
      <c r="S637" s="2" t="s">
        <v>35</v>
      </c>
      <c r="T637" s="153">
        <v>7.2489999999999997</v>
      </c>
      <c r="U637" s="2" t="s">
        <v>2142</v>
      </c>
      <c r="V637" s="165">
        <v>8.9999999999999993E-3</v>
      </c>
      <c r="W637" s="167">
        <v>2.8979999999999999E-2</v>
      </c>
      <c r="X637" s="4" t="s">
        <v>411</v>
      </c>
      <c r="Y637" s="4" t="s">
        <v>136</v>
      </c>
      <c r="Z637" s="153">
        <v>34000</v>
      </c>
      <c r="AA637" s="153">
        <v>1</v>
      </c>
      <c r="AB637" s="153">
        <v>95.37</v>
      </c>
      <c r="AC637" s="11"/>
      <c r="AD637" s="153">
        <v>32.426000000000002</v>
      </c>
      <c r="AG637" s="2" t="s">
        <v>37</v>
      </c>
      <c r="AH637" s="167">
        <v>1.8E-5</v>
      </c>
      <c r="AI637" s="167">
        <v>3.59732382709228E-3</v>
      </c>
      <c r="AJ637" s="167">
        <v>9.34740108954658E-4</v>
      </c>
      <c r="AK637" s="161"/>
      <c r="AL637" s="153"/>
    </row>
    <row r="638" spans="1:38">
      <c r="A638" s="2" t="s">
        <v>26</v>
      </c>
      <c r="B638" s="2">
        <v>9964</v>
      </c>
      <c r="C638" s="2" t="s">
        <v>1371</v>
      </c>
      <c r="D638" s="2" t="s">
        <v>1372</v>
      </c>
      <c r="E638" s="4" t="s">
        <v>1305</v>
      </c>
      <c r="F638" s="2" t="s">
        <v>2146</v>
      </c>
      <c r="G638" s="2" t="s">
        <v>2147</v>
      </c>
      <c r="H638" s="2" t="s">
        <v>319</v>
      </c>
      <c r="I638" s="2" t="s">
        <v>754</v>
      </c>
      <c r="J638" s="2" t="s">
        <v>31</v>
      </c>
      <c r="K638" s="2" t="s">
        <v>31</v>
      </c>
      <c r="L638" s="2" t="s">
        <v>325</v>
      </c>
      <c r="M638" s="2" t="s">
        <v>40</v>
      </c>
      <c r="N638" s="2" t="s">
        <v>461</v>
      </c>
      <c r="O638" s="2" t="s">
        <v>136</v>
      </c>
      <c r="P638" s="2" t="s">
        <v>1308</v>
      </c>
      <c r="Q638" s="2" t="s">
        <v>412</v>
      </c>
      <c r="R638" s="2" t="s">
        <v>405</v>
      </c>
      <c r="S638" s="2" t="s">
        <v>35</v>
      </c>
      <c r="T638" s="153">
        <v>0.998</v>
      </c>
      <c r="U638" s="2" t="s">
        <v>1941</v>
      </c>
      <c r="V638" s="165">
        <v>6.4999999999999997E-3</v>
      </c>
      <c r="W638" s="167">
        <v>1.6490000000000001E-2</v>
      </c>
      <c r="X638" s="4" t="s">
        <v>411</v>
      </c>
      <c r="Y638" s="4" t="s">
        <v>136</v>
      </c>
      <c r="Z638" s="153">
        <v>50000</v>
      </c>
      <c r="AA638" s="153">
        <v>1</v>
      </c>
      <c r="AB638" s="153">
        <v>110.63</v>
      </c>
      <c r="AC638" s="11"/>
      <c r="AD638" s="153">
        <v>55.768999999999998</v>
      </c>
      <c r="AG638" s="2" t="s">
        <v>37</v>
      </c>
      <c r="AH638" s="167">
        <v>1.66E-4</v>
      </c>
      <c r="AI638" s="167">
        <v>6.1870180109713999E-3</v>
      </c>
      <c r="AJ638" s="167">
        <v>1.6076545142043701E-3</v>
      </c>
      <c r="AK638" s="161"/>
      <c r="AL638" s="153"/>
    </row>
    <row r="639" spans="1:38">
      <c r="A639" s="2" t="s">
        <v>26</v>
      </c>
      <c r="B639" s="2">
        <v>9964</v>
      </c>
      <c r="C639" s="2" t="s">
        <v>2148</v>
      </c>
      <c r="D639" s="2" t="s">
        <v>2149</v>
      </c>
      <c r="E639" s="4" t="s">
        <v>1305</v>
      </c>
      <c r="F639" s="2" t="s">
        <v>2150</v>
      </c>
      <c r="G639" s="2" t="s">
        <v>2151</v>
      </c>
      <c r="H639" s="2" t="s">
        <v>319</v>
      </c>
      <c r="I639" s="2" t="s">
        <v>966</v>
      </c>
      <c r="J639" s="2" t="s">
        <v>31</v>
      </c>
      <c r="K639" s="2" t="s">
        <v>31</v>
      </c>
      <c r="L639" s="2" t="s">
        <v>325</v>
      </c>
      <c r="M639" s="2" t="s">
        <v>40</v>
      </c>
      <c r="N639" s="2" t="s">
        <v>444</v>
      </c>
      <c r="O639" s="2" t="s">
        <v>136</v>
      </c>
      <c r="P639" s="2" t="s">
        <v>1752</v>
      </c>
      <c r="Q639" s="23" t="s">
        <v>1752</v>
      </c>
      <c r="R639" s="23" t="s">
        <v>1752</v>
      </c>
      <c r="S639" s="2" t="s">
        <v>35</v>
      </c>
      <c r="T639" s="153">
        <v>1.5680000000000001</v>
      </c>
      <c r="U639" s="2" t="s">
        <v>91</v>
      </c>
      <c r="V639" s="165">
        <v>0.06</v>
      </c>
      <c r="W639" s="167">
        <v>6.1800000000000001E-2</v>
      </c>
      <c r="X639" s="4" t="s">
        <v>411</v>
      </c>
      <c r="Y639" s="4" t="s">
        <v>136</v>
      </c>
      <c r="Z639" s="153">
        <v>50200</v>
      </c>
      <c r="AA639" s="153">
        <v>1</v>
      </c>
      <c r="AB639" s="153">
        <v>101.88</v>
      </c>
      <c r="AC639" s="11"/>
      <c r="AD639" s="153">
        <v>51.143999999999998</v>
      </c>
      <c r="AG639" s="2" t="s">
        <v>37</v>
      </c>
      <c r="AH639" s="167">
        <v>2.0100000000000001E-4</v>
      </c>
      <c r="AI639" s="167">
        <v>5.6738975277430001E-3</v>
      </c>
      <c r="AJ639" s="167">
        <v>1.47432364952448E-3</v>
      </c>
      <c r="AK639" s="161"/>
      <c r="AL639" s="153"/>
    </row>
    <row r="640" spans="1:38">
      <c r="A640" s="2" t="s">
        <v>26</v>
      </c>
      <c r="B640" s="2">
        <v>9964</v>
      </c>
      <c r="C640" s="2" t="s">
        <v>1575</v>
      </c>
      <c r="D640" s="2" t="s">
        <v>1576</v>
      </c>
      <c r="E640" s="4" t="s">
        <v>1305</v>
      </c>
      <c r="F640" s="2" t="s">
        <v>2152</v>
      </c>
      <c r="G640" s="2" t="s">
        <v>2153</v>
      </c>
      <c r="H640" s="2" t="s">
        <v>319</v>
      </c>
      <c r="I640" s="2" t="s">
        <v>754</v>
      </c>
      <c r="J640" s="2" t="s">
        <v>31</v>
      </c>
      <c r="K640" s="2" t="s">
        <v>31</v>
      </c>
      <c r="L640" s="2" t="s">
        <v>325</v>
      </c>
      <c r="M640" s="2" t="s">
        <v>40</v>
      </c>
      <c r="N640" s="2" t="s">
        <v>445</v>
      </c>
      <c r="O640" s="2" t="s">
        <v>136</v>
      </c>
      <c r="P640" s="2" t="s">
        <v>76</v>
      </c>
      <c r="Q640" s="2" t="s">
        <v>104</v>
      </c>
      <c r="R640" s="2" t="s">
        <v>405</v>
      </c>
      <c r="S640" s="2" t="s">
        <v>35</v>
      </c>
      <c r="T640" s="153">
        <v>4.0890000000000004</v>
      </c>
      <c r="U640" s="2" t="s">
        <v>2154</v>
      </c>
      <c r="V640" s="165">
        <v>1E-3</v>
      </c>
      <c r="W640" s="167">
        <v>1.9650000000000001E-2</v>
      </c>
      <c r="X640" s="4" t="s">
        <v>411</v>
      </c>
      <c r="Y640" s="4" t="s">
        <v>136</v>
      </c>
      <c r="Z640" s="153">
        <v>37375.199999999997</v>
      </c>
      <c r="AA640" s="153">
        <v>1</v>
      </c>
      <c r="AB640" s="153">
        <v>101.03</v>
      </c>
      <c r="AC640" s="11"/>
      <c r="AD640" s="153">
        <v>37.76</v>
      </c>
      <c r="AG640" s="2" t="s">
        <v>37</v>
      </c>
      <c r="AH640" s="167">
        <v>1.4E-5</v>
      </c>
      <c r="AI640" s="167">
        <v>4.1891191485364599E-3</v>
      </c>
      <c r="AJ640" s="167">
        <v>1.08851409479366E-3</v>
      </c>
      <c r="AK640" s="161"/>
      <c r="AL640" s="153"/>
    </row>
    <row r="641" spans="1:38">
      <c r="A641" s="2" t="s">
        <v>26</v>
      </c>
      <c r="B641" s="2">
        <v>9964</v>
      </c>
      <c r="C641" s="2" t="s">
        <v>1575</v>
      </c>
      <c r="D641" s="2" t="s">
        <v>1576</v>
      </c>
      <c r="E641" s="4" t="s">
        <v>1305</v>
      </c>
      <c r="F641" s="2" t="s">
        <v>2155</v>
      </c>
      <c r="G641" s="2" t="s">
        <v>2156</v>
      </c>
      <c r="H641" s="2" t="s">
        <v>319</v>
      </c>
      <c r="I641" s="2" t="s">
        <v>754</v>
      </c>
      <c r="J641" s="2" t="s">
        <v>31</v>
      </c>
      <c r="K641" s="2" t="s">
        <v>31</v>
      </c>
      <c r="L641" s="2" t="s">
        <v>325</v>
      </c>
      <c r="M641" s="2" t="s">
        <v>40</v>
      </c>
      <c r="N641" s="2" t="s">
        <v>445</v>
      </c>
      <c r="O641" s="2" t="s">
        <v>136</v>
      </c>
      <c r="P641" s="2" t="s">
        <v>76</v>
      </c>
      <c r="Q641" s="2" t="s">
        <v>104</v>
      </c>
      <c r="R641" s="2" t="s">
        <v>405</v>
      </c>
      <c r="S641" s="2" t="s">
        <v>35</v>
      </c>
      <c r="T641" s="153">
        <v>4.4530000000000003</v>
      </c>
      <c r="U641" s="2" t="s">
        <v>2157</v>
      </c>
      <c r="V641" s="165">
        <v>1.3899999999999999E-2</v>
      </c>
      <c r="W641" s="167">
        <v>1.992E-2</v>
      </c>
      <c r="X641" s="4" t="s">
        <v>411</v>
      </c>
      <c r="Y641" s="4" t="s">
        <v>136</v>
      </c>
      <c r="Z641" s="153">
        <v>56700</v>
      </c>
      <c r="AA641" s="153">
        <v>1</v>
      </c>
      <c r="AB641" s="153">
        <v>101.5</v>
      </c>
      <c r="AC641" s="11"/>
      <c r="AD641" s="153">
        <v>57.55</v>
      </c>
      <c r="AG641" s="2" t="s">
        <v>37</v>
      </c>
      <c r="AH641" s="167">
        <v>3.1000000000000001E-5</v>
      </c>
      <c r="AI641" s="167">
        <v>6.3846623648784098E-3</v>
      </c>
      <c r="AJ641" s="167">
        <v>1.65901105417276E-3</v>
      </c>
      <c r="AK641" s="161"/>
      <c r="AL641" s="153"/>
    </row>
    <row r="642" spans="1:38">
      <c r="A642" s="2" t="s">
        <v>26</v>
      </c>
      <c r="B642" s="2">
        <v>9964</v>
      </c>
      <c r="C642" s="2" t="s">
        <v>1575</v>
      </c>
      <c r="D642" s="2" t="s">
        <v>1576</v>
      </c>
      <c r="E642" s="4" t="s">
        <v>1305</v>
      </c>
      <c r="F642" s="2" t="s">
        <v>2375</v>
      </c>
      <c r="G642" s="2" t="s">
        <v>2376</v>
      </c>
      <c r="H642" s="2" t="s">
        <v>319</v>
      </c>
      <c r="I642" s="2" t="s">
        <v>754</v>
      </c>
      <c r="J642" s="2" t="s">
        <v>31</v>
      </c>
      <c r="K642" s="2" t="s">
        <v>31</v>
      </c>
      <c r="L642" s="2" t="s">
        <v>325</v>
      </c>
      <c r="M642" s="2" t="s">
        <v>40</v>
      </c>
      <c r="N642" s="2" t="s">
        <v>445</v>
      </c>
      <c r="O642" s="2" t="s">
        <v>136</v>
      </c>
      <c r="P642" s="2" t="s">
        <v>76</v>
      </c>
      <c r="Q642" s="2" t="s">
        <v>104</v>
      </c>
      <c r="R642" s="2" t="s">
        <v>405</v>
      </c>
      <c r="S642" s="2" t="s">
        <v>35</v>
      </c>
      <c r="T642" s="153">
        <v>2.04</v>
      </c>
      <c r="U642" s="2" t="s">
        <v>2377</v>
      </c>
      <c r="V642" s="165">
        <v>6.0000000000000001E-3</v>
      </c>
      <c r="W642" s="167">
        <v>1.7319999999999999E-2</v>
      </c>
      <c r="X642" s="4" t="s">
        <v>411</v>
      </c>
      <c r="Y642" s="4" t="s">
        <v>136</v>
      </c>
      <c r="Z642" s="153">
        <v>40000</v>
      </c>
      <c r="AA642" s="153">
        <v>1</v>
      </c>
      <c r="AB642" s="153">
        <v>110.8</v>
      </c>
      <c r="AC642" s="11"/>
      <c r="AD642" s="153">
        <v>44.32</v>
      </c>
      <c r="AG642" s="2" t="s">
        <v>37</v>
      </c>
      <c r="AH642" s="167">
        <v>3.6000000000000001E-5</v>
      </c>
      <c r="AI642" s="167">
        <v>4.9168684201077503E-3</v>
      </c>
      <c r="AJ642" s="167">
        <v>1.27761478911455E-3</v>
      </c>
      <c r="AK642" s="161"/>
      <c r="AL642" s="153"/>
    </row>
    <row r="643" spans="1:38">
      <c r="A643" s="2" t="s">
        <v>26</v>
      </c>
      <c r="B643" s="2">
        <v>9964</v>
      </c>
      <c r="C643" s="2" t="s">
        <v>1575</v>
      </c>
      <c r="D643" s="2" t="s">
        <v>1576</v>
      </c>
      <c r="E643" s="4" t="s">
        <v>1305</v>
      </c>
      <c r="F643" s="2" t="s">
        <v>2158</v>
      </c>
      <c r="G643" s="2" t="s">
        <v>2159</v>
      </c>
      <c r="H643" s="2" t="s">
        <v>319</v>
      </c>
      <c r="I643" s="2" t="s">
        <v>754</v>
      </c>
      <c r="J643" s="2" t="s">
        <v>31</v>
      </c>
      <c r="K643" s="2" t="s">
        <v>31</v>
      </c>
      <c r="L643" s="2" t="s">
        <v>325</v>
      </c>
      <c r="M643" s="2" t="s">
        <v>40</v>
      </c>
      <c r="N643" s="2" t="s">
        <v>445</v>
      </c>
      <c r="O643" s="2" t="s">
        <v>136</v>
      </c>
      <c r="P643" s="2" t="s">
        <v>76</v>
      </c>
      <c r="Q643" s="2" t="s">
        <v>104</v>
      </c>
      <c r="R643" s="2" t="s">
        <v>405</v>
      </c>
      <c r="S643" s="2" t="s">
        <v>35</v>
      </c>
      <c r="T643" s="153">
        <v>3.54</v>
      </c>
      <c r="U643" s="2" t="s">
        <v>2160</v>
      </c>
      <c r="V643" s="165">
        <v>1.7500000000000002E-2</v>
      </c>
      <c r="W643" s="167">
        <v>1.8929999999999999E-2</v>
      </c>
      <c r="X643" s="4" t="s">
        <v>411</v>
      </c>
      <c r="Y643" s="4" t="s">
        <v>136</v>
      </c>
      <c r="Z643" s="153">
        <v>9552.77</v>
      </c>
      <c r="AA643" s="153">
        <v>1</v>
      </c>
      <c r="AB643" s="153">
        <v>111.16</v>
      </c>
      <c r="AC643" s="11"/>
      <c r="AD643" s="153">
        <v>10.619</v>
      </c>
      <c r="AG643" s="2" t="s">
        <v>37</v>
      </c>
      <c r="AH643" s="167">
        <v>3.0000000000000001E-6</v>
      </c>
      <c r="AI643" s="167">
        <v>1.1780580578453E-3</v>
      </c>
      <c r="AJ643" s="167">
        <v>3.0611036711568698E-4</v>
      </c>
      <c r="AK643" s="161"/>
      <c r="AL643" s="153"/>
    </row>
    <row r="644" spans="1:38">
      <c r="A644" s="2" t="s">
        <v>26</v>
      </c>
      <c r="B644" s="2">
        <v>9964</v>
      </c>
      <c r="C644" s="2" t="s">
        <v>1575</v>
      </c>
      <c r="D644" s="2" t="s">
        <v>1576</v>
      </c>
      <c r="E644" s="4" t="s">
        <v>1305</v>
      </c>
      <c r="F644" s="2" t="s">
        <v>2378</v>
      </c>
      <c r="G644" s="2" t="s">
        <v>2379</v>
      </c>
      <c r="H644" s="2" t="s">
        <v>319</v>
      </c>
      <c r="I644" s="2" t="s">
        <v>754</v>
      </c>
      <c r="J644" s="2" t="s">
        <v>31</v>
      </c>
      <c r="K644" s="2" t="s">
        <v>31</v>
      </c>
      <c r="L644" s="2" t="s">
        <v>325</v>
      </c>
      <c r="M644" s="2" t="s">
        <v>40</v>
      </c>
      <c r="N644" s="2" t="s">
        <v>445</v>
      </c>
      <c r="O644" s="2" t="s">
        <v>136</v>
      </c>
      <c r="P644" s="2" t="s">
        <v>1984</v>
      </c>
      <c r="Q644" s="2" t="s">
        <v>104</v>
      </c>
      <c r="R644" s="2" t="s">
        <v>405</v>
      </c>
      <c r="S644" s="2" t="s">
        <v>35</v>
      </c>
      <c r="T644" s="153">
        <v>3.899</v>
      </c>
      <c r="U644" s="2" t="s">
        <v>2380</v>
      </c>
      <c r="V644" s="165">
        <v>8.3999999999999995E-3</v>
      </c>
      <c r="W644" s="167">
        <v>2.5999999999999999E-2</v>
      </c>
      <c r="X644" s="4" t="s">
        <v>411</v>
      </c>
      <c r="Y644" s="4" t="s">
        <v>136</v>
      </c>
      <c r="Z644" s="153">
        <v>50000</v>
      </c>
      <c r="AA644" s="153">
        <v>1</v>
      </c>
      <c r="AB644" s="153">
        <v>101.18</v>
      </c>
      <c r="AC644" s="11"/>
      <c r="AD644" s="153">
        <v>50.59</v>
      </c>
      <c r="AG644" s="2" t="s">
        <v>37</v>
      </c>
      <c r="AH644" s="167">
        <v>1.26E-4</v>
      </c>
      <c r="AI644" s="167">
        <v>5.6124632981329201E-3</v>
      </c>
      <c r="AJ644" s="167">
        <v>1.45836038315219E-3</v>
      </c>
      <c r="AK644" s="161"/>
      <c r="AL644" s="153"/>
    </row>
    <row r="645" spans="1:38">
      <c r="A645" s="2" t="s">
        <v>26</v>
      </c>
      <c r="B645" s="2">
        <v>9964</v>
      </c>
      <c r="C645" s="2" t="s">
        <v>1579</v>
      </c>
      <c r="D645" s="2" t="s">
        <v>1580</v>
      </c>
      <c r="E645" s="4" t="s">
        <v>1305</v>
      </c>
      <c r="F645" s="2" t="s">
        <v>2161</v>
      </c>
      <c r="G645" s="2" t="s">
        <v>2162</v>
      </c>
      <c r="H645" s="2" t="s">
        <v>319</v>
      </c>
      <c r="I645" s="2" t="s">
        <v>966</v>
      </c>
      <c r="J645" s="2" t="s">
        <v>31</v>
      </c>
      <c r="K645" s="2" t="s">
        <v>31</v>
      </c>
      <c r="L645" s="2" t="s">
        <v>325</v>
      </c>
      <c r="M645" s="2" t="s">
        <v>40</v>
      </c>
      <c r="N645" s="2" t="s">
        <v>474</v>
      </c>
      <c r="O645" s="2" t="s">
        <v>136</v>
      </c>
      <c r="P645" s="2" t="s">
        <v>1867</v>
      </c>
      <c r="Q645" s="2" t="s">
        <v>104</v>
      </c>
      <c r="R645" s="2" t="s">
        <v>405</v>
      </c>
      <c r="S645" s="2" t="s">
        <v>35</v>
      </c>
      <c r="T645" s="153">
        <v>1.8129999999999999</v>
      </c>
      <c r="U645" s="2" t="s">
        <v>1891</v>
      </c>
      <c r="V645" s="165">
        <v>2.29E-2</v>
      </c>
      <c r="W645" s="167">
        <v>4.5350000000000001E-2</v>
      </c>
      <c r="X645" s="4" t="s">
        <v>411</v>
      </c>
      <c r="Y645" s="4" t="s">
        <v>136</v>
      </c>
      <c r="Z645" s="153">
        <v>37333.339999999997</v>
      </c>
      <c r="AA645" s="153">
        <v>1</v>
      </c>
      <c r="AB645" s="153">
        <v>96.89</v>
      </c>
      <c r="AC645" s="11"/>
      <c r="AD645" s="153">
        <v>36.171999999999997</v>
      </c>
      <c r="AG645" s="2" t="s">
        <v>37</v>
      </c>
      <c r="AH645" s="167">
        <v>7.6000000000000004E-5</v>
      </c>
      <c r="AI645" s="167">
        <v>4.0129581998362297E-3</v>
      </c>
      <c r="AJ645" s="167">
        <v>1.04273987142753E-3</v>
      </c>
      <c r="AK645" s="161"/>
      <c r="AL645" s="153"/>
    </row>
    <row r="646" spans="1:38">
      <c r="A646" s="2" t="s">
        <v>26</v>
      </c>
      <c r="B646" s="2">
        <v>9964</v>
      </c>
      <c r="C646" s="2" t="s">
        <v>2163</v>
      </c>
      <c r="D646" s="2" t="s">
        <v>2164</v>
      </c>
      <c r="E646" s="4" t="s">
        <v>1305</v>
      </c>
      <c r="F646" s="2" t="s">
        <v>2165</v>
      </c>
      <c r="G646" s="2" t="s">
        <v>2166</v>
      </c>
      <c r="H646" s="2" t="s">
        <v>319</v>
      </c>
      <c r="I646" s="2" t="s">
        <v>754</v>
      </c>
      <c r="J646" s="2" t="s">
        <v>31</v>
      </c>
      <c r="K646" s="2" t="s">
        <v>31</v>
      </c>
      <c r="L646" s="2" t="s">
        <v>325</v>
      </c>
      <c r="M646" s="2" t="s">
        <v>40</v>
      </c>
      <c r="N646" s="2" t="s">
        <v>442</v>
      </c>
      <c r="O646" s="2" t="s">
        <v>136</v>
      </c>
      <c r="P646" s="2" t="s">
        <v>1739</v>
      </c>
      <c r="Q646" s="2" t="s">
        <v>412</v>
      </c>
      <c r="R646" s="2" t="s">
        <v>405</v>
      </c>
      <c r="S646" s="2" t="s">
        <v>35</v>
      </c>
      <c r="T646" s="153">
        <v>7.2389999999999999</v>
      </c>
      <c r="U646" s="2" t="s">
        <v>2167</v>
      </c>
      <c r="V646" s="165">
        <v>2.0899999999999998E-2</v>
      </c>
      <c r="W646" s="167">
        <v>2.946E-2</v>
      </c>
      <c r="X646" s="4" t="s">
        <v>411</v>
      </c>
      <c r="Y646" s="4" t="s">
        <v>136</v>
      </c>
      <c r="Z646" s="153">
        <v>100000</v>
      </c>
      <c r="AA646" s="153">
        <v>1</v>
      </c>
      <c r="AB646" s="153">
        <v>104.02</v>
      </c>
      <c r="AC646" s="11"/>
      <c r="AD646" s="153">
        <v>104.02</v>
      </c>
      <c r="AG646" s="2" t="s">
        <v>37</v>
      </c>
      <c r="AH646" s="167">
        <v>8.2000000000000001E-5</v>
      </c>
      <c r="AI646" s="167">
        <v>1.15399966845579E-2</v>
      </c>
      <c r="AJ646" s="167">
        <v>2.9985895840183899E-3</v>
      </c>
      <c r="AK646" s="161"/>
      <c r="AL646" s="153"/>
    </row>
    <row r="647" spans="1:38">
      <c r="A647" s="2" t="s">
        <v>26</v>
      </c>
      <c r="B647" s="2">
        <v>9964</v>
      </c>
      <c r="C647" s="2" t="s">
        <v>1587</v>
      </c>
      <c r="D647" s="2" t="s">
        <v>1588</v>
      </c>
      <c r="E647" s="4" t="s">
        <v>1305</v>
      </c>
      <c r="F647" s="2" t="s">
        <v>2168</v>
      </c>
      <c r="G647" s="2" t="s">
        <v>2169</v>
      </c>
      <c r="H647" s="2" t="s">
        <v>319</v>
      </c>
      <c r="I647" s="2" t="s">
        <v>754</v>
      </c>
      <c r="J647" s="2" t="s">
        <v>31</v>
      </c>
      <c r="K647" s="2" t="s">
        <v>31</v>
      </c>
      <c r="L647" s="2" t="s">
        <v>325</v>
      </c>
      <c r="M647" s="2" t="s">
        <v>40</v>
      </c>
      <c r="N647" s="2" t="s">
        <v>458</v>
      </c>
      <c r="O647" s="2" t="s">
        <v>136</v>
      </c>
      <c r="P647" s="2" t="s">
        <v>1731</v>
      </c>
      <c r="Q647" s="2" t="s">
        <v>104</v>
      </c>
      <c r="R647" s="2" t="s">
        <v>405</v>
      </c>
      <c r="S647" s="2" t="s">
        <v>35</v>
      </c>
      <c r="T647" s="153">
        <v>3.6970000000000001</v>
      </c>
      <c r="U647" s="2" t="s">
        <v>2170</v>
      </c>
      <c r="V647" s="165">
        <v>3.2500000000000001E-2</v>
      </c>
      <c r="W647" s="167">
        <v>3.0530000000000002E-2</v>
      </c>
      <c r="X647" s="4" t="s">
        <v>411</v>
      </c>
      <c r="Y647" s="4" t="s">
        <v>136</v>
      </c>
      <c r="Z647" s="153">
        <v>55000</v>
      </c>
      <c r="AA647" s="153">
        <v>1</v>
      </c>
      <c r="AB647" s="153">
        <v>106.83</v>
      </c>
      <c r="AC647" s="11"/>
      <c r="AD647" s="153">
        <v>58.756999999999998</v>
      </c>
      <c r="AG647" s="2" t="s">
        <v>37</v>
      </c>
      <c r="AH647" s="167">
        <v>2.12E-4</v>
      </c>
      <c r="AI647" s="167">
        <v>6.51845621223062E-3</v>
      </c>
      <c r="AJ647" s="167">
        <v>1.69377647465273E-3</v>
      </c>
      <c r="AK647" s="161"/>
      <c r="AL647" s="153"/>
    </row>
    <row r="648" spans="1:38">
      <c r="A648" s="2" t="s">
        <v>26</v>
      </c>
      <c r="B648" s="2">
        <v>9964</v>
      </c>
      <c r="C648" s="2" t="s">
        <v>2171</v>
      </c>
      <c r="D648" s="2" t="s">
        <v>2172</v>
      </c>
      <c r="E648" s="4" t="s">
        <v>1305</v>
      </c>
      <c r="F648" s="2" t="s">
        <v>2173</v>
      </c>
      <c r="G648" s="2" t="s">
        <v>2174</v>
      </c>
      <c r="H648" s="2" t="s">
        <v>319</v>
      </c>
      <c r="I648" s="2" t="s">
        <v>966</v>
      </c>
      <c r="J648" s="2" t="s">
        <v>31</v>
      </c>
      <c r="K648" s="2" t="s">
        <v>31</v>
      </c>
      <c r="L648" s="2" t="s">
        <v>325</v>
      </c>
      <c r="M648" s="2" t="s">
        <v>40</v>
      </c>
      <c r="N648" s="2" t="s">
        <v>444</v>
      </c>
      <c r="O648" s="2" t="s">
        <v>136</v>
      </c>
      <c r="P648" s="2" t="s">
        <v>2083</v>
      </c>
      <c r="Q648" s="2" t="s">
        <v>104</v>
      </c>
      <c r="R648" s="2" t="s">
        <v>405</v>
      </c>
      <c r="S648" s="2" t="s">
        <v>35</v>
      </c>
      <c r="T648" s="153">
        <v>2.39</v>
      </c>
      <c r="U648" s="2" t="s">
        <v>1849</v>
      </c>
      <c r="V648" s="165">
        <v>5.5500000000000001E-2</v>
      </c>
      <c r="W648" s="167">
        <v>6.0060000000000002E-2</v>
      </c>
      <c r="X648" s="4" t="s">
        <v>411</v>
      </c>
      <c r="Y648" s="4" t="s">
        <v>136</v>
      </c>
      <c r="Z648" s="153">
        <v>58000</v>
      </c>
      <c r="AA648" s="153">
        <v>1</v>
      </c>
      <c r="AB648" s="153">
        <v>100.33</v>
      </c>
      <c r="AC648" s="11"/>
      <c r="AD648" s="153">
        <v>58.191000000000003</v>
      </c>
      <c r="AG648" s="2" t="s">
        <v>37</v>
      </c>
      <c r="AH648" s="167">
        <v>3.6200000000000002E-4</v>
      </c>
      <c r="AI648" s="167">
        <v>6.4557639210708097E-3</v>
      </c>
      <c r="AJ648" s="167">
        <v>1.6774863095505501E-3</v>
      </c>
      <c r="AK648" s="161"/>
      <c r="AL648" s="153"/>
    </row>
    <row r="649" spans="1:38">
      <c r="A649" s="2" t="s">
        <v>26</v>
      </c>
      <c r="B649" s="2">
        <v>9964</v>
      </c>
      <c r="C649" s="2" t="s">
        <v>2175</v>
      </c>
      <c r="D649" s="2" t="s">
        <v>2176</v>
      </c>
      <c r="E649" s="4" t="s">
        <v>1305</v>
      </c>
      <c r="F649" s="2" t="s">
        <v>2177</v>
      </c>
      <c r="G649" s="2" t="s">
        <v>2178</v>
      </c>
      <c r="H649" s="2" t="s">
        <v>319</v>
      </c>
      <c r="I649" s="2" t="s">
        <v>966</v>
      </c>
      <c r="J649" s="2" t="s">
        <v>31</v>
      </c>
      <c r="K649" s="2" t="s">
        <v>31</v>
      </c>
      <c r="L649" s="2" t="s">
        <v>325</v>
      </c>
      <c r="M649" s="2" t="s">
        <v>40</v>
      </c>
      <c r="N649" s="2" t="s">
        <v>444</v>
      </c>
      <c r="O649" s="2" t="s">
        <v>136</v>
      </c>
      <c r="P649" s="2" t="s">
        <v>1772</v>
      </c>
      <c r="Q649" s="2" t="s">
        <v>164</v>
      </c>
      <c r="R649" s="2" t="s">
        <v>407</v>
      </c>
      <c r="S649" s="2" t="s">
        <v>35</v>
      </c>
      <c r="T649" s="153">
        <v>3.27</v>
      </c>
      <c r="U649" s="2" t="s">
        <v>2179</v>
      </c>
      <c r="V649" s="165">
        <v>5.3400000000000003E-2</v>
      </c>
      <c r="W649" s="167">
        <v>5.7369999999999997E-2</v>
      </c>
      <c r="X649" s="4" t="s">
        <v>411</v>
      </c>
      <c r="Y649" s="4" t="s">
        <v>136</v>
      </c>
      <c r="Z649" s="153">
        <v>67000</v>
      </c>
      <c r="AA649" s="153">
        <v>1</v>
      </c>
      <c r="AB649" s="153">
        <v>100.93</v>
      </c>
      <c r="AC649" s="11"/>
      <c r="AD649" s="153">
        <v>67.623000000000005</v>
      </c>
      <c r="AG649" s="2" t="s">
        <v>37</v>
      </c>
      <c r="AH649" s="167">
        <v>1.6799999999999999E-4</v>
      </c>
      <c r="AI649" s="167">
        <v>7.5021183406992001E-3</v>
      </c>
      <c r="AJ649" s="167">
        <v>1.9493743828017101E-3</v>
      </c>
      <c r="AK649" s="161"/>
      <c r="AL649" s="153"/>
    </row>
    <row r="650" spans="1:38">
      <c r="A650" s="2" t="s">
        <v>26</v>
      </c>
      <c r="B650" s="2">
        <v>9964</v>
      </c>
      <c r="C650" s="2" t="s">
        <v>2180</v>
      </c>
      <c r="D650" s="2" t="s">
        <v>2181</v>
      </c>
      <c r="E650" s="4" t="s">
        <v>1305</v>
      </c>
      <c r="F650" s="2" t="s">
        <v>2182</v>
      </c>
      <c r="G650" s="2" t="s">
        <v>2183</v>
      </c>
      <c r="H650" s="2" t="s">
        <v>319</v>
      </c>
      <c r="I650" s="2" t="s">
        <v>966</v>
      </c>
      <c r="J650" s="2" t="s">
        <v>31</v>
      </c>
      <c r="K650" s="2" t="s">
        <v>31</v>
      </c>
      <c r="L650" s="2" t="s">
        <v>325</v>
      </c>
      <c r="M650" s="2" t="s">
        <v>40</v>
      </c>
      <c r="N650" s="2" t="s">
        <v>444</v>
      </c>
      <c r="O650" s="2" t="s">
        <v>136</v>
      </c>
      <c r="P650" s="2" t="s">
        <v>1752</v>
      </c>
      <c r="Q650" s="23" t="s">
        <v>1752</v>
      </c>
      <c r="R650" s="23" t="s">
        <v>1752</v>
      </c>
      <c r="S650" s="2" t="s">
        <v>35</v>
      </c>
      <c r="T650" s="153">
        <v>0.76500000000000001</v>
      </c>
      <c r="U650" s="2" t="s">
        <v>2184</v>
      </c>
      <c r="V650" s="165">
        <v>4.3499999999999997E-2</v>
      </c>
      <c r="W650" s="167">
        <v>6.3810000000000006E-2</v>
      </c>
      <c r="X650" s="4" t="s">
        <v>411</v>
      </c>
      <c r="Y650" s="4" t="s">
        <v>136</v>
      </c>
      <c r="Z650" s="153">
        <v>29000</v>
      </c>
      <c r="AA650" s="153">
        <v>1</v>
      </c>
      <c r="AB650" s="153">
        <v>99.5</v>
      </c>
      <c r="AC650" s="11"/>
      <c r="AD650" s="153">
        <v>28.855</v>
      </c>
      <c r="AG650" s="2" t="s">
        <v>37</v>
      </c>
      <c r="AH650" s="167">
        <v>4.0299999999999998E-4</v>
      </c>
      <c r="AI650" s="167">
        <v>3.2011786611509298E-3</v>
      </c>
      <c r="AJ650" s="167">
        <v>8.3180448420352505E-4</v>
      </c>
      <c r="AK650" s="161"/>
      <c r="AL650" s="153"/>
    </row>
    <row r="651" spans="1:38">
      <c r="A651" s="2" t="s">
        <v>26</v>
      </c>
      <c r="B651" s="2">
        <v>9964</v>
      </c>
      <c r="C651" s="2" t="s">
        <v>2180</v>
      </c>
      <c r="D651" s="2" t="s">
        <v>2181</v>
      </c>
      <c r="E651" s="4" t="s">
        <v>1305</v>
      </c>
      <c r="F651" s="2" t="s">
        <v>2185</v>
      </c>
      <c r="G651" s="2" t="s">
        <v>2186</v>
      </c>
      <c r="H651" s="2" t="s">
        <v>319</v>
      </c>
      <c r="I651" s="2" t="s">
        <v>966</v>
      </c>
      <c r="J651" s="2" t="s">
        <v>31</v>
      </c>
      <c r="K651" s="2" t="s">
        <v>31</v>
      </c>
      <c r="L651" s="2" t="s">
        <v>325</v>
      </c>
      <c r="M651" s="2" t="s">
        <v>40</v>
      </c>
      <c r="N651" s="2" t="s">
        <v>444</v>
      </c>
      <c r="O651" s="2" t="s">
        <v>136</v>
      </c>
      <c r="P651" s="2" t="s">
        <v>1752</v>
      </c>
      <c r="Q651" s="23" t="s">
        <v>1752</v>
      </c>
      <c r="R651" s="23" t="s">
        <v>1752</v>
      </c>
      <c r="S651" s="2" t="s">
        <v>35</v>
      </c>
      <c r="T651" s="153">
        <v>0.76600000000000001</v>
      </c>
      <c r="U651" s="2" t="s">
        <v>2184</v>
      </c>
      <c r="V651" s="165">
        <v>0.06</v>
      </c>
      <c r="W651" s="167">
        <v>6.7349999999999993E-2</v>
      </c>
      <c r="X651" s="4" t="s">
        <v>411</v>
      </c>
      <c r="Y651" s="4" t="s">
        <v>136</v>
      </c>
      <c r="Z651" s="153">
        <v>10000</v>
      </c>
      <c r="AA651" s="153">
        <v>1</v>
      </c>
      <c r="AB651" s="153">
        <v>100.82</v>
      </c>
      <c r="AC651" s="11"/>
      <c r="AD651" s="153">
        <v>10.082000000000001</v>
      </c>
      <c r="AG651" s="2" t="s">
        <v>37</v>
      </c>
      <c r="AH651" s="167">
        <v>0</v>
      </c>
      <c r="AI651" s="167">
        <v>1.11849881343697E-3</v>
      </c>
      <c r="AJ651" s="167">
        <v>2.9063430288476697E-4</v>
      </c>
      <c r="AK651" s="161"/>
      <c r="AL651" s="153"/>
    </row>
    <row r="652" spans="1:38">
      <c r="A652" s="2" t="s">
        <v>26</v>
      </c>
      <c r="B652" s="2">
        <v>9964</v>
      </c>
      <c r="C652" s="2" t="s">
        <v>2187</v>
      </c>
      <c r="D652" s="2" t="s">
        <v>2188</v>
      </c>
      <c r="E652" s="4" t="s">
        <v>1305</v>
      </c>
      <c r="F652" s="2" t="s">
        <v>2189</v>
      </c>
      <c r="G652" s="2" t="s">
        <v>2190</v>
      </c>
      <c r="H652" s="2" t="s">
        <v>319</v>
      </c>
      <c r="I652" s="2" t="s">
        <v>966</v>
      </c>
      <c r="J652" s="2" t="s">
        <v>31</v>
      </c>
      <c r="K652" s="2" t="s">
        <v>31</v>
      </c>
      <c r="L652" s="2" t="s">
        <v>325</v>
      </c>
      <c r="M652" s="2" t="s">
        <v>40</v>
      </c>
      <c r="N652" s="2" t="s">
        <v>444</v>
      </c>
      <c r="O652" s="2" t="s">
        <v>136</v>
      </c>
      <c r="P652" s="2" t="s">
        <v>1752</v>
      </c>
      <c r="Q652" s="23" t="s">
        <v>1752</v>
      </c>
      <c r="R652" s="23" t="s">
        <v>1752</v>
      </c>
      <c r="S652" s="2" t="s">
        <v>35</v>
      </c>
      <c r="T652" s="153">
        <v>0.77700000000000002</v>
      </c>
      <c r="U652" s="2" t="s">
        <v>1715</v>
      </c>
      <c r="V652" s="165">
        <v>4.4900000000000002E-2</v>
      </c>
      <c r="W652" s="167">
        <v>5.5350000000000003E-2</v>
      </c>
      <c r="X652" s="4" t="s">
        <v>411</v>
      </c>
      <c r="Y652" s="4" t="s">
        <v>136</v>
      </c>
      <c r="Z652" s="153">
        <v>51940</v>
      </c>
      <c r="AA652" s="153">
        <v>1</v>
      </c>
      <c r="AB652" s="153">
        <v>100.4</v>
      </c>
      <c r="AC652" s="11"/>
      <c r="AD652" s="153">
        <v>52.148000000000003</v>
      </c>
      <c r="AG652" s="2" t="s">
        <v>37</v>
      </c>
      <c r="AH652" s="167">
        <v>4.8000000000000001E-4</v>
      </c>
      <c r="AI652" s="167">
        <v>5.7852814603645804E-3</v>
      </c>
      <c r="AJ652" s="167">
        <v>1.5032660062093001E-3</v>
      </c>
      <c r="AK652" s="161"/>
      <c r="AL652" s="153"/>
    </row>
    <row r="653" spans="1:38">
      <c r="A653" s="2" t="s">
        <v>26</v>
      </c>
      <c r="B653" s="2">
        <v>9964</v>
      </c>
      <c r="C653" s="2" t="s">
        <v>1599</v>
      </c>
      <c r="D653" s="2" t="s">
        <v>1600</v>
      </c>
      <c r="E653" s="4" t="s">
        <v>1305</v>
      </c>
      <c r="F653" s="2" t="s">
        <v>2381</v>
      </c>
      <c r="G653" s="2" t="s">
        <v>2382</v>
      </c>
      <c r="H653" s="2" t="s">
        <v>319</v>
      </c>
      <c r="I653" s="2" t="s">
        <v>754</v>
      </c>
      <c r="J653" s="2" t="s">
        <v>31</v>
      </c>
      <c r="K653" s="2" t="s">
        <v>31</v>
      </c>
      <c r="L653" s="2" t="s">
        <v>325</v>
      </c>
      <c r="M653" s="2" t="s">
        <v>40</v>
      </c>
      <c r="N653" s="2" t="s">
        <v>461</v>
      </c>
      <c r="O653" s="2" t="s">
        <v>136</v>
      </c>
      <c r="P653" s="2" t="s">
        <v>1748</v>
      </c>
      <c r="Q653" s="2" t="s">
        <v>412</v>
      </c>
      <c r="R653" s="2" t="s">
        <v>405</v>
      </c>
      <c r="S653" s="2" t="s">
        <v>35</v>
      </c>
      <c r="T653" s="153">
        <v>0.47099999999999997</v>
      </c>
      <c r="U653" s="2" t="s">
        <v>2383</v>
      </c>
      <c r="V653" s="165">
        <v>0.04</v>
      </c>
      <c r="W653" s="167">
        <v>1.1520000000000001E-2</v>
      </c>
      <c r="X653" s="4" t="s">
        <v>411</v>
      </c>
      <c r="Y653" s="4" t="s">
        <v>136</v>
      </c>
      <c r="Z653" s="153">
        <v>5354.45</v>
      </c>
      <c r="AA653" s="153">
        <v>1</v>
      </c>
      <c r="AB653" s="153">
        <v>112.74</v>
      </c>
      <c r="AC653" s="11"/>
      <c r="AD653" s="153">
        <v>6.0369999999999999</v>
      </c>
      <c r="AG653" s="2" t="s">
        <v>37</v>
      </c>
      <c r="AH653" s="167">
        <v>3.3000000000000003E-5</v>
      </c>
      <c r="AI653" s="167">
        <v>6.6970221071120499E-4</v>
      </c>
      <c r="AJ653" s="167">
        <v>1.7401756069132101E-4</v>
      </c>
      <c r="AK653" s="161"/>
      <c r="AL653" s="153"/>
    </row>
    <row r="654" spans="1:38">
      <c r="A654" s="2" t="s">
        <v>26</v>
      </c>
      <c r="B654" s="2">
        <v>9964</v>
      </c>
      <c r="C654" s="2" t="s">
        <v>1599</v>
      </c>
      <c r="D654" s="2" t="s">
        <v>1600</v>
      </c>
      <c r="E654" s="4" t="s">
        <v>1305</v>
      </c>
      <c r="F654" s="2" t="s">
        <v>2416</v>
      </c>
      <c r="G654" s="2" t="s">
        <v>2417</v>
      </c>
      <c r="H654" s="2" t="s">
        <v>319</v>
      </c>
      <c r="I654" s="2" t="s">
        <v>754</v>
      </c>
      <c r="J654" s="2" t="s">
        <v>31</v>
      </c>
      <c r="K654" s="2" t="s">
        <v>31</v>
      </c>
      <c r="L654" s="2" t="s">
        <v>325</v>
      </c>
      <c r="M654" s="2" t="s">
        <v>40</v>
      </c>
      <c r="N654" s="2" t="s">
        <v>461</v>
      </c>
      <c r="O654" s="2" t="s">
        <v>136</v>
      </c>
      <c r="P654" s="2" t="s">
        <v>1748</v>
      </c>
      <c r="Q654" s="2" t="s">
        <v>412</v>
      </c>
      <c r="R654" s="2" t="s">
        <v>405</v>
      </c>
      <c r="S654" s="2" t="s">
        <v>35</v>
      </c>
      <c r="T654" s="153">
        <v>2.5449999999999999</v>
      </c>
      <c r="U654" s="2" t="s">
        <v>2418</v>
      </c>
      <c r="V654" s="165">
        <v>0.04</v>
      </c>
      <c r="W654" s="167">
        <v>2.18E-2</v>
      </c>
      <c r="X654" s="4" t="s">
        <v>411</v>
      </c>
      <c r="Y654" s="4" t="s">
        <v>136</v>
      </c>
      <c r="Z654" s="153">
        <v>148995.88</v>
      </c>
      <c r="AA654" s="153">
        <v>1</v>
      </c>
      <c r="AB654" s="153">
        <v>117.41</v>
      </c>
      <c r="AC654" s="11"/>
      <c r="AD654" s="153">
        <v>174.93600000000001</v>
      </c>
      <c r="AG654" s="2" t="s">
        <v>37</v>
      </c>
      <c r="AH654" s="167">
        <v>1.6000000000000001E-4</v>
      </c>
      <c r="AI654" s="167">
        <v>1.9407436874254402E-2</v>
      </c>
      <c r="AJ654" s="167">
        <v>5.0428903624821896E-3</v>
      </c>
      <c r="AK654" s="161"/>
      <c r="AL654" s="153"/>
    </row>
    <row r="655" spans="1:38">
      <c r="A655" s="2" t="s">
        <v>26</v>
      </c>
      <c r="B655" s="2">
        <v>9964</v>
      </c>
      <c r="C655" s="2" t="s">
        <v>1383</v>
      </c>
      <c r="D655" s="2" t="s">
        <v>1384</v>
      </c>
      <c r="E655" s="4" t="s">
        <v>1305</v>
      </c>
      <c r="F655" s="2" t="s">
        <v>2195</v>
      </c>
      <c r="G655" s="2" t="s">
        <v>2196</v>
      </c>
      <c r="H655" s="2" t="s">
        <v>319</v>
      </c>
      <c r="I655" s="2" t="s">
        <v>754</v>
      </c>
      <c r="J655" s="2" t="s">
        <v>31</v>
      </c>
      <c r="K655" s="2" t="s">
        <v>31</v>
      </c>
      <c r="L655" s="2" t="s">
        <v>325</v>
      </c>
      <c r="M655" s="2" t="s">
        <v>40</v>
      </c>
      <c r="N655" s="2" t="s">
        <v>461</v>
      </c>
      <c r="O655" s="2" t="s">
        <v>136</v>
      </c>
      <c r="P655" s="2" t="s">
        <v>1724</v>
      </c>
      <c r="Q655" s="2" t="s">
        <v>412</v>
      </c>
      <c r="R655" s="2" t="s">
        <v>405</v>
      </c>
      <c r="S655" s="2" t="s">
        <v>35</v>
      </c>
      <c r="T655" s="153">
        <v>3.4420000000000002</v>
      </c>
      <c r="U655" s="2" t="s">
        <v>2197</v>
      </c>
      <c r="V655" s="165">
        <v>1.0800000000000001E-2</v>
      </c>
      <c r="W655" s="167">
        <v>3.1019999999999999E-2</v>
      </c>
      <c r="X655" s="4" t="s">
        <v>411</v>
      </c>
      <c r="Y655" s="4" t="s">
        <v>136</v>
      </c>
      <c r="Z655" s="153">
        <v>98685</v>
      </c>
      <c r="AA655" s="153">
        <v>1</v>
      </c>
      <c r="AB655" s="153">
        <v>104.57</v>
      </c>
      <c r="AC655" s="11"/>
      <c r="AD655" s="153">
        <v>103.19499999999999</v>
      </c>
      <c r="AG655" s="2" t="s">
        <v>37</v>
      </c>
      <c r="AH655" s="167">
        <v>3.6900000000000002E-4</v>
      </c>
      <c r="AI655" s="167">
        <v>1.14484604479261E-2</v>
      </c>
      <c r="AJ655" s="167">
        <v>2.9748045160303098E-3</v>
      </c>
      <c r="AK655" s="161"/>
      <c r="AL655" s="153"/>
    </row>
    <row r="656" spans="1:38">
      <c r="A656" s="2" t="s">
        <v>26</v>
      </c>
      <c r="B656" s="2">
        <v>9964</v>
      </c>
      <c r="C656" s="2" t="s">
        <v>1383</v>
      </c>
      <c r="D656" s="2" t="s">
        <v>1384</v>
      </c>
      <c r="E656" s="4" t="s">
        <v>1305</v>
      </c>
      <c r="F656" s="2" t="s">
        <v>2198</v>
      </c>
      <c r="G656" s="2" t="s">
        <v>2199</v>
      </c>
      <c r="H656" s="2" t="s">
        <v>319</v>
      </c>
      <c r="I656" s="2" t="s">
        <v>754</v>
      </c>
      <c r="J656" s="2" t="s">
        <v>31</v>
      </c>
      <c r="K656" s="2" t="s">
        <v>31</v>
      </c>
      <c r="L656" s="2" t="s">
        <v>325</v>
      </c>
      <c r="M656" s="2" t="s">
        <v>40</v>
      </c>
      <c r="N656" s="2" t="s">
        <v>461</v>
      </c>
      <c r="O656" s="2" t="s">
        <v>136</v>
      </c>
      <c r="P656" s="2" t="s">
        <v>1890</v>
      </c>
      <c r="Q656" s="2" t="s">
        <v>412</v>
      </c>
      <c r="R656" s="2" t="s">
        <v>405</v>
      </c>
      <c r="S656" s="2" t="s">
        <v>35</v>
      </c>
      <c r="T656" s="153">
        <v>3.899</v>
      </c>
      <c r="U656" s="2" t="s">
        <v>1773</v>
      </c>
      <c r="V656" s="165">
        <v>9.4000000000000004E-3</v>
      </c>
      <c r="W656" s="167">
        <v>4.641E-2</v>
      </c>
      <c r="X656" s="4" t="s">
        <v>411</v>
      </c>
      <c r="Y656" s="4" t="s">
        <v>136</v>
      </c>
      <c r="Z656" s="153">
        <v>103400</v>
      </c>
      <c r="AA656" s="153">
        <v>1</v>
      </c>
      <c r="AB656" s="153">
        <v>94.91</v>
      </c>
      <c r="AC656" s="11"/>
      <c r="AD656" s="153">
        <v>98.137</v>
      </c>
      <c r="AG656" s="2" t="s">
        <v>37</v>
      </c>
      <c r="AH656" s="167">
        <v>2.6200000000000003E-4</v>
      </c>
      <c r="AI656" s="167">
        <v>1.08873289966609E-2</v>
      </c>
      <c r="AJ656" s="167">
        <v>2.8289983281237999E-3</v>
      </c>
      <c r="AK656" s="161"/>
      <c r="AL656" s="153"/>
    </row>
    <row r="657" spans="1:38">
      <c r="A657" s="2" t="s">
        <v>26</v>
      </c>
      <c r="B657" s="2">
        <v>9964</v>
      </c>
      <c r="C657" s="2" t="s">
        <v>2200</v>
      </c>
      <c r="D657" s="2" t="s">
        <v>2201</v>
      </c>
      <c r="E657" s="4" t="s">
        <v>1305</v>
      </c>
      <c r="F657" s="2" t="s">
        <v>2202</v>
      </c>
      <c r="G657" s="2" t="s">
        <v>2203</v>
      </c>
      <c r="H657" s="2" t="s">
        <v>319</v>
      </c>
      <c r="I657" s="2" t="s">
        <v>966</v>
      </c>
      <c r="J657" s="2" t="s">
        <v>31</v>
      </c>
      <c r="K657" s="2" t="s">
        <v>31</v>
      </c>
      <c r="L657" s="2" t="s">
        <v>325</v>
      </c>
      <c r="M657" s="2" t="s">
        <v>40</v>
      </c>
      <c r="N657" s="2" t="s">
        <v>440</v>
      </c>
      <c r="O657" s="2" t="s">
        <v>136</v>
      </c>
      <c r="P657" s="2" t="s">
        <v>2204</v>
      </c>
      <c r="Q657" s="2" t="s">
        <v>104</v>
      </c>
      <c r="R657" s="2" t="s">
        <v>405</v>
      </c>
      <c r="S657" s="2" t="s">
        <v>35</v>
      </c>
      <c r="T657" s="153">
        <v>0.95599999999999996</v>
      </c>
      <c r="U657" s="2" t="s">
        <v>1897</v>
      </c>
      <c r="V657" s="165">
        <v>3.15E-2</v>
      </c>
      <c r="W657" s="167">
        <v>0.10729</v>
      </c>
      <c r="X657" s="4" t="s">
        <v>411</v>
      </c>
      <c r="Y657" s="4" t="s">
        <v>136</v>
      </c>
      <c r="Z657" s="153">
        <v>22835.31</v>
      </c>
      <c r="AA657" s="153">
        <v>1</v>
      </c>
      <c r="AB657" s="153">
        <v>94.15</v>
      </c>
      <c r="AC657" s="11"/>
      <c r="AD657" s="153">
        <v>21.498999999999999</v>
      </c>
      <c r="AG657" s="2" t="s">
        <v>37</v>
      </c>
      <c r="AH657" s="167">
        <v>1.1400000000000001E-4</v>
      </c>
      <c r="AI657" s="167">
        <v>2.38515205433511E-3</v>
      </c>
      <c r="AJ657" s="167">
        <v>6.1976552523622299E-4</v>
      </c>
      <c r="AK657" s="161"/>
      <c r="AL657" s="153"/>
    </row>
    <row r="658" spans="1:38">
      <c r="A658" s="2" t="s">
        <v>26</v>
      </c>
      <c r="B658" s="2">
        <v>9964</v>
      </c>
      <c r="C658" s="2" t="s">
        <v>2200</v>
      </c>
      <c r="D658" s="2" t="s">
        <v>2201</v>
      </c>
      <c r="E658" s="4" t="s">
        <v>1305</v>
      </c>
      <c r="F658" s="2" t="s">
        <v>2205</v>
      </c>
      <c r="G658" s="2" t="s">
        <v>2203</v>
      </c>
      <c r="H658" s="2" t="s">
        <v>319</v>
      </c>
      <c r="I658" s="2" t="s">
        <v>966</v>
      </c>
      <c r="J658" s="2" t="s">
        <v>31</v>
      </c>
      <c r="K658" s="2" t="s">
        <v>31</v>
      </c>
      <c r="L658" s="23" t="s">
        <v>327</v>
      </c>
      <c r="M658" s="2" t="s">
        <v>40</v>
      </c>
      <c r="N658" s="2" t="s">
        <v>440</v>
      </c>
      <c r="O658" s="2" t="s">
        <v>136</v>
      </c>
      <c r="P658" s="2" t="s">
        <v>2083</v>
      </c>
      <c r="Q658" s="2" t="s">
        <v>104</v>
      </c>
      <c r="R658" s="2" t="s">
        <v>405</v>
      </c>
      <c r="S658" s="2" t="s">
        <v>35</v>
      </c>
      <c r="T658" s="153">
        <v>1.9</v>
      </c>
      <c r="U658" s="2" t="s">
        <v>1897</v>
      </c>
      <c r="V658" s="165">
        <v>2.9000000000000001E-2</v>
      </c>
      <c r="W658" s="167">
        <v>7.9600000000000004E-2</v>
      </c>
      <c r="X658" s="4" t="s">
        <v>411</v>
      </c>
      <c r="Y658" s="4" t="s">
        <v>136</v>
      </c>
      <c r="Z658" s="153">
        <v>49000</v>
      </c>
      <c r="AA658" s="153">
        <v>1</v>
      </c>
      <c r="AB658" s="153">
        <v>93.238</v>
      </c>
      <c r="AC658" s="11"/>
      <c r="AD658" s="153">
        <v>45.686999999999998</v>
      </c>
      <c r="AG658" s="2" t="s">
        <v>37</v>
      </c>
      <c r="AH658" s="167">
        <v>2.4499999999999999E-4</v>
      </c>
      <c r="AI658" s="167">
        <v>5.0685032221496704E-3</v>
      </c>
      <c r="AJ658" s="167">
        <v>1.3170160602246201E-3</v>
      </c>
      <c r="AK658" s="161"/>
      <c r="AL658" s="153"/>
    </row>
    <row r="659" spans="1:38">
      <c r="A659" s="2" t="s">
        <v>26</v>
      </c>
      <c r="B659" s="2">
        <v>9964</v>
      </c>
      <c r="C659" s="2" t="s">
        <v>2206</v>
      </c>
      <c r="D659" s="2" t="s">
        <v>2207</v>
      </c>
      <c r="E659" s="4" t="s">
        <v>1305</v>
      </c>
      <c r="F659" s="2" t="s">
        <v>2208</v>
      </c>
      <c r="G659" s="2" t="s">
        <v>2209</v>
      </c>
      <c r="H659" s="2" t="s">
        <v>319</v>
      </c>
      <c r="I659" s="2" t="s">
        <v>966</v>
      </c>
      <c r="J659" s="2" t="s">
        <v>31</v>
      </c>
      <c r="K659" s="2" t="s">
        <v>31</v>
      </c>
      <c r="L659" s="2" t="s">
        <v>325</v>
      </c>
      <c r="M659" s="2" t="s">
        <v>40</v>
      </c>
      <c r="N659" s="2" t="s">
        <v>461</v>
      </c>
      <c r="O659" s="2" t="s">
        <v>136</v>
      </c>
      <c r="P659" s="2" t="s">
        <v>1720</v>
      </c>
      <c r="Q659" s="2" t="s">
        <v>104</v>
      </c>
      <c r="R659" s="2" t="s">
        <v>405</v>
      </c>
      <c r="S659" s="2" t="s">
        <v>35</v>
      </c>
      <c r="T659" s="153">
        <v>3.18</v>
      </c>
      <c r="U659" s="2" t="s">
        <v>2210</v>
      </c>
      <c r="V659" s="165">
        <v>4.1000000000000002E-2</v>
      </c>
      <c r="W659" s="167">
        <v>5.849E-2</v>
      </c>
      <c r="X659" s="4" t="s">
        <v>411</v>
      </c>
      <c r="Y659" s="4" t="s">
        <v>136</v>
      </c>
      <c r="Z659" s="153">
        <v>24888.880000000001</v>
      </c>
      <c r="AA659" s="153">
        <v>1</v>
      </c>
      <c r="AB659" s="153">
        <v>96.54</v>
      </c>
      <c r="AC659" s="11"/>
      <c r="AD659" s="153">
        <v>24.027999999999999</v>
      </c>
      <c r="AG659" s="2" t="s">
        <v>37</v>
      </c>
      <c r="AH659" s="167">
        <v>5.0000000000000002E-5</v>
      </c>
      <c r="AI659" s="167">
        <v>2.6656399151658398E-3</v>
      </c>
      <c r="AJ659" s="167">
        <v>6.9264838655074099E-4</v>
      </c>
      <c r="AK659" s="161"/>
      <c r="AL659" s="153"/>
    </row>
    <row r="660" spans="1:38">
      <c r="A660" s="2" t="s">
        <v>26</v>
      </c>
      <c r="B660" s="2">
        <v>9964</v>
      </c>
      <c r="C660" s="2" t="s">
        <v>2206</v>
      </c>
      <c r="D660" s="2" t="s">
        <v>2207</v>
      </c>
      <c r="E660" s="4" t="s">
        <v>1305</v>
      </c>
      <c r="F660" s="2" t="s">
        <v>2211</v>
      </c>
      <c r="G660" s="2" t="s">
        <v>2209</v>
      </c>
      <c r="H660" s="2" t="s">
        <v>319</v>
      </c>
      <c r="I660" s="2" t="s">
        <v>966</v>
      </c>
      <c r="J660" s="2" t="s">
        <v>31</v>
      </c>
      <c r="K660" s="2" t="s">
        <v>31</v>
      </c>
      <c r="L660" s="23" t="s">
        <v>327</v>
      </c>
      <c r="M660" s="2" t="s">
        <v>40</v>
      </c>
      <c r="N660" s="2" t="s">
        <v>461</v>
      </c>
      <c r="O660" s="2" t="s">
        <v>136</v>
      </c>
      <c r="P660" s="2" t="s">
        <v>1720</v>
      </c>
      <c r="Q660" s="2" t="s">
        <v>104</v>
      </c>
      <c r="R660" s="2" t="s">
        <v>405</v>
      </c>
      <c r="S660" s="2" t="s">
        <v>35</v>
      </c>
      <c r="T660" s="153">
        <v>3.18</v>
      </c>
      <c r="U660" s="2" t="s">
        <v>2210</v>
      </c>
      <c r="V660" s="165">
        <v>4.1000000000000002E-2</v>
      </c>
      <c r="W660" s="167">
        <v>5.8500000000000003E-2</v>
      </c>
      <c r="X660" s="4" t="s">
        <v>411</v>
      </c>
      <c r="Y660" s="4" t="s">
        <v>136</v>
      </c>
      <c r="Z660" s="153">
        <v>211000</v>
      </c>
      <c r="AA660" s="153">
        <v>1</v>
      </c>
      <c r="AB660" s="153">
        <v>95.132999999999996</v>
      </c>
      <c r="AC660" s="11"/>
      <c r="AD660" s="153">
        <v>200.73</v>
      </c>
      <c r="AG660" s="2" t="s">
        <v>37</v>
      </c>
      <c r="AH660" s="167">
        <v>0</v>
      </c>
      <c r="AI660" s="167">
        <v>2.2269067196211599E-2</v>
      </c>
      <c r="AJ660" s="167">
        <v>5.7864655221019799E-3</v>
      </c>
      <c r="AK660" s="161"/>
      <c r="AL660" s="153"/>
    </row>
    <row r="661" spans="1:38">
      <c r="A661" s="2" t="s">
        <v>26</v>
      </c>
      <c r="B661" s="2">
        <v>9964</v>
      </c>
      <c r="C661" s="2" t="s">
        <v>2384</v>
      </c>
      <c r="D661" s="2" t="s">
        <v>2385</v>
      </c>
      <c r="E661" s="4" t="s">
        <v>1305</v>
      </c>
      <c r="F661" s="2" t="s">
        <v>2386</v>
      </c>
      <c r="G661" s="2" t="s">
        <v>2387</v>
      </c>
      <c r="H661" s="2" t="s">
        <v>319</v>
      </c>
      <c r="I661" s="2" t="s">
        <v>755</v>
      </c>
      <c r="J661" s="2" t="s">
        <v>31</v>
      </c>
      <c r="K661" s="2" t="s">
        <v>31</v>
      </c>
      <c r="L661" s="2" t="s">
        <v>325</v>
      </c>
      <c r="M661" s="2" t="s">
        <v>40</v>
      </c>
      <c r="N661" s="2" t="s">
        <v>451</v>
      </c>
      <c r="O661" s="2" t="s">
        <v>136</v>
      </c>
      <c r="P661" s="2" t="s">
        <v>1896</v>
      </c>
      <c r="Q661" s="2" t="s">
        <v>104</v>
      </c>
      <c r="R661" s="2" t="s">
        <v>405</v>
      </c>
      <c r="S661" s="2" t="s">
        <v>35</v>
      </c>
      <c r="T661" s="153">
        <v>3.3</v>
      </c>
      <c r="U661" s="2" t="s">
        <v>2388</v>
      </c>
      <c r="V661" s="165">
        <v>4.6899999999999997E-2</v>
      </c>
      <c r="W661" s="167">
        <v>6.9029999999999994E-2</v>
      </c>
      <c r="X661" s="4" t="s">
        <v>411</v>
      </c>
      <c r="Y661" s="4" t="s">
        <v>136</v>
      </c>
      <c r="Z661" s="153">
        <v>60977.52</v>
      </c>
      <c r="AA661" s="153">
        <v>1</v>
      </c>
      <c r="AB661" s="153">
        <v>98.27</v>
      </c>
      <c r="AC661" s="11"/>
      <c r="AD661" s="153">
        <v>59.923000000000002</v>
      </c>
      <c r="AG661" s="2" t="s">
        <v>37</v>
      </c>
      <c r="AH661" s="167">
        <v>4.1999999999999998E-5</v>
      </c>
      <c r="AI661" s="167">
        <v>6.6478245345339597E-3</v>
      </c>
      <c r="AJ661" s="167">
        <v>1.7273919525739501E-3</v>
      </c>
      <c r="AK661" s="161"/>
      <c r="AL661" s="153"/>
    </row>
    <row r="662" spans="1:38">
      <c r="A662" s="2" t="s">
        <v>26</v>
      </c>
      <c r="B662" s="2">
        <v>9964</v>
      </c>
      <c r="C662" s="2" t="s">
        <v>2216</v>
      </c>
      <c r="D662" s="2" t="s">
        <v>2217</v>
      </c>
      <c r="E662" s="4" t="s">
        <v>1305</v>
      </c>
      <c r="F662" s="2" t="s">
        <v>2218</v>
      </c>
      <c r="G662" s="2" t="s">
        <v>2219</v>
      </c>
      <c r="H662" s="2" t="s">
        <v>319</v>
      </c>
      <c r="I662" s="2" t="s">
        <v>754</v>
      </c>
      <c r="J662" s="2" t="s">
        <v>31</v>
      </c>
      <c r="K662" s="2" t="s">
        <v>31</v>
      </c>
      <c r="L662" s="2" t="s">
        <v>325</v>
      </c>
      <c r="M662" s="2" t="s">
        <v>40</v>
      </c>
      <c r="N662" s="2" t="s">
        <v>461</v>
      </c>
      <c r="O662" s="2" t="s">
        <v>136</v>
      </c>
      <c r="P662" s="2" t="s">
        <v>1752</v>
      </c>
      <c r="Q662" s="23" t="s">
        <v>1752</v>
      </c>
      <c r="R662" s="23" t="s">
        <v>1752</v>
      </c>
      <c r="S662" s="2" t="s">
        <v>35</v>
      </c>
      <c r="T662" s="153">
        <v>2.6</v>
      </c>
      <c r="U662" s="2" t="s">
        <v>1908</v>
      </c>
      <c r="V662" s="165">
        <v>3.5180000000000003E-2</v>
      </c>
      <c r="W662" s="167">
        <v>3.7519999999999998E-2</v>
      </c>
      <c r="X662" s="4" t="s">
        <v>411</v>
      </c>
      <c r="Y662" s="4" t="s">
        <v>136</v>
      </c>
      <c r="Z662" s="153">
        <v>30000</v>
      </c>
      <c r="AA662" s="153">
        <v>1</v>
      </c>
      <c r="AB662" s="153">
        <v>104.9</v>
      </c>
      <c r="AC662" s="11"/>
      <c r="AD662" s="153">
        <v>31.47</v>
      </c>
      <c r="AG662" s="2" t="s">
        <v>37</v>
      </c>
      <c r="AH662" s="167">
        <v>4.5000000000000003E-5</v>
      </c>
      <c r="AI662" s="167">
        <v>3.4912872107579198E-3</v>
      </c>
      <c r="AJ662" s="167">
        <v>9.0718721600710202E-4</v>
      </c>
      <c r="AK662" s="161"/>
      <c r="AL662" s="153"/>
    </row>
    <row r="663" spans="1:38">
      <c r="A663" s="2" t="s">
        <v>26</v>
      </c>
      <c r="B663" s="2">
        <v>9964</v>
      </c>
      <c r="C663" s="2" t="s">
        <v>2220</v>
      </c>
      <c r="D663" s="2" t="s">
        <v>2221</v>
      </c>
      <c r="E663" s="4" t="s">
        <v>312</v>
      </c>
      <c r="F663" s="2" t="s">
        <v>2222</v>
      </c>
      <c r="G663" s="2" t="s">
        <v>2223</v>
      </c>
      <c r="H663" s="2" t="s">
        <v>319</v>
      </c>
      <c r="I663" s="2" t="s">
        <v>755</v>
      </c>
      <c r="J663" s="2" t="s">
        <v>73</v>
      </c>
      <c r="K663" s="2" t="s">
        <v>293</v>
      </c>
      <c r="L663" s="2" t="s">
        <v>325</v>
      </c>
      <c r="M663" s="2" t="s">
        <v>164</v>
      </c>
      <c r="N663" s="2" t="s">
        <v>566</v>
      </c>
      <c r="O663" s="2" t="s">
        <v>136</v>
      </c>
      <c r="P663" s="2" t="s">
        <v>2224</v>
      </c>
      <c r="Q663" s="2" t="s">
        <v>77</v>
      </c>
      <c r="R663" s="2" t="s">
        <v>405</v>
      </c>
      <c r="S663" s="2" t="s">
        <v>1178</v>
      </c>
      <c r="T663" s="153">
        <v>1.28</v>
      </c>
      <c r="U663" s="2" t="s">
        <v>2225</v>
      </c>
      <c r="V663" s="165">
        <v>4.2500000000000003E-2</v>
      </c>
      <c r="W663" s="167">
        <v>7.8850000000000003E-2</v>
      </c>
      <c r="X663" s="4" t="s">
        <v>411</v>
      </c>
      <c r="Y663" s="4" t="s">
        <v>136</v>
      </c>
      <c r="Z663" s="153">
        <v>10000</v>
      </c>
      <c r="AA663" s="153">
        <v>3.9790000000000001</v>
      </c>
      <c r="AB663" s="153">
        <v>94.738</v>
      </c>
      <c r="AC663" s="11"/>
      <c r="AD663" s="153">
        <v>38.631999999999998</v>
      </c>
      <c r="AG663" s="2" t="s">
        <v>37</v>
      </c>
      <c r="AH663" s="167">
        <v>2.0000000000000002E-5</v>
      </c>
      <c r="AI663" s="167">
        <v>4.2858418238350101E-3</v>
      </c>
      <c r="AJ663" s="167">
        <v>1.11364682356443E-3</v>
      </c>
      <c r="AK663" s="161"/>
      <c r="AL663" s="153"/>
    </row>
    <row r="664" spans="1:38">
      <c r="A664" s="2" t="s">
        <v>26</v>
      </c>
      <c r="B664" s="2">
        <v>9964</v>
      </c>
      <c r="C664" s="2" t="s">
        <v>2226</v>
      </c>
      <c r="D664" s="2" t="s">
        <v>2227</v>
      </c>
      <c r="E664" s="4" t="s">
        <v>312</v>
      </c>
      <c r="F664" s="2" t="s">
        <v>2228</v>
      </c>
      <c r="G664" s="2" t="s">
        <v>2229</v>
      </c>
      <c r="H664" s="2" t="s">
        <v>319</v>
      </c>
      <c r="I664" s="2" t="s">
        <v>755</v>
      </c>
      <c r="J664" s="2" t="s">
        <v>73</v>
      </c>
      <c r="K664" s="2" t="s">
        <v>296</v>
      </c>
      <c r="L664" s="2" t="s">
        <v>325</v>
      </c>
      <c r="M664" s="2" t="s">
        <v>164</v>
      </c>
      <c r="N664" s="2" t="s">
        <v>451</v>
      </c>
      <c r="O664" s="2" t="s">
        <v>136</v>
      </c>
      <c r="P664" s="2" t="s">
        <v>1714</v>
      </c>
      <c r="Q664" s="2" t="s">
        <v>77</v>
      </c>
      <c r="R664" s="2" t="s">
        <v>405</v>
      </c>
      <c r="S664" s="2" t="s">
        <v>78</v>
      </c>
      <c r="T664" s="153">
        <v>3.63</v>
      </c>
      <c r="U664" s="2" t="s">
        <v>2230</v>
      </c>
      <c r="V664" s="165">
        <v>5.3749999999999999E-2</v>
      </c>
      <c r="W664" s="167">
        <v>8.9200000000000002E-2</v>
      </c>
      <c r="X664" s="4" t="s">
        <v>411</v>
      </c>
      <c r="Y664" s="4" t="s">
        <v>136</v>
      </c>
      <c r="Z664" s="153">
        <v>18263</v>
      </c>
      <c r="AA664" s="153">
        <v>3.681</v>
      </c>
      <c r="AB664" s="153">
        <v>91.602000000000004</v>
      </c>
      <c r="AC664" s="161">
        <v>0.49099999999999999</v>
      </c>
      <c r="AD664" s="153">
        <v>63.387</v>
      </c>
      <c r="AG664" s="2" t="s">
        <v>37</v>
      </c>
      <c r="AH664" s="167">
        <v>2.9E-5</v>
      </c>
      <c r="AI664" s="167">
        <v>7.0321827937976002E-3</v>
      </c>
      <c r="AJ664" s="167">
        <v>1.82726482986009E-3</v>
      </c>
      <c r="AK664" s="161"/>
      <c r="AL664" s="153"/>
    </row>
    <row r="665" spans="1:38">
      <c r="A665" s="2" t="s">
        <v>26</v>
      </c>
      <c r="B665" s="2">
        <v>9964</v>
      </c>
      <c r="C665" s="2" t="s">
        <v>2226</v>
      </c>
      <c r="D665" s="2" t="s">
        <v>2227</v>
      </c>
      <c r="E665" s="4" t="s">
        <v>312</v>
      </c>
      <c r="F665" s="2" t="s">
        <v>2231</v>
      </c>
      <c r="G665" s="2" t="s">
        <v>2232</v>
      </c>
      <c r="H665" s="2" t="s">
        <v>319</v>
      </c>
      <c r="I665" s="2" t="s">
        <v>755</v>
      </c>
      <c r="J665" s="2" t="s">
        <v>73</v>
      </c>
      <c r="K665" s="2" t="s">
        <v>296</v>
      </c>
      <c r="L665" s="2" t="s">
        <v>325</v>
      </c>
      <c r="M665" s="2" t="s">
        <v>164</v>
      </c>
      <c r="N665" s="2" t="s">
        <v>451</v>
      </c>
      <c r="O665" s="2" t="s">
        <v>136</v>
      </c>
      <c r="P665" s="2" t="s">
        <v>1714</v>
      </c>
      <c r="Q665" s="2" t="s">
        <v>77</v>
      </c>
      <c r="R665" s="2" t="s">
        <v>405</v>
      </c>
      <c r="S665" s="2" t="s">
        <v>78</v>
      </c>
      <c r="T665" s="153">
        <v>5.72</v>
      </c>
      <c r="U665" s="2" t="s">
        <v>2233</v>
      </c>
      <c r="V665" s="165">
        <v>5.8749999999999997E-2</v>
      </c>
      <c r="W665" s="167">
        <v>9.0700000000000003E-2</v>
      </c>
      <c r="X665" s="4" t="s">
        <v>411</v>
      </c>
      <c r="Y665" s="4" t="s">
        <v>136</v>
      </c>
      <c r="Z665" s="153">
        <v>9000</v>
      </c>
      <c r="AA665" s="153">
        <v>3.681</v>
      </c>
      <c r="AB665" s="153">
        <v>87.728999999999999</v>
      </c>
      <c r="AC665" s="161">
        <v>0.26400000000000001</v>
      </c>
      <c r="AD665" s="153">
        <v>30.036999999999999</v>
      </c>
      <c r="AG665" s="2" t="s">
        <v>37</v>
      </c>
      <c r="AH665" s="167">
        <v>1.4E-5</v>
      </c>
      <c r="AI665" s="167">
        <v>3.3323014230621198E-3</v>
      </c>
      <c r="AJ665" s="167">
        <v>8.6587584131411701E-4</v>
      </c>
      <c r="AK665" s="161"/>
      <c r="AL665" s="153"/>
    </row>
    <row r="666" spans="1:38">
      <c r="A666" s="2" t="s">
        <v>26</v>
      </c>
      <c r="B666" s="2">
        <v>9964</v>
      </c>
      <c r="C666" s="2" t="s">
        <v>2234</v>
      </c>
      <c r="D666" s="2" t="s">
        <v>2235</v>
      </c>
      <c r="E666" s="4" t="s">
        <v>312</v>
      </c>
      <c r="F666" s="2" t="s">
        <v>2236</v>
      </c>
      <c r="G666" s="2" t="s">
        <v>2237</v>
      </c>
      <c r="H666" s="2" t="s">
        <v>319</v>
      </c>
      <c r="I666" s="2" t="s">
        <v>755</v>
      </c>
      <c r="J666" s="2" t="s">
        <v>73</v>
      </c>
      <c r="K666" s="2" t="s">
        <v>74</v>
      </c>
      <c r="L666" s="2" t="s">
        <v>325</v>
      </c>
      <c r="M666" s="2" t="s">
        <v>164</v>
      </c>
      <c r="N666" s="2" t="s">
        <v>513</v>
      </c>
      <c r="O666" s="2" t="s">
        <v>136</v>
      </c>
      <c r="P666" s="2" t="s">
        <v>1890</v>
      </c>
      <c r="Q666" s="2" t="s">
        <v>77</v>
      </c>
      <c r="R666" s="2" t="s">
        <v>405</v>
      </c>
      <c r="S666" s="2" t="s">
        <v>78</v>
      </c>
      <c r="T666" s="153">
        <v>3.45</v>
      </c>
      <c r="U666" s="2" t="s">
        <v>2230</v>
      </c>
      <c r="V666" s="165">
        <v>5.6000000000000001E-2</v>
      </c>
      <c r="W666" s="167">
        <v>5.4300000000000001E-2</v>
      </c>
      <c r="X666" s="4" t="s">
        <v>411</v>
      </c>
      <c r="Y666" s="4" t="s">
        <v>136</v>
      </c>
      <c r="Z666" s="153">
        <v>17000</v>
      </c>
      <c r="AA666" s="153">
        <v>3.681</v>
      </c>
      <c r="AB666" s="153">
        <v>101.197</v>
      </c>
      <c r="AC666" s="11"/>
      <c r="AD666" s="153">
        <v>63.326000000000001</v>
      </c>
      <c r="AG666" s="2" t="s">
        <v>37</v>
      </c>
      <c r="AH666" s="167">
        <v>2.0999999999999999E-5</v>
      </c>
      <c r="AI666" s="167">
        <v>7.0254025076789302E-3</v>
      </c>
      <c r="AJ666" s="167">
        <v>1.82550301866657E-3</v>
      </c>
      <c r="AK666" s="161"/>
      <c r="AL666" s="153"/>
    </row>
    <row r="667" spans="1:38">
      <c r="A667" s="2" t="s">
        <v>26</v>
      </c>
      <c r="B667" s="2">
        <v>9964</v>
      </c>
      <c r="C667" s="2" t="s">
        <v>2238</v>
      </c>
      <c r="D667" s="2" t="s">
        <v>2239</v>
      </c>
      <c r="E667" s="4" t="s">
        <v>312</v>
      </c>
      <c r="F667" s="2" t="s">
        <v>2240</v>
      </c>
      <c r="G667" s="2" t="s">
        <v>2241</v>
      </c>
      <c r="H667" s="2" t="s">
        <v>319</v>
      </c>
      <c r="I667" s="2" t="s">
        <v>755</v>
      </c>
      <c r="J667" s="2" t="s">
        <v>73</v>
      </c>
      <c r="K667" s="2" t="s">
        <v>233</v>
      </c>
      <c r="L667" s="2" t="s">
        <v>325</v>
      </c>
      <c r="M667" s="2" t="s">
        <v>164</v>
      </c>
      <c r="N667" s="2" t="s">
        <v>484</v>
      </c>
      <c r="O667" s="2" t="s">
        <v>136</v>
      </c>
      <c r="P667" s="2" t="s">
        <v>2242</v>
      </c>
      <c r="Q667" s="2" t="s">
        <v>77</v>
      </c>
      <c r="R667" s="2" t="s">
        <v>405</v>
      </c>
      <c r="S667" s="2" t="s">
        <v>78</v>
      </c>
      <c r="T667" s="153">
        <v>1.1599999999999999</v>
      </c>
      <c r="U667" s="2" t="s">
        <v>2243</v>
      </c>
      <c r="V667" s="165">
        <v>0.09</v>
      </c>
      <c r="W667" s="167">
        <v>8.1780000000000005E-2</v>
      </c>
      <c r="X667" s="4" t="s">
        <v>411</v>
      </c>
      <c r="Y667" s="4" t="s">
        <v>136</v>
      </c>
      <c r="Z667" s="153">
        <v>40000</v>
      </c>
      <c r="AA667" s="153">
        <v>3.681</v>
      </c>
      <c r="AB667" s="153">
        <v>100.85</v>
      </c>
      <c r="AC667" s="11"/>
      <c r="AD667" s="153">
        <v>151.25200000000001</v>
      </c>
      <c r="AG667" s="2" t="s">
        <v>37</v>
      </c>
      <c r="AH667" s="167">
        <v>6.3999999999999997E-5</v>
      </c>
      <c r="AI667" s="167">
        <v>1.6779955057986899E-2</v>
      </c>
      <c r="AJ667" s="167">
        <v>4.3601570981823597E-3</v>
      </c>
      <c r="AK667" s="161"/>
      <c r="AL667" s="153"/>
    </row>
    <row r="668" spans="1:38">
      <c r="A668" s="2" t="s">
        <v>26</v>
      </c>
      <c r="B668" s="2">
        <v>9964</v>
      </c>
      <c r="C668" s="2" t="s">
        <v>1648</v>
      </c>
      <c r="D668" s="2" t="s">
        <v>1649</v>
      </c>
      <c r="E668" s="4" t="s">
        <v>312</v>
      </c>
      <c r="F668" s="2" t="s">
        <v>2244</v>
      </c>
      <c r="G668" s="2" t="s">
        <v>2245</v>
      </c>
      <c r="H668" s="2" t="s">
        <v>319</v>
      </c>
      <c r="I668" s="2" t="s">
        <v>755</v>
      </c>
      <c r="J668" s="2" t="s">
        <v>73</v>
      </c>
      <c r="K668" s="2" t="s">
        <v>74</v>
      </c>
      <c r="L668" s="2" t="s">
        <v>325</v>
      </c>
      <c r="M668" s="2" t="s">
        <v>164</v>
      </c>
      <c r="N668" s="2" t="s">
        <v>534</v>
      </c>
      <c r="O668" s="2" t="s">
        <v>136</v>
      </c>
      <c r="P668" s="2" t="s">
        <v>1724</v>
      </c>
      <c r="Q668" s="2" t="s">
        <v>77</v>
      </c>
      <c r="R668" s="2" t="s">
        <v>405</v>
      </c>
      <c r="S668" s="2" t="s">
        <v>78</v>
      </c>
      <c r="T668" s="153">
        <v>6.63</v>
      </c>
      <c r="U668" s="2" t="s">
        <v>2246</v>
      </c>
      <c r="V668" s="165">
        <v>4.9119999999999997E-2</v>
      </c>
      <c r="W668" s="167">
        <v>5.5989999999999998E-2</v>
      </c>
      <c r="X668" s="4" t="s">
        <v>411</v>
      </c>
      <c r="Y668" s="4" t="s">
        <v>136</v>
      </c>
      <c r="Z668" s="153">
        <v>9000</v>
      </c>
      <c r="AA668" s="153">
        <v>3.681</v>
      </c>
      <c r="AB668" s="153">
        <v>97.835999999999999</v>
      </c>
      <c r="AC668" s="11"/>
      <c r="AD668" s="153">
        <v>32.706000000000003</v>
      </c>
      <c r="AG668" s="2" t="s">
        <v>37</v>
      </c>
      <c r="AH668" s="167">
        <v>3.0000000000000001E-6</v>
      </c>
      <c r="AI668" s="167">
        <v>3.6283988193603601E-3</v>
      </c>
      <c r="AJ668" s="167">
        <v>9.4281473416345002E-4</v>
      </c>
      <c r="AK668" s="161"/>
      <c r="AL668" s="153"/>
    </row>
    <row r="669" spans="1:38">
      <c r="A669" s="2" t="s">
        <v>26</v>
      </c>
      <c r="B669" s="2">
        <v>9964</v>
      </c>
      <c r="C669" s="2" t="s">
        <v>1176</v>
      </c>
      <c r="D669" s="2" t="s">
        <v>1364</v>
      </c>
      <c r="E669" s="4" t="s">
        <v>1305</v>
      </c>
      <c r="F669" s="2" t="s">
        <v>2247</v>
      </c>
      <c r="G669" s="2" t="s">
        <v>2248</v>
      </c>
      <c r="H669" s="2" t="s">
        <v>319</v>
      </c>
      <c r="I669" s="2" t="s">
        <v>755</v>
      </c>
      <c r="J669" s="2" t="s">
        <v>31</v>
      </c>
      <c r="K669" s="2" t="s">
        <v>31</v>
      </c>
      <c r="L669" s="2" t="s">
        <v>325</v>
      </c>
      <c r="M669" s="2" t="s">
        <v>164</v>
      </c>
      <c r="N669" s="2" t="s">
        <v>534</v>
      </c>
      <c r="O669" s="2" t="s">
        <v>136</v>
      </c>
      <c r="P669" s="2" t="s">
        <v>2249</v>
      </c>
      <c r="Q669" s="2" t="s">
        <v>430</v>
      </c>
      <c r="R669" s="2" t="s">
        <v>405</v>
      </c>
      <c r="S669" s="2" t="s">
        <v>78</v>
      </c>
      <c r="T669" s="153">
        <v>1.69</v>
      </c>
      <c r="U669" s="2" t="s">
        <v>2250</v>
      </c>
      <c r="V669" s="165">
        <v>3.2750000000000001E-2</v>
      </c>
      <c r="W669" s="167">
        <v>6.5809999999999994E-2</v>
      </c>
      <c r="X669" s="4" t="s">
        <v>411</v>
      </c>
      <c r="Y669" s="4" t="s">
        <v>136</v>
      </c>
      <c r="Z669" s="153">
        <v>8000</v>
      </c>
      <c r="AA669" s="153">
        <v>3.681</v>
      </c>
      <c r="AB669" s="153">
        <v>92.834000000000003</v>
      </c>
      <c r="AC669" s="11"/>
      <c r="AD669" s="153">
        <v>27.501000000000001</v>
      </c>
      <c r="AG669" s="2" t="s">
        <v>37</v>
      </c>
      <c r="AH669" s="167">
        <v>1.1E-5</v>
      </c>
      <c r="AI669" s="167">
        <v>3.0509799022539201E-3</v>
      </c>
      <c r="AJ669" s="167">
        <v>7.9277635912930098E-4</v>
      </c>
      <c r="AK669" s="161"/>
      <c r="AL669" s="153"/>
    </row>
    <row r="670" spans="1:38">
      <c r="A670" s="2" t="s">
        <v>26</v>
      </c>
      <c r="B670" s="2">
        <v>9964</v>
      </c>
      <c r="C670" s="2" t="s">
        <v>1710</v>
      </c>
      <c r="D670" s="2" t="s">
        <v>1711</v>
      </c>
      <c r="E670" s="4" t="s">
        <v>1305</v>
      </c>
      <c r="F670" s="2" t="s">
        <v>2251</v>
      </c>
      <c r="G670" s="2" t="s">
        <v>2252</v>
      </c>
      <c r="H670" s="2" t="s">
        <v>319</v>
      </c>
      <c r="I670" s="2" t="s">
        <v>755</v>
      </c>
      <c r="J670" s="2" t="s">
        <v>31</v>
      </c>
      <c r="K670" s="2" t="s">
        <v>31</v>
      </c>
      <c r="L670" s="2" t="s">
        <v>325</v>
      </c>
      <c r="M670" s="2" t="s">
        <v>164</v>
      </c>
      <c r="N670" s="2" t="s">
        <v>484</v>
      </c>
      <c r="O670" s="2" t="s">
        <v>136</v>
      </c>
      <c r="P670" s="2" t="s">
        <v>2253</v>
      </c>
      <c r="Q670" s="2" t="s">
        <v>164</v>
      </c>
      <c r="R670" s="2" t="s">
        <v>407</v>
      </c>
      <c r="S670" s="2" t="s">
        <v>78</v>
      </c>
      <c r="T670" s="153">
        <v>2.79</v>
      </c>
      <c r="U670" s="2" t="s">
        <v>1822</v>
      </c>
      <c r="V670" s="165">
        <v>6.5000000000000002E-2</v>
      </c>
      <c r="W670" s="167">
        <v>7.7990000000000004E-2</v>
      </c>
      <c r="X670" s="4" t="s">
        <v>411</v>
      </c>
      <c r="Y670" s="4" t="s">
        <v>136</v>
      </c>
      <c r="Z670" s="153">
        <v>5000</v>
      </c>
      <c r="AA670" s="153">
        <v>3.681</v>
      </c>
      <c r="AB670" s="153">
        <v>96.843000000000004</v>
      </c>
      <c r="AC670" s="11"/>
      <c r="AD670" s="153">
        <v>18.123000000000001</v>
      </c>
      <c r="AG670" s="2" t="s">
        <v>37</v>
      </c>
      <c r="AH670" s="167">
        <v>7.9999999999999996E-6</v>
      </c>
      <c r="AI670" s="167">
        <v>2.01057266323905E-3</v>
      </c>
      <c r="AJ670" s="167">
        <v>5.2243362027722205E-4</v>
      </c>
      <c r="AK670" s="161"/>
      <c r="AL670" s="153"/>
    </row>
    <row r="671" spans="1:38">
      <c r="A671" s="2" t="s">
        <v>26</v>
      </c>
      <c r="B671" s="2">
        <v>9964</v>
      </c>
      <c r="C671" s="2" t="s">
        <v>2254</v>
      </c>
      <c r="D671" s="2" t="s">
        <v>2255</v>
      </c>
      <c r="E671" s="4" t="s">
        <v>312</v>
      </c>
      <c r="F671" s="2" t="s">
        <v>2256</v>
      </c>
      <c r="G671" s="2" t="s">
        <v>2257</v>
      </c>
      <c r="H671" s="2" t="s">
        <v>319</v>
      </c>
      <c r="I671" s="2" t="s">
        <v>755</v>
      </c>
      <c r="J671" s="2" t="s">
        <v>73</v>
      </c>
      <c r="K671" s="2" t="s">
        <v>241</v>
      </c>
      <c r="L671" s="2" t="s">
        <v>325</v>
      </c>
      <c r="M671" s="2" t="s">
        <v>164</v>
      </c>
      <c r="N671" s="2" t="s">
        <v>507</v>
      </c>
      <c r="O671" s="2" t="s">
        <v>136</v>
      </c>
      <c r="P671" s="2" t="s">
        <v>2083</v>
      </c>
      <c r="Q671" s="2" t="s">
        <v>77</v>
      </c>
      <c r="R671" s="2" t="s">
        <v>405</v>
      </c>
      <c r="S671" s="2" t="s">
        <v>78</v>
      </c>
      <c r="T671" s="153">
        <v>7.02</v>
      </c>
      <c r="U671" s="2" t="s">
        <v>2258</v>
      </c>
      <c r="V671" s="165">
        <v>5.8749999999999997E-2</v>
      </c>
      <c r="W671" s="167">
        <v>5.5879999999999999E-2</v>
      </c>
      <c r="X671" s="4" t="s">
        <v>411</v>
      </c>
      <c r="Y671" s="4" t="s">
        <v>136</v>
      </c>
      <c r="Z671" s="153">
        <v>17000</v>
      </c>
      <c r="AA671" s="153">
        <v>3.681</v>
      </c>
      <c r="AB671" s="153">
        <v>102.749</v>
      </c>
      <c r="AC671" s="11"/>
      <c r="AD671" s="153">
        <v>64.460999999999999</v>
      </c>
      <c r="AG671" s="2" t="s">
        <v>37</v>
      </c>
      <c r="AH671" s="167">
        <v>2.3E-5</v>
      </c>
      <c r="AI671" s="167">
        <v>7.1512741817984903E-3</v>
      </c>
      <c r="AJ671" s="167">
        <v>1.8582099163594399E-3</v>
      </c>
      <c r="AK671" s="161"/>
      <c r="AL671" s="153"/>
    </row>
    <row r="672" spans="1:38">
      <c r="A672" s="2" t="s">
        <v>26</v>
      </c>
      <c r="B672" s="2">
        <v>9964</v>
      </c>
      <c r="C672" s="2" t="s">
        <v>2259</v>
      </c>
      <c r="D672" s="2" t="s">
        <v>2260</v>
      </c>
      <c r="E672" s="4" t="s">
        <v>312</v>
      </c>
      <c r="F672" s="2" t="s">
        <v>2261</v>
      </c>
      <c r="G672" s="2" t="s">
        <v>2262</v>
      </c>
      <c r="H672" s="2" t="s">
        <v>319</v>
      </c>
      <c r="I672" s="2" t="s">
        <v>755</v>
      </c>
      <c r="J672" s="2" t="s">
        <v>73</v>
      </c>
      <c r="K672" s="21" t="s">
        <v>74</v>
      </c>
      <c r="L672" s="2" t="s">
        <v>325</v>
      </c>
      <c r="M672" s="2" t="s">
        <v>164</v>
      </c>
      <c r="N672" s="2" t="s">
        <v>2263</v>
      </c>
      <c r="O672" s="2" t="s">
        <v>136</v>
      </c>
      <c r="P672" s="2" t="s">
        <v>1890</v>
      </c>
      <c r="Q672" s="2" t="s">
        <v>77</v>
      </c>
      <c r="R672" s="2" t="s">
        <v>405</v>
      </c>
      <c r="S672" s="2" t="s">
        <v>78</v>
      </c>
      <c r="T672" s="153">
        <v>6.92</v>
      </c>
      <c r="U672" s="2" t="s">
        <v>2264</v>
      </c>
      <c r="V672" s="165">
        <v>5.8869999999999999E-2</v>
      </c>
      <c r="W672" s="167">
        <v>5.8110000000000002E-2</v>
      </c>
      <c r="X672" s="4" t="s">
        <v>411</v>
      </c>
      <c r="Y672" s="4" t="s">
        <v>136</v>
      </c>
      <c r="Z672" s="153">
        <v>17000</v>
      </c>
      <c r="AA672" s="153">
        <v>3.681</v>
      </c>
      <c r="AB672" s="153">
        <v>102.133</v>
      </c>
      <c r="AC672" s="11"/>
      <c r="AD672" s="153">
        <v>64.986000000000004</v>
      </c>
      <c r="AG672" s="2" t="s">
        <v>37</v>
      </c>
      <c r="AH672" s="167">
        <v>2.3E-5</v>
      </c>
      <c r="AI672" s="167">
        <v>7.2095847093918402E-3</v>
      </c>
      <c r="AJ672" s="167">
        <v>1.87336151002618E-3</v>
      </c>
      <c r="AK672" s="161"/>
      <c r="AL672" s="153"/>
    </row>
    <row r="673" spans="1:38">
      <c r="A673" s="2" t="s">
        <v>26</v>
      </c>
      <c r="B673" s="2">
        <v>9964</v>
      </c>
      <c r="C673" s="2" t="s">
        <v>1518</v>
      </c>
      <c r="D673" s="2" t="s">
        <v>1519</v>
      </c>
      <c r="E673" s="4" t="s">
        <v>1305</v>
      </c>
      <c r="F673" s="2" t="s">
        <v>2265</v>
      </c>
      <c r="G673" s="2" t="s">
        <v>2266</v>
      </c>
      <c r="H673" s="2" t="s">
        <v>319</v>
      </c>
      <c r="I673" s="2" t="s">
        <v>755</v>
      </c>
      <c r="J673" s="2" t="s">
        <v>31</v>
      </c>
      <c r="K673" s="2" t="s">
        <v>31</v>
      </c>
      <c r="L673" s="2" t="s">
        <v>325</v>
      </c>
      <c r="M673" s="2" t="s">
        <v>164</v>
      </c>
      <c r="N673" s="2" t="s">
        <v>534</v>
      </c>
      <c r="O673" s="2" t="s">
        <v>136</v>
      </c>
      <c r="P673" s="2" t="s">
        <v>2267</v>
      </c>
      <c r="Q673" s="2" t="s">
        <v>412</v>
      </c>
      <c r="R673" s="2" t="s">
        <v>407</v>
      </c>
      <c r="S673" s="2" t="s">
        <v>78</v>
      </c>
      <c r="T673" s="153">
        <v>1.87</v>
      </c>
      <c r="U673" s="2" t="s">
        <v>2268</v>
      </c>
      <c r="V673" s="165">
        <v>3.0769999999999999E-2</v>
      </c>
      <c r="W673" s="167">
        <v>7.1179999999999993E-2</v>
      </c>
      <c r="X673" s="4" t="s">
        <v>411</v>
      </c>
      <c r="Y673" s="4" t="s">
        <v>136</v>
      </c>
      <c r="Z673" s="153">
        <v>8000</v>
      </c>
      <c r="AA673" s="153">
        <v>3.681</v>
      </c>
      <c r="AB673" s="153">
        <v>91.664000000000001</v>
      </c>
      <c r="AC673" s="11"/>
      <c r="AD673" s="153">
        <v>27.428999999999998</v>
      </c>
      <c r="AG673" s="2" t="s">
        <v>37</v>
      </c>
      <c r="AH673" s="167">
        <v>1.2999999999999999E-5</v>
      </c>
      <c r="AI673" s="167">
        <v>3.0429395309436E-3</v>
      </c>
      <c r="AJ673" s="167">
        <v>7.9068712337631002E-4</v>
      </c>
      <c r="AK673" s="161"/>
      <c r="AL673" s="153"/>
    </row>
    <row r="674" spans="1:38">
      <c r="A674" s="2" t="s">
        <v>26</v>
      </c>
      <c r="B674" s="2">
        <v>9964</v>
      </c>
      <c r="C674" s="2" t="s">
        <v>2269</v>
      </c>
      <c r="D674" s="2" t="s">
        <v>2270</v>
      </c>
      <c r="E674" s="4" t="s">
        <v>312</v>
      </c>
      <c r="F674" s="2" t="s">
        <v>2271</v>
      </c>
      <c r="G674" s="2" t="s">
        <v>2272</v>
      </c>
      <c r="H674" s="2" t="s">
        <v>319</v>
      </c>
      <c r="I674" s="2" t="s">
        <v>755</v>
      </c>
      <c r="J674" s="2" t="s">
        <v>73</v>
      </c>
      <c r="K674" s="2" t="s">
        <v>74</v>
      </c>
      <c r="L674" s="2" t="s">
        <v>325</v>
      </c>
      <c r="M674" s="2" t="s">
        <v>164</v>
      </c>
      <c r="N674" s="2" t="s">
        <v>566</v>
      </c>
      <c r="O674" s="2" t="s">
        <v>136</v>
      </c>
      <c r="P674" s="2" t="s">
        <v>2267</v>
      </c>
      <c r="Q674" s="2" t="s">
        <v>164</v>
      </c>
      <c r="R674" s="2" t="s">
        <v>407</v>
      </c>
      <c r="S674" s="2" t="s">
        <v>78</v>
      </c>
      <c r="T674" s="153">
        <v>5.85</v>
      </c>
      <c r="U674" s="2" t="s">
        <v>2273</v>
      </c>
      <c r="V674" s="165">
        <v>3.3750000000000002E-2</v>
      </c>
      <c r="W674" s="167">
        <v>6.157E-2</v>
      </c>
      <c r="X674" s="4" t="s">
        <v>411</v>
      </c>
      <c r="Y674" s="4" t="s">
        <v>136</v>
      </c>
      <c r="Z674" s="153">
        <v>20000</v>
      </c>
      <c r="AA674" s="153">
        <v>3.681</v>
      </c>
      <c r="AB674" s="153">
        <v>85.453999999999994</v>
      </c>
      <c r="AC674" s="11"/>
      <c r="AD674" s="153">
        <v>63.317999999999998</v>
      </c>
      <c r="AG674" s="2" t="s">
        <v>37</v>
      </c>
      <c r="AH674" s="167">
        <v>2.9E-5</v>
      </c>
      <c r="AI674" s="167">
        <v>7.02455922203291E-3</v>
      </c>
      <c r="AJ674" s="167">
        <v>1.82528389663182E-3</v>
      </c>
      <c r="AK674" s="161"/>
      <c r="AL674" s="153"/>
    </row>
    <row r="675" spans="1:38">
      <c r="A675" s="2" t="s">
        <v>26</v>
      </c>
      <c r="B675" s="2">
        <v>9964</v>
      </c>
      <c r="C675" s="2" t="s">
        <v>2274</v>
      </c>
      <c r="D675" s="2" t="s">
        <v>2275</v>
      </c>
      <c r="E675" s="4" t="s">
        <v>312</v>
      </c>
      <c r="F675" s="2" t="s">
        <v>2276</v>
      </c>
      <c r="G675" s="2" t="s">
        <v>2277</v>
      </c>
      <c r="H675" s="2" t="s">
        <v>319</v>
      </c>
      <c r="I675" s="2" t="s">
        <v>755</v>
      </c>
      <c r="J675" s="2" t="s">
        <v>73</v>
      </c>
      <c r="K675" s="2" t="s">
        <v>74</v>
      </c>
      <c r="L675" s="2" t="s">
        <v>325</v>
      </c>
      <c r="M675" s="2" t="s">
        <v>164</v>
      </c>
      <c r="N675" s="2" t="s">
        <v>2263</v>
      </c>
      <c r="O675" s="2" t="s">
        <v>136</v>
      </c>
      <c r="P675" s="2" t="s">
        <v>2278</v>
      </c>
      <c r="Q675" s="2" t="s">
        <v>77</v>
      </c>
      <c r="R675" s="2" t="s">
        <v>405</v>
      </c>
      <c r="S675" s="2" t="s">
        <v>78</v>
      </c>
      <c r="T675" s="153">
        <v>2.39</v>
      </c>
      <c r="U675" s="2" t="s">
        <v>2279</v>
      </c>
      <c r="V675" s="165">
        <v>3.3640000000000003E-2</v>
      </c>
      <c r="W675" s="167">
        <v>6.9589999999999999E-2</v>
      </c>
      <c r="X675" s="4" t="s">
        <v>411</v>
      </c>
      <c r="Y675" s="4" t="s">
        <v>136</v>
      </c>
      <c r="Z675" s="153">
        <v>9000</v>
      </c>
      <c r="AA675" s="153">
        <v>3.681</v>
      </c>
      <c r="AB675" s="153">
        <v>91.462000000000003</v>
      </c>
      <c r="AC675" s="11"/>
      <c r="AD675" s="153">
        <v>30.718</v>
      </c>
      <c r="AG675" s="2" t="s">
        <v>37</v>
      </c>
      <c r="AH675" s="167">
        <v>3.0000000000000001E-5</v>
      </c>
      <c r="AI675" s="167">
        <v>3.4079010623930999E-3</v>
      </c>
      <c r="AJ675" s="167">
        <v>8.8551989297634703E-4</v>
      </c>
      <c r="AK675" s="161"/>
      <c r="AL675" s="153"/>
    </row>
    <row r="676" spans="1:38">
      <c r="A676" s="2" t="s">
        <v>26</v>
      </c>
      <c r="B676" s="2">
        <v>9964</v>
      </c>
      <c r="C676" s="2" t="s">
        <v>2280</v>
      </c>
      <c r="D676" s="2" t="s">
        <v>2281</v>
      </c>
      <c r="E676" s="4" t="s">
        <v>312</v>
      </c>
      <c r="F676" s="2" t="s">
        <v>2282</v>
      </c>
      <c r="G676" s="2" t="s">
        <v>2283</v>
      </c>
      <c r="H676" s="2" t="s">
        <v>319</v>
      </c>
      <c r="I676" s="2" t="s">
        <v>755</v>
      </c>
      <c r="J676" s="2" t="s">
        <v>73</v>
      </c>
      <c r="K676" s="2" t="s">
        <v>74</v>
      </c>
      <c r="L676" s="2" t="s">
        <v>325</v>
      </c>
      <c r="M676" s="2" t="s">
        <v>164</v>
      </c>
      <c r="N676" s="2" t="s">
        <v>534</v>
      </c>
      <c r="O676" s="2" t="s">
        <v>136</v>
      </c>
      <c r="P676" s="2" t="s">
        <v>2204</v>
      </c>
      <c r="Q676" s="2" t="s">
        <v>77</v>
      </c>
      <c r="R676" s="2" t="s">
        <v>405</v>
      </c>
      <c r="S676" s="2" t="s">
        <v>78</v>
      </c>
      <c r="T676" s="153">
        <v>3.55</v>
      </c>
      <c r="U676" s="2" t="s">
        <v>2284</v>
      </c>
      <c r="V676" s="165">
        <v>6.565E-2</v>
      </c>
      <c r="W676" s="167">
        <v>6.2109999999999999E-2</v>
      </c>
      <c r="X676" s="4" t="s">
        <v>411</v>
      </c>
      <c r="Y676" s="4" t="s">
        <v>136</v>
      </c>
      <c r="Z676" s="153">
        <v>9000</v>
      </c>
      <c r="AA676" s="153">
        <v>3.681</v>
      </c>
      <c r="AB676" s="153">
        <v>103.23699999999999</v>
      </c>
      <c r="AC676" s="11"/>
      <c r="AD676" s="153">
        <v>34.853999999999999</v>
      </c>
      <c r="AG676" s="2" t="s">
        <v>37</v>
      </c>
      <c r="AH676" s="167">
        <v>1.8E-5</v>
      </c>
      <c r="AI676" s="167">
        <v>3.8666933746100999E-3</v>
      </c>
      <c r="AJ676" s="167">
        <v>1.00473395223882E-3</v>
      </c>
      <c r="AK676" s="161"/>
      <c r="AL676" s="153"/>
    </row>
    <row r="677" spans="1:38">
      <c r="A677" s="2" t="s">
        <v>26</v>
      </c>
      <c r="B677" s="2">
        <v>9964</v>
      </c>
      <c r="C677" s="2" t="s">
        <v>2285</v>
      </c>
      <c r="D677" s="2" t="s">
        <v>2286</v>
      </c>
      <c r="E677" s="4" t="s">
        <v>312</v>
      </c>
      <c r="F677" s="2" t="s">
        <v>2287</v>
      </c>
      <c r="G677" s="2" t="s">
        <v>2288</v>
      </c>
      <c r="H677" s="2" t="s">
        <v>319</v>
      </c>
      <c r="I677" s="2" t="s">
        <v>755</v>
      </c>
      <c r="J677" s="2" t="s">
        <v>73</v>
      </c>
      <c r="K677" s="2" t="s">
        <v>238</v>
      </c>
      <c r="L677" s="2" t="s">
        <v>325</v>
      </c>
      <c r="M677" s="2" t="s">
        <v>164</v>
      </c>
      <c r="N677" s="2" t="s">
        <v>566</v>
      </c>
      <c r="O677" s="2" t="s">
        <v>136</v>
      </c>
      <c r="P677" s="2" t="s">
        <v>2289</v>
      </c>
      <c r="Q677" s="2" t="s">
        <v>164</v>
      </c>
      <c r="R677" s="2" t="s">
        <v>407</v>
      </c>
      <c r="S677" s="2" t="s">
        <v>1178</v>
      </c>
      <c r="T677" s="153">
        <v>0.77</v>
      </c>
      <c r="U677" s="2" t="s">
        <v>2290</v>
      </c>
      <c r="V677" s="165">
        <v>0.02</v>
      </c>
      <c r="W677" s="167">
        <v>7.6300000000000007E-2</v>
      </c>
      <c r="X677" s="4" t="s">
        <v>411</v>
      </c>
      <c r="Y677" s="4" t="s">
        <v>136</v>
      </c>
      <c r="Z677" s="153">
        <v>4000</v>
      </c>
      <c r="AA677" s="153">
        <v>3.9790000000000001</v>
      </c>
      <c r="AB677" s="153">
        <v>95.575999999999993</v>
      </c>
      <c r="AC677" s="11"/>
      <c r="AD677" s="153">
        <v>15.265000000000001</v>
      </c>
      <c r="AG677" s="2" t="s">
        <v>37</v>
      </c>
      <c r="AH677" s="167">
        <v>1.2999999999999999E-5</v>
      </c>
      <c r="AI677" s="167">
        <v>1.6935364486253201E-3</v>
      </c>
      <c r="AJ677" s="167">
        <v>4.4005391802223899E-4</v>
      </c>
      <c r="AK677" s="161"/>
      <c r="AL677" s="153"/>
    </row>
    <row r="678" spans="1:38">
      <c r="A678" s="2" t="s">
        <v>26</v>
      </c>
      <c r="B678" s="2">
        <v>9964</v>
      </c>
      <c r="C678" s="2" t="s">
        <v>1498</v>
      </c>
      <c r="D678" s="2" t="s">
        <v>1499</v>
      </c>
      <c r="E678" s="4" t="s">
        <v>1305</v>
      </c>
      <c r="F678" s="2" t="s">
        <v>2291</v>
      </c>
      <c r="G678" s="2" t="s">
        <v>2292</v>
      </c>
      <c r="H678" s="2" t="s">
        <v>319</v>
      </c>
      <c r="I678" s="2" t="s">
        <v>755</v>
      </c>
      <c r="J678" s="2" t="s">
        <v>31</v>
      </c>
      <c r="K678" s="2" t="s">
        <v>31</v>
      </c>
      <c r="L678" s="2" t="s">
        <v>325</v>
      </c>
      <c r="M678" s="2" t="s">
        <v>164</v>
      </c>
      <c r="N678" s="2" t="s">
        <v>464</v>
      </c>
      <c r="O678" s="2" t="s">
        <v>136</v>
      </c>
      <c r="P678" s="2" t="s">
        <v>2253</v>
      </c>
      <c r="Q678" s="2" t="s">
        <v>77</v>
      </c>
      <c r="R678" s="2" t="s">
        <v>405</v>
      </c>
      <c r="S678" s="2" t="s">
        <v>1178</v>
      </c>
      <c r="T678" s="153">
        <v>5.15</v>
      </c>
      <c r="U678" s="2" t="s">
        <v>2293</v>
      </c>
      <c r="V678" s="165">
        <v>4.3749999999999997E-2</v>
      </c>
      <c r="W678" s="167">
        <v>5.2049999999999999E-2</v>
      </c>
      <c r="X678" s="4" t="s">
        <v>411</v>
      </c>
      <c r="Y678" s="4" t="s">
        <v>136</v>
      </c>
      <c r="Z678" s="153">
        <v>35000</v>
      </c>
      <c r="AA678" s="153">
        <v>3.9790000000000001</v>
      </c>
      <c r="AB678" s="153">
        <v>96.337000000000003</v>
      </c>
      <c r="AC678" s="11"/>
      <c r="AD678" s="153">
        <v>136.554</v>
      </c>
      <c r="AG678" s="2" t="s">
        <v>37</v>
      </c>
      <c r="AH678" s="167">
        <v>2.3E-5</v>
      </c>
      <c r="AI678" s="167">
        <v>1.51492708413464E-2</v>
      </c>
      <c r="AJ678" s="167">
        <v>3.93643490479695E-3</v>
      </c>
      <c r="AK678" s="161"/>
      <c r="AL678" s="153"/>
    </row>
    <row r="679" spans="1:38">
      <c r="A679" s="2" t="s">
        <v>26</v>
      </c>
      <c r="B679" s="2">
        <v>9964</v>
      </c>
      <c r="C679" s="2" t="s">
        <v>1498</v>
      </c>
      <c r="D679" s="2" t="s">
        <v>1499</v>
      </c>
      <c r="E679" s="4" t="s">
        <v>1305</v>
      </c>
      <c r="F679" s="2" t="s">
        <v>2294</v>
      </c>
      <c r="G679" s="2" t="s">
        <v>2295</v>
      </c>
      <c r="H679" s="2" t="s">
        <v>319</v>
      </c>
      <c r="I679" s="2" t="s">
        <v>755</v>
      </c>
      <c r="J679" s="2" t="s">
        <v>31</v>
      </c>
      <c r="K679" s="2" t="s">
        <v>31</v>
      </c>
      <c r="L679" s="2" t="s">
        <v>325</v>
      </c>
      <c r="M679" s="2" t="s">
        <v>164</v>
      </c>
      <c r="N679" s="2" t="s">
        <v>464</v>
      </c>
      <c r="O679" s="2" t="s">
        <v>136</v>
      </c>
      <c r="P679" s="2" t="s">
        <v>2253</v>
      </c>
      <c r="Q679" s="2" t="s">
        <v>77</v>
      </c>
      <c r="R679" s="2" t="s">
        <v>405</v>
      </c>
      <c r="S679" s="2" t="s">
        <v>78</v>
      </c>
      <c r="T679" s="153">
        <v>4.3</v>
      </c>
      <c r="U679" s="2" t="s">
        <v>2296</v>
      </c>
      <c r="V679" s="165">
        <v>5.1249999999999997E-2</v>
      </c>
      <c r="W679" s="167">
        <v>6.1269999999999998E-2</v>
      </c>
      <c r="X679" s="4" t="s">
        <v>411</v>
      </c>
      <c r="Y679" s="4" t="s">
        <v>136</v>
      </c>
      <c r="Z679" s="153">
        <v>31000</v>
      </c>
      <c r="AA679" s="153">
        <v>3.681</v>
      </c>
      <c r="AB679" s="153">
        <v>96.216999999999999</v>
      </c>
      <c r="AC679" s="11"/>
      <c r="AD679" s="153">
        <v>112.08499999999999</v>
      </c>
      <c r="AG679" s="2" t="s">
        <v>37</v>
      </c>
      <c r="AH679" s="167">
        <v>3.1000000000000001E-5</v>
      </c>
      <c r="AI679" s="167">
        <v>1.2434698263538701E-2</v>
      </c>
      <c r="AJ679" s="167">
        <v>3.23107169895059E-3</v>
      </c>
      <c r="AK679" s="161"/>
      <c r="AL679" s="153"/>
    </row>
    <row r="680" spans="1:38">
      <c r="A680" s="2" t="s">
        <v>26</v>
      </c>
      <c r="B680" s="2">
        <v>9964</v>
      </c>
      <c r="C680" s="2" t="s">
        <v>2297</v>
      </c>
      <c r="D680" s="2" t="s">
        <v>2298</v>
      </c>
      <c r="E680" s="4" t="s">
        <v>312</v>
      </c>
      <c r="F680" s="2" t="s">
        <v>2299</v>
      </c>
      <c r="G680" s="2" t="s">
        <v>2300</v>
      </c>
      <c r="H680" s="2" t="s">
        <v>319</v>
      </c>
      <c r="I680" s="2" t="s">
        <v>755</v>
      </c>
      <c r="J680" s="2" t="s">
        <v>73</v>
      </c>
      <c r="K680" s="2" t="s">
        <v>74</v>
      </c>
      <c r="L680" s="2" t="s">
        <v>325</v>
      </c>
      <c r="M680" s="2" t="s">
        <v>164</v>
      </c>
      <c r="N680" s="2" t="s">
        <v>528</v>
      </c>
      <c r="O680" s="2" t="s">
        <v>136</v>
      </c>
      <c r="P680" s="2" t="s">
        <v>1731</v>
      </c>
      <c r="Q680" s="2" t="s">
        <v>77</v>
      </c>
      <c r="R680" s="2" t="s">
        <v>405</v>
      </c>
      <c r="S680" s="2" t="s">
        <v>78</v>
      </c>
      <c r="T680" s="153">
        <v>4.83</v>
      </c>
      <c r="U680" s="2" t="s">
        <v>2301</v>
      </c>
      <c r="V680" s="165">
        <v>5.2999999999999999E-2</v>
      </c>
      <c r="W680" s="167">
        <v>4.9860000000000002E-2</v>
      </c>
      <c r="X680" s="4" t="s">
        <v>411</v>
      </c>
      <c r="Y680" s="4" t="s">
        <v>136</v>
      </c>
      <c r="Z680" s="153">
        <v>8000</v>
      </c>
      <c r="AA680" s="153">
        <v>3.681</v>
      </c>
      <c r="AB680" s="153">
        <v>102.42100000000001</v>
      </c>
      <c r="AC680" s="11"/>
      <c r="AD680" s="153">
        <v>30.356000000000002</v>
      </c>
      <c r="AG680" s="2" t="s">
        <v>37</v>
      </c>
      <c r="AH680" s="167">
        <v>6.0000000000000002E-6</v>
      </c>
      <c r="AI680" s="167">
        <v>3.3677030853638198E-3</v>
      </c>
      <c r="AJ680" s="167">
        <v>8.7507472227886399E-4</v>
      </c>
      <c r="AK680" s="161"/>
      <c r="AL680" s="153"/>
    </row>
    <row r="681" spans="1:38">
      <c r="A681" s="2" t="s">
        <v>26</v>
      </c>
      <c r="B681" s="2">
        <v>9964</v>
      </c>
      <c r="C681" s="2" t="s">
        <v>2302</v>
      </c>
      <c r="D681" s="2" t="s">
        <v>2303</v>
      </c>
      <c r="E681" s="4" t="s">
        <v>312</v>
      </c>
      <c r="F681" s="2" t="s">
        <v>2304</v>
      </c>
      <c r="G681" s="2" t="s">
        <v>2305</v>
      </c>
      <c r="H681" s="2" t="s">
        <v>319</v>
      </c>
      <c r="I681" s="2" t="s">
        <v>755</v>
      </c>
      <c r="J681" s="2" t="s">
        <v>73</v>
      </c>
      <c r="K681" s="2" t="s">
        <v>74</v>
      </c>
      <c r="L681" s="2" t="s">
        <v>325</v>
      </c>
      <c r="M681" s="2" t="s">
        <v>164</v>
      </c>
      <c r="N681" s="2" t="s">
        <v>532</v>
      </c>
      <c r="O681" s="2" t="s">
        <v>136</v>
      </c>
      <c r="P681" s="2" t="s">
        <v>2278</v>
      </c>
      <c r="Q681" s="2" t="s">
        <v>77</v>
      </c>
      <c r="R681" s="2" t="s">
        <v>405</v>
      </c>
      <c r="S681" s="2" t="s">
        <v>78</v>
      </c>
      <c r="T681" s="153">
        <v>2.0299999999999998</v>
      </c>
      <c r="U681" s="2" t="s">
        <v>2306</v>
      </c>
      <c r="V681" s="165">
        <v>3.95E-2</v>
      </c>
      <c r="W681" s="167">
        <v>5.7439999999999998E-2</v>
      </c>
      <c r="X681" s="4" t="s">
        <v>411</v>
      </c>
      <c r="Y681" s="4" t="s">
        <v>136</v>
      </c>
      <c r="Z681" s="153">
        <v>9000</v>
      </c>
      <c r="AA681" s="153">
        <v>3.681</v>
      </c>
      <c r="AB681" s="153">
        <v>96.65</v>
      </c>
      <c r="AC681" s="11"/>
      <c r="AD681" s="153">
        <v>32.401000000000003</v>
      </c>
      <c r="AG681" s="2" t="s">
        <v>37</v>
      </c>
      <c r="AH681" s="167">
        <v>3.9999999999999998E-6</v>
      </c>
      <c r="AI681" s="167">
        <v>3.5945561124841601E-3</v>
      </c>
      <c r="AJ681" s="167">
        <v>9.3402093715397999E-4</v>
      </c>
      <c r="AK681" s="161"/>
      <c r="AL681" s="153"/>
    </row>
    <row r="682" spans="1:38">
      <c r="A682" s="2" t="s">
        <v>26</v>
      </c>
      <c r="B682" s="2">
        <v>9964</v>
      </c>
      <c r="C682" s="2" t="s">
        <v>1534</v>
      </c>
      <c r="D682" s="2" t="s">
        <v>1535</v>
      </c>
      <c r="E682" s="4" t="s">
        <v>1305</v>
      </c>
      <c r="F682" s="2" t="s">
        <v>2307</v>
      </c>
      <c r="G682" s="2" t="s">
        <v>2308</v>
      </c>
      <c r="H682" s="2" t="s">
        <v>319</v>
      </c>
      <c r="I682" s="2" t="s">
        <v>966</v>
      </c>
      <c r="J682" s="2" t="s">
        <v>73</v>
      </c>
      <c r="K682" s="2" t="s">
        <v>31</v>
      </c>
      <c r="L682" s="2" t="s">
        <v>325</v>
      </c>
      <c r="M682" s="2" t="s">
        <v>40</v>
      </c>
      <c r="N682" s="2" t="s">
        <v>451</v>
      </c>
      <c r="O682" s="2" t="s">
        <v>136</v>
      </c>
      <c r="P682" s="2" t="s">
        <v>1724</v>
      </c>
      <c r="Q682" s="2" t="s">
        <v>412</v>
      </c>
      <c r="R682" s="2" t="s">
        <v>405</v>
      </c>
      <c r="S682" s="2" t="s">
        <v>35</v>
      </c>
      <c r="T682" s="153">
        <v>2.8290000000000002</v>
      </c>
      <c r="U682" s="2" t="s">
        <v>2309</v>
      </c>
      <c r="V682" s="165">
        <v>5.2499999999999998E-2</v>
      </c>
      <c r="W682" s="167">
        <v>6.0940000000000001E-2</v>
      </c>
      <c r="X682" s="4" t="s">
        <v>411</v>
      </c>
      <c r="Y682" s="4" t="s">
        <v>136</v>
      </c>
      <c r="Z682" s="153">
        <v>82000</v>
      </c>
      <c r="AA682" s="153">
        <v>1</v>
      </c>
      <c r="AB682" s="153">
        <v>99.03</v>
      </c>
      <c r="AC682" s="11"/>
      <c r="AD682" s="153">
        <v>81.204999999999998</v>
      </c>
      <c r="AG682" s="2" t="s">
        <v>37</v>
      </c>
      <c r="AH682" s="167">
        <v>2.4800000000000001E-4</v>
      </c>
      <c r="AI682" s="167">
        <v>9.0088522858186408E-3</v>
      </c>
      <c r="AJ682" s="167">
        <v>2.3408889418802098E-3</v>
      </c>
      <c r="AK682" s="161"/>
      <c r="AL682" s="153"/>
    </row>
    <row r="683" spans="1:38">
      <c r="A683" s="2" t="s">
        <v>26</v>
      </c>
      <c r="B683" s="2">
        <v>9964</v>
      </c>
      <c r="C683" s="2" t="s">
        <v>2097</v>
      </c>
      <c r="D683" s="2" t="s">
        <v>2098</v>
      </c>
      <c r="E683" s="4" t="s">
        <v>311</v>
      </c>
      <c r="F683" s="2" t="s">
        <v>2310</v>
      </c>
      <c r="G683" s="2" t="s">
        <v>2311</v>
      </c>
      <c r="H683" s="2" t="s">
        <v>319</v>
      </c>
      <c r="I683" s="2" t="s">
        <v>966</v>
      </c>
      <c r="J683" s="2" t="s">
        <v>73</v>
      </c>
      <c r="K683" s="2" t="s">
        <v>74</v>
      </c>
      <c r="L683" s="2" t="s">
        <v>325</v>
      </c>
      <c r="M683" s="2" t="s">
        <v>40</v>
      </c>
      <c r="N683" s="2" t="s">
        <v>462</v>
      </c>
      <c r="O683" s="2" t="s">
        <v>136</v>
      </c>
      <c r="P683" s="2" t="s">
        <v>1739</v>
      </c>
      <c r="Q683" s="2" t="s">
        <v>412</v>
      </c>
      <c r="R683" s="2" t="s">
        <v>405</v>
      </c>
      <c r="S683" s="2" t="s">
        <v>35</v>
      </c>
      <c r="T683" s="153">
        <v>3.6259999999999999</v>
      </c>
      <c r="U683" s="2" t="s">
        <v>2312</v>
      </c>
      <c r="V683" s="165">
        <v>4.4999999999999998E-2</v>
      </c>
      <c r="W683" s="167">
        <v>6.3890000000000002E-2</v>
      </c>
      <c r="X683" s="4" t="s">
        <v>411</v>
      </c>
      <c r="Y683" s="4" t="s">
        <v>136</v>
      </c>
      <c r="Z683" s="153">
        <v>73174.95</v>
      </c>
      <c r="AA683" s="153">
        <v>1</v>
      </c>
      <c r="AB683" s="153">
        <v>95.73</v>
      </c>
      <c r="AC683" s="11"/>
      <c r="AD683" s="153">
        <v>70.05</v>
      </c>
      <c r="AG683" s="2" t="s">
        <v>37</v>
      </c>
      <c r="AH683" s="167">
        <v>1.25E-4</v>
      </c>
      <c r="AI683" s="167">
        <v>7.7714011607376001E-3</v>
      </c>
      <c r="AJ683" s="167">
        <v>2.0193456905407102E-3</v>
      </c>
      <c r="AK683" s="161"/>
      <c r="AL683" s="153"/>
    </row>
    <row r="684" spans="1:38">
      <c r="A684" s="2" t="s">
        <v>26</v>
      </c>
      <c r="B684" s="2">
        <v>9964</v>
      </c>
      <c r="C684" s="2" t="s">
        <v>2313</v>
      </c>
      <c r="D684" s="2" t="s">
        <v>2314</v>
      </c>
      <c r="E684" s="4" t="s">
        <v>1305</v>
      </c>
      <c r="F684" s="2" t="s">
        <v>2315</v>
      </c>
      <c r="G684" s="2" t="s">
        <v>2316</v>
      </c>
      <c r="H684" s="2" t="s">
        <v>319</v>
      </c>
      <c r="I684" s="2" t="s">
        <v>966</v>
      </c>
      <c r="J684" s="2" t="s">
        <v>73</v>
      </c>
      <c r="K684" s="2" t="s">
        <v>74</v>
      </c>
      <c r="L684" s="2" t="s">
        <v>325</v>
      </c>
      <c r="M684" s="2" t="s">
        <v>40</v>
      </c>
      <c r="N684" s="2" t="s">
        <v>462</v>
      </c>
      <c r="O684" s="2" t="s">
        <v>136</v>
      </c>
      <c r="P684" s="2" t="s">
        <v>1739</v>
      </c>
      <c r="Q684" s="2" t="s">
        <v>412</v>
      </c>
      <c r="R684" s="2" t="s">
        <v>405</v>
      </c>
      <c r="S684" s="2" t="s">
        <v>35</v>
      </c>
      <c r="T684" s="153">
        <v>1.2949999999999999</v>
      </c>
      <c r="U684" s="2" t="s">
        <v>2058</v>
      </c>
      <c r="V684" s="165">
        <v>3.9300000000000002E-2</v>
      </c>
      <c r="W684" s="167">
        <v>7.3649999999999993E-2</v>
      </c>
      <c r="X684" s="4" t="s">
        <v>411</v>
      </c>
      <c r="Y684" s="4" t="s">
        <v>136</v>
      </c>
      <c r="Z684" s="153">
        <v>74003.7</v>
      </c>
      <c r="AA684" s="153">
        <v>1</v>
      </c>
      <c r="AB684" s="153">
        <v>96.54</v>
      </c>
      <c r="AC684" s="11"/>
      <c r="AD684" s="153">
        <v>71.442999999999998</v>
      </c>
      <c r="AG684" s="2" t="s">
        <v>37</v>
      </c>
      <c r="AH684" s="167">
        <v>6.3999999999999997E-5</v>
      </c>
      <c r="AI684" s="167">
        <v>7.9259177829600399E-3</v>
      </c>
      <c r="AJ684" s="167">
        <v>2.05949578300772E-3</v>
      </c>
      <c r="AK684" s="161"/>
      <c r="AL684" s="15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10 Q12:Q17 Q20" xr:uid="{00000000-0002-0000-0500-000002000000}">
      <formula1>Rating_Agency</formula1>
    </dataValidation>
    <dataValidation type="list" allowBlank="1" showInputMessage="1" showErrorMessage="1" sqref="R2:R10 R12:R17 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 K151 K358 K511 K672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1 L34 L42 L44:L45 L99:L100 L110 L133 L137 L139 L170 L176 L179 L194 L199 L212 L227 L238 L246 L248:L249 L310:L311 L319 L345 L374 L390 L401 L408 L410:L411 L459 L461 L469 L497 L527 L543 L554 L563 L565:L566 L622:L623 L631 L658 L660" xr:uid="{00000000-0002-0000-0500-00000C000000}">
      <formula1>Tradeable_Status</formula1>
    </dataValidation>
    <dataValidation type="list" allowBlank="1" showInputMessage="1" showErrorMessage="1" sqref="M2:M4 M6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48"/>
  <sheetViews>
    <sheetView rightToLeft="1" topLeftCell="I1" zoomScale="70" zoomScaleNormal="70" workbookViewId="0">
      <selection activeCell="S2" sqref="S2:S348"/>
    </sheetView>
  </sheetViews>
  <sheetFormatPr defaultColWidth="9" defaultRowHeight="14.25"/>
  <cols>
    <col min="1" max="2" width="11.625" style="4" customWidth="1"/>
    <col min="3" max="3" width="26" style="4" customWidth="1"/>
    <col min="4" max="4" width="22.75" style="4" customWidth="1"/>
    <col min="5" max="5" width="11.625" style="4" customWidth="1"/>
    <col min="6" max="6" width="26.75" style="4" customWidth="1"/>
    <col min="7" max="11" width="11.625" style="4" customWidth="1"/>
    <col min="12" max="13" width="11.625" style="2" customWidth="1"/>
    <col min="14" max="14" width="20.25" style="4" customWidth="1"/>
    <col min="15" max="19" width="11.625" style="4" customWidth="1"/>
    <col min="20" max="20" width="11.625" style="11" customWidth="1"/>
    <col min="21" max="26" width="11.625" style="4" customWidth="1"/>
    <col min="27" max="27" width="9" style="4" customWidth="1"/>
    <col min="28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141</v>
      </c>
      <c r="E1" s="22" t="s">
        <v>142</v>
      </c>
      <c r="F1" s="22" t="s">
        <v>3</v>
      </c>
      <c r="G1" s="22" t="s">
        <v>4</v>
      </c>
      <c r="H1" s="22" t="s">
        <v>143</v>
      </c>
      <c r="I1" s="22" t="s">
        <v>5</v>
      </c>
      <c r="J1" s="22" t="s">
        <v>6</v>
      </c>
      <c r="K1" s="22" t="s">
        <v>7</v>
      </c>
      <c r="L1" s="22" t="s">
        <v>324</v>
      </c>
      <c r="M1" s="22" t="s">
        <v>8</v>
      </c>
      <c r="N1" s="22" t="s">
        <v>144</v>
      </c>
      <c r="O1" s="22" t="s">
        <v>123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6" t="s">
        <v>23</v>
      </c>
      <c r="W1" s="166" t="s">
        <v>24</v>
      </c>
      <c r="X1" s="166" t="s">
        <v>25</v>
      </c>
      <c r="Y1" s="22" t="s">
        <v>19</v>
      </c>
    </row>
    <row r="2" spans="1:26">
      <c r="A2" s="21" t="s">
        <v>26</v>
      </c>
      <c r="B2" s="21">
        <v>1405</v>
      </c>
      <c r="C2" s="21" t="s">
        <v>1356</v>
      </c>
      <c r="D2" s="21" t="s">
        <v>1357</v>
      </c>
      <c r="E2" s="21" t="s">
        <v>1305</v>
      </c>
      <c r="F2" s="21" t="s">
        <v>1358</v>
      </c>
      <c r="G2" s="21" t="s">
        <v>1359</v>
      </c>
      <c r="H2" s="21" t="s">
        <v>319</v>
      </c>
      <c r="I2" s="21" t="s">
        <v>931</v>
      </c>
      <c r="J2" s="21" t="s">
        <v>31</v>
      </c>
      <c r="K2" s="21" t="s">
        <v>31</v>
      </c>
      <c r="L2" s="23" t="s">
        <v>325</v>
      </c>
      <c r="M2" s="21" t="s">
        <v>40</v>
      </c>
      <c r="N2" s="23" t="s">
        <v>443</v>
      </c>
      <c r="O2" s="23" t="s">
        <v>136</v>
      </c>
      <c r="P2" s="21" t="s">
        <v>35</v>
      </c>
      <c r="Q2" s="155">
        <v>46</v>
      </c>
      <c r="R2" s="155">
        <v>1</v>
      </c>
      <c r="S2" s="155">
        <v>77500</v>
      </c>
      <c r="T2" s="30"/>
      <c r="U2" s="155">
        <v>35.65</v>
      </c>
      <c r="V2" s="171">
        <v>9.9999999999999995E-7</v>
      </c>
      <c r="W2" s="171">
        <v>0.28235929382962299</v>
      </c>
      <c r="X2" s="171">
        <v>3.3717064858759201E-3</v>
      </c>
      <c r="Y2" s="155">
        <v>77500</v>
      </c>
      <c r="Z2" s="193">
        <f>(U2-T2*R2)/R2/Q2*100000</f>
        <v>77500</v>
      </c>
    </row>
    <row r="3" spans="1:26">
      <c r="A3" s="21" t="s">
        <v>26</v>
      </c>
      <c r="B3" s="21">
        <v>1405</v>
      </c>
      <c r="C3" s="21" t="s">
        <v>1360</v>
      </c>
      <c r="D3" s="21" t="s">
        <v>1361</v>
      </c>
      <c r="E3" s="21" t="s">
        <v>1305</v>
      </c>
      <c r="F3" s="21" t="s">
        <v>1362</v>
      </c>
      <c r="G3" s="21" t="s">
        <v>1363</v>
      </c>
      <c r="H3" s="21" t="s">
        <v>319</v>
      </c>
      <c r="I3" s="21" t="s">
        <v>931</v>
      </c>
      <c r="J3" s="21" t="s">
        <v>31</v>
      </c>
      <c r="K3" s="21" t="s">
        <v>31</v>
      </c>
      <c r="L3" s="23" t="s">
        <v>325</v>
      </c>
      <c r="M3" s="21" t="s">
        <v>40</v>
      </c>
      <c r="N3" s="23" t="s">
        <v>442</v>
      </c>
      <c r="O3" s="23" t="s">
        <v>136</v>
      </c>
      <c r="P3" s="21" t="s">
        <v>35</v>
      </c>
      <c r="Q3" s="155">
        <v>500</v>
      </c>
      <c r="R3" s="155">
        <v>1</v>
      </c>
      <c r="S3" s="155">
        <v>3810</v>
      </c>
      <c r="T3" s="30"/>
      <c r="U3" s="155">
        <v>19.05</v>
      </c>
      <c r="V3" s="171">
        <v>1.9999999999999999E-6</v>
      </c>
      <c r="W3" s="171">
        <v>0.15088203499170599</v>
      </c>
      <c r="X3" s="171">
        <v>1.80171131994211E-3</v>
      </c>
      <c r="Y3" s="155">
        <v>3810</v>
      </c>
      <c r="Z3" s="193">
        <f t="shared" ref="Z3:Z66" si="0">(U3-T3*R3)/R3/Q3*100000</f>
        <v>3810</v>
      </c>
    </row>
    <row r="4" spans="1:26">
      <c r="A4" s="21" t="s">
        <v>26</v>
      </c>
      <c r="B4" s="21">
        <v>1405</v>
      </c>
      <c r="C4" s="21" t="s">
        <v>1176</v>
      </c>
      <c r="D4" s="21" t="s">
        <v>1364</v>
      </c>
      <c r="E4" s="21" t="s">
        <v>1305</v>
      </c>
      <c r="F4" s="21" t="s">
        <v>1365</v>
      </c>
      <c r="G4" s="21" t="s">
        <v>1366</v>
      </c>
      <c r="H4" s="21" t="s">
        <v>319</v>
      </c>
      <c r="I4" s="21" t="s">
        <v>931</v>
      </c>
      <c r="J4" s="21" t="s">
        <v>31</v>
      </c>
      <c r="K4" s="21" t="s">
        <v>31</v>
      </c>
      <c r="L4" s="23" t="s">
        <v>325</v>
      </c>
      <c r="M4" s="21" t="s">
        <v>40</v>
      </c>
      <c r="N4" s="23" t="s">
        <v>445</v>
      </c>
      <c r="O4" s="23" t="s">
        <v>136</v>
      </c>
      <c r="P4" s="21" t="s">
        <v>35</v>
      </c>
      <c r="Q4" s="155">
        <v>600</v>
      </c>
      <c r="R4" s="155">
        <v>1</v>
      </c>
      <c r="S4" s="155">
        <v>3100.0000000000005</v>
      </c>
      <c r="T4" s="159">
        <v>0.14399999999999999</v>
      </c>
      <c r="U4" s="155">
        <v>18.744</v>
      </c>
      <c r="V4" s="171">
        <v>0</v>
      </c>
      <c r="W4" s="171">
        <v>0.14845699239465801</v>
      </c>
      <c r="X4" s="171">
        <v>1.7727534211526199E-3</v>
      </c>
      <c r="Y4" s="155">
        <v>3100</v>
      </c>
      <c r="Z4" s="193">
        <f t="shared" si="0"/>
        <v>3100.0000000000005</v>
      </c>
    </row>
    <row r="5" spans="1:26">
      <c r="A5" s="21" t="s">
        <v>26</v>
      </c>
      <c r="B5" s="21">
        <v>1405</v>
      </c>
      <c r="C5" s="21" t="s">
        <v>1367</v>
      </c>
      <c r="D5" s="21" t="s">
        <v>1368</v>
      </c>
      <c r="E5" s="21" t="s">
        <v>1305</v>
      </c>
      <c r="F5" s="21" t="s">
        <v>1369</v>
      </c>
      <c r="G5" s="21" t="s">
        <v>1370</v>
      </c>
      <c r="H5" s="21" t="s">
        <v>319</v>
      </c>
      <c r="I5" s="21" t="s">
        <v>931</v>
      </c>
      <c r="J5" s="21" t="s">
        <v>31</v>
      </c>
      <c r="K5" s="21" t="s">
        <v>31</v>
      </c>
      <c r="L5" s="23" t="s">
        <v>325</v>
      </c>
      <c r="M5" s="21" t="s">
        <v>40</v>
      </c>
      <c r="N5" s="23" t="s">
        <v>461</v>
      </c>
      <c r="O5" s="23" t="s">
        <v>136</v>
      </c>
      <c r="P5" s="21" t="s">
        <v>35</v>
      </c>
      <c r="Q5" s="155">
        <v>1000</v>
      </c>
      <c r="R5" s="155">
        <v>1</v>
      </c>
      <c r="S5" s="155">
        <v>907.09999999999991</v>
      </c>
      <c r="T5" s="30"/>
      <c r="U5" s="155">
        <v>9.0709999999999997</v>
      </c>
      <c r="V5" s="171">
        <v>9.9999999999999995E-7</v>
      </c>
      <c r="W5" s="171">
        <v>7.1845193669804006E-2</v>
      </c>
      <c r="X5" s="171">
        <v>8.5791723796298702E-4</v>
      </c>
      <c r="Y5" s="155">
        <v>907.1</v>
      </c>
      <c r="Z5" s="193">
        <f t="shared" si="0"/>
        <v>907.09999999999991</v>
      </c>
    </row>
    <row r="6" spans="1:26">
      <c r="A6" s="21" t="s">
        <v>26</v>
      </c>
      <c r="B6" s="21">
        <v>1405</v>
      </c>
      <c r="C6" s="21" t="s">
        <v>1371</v>
      </c>
      <c r="D6" s="21" t="s">
        <v>1372</v>
      </c>
      <c r="E6" s="21" t="s">
        <v>1305</v>
      </c>
      <c r="F6" s="21" t="s">
        <v>1373</v>
      </c>
      <c r="G6" s="21" t="s">
        <v>1374</v>
      </c>
      <c r="H6" s="21" t="s">
        <v>319</v>
      </c>
      <c r="I6" s="21" t="s">
        <v>931</v>
      </c>
      <c r="J6" s="21" t="s">
        <v>31</v>
      </c>
      <c r="K6" s="21" t="s">
        <v>31</v>
      </c>
      <c r="L6" s="23" t="s">
        <v>325</v>
      </c>
      <c r="M6" s="21" t="s">
        <v>40</v>
      </c>
      <c r="N6" s="23" t="s">
        <v>461</v>
      </c>
      <c r="O6" s="23" t="s">
        <v>136</v>
      </c>
      <c r="P6" s="21" t="s">
        <v>35</v>
      </c>
      <c r="Q6" s="155">
        <v>50</v>
      </c>
      <c r="R6" s="155">
        <v>1</v>
      </c>
      <c r="S6" s="155">
        <v>26610</v>
      </c>
      <c r="T6" s="30"/>
      <c r="U6" s="155">
        <v>13.305</v>
      </c>
      <c r="V6" s="171">
        <v>0</v>
      </c>
      <c r="W6" s="171">
        <v>0.10537981499026999</v>
      </c>
      <c r="X6" s="171">
        <v>1.25836058329815E-3</v>
      </c>
      <c r="Y6" s="155">
        <v>26610</v>
      </c>
      <c r="Z6" s="193">
        <f t="shared" si="0"/>
        <v>26610</v>
      </c>
    </row>
    <row r="7" spans="1:26">
      <c r="A7" s="21" t="s">
        <v>26</v>
      </c>
      <c r="B7" s="21">
        <v>1405</v>
      </c>
      <c r="C7" s="21" t="s">
        <v>1375</v>
      </c>
      <c r="D7" s="21" t="s">
        <v>1376</v>
      </c>
      <c r="E7" s="21" t="s">
        <v>1305</v>
      </c>
      <c r="F7" s="21" t="s">
        <v>1377</v>
      </c>
      <c r="G7" s="21" t="s">
        <v>1378</v>
      </c>
      <c r="H7" s="21" t="s">
        <v>319</v>
      </c>
      <c r="I7" s="21" t="s">
        <v>931</v>
      </c>
      <c r="J7" s="21" t="s">
        <v>31</v>
      </c>
      <c r="K7" s="21" t="s">
        <v>31</v>
      </c>
      <c r="L7" s="23" t="s">
        <v>325</v>
      </c>
      <c r="M7" s="21" t="s">
        <v>40</v>
      </c>
      <c r="N7" s="23" t="s">
        <v>473</v>
      </c>
      <c r="O7" s="23" t="s">
        <v>136</v>
      </c>
      <c r="P7" s="21" t="s">
        <v>35</v>
      </c>
      <c r="Q7" s="155">
        <v>20</v>
      </c>
      <c r="R7" s="155">
        <v>1</v>
      </c>
      <c r="S7" s="155">
        <v>34140.000000000007</v>
      </c>
      <c r="T7" s="30"/>
      <c r="U7" s="155">
        <v>6.8280000000000003</v>
      </c>
      <c r="V7" s="171">
        <v>9.9999999999999995E-7</v>
      </c>
      <c r="W7" s="171">
        <v>5.4079923093090301E-2</v>
      </c>
      <c r="X7" s="171">
        <v>6.4577873451783497E-4</v>
      </c>
      <c r="Y7" s="155">
        <v>34140</v>
      </c>
      <c r="Z7" s="193">
        <f t="shared" si="0"/>
        <v>34140.000000000007</v>
      </c>
    </row>
    <row r="8" spans="1:26">
      <c r="A8" s="21" t="s">
        <v>26</v>
      </c>
      <c r="B8" s="21">
        <v>1405</v>
      </c>
      <c r="C8" s="21" t="s">
        <v>1379</v>
      </c>
      <c r="D8" s="21" t="s">
        <v>1380</v>
      </c>
      <c r="E8" s="21" t="s">
        <v>1305</v>
      </c>
      <c r="F8" s="21" t="s">
        <v>1381</v>
      </c>
      <c r="G8" s="21" t="s">
        <v>1382</v>
      </c>
      <c r="H8" s="21" t="s">
        <v>319</v>
      </c>
      <c r="I8" s="21" t="s">
        <v>931</v>
      </c>
      <c r="J8" s="21" t="s">
        <v>31</v>
      </c>
      <c r="K8" s="21" t="s">
        <v>31</v>
      </c>
      <c r="L8" s="23" t="s">
        <v>325</v>
      </c>
      <c r="M8" s="21" t="s">
        <v>40</v>
      </c>
      <c r="N8" s="23" t="s">
        <v>473</v>
      </c>
      <c r="O8" s="23" t="s">
        <v>136</v>
      </c>
      <c r="P8" s="21" t="s">
        <v>35</v>
      </c>
      <c r="Q8" s="155">
        <v>48</v>
      </c>
      <c r="R8" s="155">
        <v>1</v>
      </c>
      <c r="S8" s="155">
        <v>22050</v>
      </c>
      <c r="T8" s="30"/>
      <c r="U8" s="155">
        <v>10.584</v>
      </c>
      <c r="V8" s="171">
        <v>3.0000000000000001E-6</v>
      </c>
      <c r="W8" s="171">
        <v>8.3828632984368406E-2</v>
      </c>
      <c r="X8" s="171">
        <v>1.0010137853158701E-3</v>
      </c>
      <c r="Y8" s="155">
        <v>22050</v>
      </c>
      <c r="Z8" s="193">
        <f t="shared" si="0"/>
        <v>22050</v>
      </c>
    </row>
    <row r="9" spans="1:26">
      <c r="A9" s="21" t="s">
        <v>26</v>
      </c>
      <c r="B9" s="21">
        <v>1405</v>
      </c>
      <c r="C9" s="21" t="s">
        <v>1383</v>
      </c>
      <c r="D9" s="21" t="s">
        <v>1384</v>
      </c>
      <c r="E9" s="21" t="s">
        <v>1305</v>
      </c>
      <c r="F9" s="21" t="s">
        <v>1385</v>
      </c>
      <c r="G9" s="21" t="s">
        <v>1386</v>
      </c>
      <c r="H9" s="21" t="s">
        <v>319</v>
      </c>
      <c r="I9" s="21" t="s">
        <v>931</v>
      </c>
      <c r="J9" s="21" t="s">
        <v>31</v>
      </c>
      <c r="K9" s="21" t="s">
        <v>31</v>
      </c>
      <c r="L9" s="23" t="s">
        <v>325</v>
      </c>
      <c r="M9" s="21" t="s">
        <v>40</v>
      </c>
      <c r="N9" s="23" t="s">
        <v>461</v>
      </c>
      <c r="O9" s="23" t="s">
        <v>136</v>
      </c>
      <c r="P9" s="21" t="s">
        <v>35</v>
      </c>
      <c r="Q9" s="155">
        <v>1478</v>
      </c>
      <c r="R9" s="155">
        <v>1</v>
      </c>
      <c r="S9" s="155">
        <v>266.17050067659</v>
      </c>
      <c r="T9" s="30"/>
      <c r="U9" s="155">
        <v>3.9340000000000002</v>
      </c>
      <c r="V9" s="171">
        <v>1.0000000000000001E-5</v>
      </c>
      <c r="W9" s="171">
        <v>3.1161979539350598E-2</v>
      </c>
      <c r="X9" s="171">
        <v>3.7211117473951501E-4</v>
      </c>
      <c r="Y9" s="155">
        <v>266.2</v>
      </c>
      <c r="Z9" s="193">
        <f t="shared" si="0"/>
        <v>266.17050067659</v>
      </c>
    </row>
    <row r="10" spans="1:26">
      <c r="A10" s="21" t="s">
        <v>26</v>
      </c>
      <c r="B10" s="21">
        <v>1405</v>
      </c>
      <c r="C10" s="21" t="s">
        <v>1387</v>
      </c>
      <c r="D10" s="21" t="s">
        <v>1388</v>
      </c>
      <c r="E10" s="21" t="s">
        <v>1305</v>
      </c>
      <c r="F10" s="21" t="s">
        <v>1389</v>
      </c>
      <c r="G10" s="21" t="s">
        <v>1390</v>
      </c>
      <c r="H10" s="21" t="s">
        <v>319</v>
      </c>
      <c r="I10" s="21" t="s">
        <v>931</v>
      </c>
      <c r="J10" s="21" t="s">
        <v>31</v>
      </c>
      <c r="K10" s="21" t="s">
        <v>31</v>
      </c>
      <c r="L10" s="23" t="s">
        <v>325</v>
      </c>
      <c r="M10" s="21" t="s">
        <v>40</v>
      </c>
      <c r="N10" s="23" t="s">
        <v>459</v>
      </c>
      <c r="O10" s="23" t="s">
        <v>136</v>
      </c>
      <c r="P10" s="21" t="s">
        <v>35</v>
      </c>
      <c r="Q10" s="155">
        <v>30</v>
      </c>
      <c r="R10" s="155">
        <v>1</v>
      </c>
      <c r="S10" s="155">
        <v>30039.999999999993</v>
      </c>
      <c r="T10" s="159">
        <v>7.9000000000000001E-2</v>
      </c>
      <c r="U10" s="155">
        <v>9.0909999999999993</v>
      </c>
      <c r="V10" s="171">
        <v>3.0000000000000001E-6</v>
      </c>
      <c r="W10" s="171">
        <v>7.2006134507128505E-2</v>
      </c>
      <c r="X10" s="171">
        <v>8.5983906337092596E-4</v>
      </c>
      <c r="Y10" s="155">
        <v>30040</v>
      </c>
      <c r="Z10" s="193">
        <f t="shared" si="0"/>
        <v>30039.999999999993</v>
      </c>
    </row>
    <row r="11" spans="1:26">
      <c r="A11" s="21" t="s">
        <v>26</v>
      </c>
      <c r="B11" s="21">
        <v>1477</v>
      </c>
      <c r="C11" s="21" t="s">
        <v>1391</v>
      </c>
      <c r="D11" s="21" t="s">
        <v>1392</v>
      </c>
      <c r="E11" s="21" t="s">
        <v>1305</v>
      </c>
      <c r="F11" s="21" t="s">
        <v>1393</v>
      </c>
      <c r="G11" s="21" t="s">
        <v>1394</v>
      </c>
      <c r="H11" s="21" t="s">
        <v>319</v>
      </c>
      <c r="I11" s="21" t="s">
        <v>931</v>
      </c>
      <c r="J11" s="21" t="s">
        <v>31</v>
      </c>
      <c r="K11" s="21" t="s">
        <v>31</v>
      </c>
      <c r="L11" s="23" t="s">
        <v>325</v>
      </c>
      <c r="M11" s="21" t="s">
        <v>40</v>
      </c>
      <c r="N11" s="23" t="s">
        <v>437</v>
      </c>
      <c r="O11" s="23" t="s">
        <v>136</v>
      </c>
      <c r="P11" s="21" t="s">
        <v>35</v>
      </c>
      <c r="Q11" s="155">
        <v>382</v>
      </c>
      <c r="R11" s="155">
        <v>1</v>
      </c>
      <c r="S11" s="155">
        <v>2615.9685863874347</v>
      </c>
      <c r="T11" s="30"/>
      <c r="U11" s="155">
        <v>9.9930000000000003</v>
      </c>
      <c r="V11" s="171">
        <v>1.9999999999999999E-6</v>
      </c>
      <c r="W11" s="171">
        <v>3.6216101980163502E-3</v>
      </c>
      <c r="X11" s="171">
        <v>1.0019212850189601E-3</v>
      </c>
      <c r="Y11" s="155">
        <v>2616</v>
      </c>
      <c r="Z11" s="193">
        <f t="shared" si="0"/>
        <v>2615.9685863874347</v>
      </c>
    </row>
    <row r="12" spans="1:26">
      <c r="A12" s="21" t="s">
        <v>26</v>
      </c>
      <c r="B12" s="21">
        <v>1477</v>
      </c>
      <c r="C12" s="21" t="s">
        <v>1395</v>
      </c>
      <c r="D12" s="21" t="s">
        <v>1396</v>
      </c>
      <c r="E12" s="21" t="s">
        <v>1305</v>
      </c>
      <c r="F12" s="21" t="s">
        <v>1397</v>
      </c>
      <c r="G12" s="21" t="s">
        <v>1398</v>
      </c>
      <c r="H12" s="21" t="s">
        <v>319</v>
      </c>
      <c r="I12" s="21" t="s">
        <v>931</v>
      </c>
      <c r="J12" s="21" t="s">
        <v>31</v>
      </c>
      <c r="K12" s="21" t="s">
        <v>31</v>
      </c>
      <c r="L12" s="23" t="s">
        <v>325</v>
      </c>
      <c r="M12" s="21" t="s">
        <v>40</v>
      </c>
      <c r="N12" s="23" t="s">
        <v>476</v>
      </c>
      <c r="O12" s="23" t="s">
        <v>136</v>
      </c>
      <c r="P12" s="21" t="s">
        <v>35</v>
      </c>
      <c r="Q12" s="155">
        <v>457</v>
      </c>
      <c r="R12" s="155">
        <v>1</v>
      </c>
      <c r="S12" s="155">
        <v>5664.9890590809628</v>
      </c>
      <c r="T12" s="30"/>
      <c r="U12" s="155">
        <v>25.888999999999999</v>
      </c>
      <c r="V12" s="171">
        <v>3.1000000000000001E-5</v>
      </c>
      <c r="W12" s="171">
        <v>9.3824598820944106E-3</v>
      </c>
      <c r="X12" s="171">
        <v>2.5956648418031599E-3</v>
      </c>
      <c r="Y12" s="155">
        <v>5665</v>
      </c>
      <c r="Z12" s="193">
        <f t="shared" si="0"/>
        <v>5664.9890590809628</v>
      </c>
    </row>
    <row r="13" spans="1:26">
      <c r="A13" s="21" t="s">
        <v>26</v>
      </c>
      <c r="B13" s="21">
        <v>1477</v>
      </c>
      <c r="C13" s="21" t="s">
        <v>1399</v>
      </c>
      <c r="D13" s="21" t="s">
        <v>1400</v>
      </c>
      <c r="E13" s="21" t="s">
        <v>1305</v>
      </c>
      <c r="F13" s="21" t="s">
        <v>1401</v>
      </c>
      <c r="G13" s="21" t="s">
        <v>1402</v>
      </c>
      <c r="H13" s="21" t="s">
        <v>319</v>
      </c>
      <c r="I13" s="21" t="s">
        <v>931</v>
      </c>
      <c r="J13" s="21" t="s">
        <v>31</v>
      </c>
      <c r="K13" s="21" t="s">
        <v>31</v>
      </c>
      <c r="L13" s="23" t="s">
        <v>325</v>
      </c>
      <c r="M13" s="21" t="s">
        <v>40</v>
      </c>
      <c r="N13" s="23" t="s">
        <v>475</v>
      </c>
      <c r="O13" s="23" t="s">
        <v>136</v>
      </c>
      <c r="P13" s="21" t="s">
        <v>35</v>
      </c>
      <c r="Q13" s="155">
        <v>185</v>
      </c>
      <c r="R13" s="155">
        <v>1</v>
      </c>
      <c r="S13" s="155">
        <v>1050.2702702702702</v>
      </c>
      <c r="T13" s="159">
        <v>2.9000000000000001E-2</v>
      </c>
      <c r="U13" s="155">
        <v>1.972</v>
      </c>
      <c r="V13" s="171">
        <v>7.9999999999999996E-6</v>
      </c>
      <c r="W13" s="171">
        <v>7.1457899953535704E-4</v>
      </c>
      <c r="X13" s="171">
        <v>1.9768883737244001E-4</v>
      </c>
      <c r="Y13" s="155">
        <v>1050</v>
      </c>
      <c r="Z13" s="193">
        <f t="shared" si="0"/>
        <v>1050.2702702702702</v>
      </c>
    </row>
    <row r="14" spans="1:26">
      <c r="A14" s="21" t="s">
        <v>26</v>
      </c>
      <c r="B14" s="21">
        <v>1477</v>
      </c>
      <c r="C14" s="21" t="s">
        <v>1403</v>
      </c>
      <c r="D14" s="21" t="s">
        <v>1404</v>
      </c>
      <c r="E14" s="21" t="s">
        <v>1305</v>
      </c>
      <c r="F14" s="21" t="s">
        <v>1405</v>
      </c>
      <c r="G14" s="21" t="s">
        <v>1406</v>
      </c>
      <c r="H14" s="21" t="s">
        <v>319</v>
      </c>
      <c r="I14" s="21" t="s">
        <v>931</v>
      </c>
      <c r="J14" s="21" t="s">
        <v>31</v>
      </c>
      <c r="K14" s="21" t="s">
        <v>31</v>
      </c>
      <c r="L14" s="23" t="s">
        <v>325</v>
      </c>
      <c r="M14" s="21" t="s">
        <v>40</v>
      </c>
      <c r="N14" s="23" t="s">
        <v>453</v>
      </c>
      <c r="O14" s="23" t="s">
        <v>136</v>
      </c>
      <c r="P14" s="21" t="s">
        <v>35</v>
      </c>
      <c r="Q14" s="155">
        <v>2525</v>
      </c>
      <c r="R14" s="155">
        <v>1</v>
      </c>
      <c r="S14" s="155">
        <v>1951.0099009900989</v>
      </c>
      <c r="T14" s="30"/>
      <c r="U14" s="155">
        <v>49.262999999999998</v>
      </c>
      <c r="V14" s="171">
        <v>1.9999999999999999E-6</v>
      </c>
      <c r="W14" s="171">
        <v>1.7853330869871498E-2</v>
      </c>
      <c r="X14" s="171">
        <v>4.9391379052355598E-3</v>
      </c>
      <c r="Y14" s="155">
        <v>1951</v>
      </c>
      <c r="Z14" s="193">
        <f t="shared" si="0"/>
        <v>1951.0099009900989</v>
      </c>
    </row>
    <row r="15" spans="1:26">
      <c r="A15" s="21" t="s">
        <v>26</v>
      </c>
      <c r="B15" s="21">
        <v>1477</v>
      </c>
      <c r="C15" s="21" t="s">
        <v>1407</v>
      </c>
      <c r="D15" s="21" t="s">
        <v>1408</v>
      </c>
      <c r="E15" s="21" t="s">
        <v>1305</v>
      </c>
      <c r="F15" s="21" t="s">
        <v>1409</v>
      </c>
      <c r="G15" s="21" t="s">
        <v>1410</v>
      </c>
      <c r="H15" s="21" t="s">
        <v>319</v>
      </c>
      <c r="I15" s="21" t="s">
        <v>931</v>
      </c>
      <c r="J15" s="21" t="s">
        <v>31</v>
      </c>
      <c r="K15" s="21" t="s">
        <v>31</v>
      </c>
      <c r="L15" s="23" t="s">
        <v>327</v>
      </c>
      <c r="M15" s="21" t="s">
        <v>40</v>
      </c>
      <c r="N15" s="23" t="s">
        <v>460</v>
      </c>
      <c r="O15" s="23" t="s">
        <v>136</v>
      </c>
      <c r="P15" s="21" t="s">
        <v>35</v>
      </c>
      <c r="Q15" s="155">
        <v>1000</v>
      </c>
      <c r="R15" s="155">
        <v>1</v>
      </c>
      <c r="S15" s="155">
        <v>1172.3000000000002</v>
      </c>
      <c r="T15" s="30"/>
      <c r="U15" s="155">
        <v>11.723000000000001</v>
      </c>
      <c r="V15" s="171">
        <v>6.9999999999999999E-6</v>
      </c>
      <c r="W15" s="171">
        <v>4.2484050733748698E-3</v>
      </c>
      <c r="X15" s="171">
        <v>1.1753245759933599E-3</v>
      </c>
      <c r="Y15" s="155">
        <v>1172.2639999999999</v>
      </c>
      <c r="Z15" s="193">
        <f t="shared" si="0"/>
        <v>1172.3000000000002</v>
      </c>
    </row>
    <row r="16" spans="1:26">
      <c r="A16" s="21" t="s">
        <v>26</v>
      </c>
      <c r="B16" s="21">
        <v>1477</v>
      </c>
      <c r="C16" s="21" t="s">
        <v>1411</v>
      </c>
      <c r="D16" s="21" t="s">
        <v>1412</v>
      </c>
      <c r="E16" s="21" t="s">
        <v>1305</v>
      </c>
      <c r="F16" s="21" t="s">
        <v>1413</v>
      </c>
      <c r="G16" s="21" t="s">
        <v>1414</v>
      </c>
      <c r="H16" s="21" t="s">
        <v>319</v>
      </c>
      <c r="I16" s="21" t="s">
        <v>931</v>
      </c>
      <c r="J16" s="21" t="s">
        <v>31</v>
      </c>
      <c r="K16" s="21" t="s">
        <v>31</v>
      </c>
      <c r="L16" s="23" t="s">
        <v>325</v>
      </c>
      <c r="M16" s="21" t="s">
        <v>40</v>
      </c>
      <c r="N16" s="23" t="s">
        <v>458</v>
      </c>
      <c r="O16" s="23" t="s">
        <v>136</v>
      </c>
      <c r="P16" s="21" t="s">
        <v>35</v>
      </c>
      <c r="Q16" s="155">
        <v>113</v>
      </c>
      <c r="R16" s="155">
        <v>1</v>
      </c>
      <c r="S16" s="155">
        <v>8312.3893805309744</v>
      </c>
      <c r="T16" s="30"/>
      <c r="U16" s="155">
        <v>9.3930000000000007</v>
      </c>
      <c r="V16" s="171">
        <v>6.9999999999999999E-6</v>
      </c>
      <c r="W16" s="171">
        <v>3.40396103333899E-3</v>
      </c>
      <c r="X16" s="171">
        <v>9.4170847391181602E-4</v>
      </c>
      <c r="Y16" s="155">
        <v>8312</v>
      </c>
      <c r="Z16" s="193">
        <f t="shared" si="0"/>
        <v>8312.3893805309744</v>
      </c>
    </row>
    <row r="17" spans="1:26">
      <c r="A17" s="21" t="s">
        <v>26</v>
      </c>
      <c r="B17" s="21">
        <v>1477</v>
      </c>
      <c r="C17" s="21" t="s">
        <v>1356</v>
      </c>
      <c r="D17" s="21" t="s">
        <v>1357</v>
      </c>
      <c r="E17" s="21" t="s">
        <v>1305</v>
      </c>
      <c r="F17" s="21" t="s">
        <v>1358</v>
      </c>
      <c r="G17" s="21" t="s">
        <v>1359</v>
      </c>
      <c r="H17" s="21" t="s">
        <v>319</v>
      </c>
      <c r="I17" s="21" t="s">
        <v>931</v>
      </c>
      <c r="J17" s="21" t="s">
        <v>31</v>
      </c>
      <c r="K17" s="21" t="s">
        <v>31</v>
      </c>
      <c r="L17" s="23" t="s">
        <v>325</v>
      </c>
      <c r="M17" s="21" t="s">
        <v>40</v>
      </c>
      <c r="N17" s="23" t="s">
        <v>443</v>
      </c>
      <c r="O17" s="23" t="s">
        <v>136</v>
      </c>
      <c r="P17" s="21" t="s">
        <v>35</v>
      </c>
      <c r="Q17" s="155">
        <v>69</v>
      </c>
      <c r="R17" s="155">
        <v>1</v>
      </c>
      <c r="S17" s="155">
        <v>77500</v>
      </c>
      <c r="T17" s="30"/>
      <c r="U17" s="155">
        <v>53.475000000000001</v>
      </c>
      <c r="V17" s="171">
        <v>1.9999999999999999E-6</v>
      </c>
      <c r="W17" s="171">
        <v>1.9379893900896301E-2</v>
      </c>
      <c r="X17" s="171">
        <v>5.3614627580163797E-3</v>
      </c>
      <c r="Y17" s="155">
        <v>77500</v>
      </c>
      <c r="Z17" s="193">
        <f t="shared" si="0"/>
        <v>77500</v>
      </c>
    </row>
    <row r="18" spans="1:26">
      <c r="A18" s="21" t="s">
        <v>26</v>
      </c>
      <c r="B18" s="21">
        <v>1477</v>
      </c>
      <c r="C18" s="21" t="s">
        <v>1415</v>
      </c>
      <c r="D18" s="21" t="s">
        <v>1416</v>
      </c>
      <c r="E18" s="21" t="s">
        <v>1305</v>
      </c>
      <c r="F18" s="21" t="s">
        <v>1417</v>
      </c>
      <c r="G18" s="21" t="s">
        <v>1418</v>
      </c>
      <c r="H18" s="21" t="s">
        <v>319</v>
      </c>
      <c r="I18" s="21" t="s">
        <v>931</v>
      </c>
      <c r="J18" s="21" t="s">
        <v>31</v>
      </c>
      <c r="K18" s="21" t="s">
        <v>31</v>
      </c>
      <c r="L18" s="23" t="s">
        <v>325</v>
      </c>
      <c r="M18" s="21" t="s">
        <v>40</v>
      </c>
      <c r="N18" s="23" t="s">
        <v>462</v>
      </c>
      <c r="O18" s="23" t="s">
        <v>136</v>
      </c>
      <c r="P18" s="21" t="s">
        <v>35</v>
      </c>
      <c r="Q18" s="155">
        <v>417</v>
      </c>
      <c r="R18" s="155">
        <v>1</v>
      </c>
      <c r="S18" s="155">
        <v>3879.8561151079143</v>
      </c>
      <c r="T18" s="159">
        <v>0.13900000000000001</v>
      </c>
      <c r="U18" s="155">
        <v>16.318000000000001</v>
      </c>
      <c r="V18" s="171">
        <v>6.9999999999999999E-6</v>
      </c>
      <c r="W18" s="171">
        <v>5.9139608121799797E-3</v>
      </c>
      <c r="X18" s="171">
        <v>1.6361018697530099E-3</v>
      </c>
      <c r="Y18" s="155">
        <v>3880</v>
      </c>
      <c r="Z18" s="193">
        <f t="shared" si="0"/>
        <v>3879.8561151079143</v>
      </c>
    </row>
    <row r="19" spans="1:26">
      <c r="A19" s="21" t="s">
        <v>26</v>
      </c>
      <c r="B19" s="21">
        <v>1477</v>
      </c>
      <c r="C19" s="21" t="s">
        <v>1419</v>
      </c>
      <c r="D19" s="21" t="s">
        <v>1420</v>
      </c>
      <c r="E19" s="21" t="s">
        <v>1305</v>
      </c>
      <c r="F19" s="21" t="s">
        <v>1421</v>
      </c>
      <c r="G19" s="21" t="s">
        <v>1422</v>
      </c>
      <c r="H19" s="21" t="s">
        <v>319</v>
      </c>
      <c r="I19" s="21" t="s">
        <v>931</v>
      </c>
      <c r="J19" s="21" t="s">
        <v>31</v>
      </c>
      <c r="K19" s="21" t="s">
        <v>31</v>
      </c>
      <c r="L19" s="23" t="s">
        <v>325</v>
      </c>
      <c r="M19" s="21" t="s">
        <v>40</v>
      </c>
      <c r="N19" s="23" t="s">
        <v>461</v>
      </c>
      <c r="O19" s="23" t="s">
        <v>136</v>
      </c>
      <c r="P19" s="21" t="s">
        <v>35</v>
      </c>
      <c r="Q19" s="155">
        <v>1860</v>
      </c>
      <c r="R19" s="155">
        <v>1</v>
      </c>
      <c r="S19" s="155">
        <v>1748.9784946236559</v>
      </c>
      <c r="T19" s="30"/>
      <c r="U19" s="155">
        <v>32.530999999999999</v>
      </c>
      <c r="V19" s="171">
        <v>3.9999999999999998E-6</v>
      </c>
      <c r="W19" s="171">
        <v>1.17897163244061E-2</v>
      </c>
      <c r="X19" s="171">
        <v>3.2616342134854401E-3</v>
      </c>
      <c r="Y19" s="155">
        <v>1749</v>
      </c>
      <c r="Z19" s="193">
        <f t="shared" si="0"/>
        <v>1748.9784946236559</v>
      </c>
    </row>
    <row r="20" spans="1:26">
      <c r="A20" s="4" t="s">
        <v>26</v>
      </c>
      <c r="B20" s="4">
        <v>1477</v>
      </c>
      <c r="C20" s="4" t="s">
        <v>1423</v>
      </c>
      <c r="D20" s="4" t="s">
        <v>1424</v>
      </c>
      <c r="E20" s="21" t="s">
        <v>1305</v>
      </c>
      <c r="F20" s="4" t="s">
        <v>1425</v>
      </c>
      <c r="G20" s="4" t="s">
        <v>1426</v>
      </c>
      <c r="H20" s="21" t="s">
        <v>319</v>
      </c>
      <c r="I20" s="4" t="s">
        <v>931</v>
      </c>
      <c r="J20" s="4" t="s">
        <v>31</v>
      </c>
      <c r="K20" s="21" t="s">
        <v>31</v>
      </c>
      <c r="L20" s="23" t="s">
        <v>325</v>
      </c>
      <c r="M20" s="21" t="s">
        <v>40</v>
      </c>
      <c r="N20" s="23" t="s">
        <v>438</v>
      </c>
      <c r="O20" s="4" t="s">
        <v>136</v>
      </c>
      <c r="P20" s="4" t="s">
        <v>35</v>
      </c>
      <c r="Q20" s="154">
        <v>949.3</v>
      </c>
      <c r="R20" s="154">
        <v>1</v>
      </c>
      <c r="S20" s="154">
        <v>6298.9571263035923</v>
      </c>
      <c r="U20" s="154">
        <v>59.795999999999999</v>
      </c>
      <c r="V20" s="169">
        <v>7.9999999999999996E-6</v>
      </c>
      <c r="W20" s="169">
        <v>2.1670837275639301E-2</v>
      </c>
      <c r="X20" s="169">
        <v>5.9952540288675102E-3</v>
      </c>
      <c r="Y20" s="154">
        <v>6299</v>
      </c>
      <c r="Z20" s="193">
        <f t="shared" si="0"/>
        <v>6298.9571263035923</v>
      </c>
    </row>
    <row r="21" spans="1:26">
      <c r="A21" s="4" t="s">
        <v>26</v>
      </c>
      <c r="B21" s="4">
        <v>1477</v>
      </c>
      <c r="C21" s="4" t="s">
        <v>1427</v>
      </c>
      <c r="D21" s="4" t="s">
        <v>1428</v>
      </c>
      <c r="E21" s="4" t="s">
        <v>1305</v>
      </c>
      <c r="F21" s="4" t="s">
        <v>1429</v>
      </c>
      <c r="G21" s="4" t="s">
        <v>1430</v>
      </c>
      <c r="H21" s="4" t="s">
        <v>319</v>
      </c>
      <c r="I21" s="4" t="s">
        <v>931</v>
      </c>
      <c r="J21" s="4" t="s">
        <v>31</v>
      </c>
      <c r="K21" s="4" t="s">
        <v>31</v>
      </c>
      <c r="L21" s="2" t="s">
        <v>325</v>
      </c>
      <c r="M21" s="4" t="s">
        <v>40</v>
      </c>
      <c r="N21" s="23" t="s">
        <v>438</v>
      </c>
      <c r="O21" s="4" t="s">
        <v>136</v>
      </c>
      <c r="P21" s="4" t="s">
        <v>35</v>
      </c>
      <c r="Q21" s="154">
        <v>1032</v>
      </c>
      <c r="R21" s="154">
        <v>1</v>
      </c>
      <c r="S21" s="154">
        <v>1352.0348837209301</v>
      </c>
      <c r="U21" s="154">
        <v>13.952999999999999</v>
      </c>
      <c r="V21" s="169">
        <v>1.9999999999999999E-6</v>
      </c>
      <c r="W21" s="169">
        <v>5.0565812592314402E-3</v>
      </c>
      <c r="X21" s="169">
        <v>1.3989071479384701E-3</v>
      </c>
      <c r="Y21" s="154">
        <v>1352</v>
      </c>
      <c r="Z21" s="193">
        <f t="shared" si="0"/>
        <v>1352.0348837209301</v>
      </c>
    </row>
    <row r="22" spans="1:26">
      <c r="A22" s="4" t="s">
        <v>26</v>
      </c>
      <c r="B22" s="4">
        <v>1477</v>
      </c>
      <c r="C22" s="4" t="s">
        <v>1431</v>
      </c>
      <c r="D22" s="4" t="s">
        <v>1432</v>
      </c>
      <c r="E22" s="4" t="s">
        <v>312</v>
      </c>
      <c r="F22" s="4" t="s">
        <v>1431</v>
      </c>
      <c r="G22" s="4" t="s">
        <v>1433</v>
      </c>
      <c r="H22" s="4" t="s">
        <v>319</v>
      </c>
      <c r="I22" s="4" t="s">
        <v>931</v>
      </c>
      <c r="J22" s="4" t="s">
        <v>73</v>
      </c>
      <c r="K22" s="4" t="s">
        <v>238</v>
      </c>
      <c r="L22" s="2" t="s">
        <v>325</v>
      </c>
      <c r="M22" s="4" t="s">
        <v>40</v>
      </c>
      <c r="N22" s="4" t="s">
        <v>462</v>
      </c>
      <c r="O22" s="4" t="s">
        <v>136</v>
      </c>
      <c r="P22" s="4" t="s">
        <v>35</v>
      </c>
      <c r="Q22" s="154">
        <v>112</v>
      </c>
      <c r="R22" s="154">
        <v>1</v>
      </c>
      <c r="S22" s="154">
        <v>7563.3928571428578</v>
      </c>
      <c r="U22" s="154">
        <v>8.4710000000000001</v>
      </c>
      <c r="V22" s="169">
        <v>6.0000000000000002E-6</v>
      </c>
      <c r="W22" s="169">
        <v>3.0698186831449401E-3</v>
      </c>
      <c r="X22" s="169">
        <v>8.4926773220277195E-4</v>
      </c>
      <c r="Y22" s="154">
        <v>7563</v>
      </c>
      <c r="Z22" s="193">
        <f t="shared" si="0"/>
        <v>7563.3928571428578</v>
      </c>
    </row>
    <row r="23" spans="1:26">
      <c r="A23" s="4" t="s">
        <v>26</v>
      </c>
      <c r="B23" s="4">
        <v>1477</v>
      </c>
      <c r="C23" s="4" t="s">
        <v>1434</v>
      </c>
      <c r="D23" s="4" t="s">
        <v>1435</v>
      </c>
      <c r="E23" s="4" t="s">
        <v>1305</v>
      </c>
      <c r="F23" s="4" t="s">
        <v>1436</v>
      </c>
      <c r="G23" s="4" t="s">
        <v>1437</v>
      </c>
      <c r="H23" s="4" t="s">
        <v>319</v>
      </c>
      <c r="I23" s="4" t="s">
        <v>931</v>
      </c>
      <c r="J23" s="4" t="s">
        <v>31</v>
      </c>
      <c r="K23" s="4" t="s">
        <v>31</v>
      </c>
      <c r="L23" s="2" t="s">
        <v>325</v>
      </c>
      <c r="M23" s="2" t="s">
        <v>40</v>
      </c>
      <c r="N23" s="4" t="s">
        <v>436</v>
      </c>
      <c r="O23" s="4" t="s">
        <v>136</v>
      </c>
      <c r="P23" s="4" t="s">
        <v>35</v>
      </c>
      <c r="Q23" s="154">
        <v>204</v>
      </c>
      <c r="R23" s="154">
        <v>1</v>
      </c>
      <c r="S23" s="154">
        <v>5100</v>
      </c>
      <c r="U23" s="154">
        <v>10.404</v>
      </c>
      <c r="V23" s="169">
        <v>7.9999999999999996E-6</v>
      </c>
      <c r="W23" s="169">
        <v>3.7705173659640001E-3</v>
      </c>
      <c r="X23" s="169">
        <v>1.0431165691332899E-3</v>
      </c>
      <c r="Y23" s="154">
        <v>5100</v>
      </c>
      <c r="Z23" s="193">
        <f t="shared" si="0"/>
        <v>5100</v>
      </c>
    </row>
    <row r="24" spans="1:26">
      <c r="A24" s="4" t="s">
        <v>26</v>
      </c>
      <c r="B24" s="4">
        <v>1477</v>
      </c>
      <c r="C24" s="4" t="s">
        <v>1438</v>
      </c>
      <c r="D24" s="4" t="s">
        <v>1439</v>
      </c>
      <c r="E24" s="4" t="s">
        <v>1305</v>
      </c>
      <c r="F24" s="4" t="s">
        <v>1440</v>
      </c>
      <c r="G24" s="4" t="s">
        <v>1441</v>
      </c>
      <c r="H24" s="4" t="s">
        <v>319</v>
      </c>
      <c r="I24" s="4" t="s">
        <v>931</v>
      </c>
      <c r="J24" s="4" t="s">
        <v>31</v>
      </c>
      <c r="K24" s="4" t="s">
        <v>31</v>
      </c>
      <c r="L24" s="2" t="s">
        <v>325</v>
      </c>
      <c r="M24" s="2" t="s">
        <v>40</v>
      </c>
      <c r="N24" s="4" t="s">
        <v>482</v>
      </c>
      <c r="O24" s="4" t="s">
        <v>136</v>
      </c>
      <c r="P24" s="4" t="s">
        <v>35</v>
      </c>
      <c r="Q24" s="154">
        <v>11240</v>
      </c>
      <c r="R24" s="154">
        <v>1</v>
      </c>
      <c r="S24" s="154">
        <v>472.99822064056934</v>
      </c>
      <c r="U24" s="154">
        <v>53.164999999999999</v>
      </c>
      <c r="V24" s="169">
        <v>3.9999999999999998E-6</v>
      </c>
      <c r="W24" s="169">
        <v>1.9267619171948198E-2</v>
      </c>
      <c r="X24" s="169">
        <v>5.3304018667132804E-3</v>
      </c>
      <c r="Y24" s="154">
        <v>473</v>
      </c>
      <c r="Z24" s="193">
        <f t="shared" si="0"/>
        <v>472.99822064056934</v>
      </c>
    </row>
    <row r="25" spans="1:26">
      <c r="A25" s="4" t="s">
        <v>26</v>
      </c>
      <c r="B25" s="4">
        <v>1477</v>
      </c>
      <c r="C25" s="4" t="s">
        <v>1442</v>
      </c>
      <c r="D25" s="4" t="s">
        <v>1443</v>
      </c>
      <c r="E25" s="4" t="s">
        <v>1305</v>
      </c>
      <c r="F25" s="4" t="s">
        <v>1444</v>
      </c>
      <c r="G25" s="4" t="s">
        <v>1445</v>
      </c>
      <c r="H25" s="4" t="s">
        <v>319</v>
      </c>
      <c r="I25" s="4" t="s">
        <v>931</v>
      </c>
      <c r="J25" s="4" t="s">
        <v>31</v>
      </c>
      <c r="K25" s="4" t="s">
        <v>31</v>
      </c>
      <c r="L25" s="2" t="s">
        <v>325</v>
      </c>
      <c r="M25" s="2" t="s">
        <v>40</v>
      </c>
      <c r="N25" s="4" t="s">
        <v>461</v>
      </c>
      <c r="O25" s="4" t="s">
        <v>136</v>
      </c>
      <c r="P25" s="4" t="s">
        <v>35</v>
      </c>
      <c r="Q25" s="154">
        <v>161</v>
      </c>
      <c r="R25" s="154">
        <v>1</v>
      </c>
      <c r="S25" s="154">
        <v>41029.813664596273</v>
      </c>
      <c r="U25" s="154">
        <v>66.058000000000007</v>
      </c>
      <c r="V25" s="169">
        <v>6.9999999999999999E-6</v>
      </c>
      <c r="W25" s="169">
        <v>2.3940212160328701E-2</v>
      </c>
      <c r="X25" s="169">
        <v>6.62307836012854E-3</v>
      </c>
      <c r="Y25" s="154">
        <v>41030</v>
      </c>
      <c r="Z25" s="193">
        <f t="shared" si="0"/>
        <v>41029.813664596273</v>
      </c>
    </row>
    <row r="26" spans="1:26">
      <c r="A26" s="4" t="s">
        <v>26</v>
      </c>
      <c r="B26" s="4">
        <v>1477</v>
      </c>
      <c r="C26" s="4" t="s">
        <v>1446</v>
      </c>
      <c r="D26" s="4" t="s">
        <v>1447</v>
      </c>
      <c r="E26" s="4" t="s">
        <v>1305</v>
      </c>
      <c r="F26" s="4" t="s">
        <v>1448</v>
      </c>
      <c r="G26" s="4" t="s">
        <v>1449</v>
      </c>
      <c r="H26" s="4" t="s">
        <v>319</v>
      </c>
      <c r="I26" s="4" t="s">
        <v>931</v>
      </c>
      <c r="J26" s="4" t="s">
        <v>31</v>
      </c>
      <c r="K26" s="4" t="s">
        <v>31</v>
      </c>
      <c r="L26" s="2" t="s">
        <v>325</v>
      </c>
      <c r="M26" s="2" t="s">
        <v>40</v>
      </c>
      <c r="N26" s="4" t="s">
        <v>445</v>
      </c>
      <c r="O26" s="4" t="s">
        <v>136</v>
      </c>
      <c r="P26" s="4" t="s">
        <v>35</v>
      </c>
      <c r="Q26" s="154">
        <v>545</v>
      </c>
      <c r="R26" s="154">
        <v>1</v>
      </c>
      <c r="S26" s="154">
        <v>15439.999999999998</v>
      </c>
      <c r="U26" s="154">
        <v>84.147999999999996</v>
      </c>
      <c r="V26" s="169">
        <v>5.0000000000000004E-6</v>
      </c>
      <c r="W26" s="169">
        <v>3.0496106815757301E-2</v>
      </c>
      <c r="X26" s="169">
        <v>8.4367717281264593E-3</v>
      </c>
      <c r="Y26" s="154">
        <v>15440</v>
      </c>
      <c r="Z26" s="193">
        <f t="shared" si="0"/>
        <v>15439.999999999998</v>
      </c>
    </row>
    <row r="27" spans="1:26">
      <c r="A27" s="4" t="s">
        <v>26</v>
      </c>
      <c r="B27" s="4">
        <v>1477</v>
      </c>
      <c r="C27" s="4" t="s">
        <v>1450</v>
      </c>
      <c r="D27" s="4" t="s">
        <v>1451</v>
      </c>
      <c r="E27" s="4" t="s">
        <v>1305</v>
      </c>
      <c r="F27" s="4" t="s">
        <v>1452</v>
      </c>
      <c r="G27" s="4" t="s">
        <v>1453</v>
      </c>
      <c r="H27" s="4" t="s">
        <v>319</v>
      </c>
      <c r="I27" s="4" t="s">
        <v>931</v>
      </c>
      <c r="J27" s="4" t="s">
        <v>31</v>
      </c>
      <c r="K27" s="4" t="s">
        <v>31</v>
      </c>
      <c r="L27" s="2" t="s">
        <v>325</v>
      </c>
      <c r="M27" s="2" t="s">
        <v>40</v>
      </c>
      <c r="N27" s="4" t="s">
        <v>461</v>
      </c>
      <c r="O27" s="4" t="s">
        <v>136</v>
      </c>
      <c r="P27" s="4" t="s">
        <v>35</v>
      </c>
      <c r="Q27" s="154">
        <v>542</v>
      </c>
      <c r="R27" s="154">
        <v>1</v>
      </c>
      <c r="S27" s="154">
        <v>1161.0701107011071</v>
      </c>
      <c r="U27" s="154">
        <v>6.2930000000000001</v>
      </c>
      <c r="V27" s="169">
        <v>7.9999999999999996E-6</v>
      </c>
      <c r="W27" s="169">
        <v>2.28051066776359E-3</v>
      </c>
      <c r="X27" s="169">
        <v>6.3090505433097805E-4</v>
      </c>
      <c r="Y27" s="154">
        <v>1161</v>
      </c>
      <c r="Z27" s="193">
        <f t="shared" si="0"/>
        <v>1161.0701107011071</v>
      </c>
    </row>
    <row r="28" spans="1:26">
      <c r="A28" s="4" t="s">
        <v>26</v>
      </c>
      <c r="B28" s="4">
        <v>1477</v>
      </c>
      <c r="C28" s="4" t="s">
        <v>1454</v>
      </c>
      <c r="D28" s="4" t="s">
        <v>1455</v>
      </c>
      <c r="E28" s="4" t="s">
        <v>1305</v>
      </c>
      <c r="F28" s="4" t="s">
        <v>1456</v>
      </c>
      <c r="G28" s="4" t="s">
        <v>1457</v>
      </c>
      <c r="H28" s="4" t="s">
        <v>319</v>
      </c>
      <c r="I28" s="4" t="s">
        <v>931</v>
      </c>
      <c r="J28" s="4" t="s">
        <v>31</v>
      </c>
      <c r="K28" s="4" t="s">
        <v>31</v>
      </c>
      <c r="L28" s="2" t="s">
        <v>325</v>
      </c>
      <c r="M28" s="2" t="s">
        <v>40</v>
      </c>
      <c r="N28" s="4" t="s">
        <v>460</v>
      </c>
      <c r="O28" s="4" t="s">
        <v>136</v>
      </c>
      <c r="P28" s="4" t="s">
        <v>35</v>
      </c>
      <c r="Q28" s="154">
        <v>200</v>
      </c>
      <c r="R28" s="154">
        <v>1</v>
      </c>
      <c r="S28" s="154">
        <v>14790</v>
      </c>
      <c r="U28" s="154">
        <v>29.58</v>
      </c>
      <c r="V28" s="169">
        <v>2.3E-5</v>
      </c>
      <c r="W28" s="169">
        <v>1.0720098393427101E-2</v>
      </c>
      <c r="X28" s="169">
        <v>2.96572357890836E-3</v>
      </c>
      <c r="Y28" s="154">
        <v>14790</v>
      </c>
      <c r="Z28" s="193">
        <f t="shared" si="0"/>
        <v>14790</v>
      </c>
    </row>
    <row r="29" spans="1:26">
      <c r="A29" s="4" t="s">
        <v>26</v>
      </c>
      <c r="B29" s="4">
        <v>1477</v>
      </c>
      <c r="C29" s="4" t="s">
        <v>1458</v>
      </c>
      <c r="D29" s="4" t="s">
        <v>1459</v>
      </c>
      <c r="E29" s="4" t="s">
        <v>1305</v>
      </c>
      <c r="F29" s="4" t="s">
        <v>1460</v>
      </c>
      <c r="G29" s="4" t="s">
        <v>1461</v>
      </c>
      <c r="H29" s="4" t="s">
        <v>319</v>
      </c>
      <c r="I29" s="4" t="s">
        <v>931</v>
      </c>
      <c r="J29" s="4" t="s">
        <v>31</v>
      </c>
      <c r="K29" s="4" t="s">
        <v>31</v>
      </c>
      <c r="L29" s="2" t="s">
        <v>325</v>
      </c>
      <c r="M29" s="2" t="s">
        <v>40</v>
      </c>
      <c r="N29" s="4" t="s">
        <v>461</v>
      </c>
      <c r="O29" s="4" t="s">
        <v>136</v>
      </c>
      <c r="P29" s="4" t="s">
        <v>35</v>
      </c>
      <c r="Q29" s="154">
        <v>348</v>
      </c>
      <c r="R29" s="154">
        <v>1</v>
      </c>
      <c r="S29" s="154">
        <v>2779.8850574712642</v>
      </c>
      <c r="U29" s="154">
        <v>9.6739999999999995</v>
      </c>
      <c r="V29" s="169">
        <v>1.73E-4</v>
      </c>
      <c r="W29" s="169">
        <v>3.5061027686737901E-3</v>
      </c>
      <c r="X29" s="169">
        <v>9.6996606463120496E-4</v>
      </c>
      <c r="Y29" s="154">
        <v>2780</v>
      </c>
      <c r="Z29" s="193">
        <f t="shared" si="0"/>
        <v>2779.8850574712642</v>
      </c>
    </row>
    <row r="30" spans="1:26">
      <c r="A30" s="4" t="s">
        <v>26</v>
      </c>
      <c r="B30" s="4">
        <v>1477</v>
      </c>
      <c r="C30" s="4" t="s">
        <v>1462</v>
      </c>
      <c r="D30" s="4" t="s">
        <v>1463</v>
      </c>
      <c r="E30" s="4" t="s">
        <v>1305</v>
      </c>
      <c r="F30" s="4" t="s">
        <v>1464</v>
      </c>
      <c r="G30" s="4" t="s">
        <v>1465</v>
      </c>
      <c r="H30" s="4" t="s">
        <v>319</v>
      </c>
      <c r="I30" s="4" t="s">
        <v>931</v>
      </c>
      <c r="J30" s="4" t="s">
        <v>31</v>
      </c>
      <c r="K30" s="4" t="s">
        <v>31</v>
      </c>
      <c r="L30" s="2" t="s">
        <v>325</v>
      </c>
      <c r="M30" s="2" t="s">
        <v>40</v>
      </c>
      <c r="N30" s="4" t="s">
        <v>445</v>
      </c>
      <c r="O30" s="4" t="s">
        <v>136</v>
      </c>
      <c r="P30" s="4" t="s">
        <v>35</v>
      </c>
      <c r="Q30" s="154">
        <v>4067</v>
      </c>
      <c r="R30" s="154">
        <v>1</v>
      </c>
      <c r="S30" s="154">
        <v>1946.0044258667324</v>
      </c>
      <c r="T30" s="161">
        <v>0.60399999999999998</v>
      </c>
      <c r="U30" s="154">
        <v>79.748000000000005</v>
      </c>
      <c r="V30" s="169">
        <v>3.0000000000000001E-6</v>
      </c>
      <c r="W30" s="169">
        <v>2.8901541105133301E-2</v>
      </c>
      <c r="X30" s="169">
        <v>7.9956338810134395E-3</v>
      </c>
      <c r="Y30" s="154">
        <v>1946</v>
      </c>
      <c r="Z30" s="193">
        <f t="shared" si="0"/>
        <v>1946.0044258667324</v>
      </c>
    </row>
    <row r="31" spans="1:26">
      <c r="A31" s="4" t="s">
        <v>26</v>
      </c>
      <c r="B31" s="4">
        <v>1477</v>
      </c>
      <c r="C31" s="4" t="s">
        <v>1466</v>
      </c>
      <c r="D31" s="4" t="s">
        <v>1467</v>
      </c>
      <c r="E31" s="4" t="s">
        <v>1305</v>
      </c>
      <c r="F31" s="4" t="s">
        <v>1468</v>
      </c>
      <c r="G31" s="4" t="s">
        <v>1469</v>
      </c>
      <c r="H31" s="4" t="s">
        <v>319</v>
      </c>
      <c r="I31" s="4" t="s">
        <v>931</v>
      </c>
      <c r="J31" s="4" t="s">
        <v>31</v>
      </c>
      <c r="K31" s="4" t="s">
        <v>31</v>
      </c>
      <c r="L31" s="2" t="s">
        <v>325</v>
      </c>
      <c r="M31" s="2" t="s">
        <v>40</v>
      </c>
      <c r="N31" s="4" t="s">
        <v>459</v>
      </c>
      <c r="O31" s="4" t="s">
        <v>136</v>
      </c>
      <c r="P31" s="4" t="s">
        <v>35</v>
      </c>
      <c r="Q31" s="154">
        <v>378</v>
      </c>
      <c r="R31" s="154">
        <v>1</v>
      </c>
      <c r="S31" s="154">
        <v>3408.9947089947086</v>
      </c>
      <c r="U31" s="154">
        <v>12.885999999999999</v>
      </c>
      <c r="V31" s="169">
        <v>1.4E-5</v>
      </c>
      <c r="W31" s="169">
        <v>4.6700271230449199E-3</v>
      </c>
      <c r="X31" s="169">
        <v>1.2919666447696E-3</v>
      </c>
      <c r="Y31" s="154">
        <v>3409</v>
      </c>
      <c r="Z31" s="193">
        <f t="shared" si="0"/>
        <v>3408.9947089947086</v>
      </c>
    </row>
    <row r="32" spans="1:26">
      <c r="A32" s="4" t="s">
        <v>26</v>
      </c>
      <c r="B32" s="4">
        <v>1477</v>
      </c>
      <c r="C32" s="4" t="s">
        <v>1470</v>
      </c>
      <c r="D32" s="4" t="s">
        <v>1471</v>
      </c>
      <c r="E32" s="4" t="s">
        <v>1305</v>
      </c>
      <c r="F32" s="4" t="s">
        <v>1472</v>
      </c>
      <c r="G32" s="4" t="s">
        <v>1473</v>
      </c>
      <c r="H32" s="4" t="s">
        <v>319</v>
      </c>
      <c r="I32" s="4" t="s">
        <v>931</v>
      </c>
      <c r="J32" s="4" t="s">
        <v>31</v>
      </c>
      <c r="K32" s="4" t="s">
        <v>31</v>
      </c>
      <c r="L32" s="2" t="s">
        <v>325</v>
      </c>
      <c r="M32" s="2" t="s">
        <v>40</v>
      </c>
      <c r="N32" s="4" t="s">
        <v>475</v>
      </c>
      <c r="O32" s="4" t="s">
        <v>136</v>
      </c>
      <c r="P32" s="4" t="s">
        <v>35</v>
      </c>
      <c r="Q32" s="154">
        <v>15</v>
      </c>
      <c r="R32" s="154">
        <v>1</v>
      </c>
      <c r="S32" s="154">
        <v>33193.333333333336</v>
      </c>
      <c r="U32" s="154">
        <v>4.9790000000000001</v>
      </c>
      <c r="V32" s="169">
        <v>3.0000000000000001E-6</v>
      </c>
      <c r="W32" s="169">
        <v>1.8042599679403801E-3</v>
      </c>
      <c r="X32" s="169">
        <v>4.9914992689639205E-4</v>
      </c>
      <c r="Y32" s="154">
        <v>33190</v>
      </c>
      <c r="Z32" s="193">
        <f t="shared" si="0"/>
        <v>33193.333333333336</v>
      </c>
    </row>
    <row r="33" spans="1:26">
      <c r="A33" s="4" t="s">
        <v>26</v>
      </c>
      <c r="B33" s="4">
        <v>1477</v>
      </c>
      <c r="C33" s="4" t="s">
        <v>1360</v>
      </c>
      <c r="D33" s="4" t="s">
        <v>1361</v>
      </c>
      <c r="E33" s="4" t="s">
        <v>1305</v>
      </c>
      <c r="F33" s="4" t="s">
        <v>1362</v>
      </c>
      <c r="G33" s="4" t="s">
        <v>1363</v>
      </c>
      <c r="H33" s="4" t="s">
        <v>319</v>
      </c>
      <c r="I33" s="4" t="s">
        <v>931</v>
      </c>
      <c r="J33" s="4" t="s">
        <v>31</v>
      </c>
      <c r="K33" s="4" t="s">
        <v>31</v>
      </c>
      <c r="L33" s="2" t="s">
        <v>325</v>
      </c>
      <c r="M33" s="2" t="s">
        <v>40</v>
      </c>
      <c r="N33" s="4" t="s">
        <v>442</v>
      </c>
      <c r="O33" s="4" t="s">
        <v>136</v>
      </c>
      <c r="P33" s="4" t="s">
        <v>35</v>
      </c>
      <c r="Q33" s="154">
        <v>2150</v>
      </c>
      <c r="R33" s="154">
        <v>1</v>
      </c>
      <c r="S33" s="154">
        <v>3810</v>
      </c>
      <c r="U33" s="154">
        <v>81.915000000000006</v>
      </c>
      <c r="V33" s="169">
        <v>7.9999999999999996E-6</v>
      </c>
      <c r="W33" s="169">
        <v>2.96868444860574E-2</v>
      </c>
      <c r="X33" s="169">
        <v>8.2128886736402406E-3</v>
      </c>
      <c r="Y33" s="154">
        <v>3810</v>
      </c>
      <c r="Z33" s="193">
        <f t="shared" si="0"/>
        <v>3810</v>
      </c>
    </row>
    <row r="34" spans="1:26">
      <c r="A34" s="4" t="s">
        <v>26</v>
      </c>
      <c r="B34" s="4">
        <v>1477</v>
      </c>
      <c r="C34" s="4" t="s">
        <v>1474</v>
      </c>
      <c r="D34" s="4" t="s">
        <v>1475</v>
      </c>
      <c r="E34" s="4" t="s">
        <v>1305</v>
      </c>
      <c r="F34" s="4" t="s">
        <v>1476</v>
      </c>
      <c r="G34" s="4" t="s">
        <v>1477</v>
      </c>
      <c r="H34" s="4" t="s">
        <v>319</v>
      </c>
      <c r="I34" s="4" t="s">
        <v>931</v>
      </c>
      <c r="J34" s="4" t="s">
        <v>31</v>
      </c>
      <c r="K34" s="4" t="s">
        <v>31</v>
      </c>
      <c r="L34" s="2" t="s">
        <v>325</v>
      </c>
      <c r="M34" s="2" t="s">
        <v>40</v>
      </c>
      <c r="N34" s="4" t="s">
        <v>474</v>
      </c>
      <c r="O34" s="4" t="s">
        <v>136</v>
      </c>
      <c r="P34" s="4" t="s">
        <v>35</v>
      </c>
      <c r="Q34" s="154">
        <v>794</v>
      </c>
      <c r="R34" s="154">
        <v>1</v>
      </c>
      <c r="S34" s="154">
        <v>5624.9370277078096</v>
      </c>
      <c r="T34" s="161">
        <v>0.36099999999999999</v>
      </c>
      <c r="U34" s="154">
        <v>45.023000000000003</v>
      </c>
      <c r="V34" s="169">
        <v>1.1E-5</v>
      </c>
      <c r="W34" s="169">
        <v>1.63169139012092E-2</v>
      </c>
      <c r="X34" s="169">
        <v>4.5140869529242903E-3</v>
      </c>
      <c r="Y34" s="154">
        <v>5625</v>
      </c>
      <c r="Z34" s="193">
        <f t="shared" si="0"/>
        <v>5624.9370277078096</v>
      </c>
    </row>
    <row r="35" spans="1:26">
      <c r="A35" s="4" t="s">
        <v>26</v>
      </c>
      <c r="B35" s="4">
        <v>1477</v>
      </c>
      <c r="C35" s="4" t="s">
        <v>1478</v>
      </c>
      <c r="D35" s="4" t="s">
        <v>1479</v>
      </c>
      <c r="E35" s="4" t="s">
        <v>1305</v>
      </c>
      <c r="F35" s="4" t="s">
        <v>1480</v>
      </c>
      <c r="G35" s="4" t="s">
        <v>1481</v>
      </c>
      <c r="H35" s="4" t="s">
        <v>319</v>
      </c>
      <c r="I35" s="4" t="s">
        <v>931</v>
      </c>
      <c r="J35" s="4" t="s">
        <v>31</v>
      </c>
      <c r="K35" s="4" t="s">
        <v>293</v>
      </c>
      <c r="L35" s="2" t="s">
        <v>325</v>
      </c>
      <c r="M35" s="2" t="s">
        <v>40</v>
      </c>
      <c r="N35" s="4" t="s">
        <v>444</v>
      </c>
      <c r="O35" s="4" t="s">
        <v>136</v>
      </c>
      <c r="P35" s="4" t="s">
        <v>35</v>
      </c>
      <c r="Q35" s="154">
        <v>300</v>
      </c>
      <c r="R35" s="154">
        <v>1</v>
      </c>
      <c r="S35" s="154">
        <v>546.33333333333326</v>
      </c>
      <c r="U35" s="154">
        <v>1.639</v>
      </c>
      <c r="V35" s="169">
        <v>6.9999999999999999E-6</v>
      </c>
      <c r="W35" s="169">
        <v>5.9406305904346199E-4</v>
      </c>
      <c r="X35" s="169">
        <v>1.64348008470135E-4</v>
      </c>
      <c r="Y35" s="154">
        <v>546.4</v>
      </c>
      <c r="Z35" s="193">
        <f t="shared" si="0"/>
        <v>546.33333333333326</v>
      </c>
    </row>
    <row r="36" spans="1:26">
      <c r="A36" s="4" t="s">
        <v>26</v>
      </c>
      <c r="B36" s="4">
        <v>1477</v>
      </c>
      <c r="C36" s="4" t="s">
        <v>1482</v>
      </c>
      <c r="D36" s="4" t="s">
        <v>1483</v>
      </c>
      <c r="E36" s="4" t="s">
        <v>1305</v>
      </c>
      <c r="F36" s="4" t="s">
        <v>1484</v>
      </c>
      <c r="G36" s="4" t="s">
        <v>1485</v>
      </c>
      <c r="H36" s="4" t="s">
        <v>319</v>
      </c>
      <c r="I36" s="4" t="s">
        <v>931</v>
      </c>
      <c r="J36" s="4" t="s">
        <v>31</v>
      </c>
      <c r="K36" s="4" t="s">
        <v>31</v>
      </c>
      <c r="L36" s="2" t="s">
        <v>325</v>
      </c>
      <c r="M36" s="2" t="s">
        <v>40</v>
      </c>
      <c r="N36" s="4" t="s">
        <v>444</v>
      </c>
      <c r="O36" s="4" t="s">
        <v>136</v>
      </c>
      <c r="P36" s="4" t="s">
        <v>35</v>
      </c>
      <c r="Q36" s="154">
        <v>432</v>
      </c>
      <c r="R36" s="154">
        <v>1</v>
      </c>
      <c r="S36" s="154">
        <v>1596.0648148148148</v>
      </c>
      <c r="U36" s="154">
        <v>6.8949999999999996</v>
      </c>
      <c r="V36" s="169">
        <v>6.9999999999999999E-6</v>
      </c>
      <c r="W36" s="169">
        <v>2.4987179443924702E-3</v>
      </c>
      <c r="X36" s="169">
        <v>6.9127226754465997E-4</v>
      </c>
      <c r="Y36" s="154">
        <v>1596</v>
      </c>
      <c r="Z36" s="193">
        <f t="shared" si="0"/>
        <v>1596.0648148148148</v>
      </c>
    </row>
    <row r="37" spans="1:26">
      <c r="A37" s="4" t="s">
        <v>26</v>
      </c>
      <c r="B37" s="4">
        <v>1477</v>
      </c>
      <c r="C37" s="4" t="s">
        <v>1486</v>
      </c>
      <c r="D37" s="4" t="s">
        <v>1487</v>
      </c>
      <c r="E37" s="4" t="s">
        <v>1305</v>
      </c>
      <c r="F37" s="4" t="s">
        <v>1488</v>
      </c>
      <c r="G37" s="4" t="s">
        <v>1489</v>
      </c>
      <c r="H37" s="4" t="s">
        <v>319</v>
      </c>
      <c r="I37" s="4" t="s">
        <v>931</v>
      </c>
      <c r="J37" s="4" t="s">
        <v>31</v>
      </c>
      <c r="K37" s="4" t="s">
        <v>31</v>
      </c>
      <c r="L37" s="2" t="s">
        <v>325</v>
      </c>
      <c r="M37" s="2" t="s">
        <v>40</v>
      </c>
      <c r="N37" s="4" t="s">
        <v>474</v>
      </c>
      <c r="O37" s="4" t="s">
        <v>136</v>
      </c>
      <c r="P37" s="4" t="s">
        <v>35</v>
      </c>
      <c r="Q37" s="154">
        <v>87</v>
      </c>
      <c r="R37" s="154">
        <v>1</v>
      </c>
      <c r="S37" s="154">
        <v>23459.77011494253</v>
      </c>
      <c r="U37" s="154">
        <v>20.41</v>
      </c>
      <c r="V37" s="169">
        <v>3.9999999999999998E-6</v>
      </c>
      <c r="W37" s="169">
        <v>7.39686789146467E-3</v>
      </c>
      <c r="X37" s="169">
        <v>2.0463492694467698E-3</v>
      </c>
      <c r="Y37" s="154">
        <v>23460</v>
      </c>
      <c r="Z37" s="193">
        <f t="shared" si="0"/>
        <v>23459.77011494253</v>
      </c>
    </row>
    <row r="38" spans="1:26">
      <c r="A38" s="4" t="s">
        <v>26</v>
      </c>
      <c r="B38" s="4">
        <v>1477</v>
      </c>
      <c r="C38" s="4" t="s">
        <v>1490</v>
      </c>
      <c r="D38" s="4" t="s">
        <v>1491</v>
      </c>
      <c r="E38" s="4" t="s">
        <v>1305</v>
      </c>
      <c r="F38" s="4" t="s">
        <v>1492</v>
      </c>
      <c r="G38" s="4" t="s">
        <v>1493</v>
      </c>
      <c r="H38" s="4" t="s">
        <v>319</v>
      </c>
      <c r="I38" s="4" t="s">
        <v>931</v>
      </c>
      <c r="J38" s="4" t="s">
        <v>31</v>
      </c>
      <c r="K38" s="4" t="s">
        <v>31</v>
      </c>
      <c r="L38" s="2" t="s">
        <v>325</v>
      </c>
      <c r="M38" s="2" t="s">
        <v>40</v>
      </c>
      <c r="N38" s="4" t="s">
        <v>460</v>
      </c>
      <c r="O38" s="4" t="s">
        <v>136</v>
      </c>
      <c r="P38" s="4" t="s">
        <v>35</v>
      </c>
      <c r="Q38" s="154">
        <v>1062</v>
      </c>
      <c r="R38" s="154">
        <v>1</v>
      </c>
      <c r="S38" s="154">
        <v>1254.9905838041432</v>
      </c>
      <c r="U38" s="154">
        <v>13.327999999999999</v>
      </c>
      <c r="V38" s="169">
        <v>2.9E-5</v>
      </c>
      <c r="W38" s="169">
        <v>4.8302414941661601E-3</v>
      </c>
      <c r="X38" s="169">
        <v>1.33629007545803E-3</v>
      </c>
      <c r="Y38" s="154">
        <v>1255</v>
      </c>
      <c r="Z38" s="193">
        <f t="shared" si="0"/>
        <v>1254.9905838041432</v>
      </c>
    </row>
    <row r="39" spans="1:26">
      <c r="A39" s="4" t="s">
        <v>26</v>
      </c>
      <c r="B39" s="4">
        <v>1477</v>
      </c>
      <c r="C39" s="4" t="s">
        <v>1494</v>
      </c>
      <c r="D39" s="4" t="s">
        <v>1495</v>
      </c>
      <c r="E39" s="4" t="s">
        <v>1305</v>
      </c>
      <c r="F39" s="4" t="s">
        <v>1496</v>
      </c>
      <c r="G39" s="4" t="s">
        <v>1497</v>
      </c>
      <c r="H39" s="4" t="s">
        <v>319</v>
      </c>
      <c r="I39" s="4" t="s">
        <v>931</v>
      </c>
      <c r="J39" s="4" t="s">
        <v>31</v>
      </c>
      <c r="K39" s="4" t="s">
        <v>31</v>
      </c>
      <c r="L39" s="2" t="s">
        <v>325</v>
      </c>
      <c r="M39" s="2" t="s">
        <v>40</v>
      </c>
      <c r="N39" s="4" t="s">
        <v>455</v>
      </c>
      <c r="O39" s="4" t="s">
        <v>136</v>
      </c>
      <c r="P39" s="4" t="s">
        <v>35</v>
      </c>
      <c r="Q39" s="154">
        <v>292</v>
      </c>
      <c r="R39" s="154">
        <v>1</v>
      </c>
      <c r="S39" s="154">
        <v>12309.931506849316</v>
      </c>
      <c r="U39" s="154">
        <v>35.945</v>
      </c>
      <c r="V39" s="169">
        <v>3.0000000000000001E-6</v>
      </c>
      <c r="W39" s="169">
        <v>1.30269128049836E-2</v>
      </c>
      <c r="X39" s="169">
        <v>3.6039055844684499E-3</v>
      </c>
      <c r="Y39" s="154">
        <v>12310</v>
      </c>
      <c r="Z39" s="193">
        <f t="shared" si="0"/>
        <v>12309.931506849316</v>
      </c>
    </row>
    <row r="40" spans="1:26">
      <c r="A40" s="4" t="s">
        <v>26</v>
      </c>
      <c r="B40" s="4">
        <v>1477</v>
      </c>
      <c r="C40" s="4" t="s">
        <v>1498</v>
      </c>
      <c r="D40" s="4" t="s">
        <v>1499</v>
      </c>
      <c r="E40" s="4" t="s">
        <v>1305</v>
      </c>
      <c r="F40" s="4" t="s">
        <v>1500</v>
      </c>
      <c r="G40" s="4" t="s">
        <v>1501</v>
      </c>
      <c r="H40" s="4" t="s">
        <v>319</v>
      </c>
      <c r="I40" s="4" t="s">
        <v>931</v>
      </c>
      <c r="J40" s="4" t="s">
        <v>31</v>
      </c>
      <c r="K40" s="4" t="s">
        <v>31</v>
      </c>
      <c r="L40" s="2" t="s">
        <v>325</v>
      </c>
      <c r="M40" s="2" t="s">
        <v>40</v>
      </c>
      <c r="N40" s="4" t="s">
        <v>464</v>
      </c>
      <c r="O40" s="4" t="s">
        <v>136</v>
      </c>
      <c r="P40" s="4" t="s">
        <v>35</v>
      </c>
      <c r="Q40" s="154">
        <v>2024</v>
      </c>
      <c r="R40" s="154">
        <v>1</v>
      </c>
      <c r="S40" s="154">
        <v>5173.02371541502</v>
      </c>
      <c r="U40" s="154">
        <v>104.702</v>
      </c>
      <c r="V40" s="169">
        <v>1.9999999999999999E-6</v>
      </c>
      <c r="W40" s="169">
        <v>3.7944915359748803E-2</v>
      </c>
      <c r="X40" s="169">
        <v>1.04974904195925E-2</v>
      </c>
      <c r="Y40" s="154">
        <v>5173</v>
      </c>
      <c r="Z40" s="193">
        <f t="shared" si="0"/>
        <v>5173.02371541502</v>
      </c>
    </row>
    <row r="41" spans="1:26">
      <c r="A41" s="4" t="s">
        <v>26</v>
      </c>
      <c r="B41" s="4">
        <v>1477</v>
      </c>
      <c r="C41" s="4" t="s">
        <v>1502</v>
      </c>
      <c r="D41" s="4" t="s">
        <v>1503</v>
      </c>
      <c r="E41" s="4" t="s">
        <v>1305</v>
      </c>
      <c r="F41" s="4" t="s">
        <v>1504</v>
      </c>
      <c r="G41" s="4" t="s">
        <v>1505</v>
      </c>
      <c r="H41" s="4" t="s">
        <v>319</v>
      </c>
      <c r="I41" s="4" t="s">
        <v>931</v>
      </c>
      <c r="J41" s="4" t="s">
        <v>31</v>
      </c>
      <c r="K41" s="4" t="s">
        <v>31</v>
      </c>
      <c r="L41" s="2" t="s">
        <v>325</v>
      </c>
      <c r="M41" s="2" t="s">
        <v>40</v>
      </c>
      <c r="N41" s="4" t="s">
        <v>473</v>
      </c>
      <c r="O41" s="4" t="s">
        <v>136</v>
      </c>
      <c r="P41" s="4" t="s">
        <v>35</v>
      </c>
      <c r="Q41" s="154">
        <v>4200</v>
      </c>
      <c r="R41" s="154">
        <v>1</v>
      </c>
      <c r="S41" s="154">
        <v>511</v>
      </c>
      <c r="U41" s="154">
        <v>21.462</v>
      </c>
      <c r="V41" s="169">
        <v>3.8999999999999999E-5</v>
      </c>
      <c r="W41" s="169">
        <v>7.7780511061437303E-3</v>
      </c>
      <c r="X41" s="169">
        <v>2.1518039029929398E-3</v>
      </c>
      <c r="Y41" s="154">
        <v>511</v>
      </c>
      <c r="Z41" s="193">
        <f t="shared" si="0"/>
        <v>511</v>
      </c>
    </row>
    <row r="42" spans="1:26">
      <c r="A42" s="4" t="s">
        <v>26</v>
      </c>
      <c r="B42" s="4">
        <v>1477</v>
      </c>
      <c r="C42" s="4" t="s">
        <v>1506</v>
      </c>
      <c r="D42" s="4" t="s">
        <v>1507</v>
      </c>
      <c r="E42" s="4" t="s">
        <v>1305</v>
      </c>
      <c r="F42" s="4" t="s">
        <v>1508</v>
      </c>
      <c r="G42" s="4" t="s">
        <v>1509</v>
      </c>
      <c r="H42" s="4" t="s">
        <v>319</v>
      </c>
      <c r="I42" s="4" t="s">
        <v>931</v>
      </c>
      <c r="J42" s="4" t="s">
        <v>31</v>
      </c>
      <c r="K42" s="4" t="s">
        <v>31</v>
      </c>
      <c r="L42" s="2" t="s">
        <v>325</v>
      </c>
      <c r="M42" s="2" t="s">
        <v>40</v>
      </c>
      <c r="N42" s="4" t="s">
        <v>451</v>
      </c>
      <c r="O42" s="4" t="s">
        <v>136</v>
      </c>
      <c r="P42" s="4" t="s">
        <v>35</v>
      </c>
      <c r="Q42" s="154">
        <v>6100</v>
      </c>
      <c r="R42" s="154">
        <v>1</v>
      </c>
      <c r="S42" s="154">
        <v>179</v>
      </c>
      <c r="U42" s="154">
        <v>10.919</v>
      </c>
      <c r="V42" s="169">
        <v>1.9999999999999999E-6</v>
      </c>
      <c r="W42" s="169">
        <v>3.9571587003999296E-3</v>
      </c>
      <c r="X42" s="169">
        <v>1.0947510398275999E-3</v>
      </c>
      <c r="Y42" s="154">
        <v>179</v>
      </c>
      <c r="Z42" s="193">
        <f t="shared" si="0"/>
        <v>179</v>
      </c>
    </row>
    <row r="43" spans="1:26">
      <c r="A43" s="4" t="s">
        <v>26</v>
      </c>
      <c r="B43" s="4">
        <v>1477</v>
      </c>
      <c r="C43" s="4" t="s">
        <v>1510</v>
      </c>
      <c r="D43" s="4" t="s">
        <v>1511</v>
      </c>
      <c r="E43" s="4" t="s">
        <v>1305</v>
      </c>
      <c r="F43" s="4" t="s">
        <v>1512</v>
      </c>
      <c r="G43" s="4" t="s">
        <v>1513</v>
      </c>
      <c r="H43" s="4" t="s">
        <v>319</v>
      </c>
      <c r="I43" s="4" t="s">
        <v>931</v>
      </c>
      <c r="J43" s="4" t="s">
        <v>31</v>
      </c>
      <c r="K43" s="4" t="s">
        <v>31</v>
      </c>
      <c r="L43" s="2" t="s">
        <v>325</v>
      </c>
      <c r="M43" s="2" t="s">
        <v>40</v>
      </c>
      <c r="N43" s="4" t="s">
        <v>458</v>
      </c>
      <c r="O43" s="4" t="s">
        <v>136</v>
      </c>
      <c r="P43" s="4" t="s">
        <v>35</v>
      </c>
      <c r="Q43" s="154">
        <v>65</v>
      </c>
      <c r="R43" s="154">
        <v>1</v>
      </c>
      <c r="S43" s="154">
        <v>8847.6923076923085</v>
      </c>
      <c r="U43" s="154">
        <v>5.7510000000000003</v>
      </c>
      <c r="V43" s="169">
        <v>9.9999999999999995E-7</v>
      </c>
      <c r="W43" s="169">
        <v>2.08429445166591E-3</v>
      </c>
      <c r="X43" s="169">
        <v>5.76621685159492E-4</v>
      </c>
      <c r="Y43" s="154">
        <v>8848</v>
      </c>
      <c r="Z43" s="193">
        <f t="shared" si="0"/>
        <v>8847.6923076923085</v>
      </c>
    </row>
    <row r="44" spans="1:26">
      <c r="A44" s="4" t="s">
        <v>26</v>
      </c>
      <c r="B44" s="4">
        <v>1477</v>
      </c>
      <c r="C44" s="4" t="s">
        <v>1176</v>
      </c>
      <c r="D44" s="4" t="s">
        <v>1364</v>
      </c>
      <c r="E44" s="4" t="s">
        <v>1305</v>
      </c>
      <c r="F44" s="4" t="s">
        <v>1365</v>
      </c>
      <c r="G44" s="4" t="s">
        <v>1366</v>
      </c>
      <c r="H44" s="4" t="s">
        <v>319</v>
      </c>
      <c r="I44" s="4" t="s">
        <v>931</v>
      </c>
      <c r="J44" s="4" t="s">
        <v>31</v>
      </c>
      <c r="K44" s="4" t="s">
        <v>31</v>
      </c>
      <c r="L44" s="2" t="s">
        <v>325</v>
      </c>
      <c r="M44" s="2" t="s">
        <v>40</v>
      </c>
      <c r="N44" s="4" t="s">
        <v>445</v>
      </c>
      <c r="O44" s="4" t="s">
        <v>136</v>
      </c>
      <c r="P44" s="4" t="s">
        <v>35</v>
      </c>
      <c r="Q44" s="154">
        <v>3313</v>
      </c>
      <c r="R44" s="154">
        <v>1</v>
      </c>
      <c r="S44" s="154">
        <v>3100</v>
      </c>
      <c r="T44" s="161">
        <v>0.79400000000000004</v>
      </c>
      <c r="U44" s="154">
        <v>103.497</v>
      </c>
      <c r="V44" s="169">
        <v>1.9999999999999999E-6</v>
      </c>
      <c r="W44" s="169">
        <v>3.7508439196730199E-2</v>
      </c>
      <c r="X44" s="169">
        <v>1.03767389487767E-2</v>
      </c>
      <c r="Y44" s="154">
        <v>3100</v>
      </c>
      <c r="Z44" s="193">
        <f t="shared" si="0"/>
        <v>3100</v>
      </c>
    </row>
    <row r="45" spans="1:26">
      <c r="A45" s="4" t="s">
        <v>26</v>
      </c>
      <c r="B45" s="4">
        <v>1477</v>
      </c>
      <c r="C45" s="4" t="s">
        <v>1514</v>
      </c>
      <c r="D45" s="4" t="s">
        <v>1515</v>
      </c>
      <c r="E45" s="4" t="s">
        <v>1305</v>
      </c>
      <c r="F45" s="4" t="s">
        <v>1516</v>
      </c>
      <c r="G45" s="4" t="s">
        <v>1517</v>
      </c>
      <c r="H45" s="4" t="s">
        <v>319</v>
      </c>
      <c r="I45" s="4" t="s">
        <v>931</v>
      </c>
      <c r="J45" s="4" t="s">
        <v>31</v>
      </c>
      <c r="K45" s="4" t="s">
        <v>31</v>
      </c>
      <c r="L45" s="2" t="s">
        <v>325</v>
      </c>
      <c r="M45" s="2" t="s">
        <v>40</v>
      </c>
      <c r="N45" s="4" t="s">
        <v>473</v>
      </c>
      <c r="O45" s="4" t="s">
        <v>136</v>
      </c>
      <c r="P45" s="4" t="s">
        <v>35</v>
      </c>
      <c r="Q45" s="154">
        <v>46</v>
      </c>
      <c r="R45" s="154">
        <v>1</v>
      </c>
      <c r="S45" s="154">
        <v>18180.434782608696</v>
      </c>
      <c r="U45" s="154">
        <v>8.3629999999999995</v>
      </c>
      <c r="V45" s="169">
        <v>3.0000000000000001E-6</v>
      </c>
      <c r="W45" s="169">
        <v>3.03076534295307E-3</v>
      </c>
      <c r="X45" s="169">
        <v>8.3846359518914202E-4</v>
      </c>
      <c r="Y45" s="154">
        <v>18180</v>
      </c>
      <c r="Z45" s="193">
        <f t="shared" si="0"/>
        <v>18180.434782608696</v>
      </c>
    </row>
    <row r="46" spans="1:26">
      <c r="A46" s="4" t="s">
        <v>26</v>
      </c>
      <c r="B46" s="4">
        <v>1477</v>
      </c>
      <c r="C46" s="4" t="s">
        <v>1367</v>
      </c>
      <c r="D46" s="4" t="s">
        <v>1368</v>
      </c>
      <c r="E46" s="4" t="s">
        <v>1305</v>
      </c>
      <c r="F46" s="4" t="s">
        <v>1369</v>
      </c>
      <c r="G46" s="4" t="s">
        <v>1370</v>
      </c>
      <c r="H46" s="4" t="s">
        <v>319</v>
      </c>
      <c r="I46" s="4" t="s">
        <v>931</v>
      </c>
      <c r="J46" s="4" t="s">
        <v>31</v>
      </c>
      <c r="K46" s="4" t="s">
        <v>31</v>
      </c>
      <c r="L46" s="2" t="s">
        <v>325</v>
      </c>
      <c r="M46" s="2" t="s">
        <v>40</v>
      </c>
      <c r="N46" s="4" t="s">
        <v>461</v>
      </c>
      <c r="O46" s="4" t="s">
        <v>136</v>
      </c>
      <c r="P46" s="4" t="s">
        <v>35</v>
      </c>
      <c r="Q46" s="154">
        <v>5224</v>
      </c>
      <c r="R46" s="154">
        <v>1</v>
      </c>
      <c r="S46" s="154">
        <v>907.10183767228182</v>
      </c>
      <c r="U46" s="154">
        <v>47.387</v>
      </c>
      <c r="V46" s="169">
        <v>6.9999999999999999E-6</v>
      </c>
      <c r="W46" s="169">
        <v>1.71735048492185E-2</v>
      </c>
      <c r="X46" s="169">
        <v>4.75106350656751E-3</v>
      </c>
      <c r="Y46" s="154">
        <v>907.1</v>
      </c>
      <c r="Z46" s="193">
        <f t="shared" si="0"/>
        <v>907.10183767228182</v>
      </c>
    </row>
    <row r="47" spans="1:26">
      <c r="A47" s="4" t="s">
        <v>26</v>
      </c>
      <c r="B47" s="4">
        <v>1477</v>
      </c>
      <c r="C47" s="4" t="s">
        <v>1518</v>
      </c>
      <c r="D47" s="4" t="s">
        <v>1519</v>
      </c>
      <c r="E47" s="4" t="s">
        <v>1305</v>
      </c>
      <c r="F47" s="4" t="s">
        <v>1520</v>
      </c>
      <c r="G47" s="4" t="s">
        <v>1521</v>
      </c>
      <c r="H47" s="4" t="s">
        <v>319</v>
      </c>
      <c r="I47" s="4" t="s">
        <v>931</v>
      </c>
      <c r="J47" s="4" t="s">
        <v>31</v>
      </c>
      <c r="K47" s="4" t="s">
        <v>31</v>
      </c>
      <c r="L47" s="2" t="s">
        <v>325</v>
      </c>
      <c r="M47" s="2" t="s">
        <v>40</v>
      </c>
      <c r="N47" s="4" t="s">
        <v>445</v>
      </c>
      <c r="O47" s="4" t="s">
        <v>136</v>
      </c>
      <c r="P47" s="4" t="s">
        <v>35</v>
      </c>
      <c r="Q47" s="154">
        <v>653</v>
      </c>
      <c r="R47" s="154">
        <v>1</v>
      </c>
      <c r="S47" s="154">
        <v>14000.000000000002</v>
      </c>
      <c r="U47" s="154">
        <v>91.42</v>
      </c>
      <c r="V47" s="169">
        <v>3.0000000000000001E-6</v>
      </c>
      <c r="W47" s="169">
        <v>3.3131554940064298E-2</v>
      </c>
      <c r="X47" s="169">
        <v>9.1658705065518001E-3</v>
      </c>
      <c r="Y47" s="154">
        <v>14000</v>
      </c>
      <c r="Z47" s="193">
        <f t="shared" si="0"/>
        <v>14000.000000000002</v>
      </c>
    </row>
    <row r="48" spans="1:26">
      <c r="A48" s="4" t="s">
        <v>26</v>
      </c>
      <c r="B48" s="4">
        <v>1477</v>
      </c>
      <c r="C48" s="4" t="s">
        <v>1522</v>
      </c>
      <c r="D48" s="4" t="s">
        <v>1523</v>
      </c>
      <c r="E48" s="4" t="s">
        <v>1305</v>
      </c>
      <c r="F48" s="4" t="s">
        <v>1524</v>
      </c>
      <c r="G48" s="4" t="s">
        <v>1525</v>
      </c>
      <c r="H48" s="4" t="s">
        <v>319</v>
      </c>
      <c r="I48" s="4" t="s">
        <v>931</v>
      </c>
      <c r="J48" s="4" t="s">
        <v>31</v>
      </c>
      <c r="K48" s="4" t="s">
        <v>31</v>
      </c>
      <c r="L48" s="2" t="s">
        <v>325</v>
      </c>
      <c r="M48" s="2" t="s">
        <v>40</v>
      </c>
      <c r="N48" s="4" t="s">
        <v>474</v>
      </c>
      <c r="O48" s="4" t="s">
        <v>136</v>
      </c>
      <c r="P48" s="4" t="s">
        <v>35</v>
      </c>
      <c r="Q48" s="154">
        <v>235</v>
      </c>
      <c r="R48" s="154">
        <v>1</v>
      </c>
      <c r="S48" s="154">
        <v>8160.0000000000009</v>
      </c>
      <c r="T48" s="161">
        <v>0.29799999999999999</v>
      </c>
      <c r="U48" s="154">
        <v>19.474</v>
      </c>
      <c r="V48" s="169">
        <v>3.9999999999999998E-6</v>
      </c>
      <c r="W48" s="169">
        <v>7.0577423988463601E-3</v>
      </c>
      <c r="X48" s="169">
        <v>1.95252993750074E-3</v>
      </c>
      <c r="Y48" s="154">
        <v>8160</v>
      </c>
      <c r="Z48" s="193">
        <f t="shared" si="0"/>
        <v>8160.0000000000009</v>
      </c>
    </row>
    <row r="49" spans="1:26">
      <c r="A49" s="4" t="s">
        <v>26</v>
      </c>
      <c r="B49" s="4">
        <v>1477</v>
      </c>
      <c r="C49" s="4" t="s">
        <v>1526</v>
      </c>
      <c r="D49" s="4" t="s">
        <v>1527</v>
      </c>
      <c r="E49" s="4" t="s">
        <v>1305</v>
      </c>
      <c r="F49" s="4" t="s">
        <v>1528</v>
      </c>
      <c r="G49" s="4" t="s">
        <v>1529</v>
      </c>
      <c r="H49" s="4" t="s">
        <v>319</v>
      </c>
      <c r="I49" s="4" t="s">
        <v>931</v>
      </c>
      <c r="J49" s="4" t="s">
        <v>31</v>
      </c>
      <c r="K49" s="4" t="s">
        <v>31</v>
      </c>
      <c r="L49" s="2" t="s">
        <v>325</v>
      </c>
      <c r="M49" s="2" t="s">
        <v>40</v>
      </c>
      <c r="N49" s="4" t="s">
        <v>461</v>
      </c>
      <c r="O49" s="4" t="s">
        <v>136</v>
      </c>
      <c r="P49" s="4" t="s">
        <v>35</v>
      </c>
      <c r="Q49" s="154">
        <v>206</v>
      </c>
      <c r="R49" s="154">
        <v>1</v>
      </c>
      <c r="S49" s="154">
        <v>26899.999999999996</v>
      </c>
      <c r="T49" s="161">
        <v>0.52</v>
      </c>
      <c r="U49" s="154">
        <v>55.933999999999997</v>
      </c>
      <c r="V49" s="169">
        <v>3.9999999999999998E-6</v>
      </c>
      <c r="W49" s="169">
        <v>2.0271129829501099E-2</v>
      </c>
      <c r="X49" s="169">
        <v>5.6080238725537603E-3</v>
      </c>
      <c r="Y49" s="154">
        <v>26900</v>
      </c>
      <c r="Z49" s="193">
        <f t="shared" si="0"/>
        <v>26899.999999999996</v>
      </c>
    </row>
    <row r="50" spans="1:26">
      <c r="A50" s="4" t="s">
        <v>26</v>
      </c>
      <c r="B50" s="4">
        <v>1477</v>
      </c>
      <c r="C50" s="4" t="s">
        <v>1530</v>
      </c>
      <c r="D50" s="4" t="s">
        <v>1531</v>
      </c>
      <c r="E50" s="4" t="s">
        <v>1305</v>
      </c>
      <c r="F50" s="4" t="s">
        <v>1532</v>
      </c>
      <c r="G50" s="4" t="s">
        <v>1533</v>
      </c>
      <c r="H50" s="4" t="s">
        <v>319</v>
      </c>
      <c r="I50" s="4" t="s">
        <v>931</v>
      </c>
      <c r="J50" s="4" t="s">
        <v>31</v>
      </c>
      <c r="K50" s="4" t="s">
        <v>31</v>
      </c>
      <c r="L50" s="2" t="s">
        <v>325</v>
      </c>
      <c r="M50" s="2" t="s">
        <v>40</v>
      </c>
      <c r="N50" s="4" t="s">
        <v>442</v>
      </c>
      <c r="O50" s="4" t="s">
        <v>136</v>
      </c>
      <c r="P50" s="4" t="s">
        <v>35</v>
      </c>
      <c r="Q50" s="154">
        <v>539</v>
      </c>
      <c r="R50" s="154">
        <v>1</v>
      </c>
      <c r="S50" s="154">
        <v>9800</v>
      </c>
      <c r="U50" s="154">
        <v>52.822000000000003</v>
      </c>
      <c r="V50" s="169">
        <v>9.0000000000000002E-6</v>
      </c>
      <c r="W50" s="169">
        <v>1.9143239937038699E-2</v>
      </c>
      <c r="X50" s="169">
        <v>5.2959922543981503E-3</v>
      </c>
      <c r="Y50" s="154">
        <v>9800</v>
      </c>
      <c r="Z50" s="193">
        <f t="shared" si="0"/>
        <v>9800</v>
      </c>
    </row>
    <row r="51" spans="1:26">
      <c r="A51" s="4" t="s">
        <v>26</v>
      </c>
      <c r="B51" s="4">
        <v>1477</v>
      </c>
      <c r="C51" s="4" t="s">
        <v>1534</v>
      </c>
      <c r="D51" s="4" t="s">
        <v>1535</v>
      </c>
      <c r="E51" s="4" t="s">
        <v>1305</v>
      </c>
      <c r="F51" s="4" t="s">
        <v>1536</v>
      </c>
      <c r="G51" s="4" t="s">
        <v>1537</v>
      </c>
      <c r="H51" s="4" t="s">
        <v>319</v>
      </c>
      <c r="I51" s="4" t="s">
        <v>931</v>
      </c>
      <c r="J51" s="4" t="s">
        <v>73</v>
      </c>
      <c r="K51" s="4" t="s">
        <v>74</v>
      </c>
      <c r="L51" s="2" t="s">
        <v>325</v>
      </c>
      <c r="M51" s="2" t="s">
        <v>40</v>
      </c>
      <c r="N51" s="4" t="s">
        <v>451</v>
      </c>
      <c r="O51" s="4" t="s">
        <v>136</v>
      </c>
      <c r="P51" s="4" t="s">
        <v>35</v>
      </c>
      <c r="Q51" s="154">
        <v>1088</v>
      </c>
      <c r="R51" s="154">
        <v>1</v>
      </c>
      <c r="S51" s="154">
        <v>4170.036764705882</v>
      </c>
      <c r="U51" s="154">
        <v>45.37</v>
      </c>
      <c r="V51" s="169">
        <v>1.2E-5</v>
      </c>
      <c r="W51" s="169">
        <v>1.6442412984125399E-2</v>
      </c>
      <c r="X51" s="169">
        <v>4.5488063720635803E-3</v>
      </c>
      <c r="Y51" s="154">
        <v>4170</v>
      </c>
      <c r="Z51" s="193">
        <f t="shared" si="0"/>
        <v>4170.036764705882</v>
      </c>
    </row>
    <row r="52" spans="1:26">
      <c r="A52" s="4" t="s">
        <v>26</v>
      </c>
      <c r="B52" s="4">
        <v>1477</v>
      </c>
      <c r="C52" s="4" t="s">
        <v>1538</v>
      </c>
      <c r="D52" s="4" t="s">
        <v>1539</v>
      </c>
      <c r="E52" s="4" t="s">
        <v>1305</v>
      </c>
      <c r="F52" s="4" t="s">
        <v>1540</v>
      </c>
      <c r="G52" s="4" t="s">
        <v>1541</v>
      </c>
      <c r="H52" s="4" t="s">
        <v>319</v>
      </c>
      <c r="I52" s="4" t="s">
        <v>931</v>
      </c>
      <c r="J52" s="4" t="s">
        <v>31</v>
      </c>
      <c r="K52" s="4" t="s">
        <v>31</v>
      </c>
      <c r="L52" s="2" t="s">
        <v>325</v>
      </c>
      <c r="M52" s="2" t="s">
        <v>40</v>
      </c>
      <c r="N52" s="4" t="s">
        <v>455</v>
      </c>
      <c r="O52" s="4" t="s">
        <v>136</v>
      </c>
      <c r="P52" s="4" t="s">
        <v>35</v>
      </c>
      <c r="Q52" s="154">
        <v>13</v>
      </c>
      <c r="R52" s="154">
        <v>1</v>
      </c>
      <c r="S52" s="154">
        <v>64723.076923076915</v>
      </c>
      <c r="U52" s="154">
        <v>8.4139999999999997</v>
      </c>
      <c r="V52" s="169">
        <v>0</v>
      </c>
      <c r="W52" s="169">
        <v>3.0491757891459698E-3</v>
      </c>
      <c r="X52" s="169">
        <v>8.4355685948287297E-4</v>
      </c>
      <c r="Y52" s="154">
        <v>64720</v>
      </c>
      <c r="Z52" s="193">
        <f t="shared" si="0"/>
        <v>64723.076923076915</v>
      </c>
    </row>
    <row r="53" spans="1:26">
      <c r="A53" s="4" t="s">
        <v>26</v>
      </c>
      <c r="B53" s="4">
        <v>1477</v>
      </c>
      <c r="C53" s="4" t="s">
        <v>1318</v>
      </c>
      <c r="D53" s="4" t="s">
        <v>1319</v>
      </c>
      <c r="E53" s="4" t="s">
        <v>1305</v>
      </c>
      <c r="F53" s="4" t="s">
        <v>1542</v>
      </c>
      <c r="G53" s="4" t="s">
        <v>1543</v>
      </c>
      <c r="H53" s="4" t="s">
        <v>319</v>
      </c>
      <c r="I53" s="4" t="s">
        <v>931</v>
      </c>
      <c r="J53" s="4" t="s">
        <v>31</v>
      </c>
      <c r="K53" s="4" t="s">
        <v>31</v>
      </c>
      <c r="L53" s="2" t="s">
        <v>325</v>
      </c>
      <c r="M53" s="2" t="s">
        <v>40</v>
      </c>
      <c r="N53" s="4" t="s">
        <v>438</v>
      </c>
      <c r="O53" s="4" t="s">
        <v>136</v>
      </c>
      <c r="P53" s="4" t="s">
        <v>35</v>
      </c>
      <c r="Q53" s="154">
        <v>958</v>
      </c>
      <c r="R53" s="154">
        <v>1</v>
      </c>
      <c r="S53" s="154">
        <v>8908.0375782881001</v>
      </c>
      <c r="U53" s="154">
        <v>85.338999999999999</v>
      </c>
      <c r="V53" s="169">
        <v>2.6999999999999999E-5</v>
      </c>
      <c r="W53" s="169">
        <v>3.09276070845588E-2</v>
      </c>
      <c r="X53" s="169">
        <v>8.5561466139273904E-3</v>
      </c>
      <c r="Y53" s="154">
        <v>8908</v>
      </c>
      <c r="Z53" s="193">
        <f t="shared" si="0"/>
        <v>8908.0375782881001</v>
      </c>
    </row>
    <row r="54" spans="1:26">
      <c r="A54" s="4" t="s">
        <v>26</v>
      </c>
      <c r="B54" s="4">
        <v>1477</v>
      </c>
      <c r="C54" s="4" t="s">
        <v>1544</v>
      </c>
      <c r="D54" s="4" t="s">
        <v>1545</v>
      </c>
      <c r="E54" s="4" t="s">
        <v>1305</v>
      </c>
      <c r="F54" s="4" t="s">
        <v>1546</v>
      </c>
      <c r="G54" s="4" t="s">
        <v>1547</v>
      </c>
      <c r="H54" s="4" t="s">
        <v>319</v>
      </c>
      <c r="I54" s="4" t="s">
        <v>931</v>
      </c>
      <c r="J54" s="4" t="s">
        <v>31</v>
      </c>
      <c r="K54" s="4" t="s">
        <v>31</v>
      </c>
      <c r="L54" s="2" t="s">
        <v>325</v>
      </c>
      <c r="M54" s="2" t="s">
        <v>40</v>
      </c>
      <c r="N54" s="4" t="s">
        <v>451</v>
      </c>
      <c r="O54" s="4" t="s">
        <v>136</v>
      </c>
      <c r="P54" s="4" t="s">
        <v>35</v>
      </c>
      <c r="Q54" s="154">
        <v>1934</v>
      </c>
      <c r="R54" s="154">
        <v>1</v>
      </c>
      <c r="S54" s="154">
        <v>935.26370217166493</v>
      </c>
      <c r="T54" s="161">
        <v>0.371</v>
      </c>
      <c r="U54" s="154">
        <v>18.459</v>
      </c>
      <c r="V54" s="169">
        <v>1.9999999999999999E-6</v>
      </c>
      <c r="W54" s="169">
        <v>6.6898277521990901E-3</v>
      </c>
      <c r="X54" s="169">
        <v>1.85074606364595E-3</v>
      </c>
      <c r="Y54" s="154">
        <v>935.3</v>
      </c>
      <c r="Z54" s="193">
        <f t="shared" si="0"/>
        <v>935.26370217166493</v>
      </c>
    </row>
    <row r="55" spans="1:26">
      <c r="A55" s="4" t="s">
        <v>26</v>
      </c>
      <c r="B55" s="4">
        <v>1477</v>
      </c>
      <c r="C55" s="4" t="s">
        <v>1548</v>
      </c>
      <c r="D55" s="4" t="s">
        <v>1549</v>
      </c>
      <c r="E55" s="4" t="s">
        <v>1305</v>
      </c>
      <c r="F55" s="4" t="s">
        <v>1550</v>
      </c>
      <c r="G55" s="4" t="s">
        <v>1551</v>
      </c>
      <c r="H55" s="4" t="s">
        <v>319</v>
      </c>
      <c r="I55" s="4" t="s">
        <v>931</v>
      </c>
      <c r="J55" s="4" t="s">
        <v>31</v>
      </c>
      <c r="K55" s="4" t="s">
        <v>31</v>
      </c>
      <c r="L55" s="2" t="s">
        <v>325</v>
      </c>
      <c r="M55" s="2" t="s">
        <v>40</v>
      </c>
      <c r="N55" s="4" t="s">
        <v>478</v>
      </c>
      <c r="O55" s="4" t="s">
        <v>136</v>
      </c>
      <c r="P55" s="4" t="s">
        <v>35</v>
      </c>
      <c r="Q55" s="154">
        <v>100</v>
      </c>
      <c r="R55" s="154">
        <v>1</v>
      </c>
      <c r="S55" s="154">
        <v>95150</v>
      </c>
      <c r="U55" s="154">
        <v>95.15</v>
      </c>
      <c r="V55" s="169">
        <v>1.9999999999999999E-6</v>
      </c>
      <c r="W55" s="169">
        <v>3.4483345575881799E-2</v>
      </c>
      <c r="X55" s="169">
        <v>9.5398444399300408E-3</v>
      </c>
      <c r="Y55" s="154">
        <v>95150</v>
      </c>
      <c r="Z55" s="193">
        <f t="shared" si="0"/>
        <v>95150</v>
      </c>
    </row>
    <row r="56" spans="1:26">
      <c r="A56" s="4" t="s">
        <v>26</v>
      </c>
      <c r="B56" s="4">
        <v>1477</v>
      </c>
      <c r="C56" s="4" t="s">
        <v>1552</v>
      </c>
      <c r="D56" s="4" t="s">
        <v>1553</v>
      </c>
      <c r="E56" s="4" t="s">
        <v>1305</v>
      </c>
      <c r="F56" s="4" t="s">
        <v>1554</v>
      </c>
      <c r="G56" s="4" t="s">
        <v>1555</v>
      </c>
      <c r="H56" s="4" t="s">
        <v>319</v>
      </c>
      <c r="I56" s="4" t="s">
        <v>931</v>
      </c>
      <c r="J56" s="4" t="s">
        <v>31</v>
      </c>
      <c r="K56" s="4" t="s">
        <v>31</v>
      </c>
      <c r="L56" s="2" t="s">
        <v>325</v>
      </c>
      <c r="M56" s="2" t="s">
        <v>40</v>
      </c>
      <c r="N56" s="4" t="s">
        <v>461</v>
      </c>
      <c r="O56" s="4" t="s">
        <v>136</v>
      </c>
      <c r="P56" s="4" t="s">
        <v>35</v>
      </c>
      <c r="Q56" s="154">
        <v>137</v>
      </c>
      <c r="R56" s="154">
        <v>1</v>
      </c>
      <c r="S56" s="154">
        <v>22540.145985401457</v>
      </c>
      <c r="U56" s="154">
        <v>30.88</v>
      </c>
      <c r="V56" s="169">
        <v>1.9000000000000001E-5</v>
      </c>
      <c r="W56" s="169">
        <v>1.1191159376921901E-2</v>
      </c>
      <c r="X56" s="169">
        <v>3.0960429672743199E-3</v>
      </c>
      <c r="Y56" s="154">
        <v>22540</v>
      </c>
      <c r="Z56" s="193">
        <f t="shared" si="0"/>
        <v>22540.145985401457</v>
      </c>
    </row>
    <row r="57" spans="1:26">
      <c r="A57" s="4" t="s">
        <v>26</v>
      </c>
      <c r="B57" s="4">
        <v>1477</v>
      </c>
      <c r="C57" s="4" t="s">
        <v>1556</v>
      </c>
      <c r="D57" s="4" t="s">
        <v>1557</v>
      </c>
      <c r="E57" s="4" t="s">
        <v>1305</v>
      </c>
      <c r="F57" s="4" t="s">
        <v>1556</v>
      </c>
      <c r="G57" s="4" t="s">
        <v>1558</v>
      </c>
      <c r="H57" s="4" t="s">
        <v>319</v>
      </c>
      <c r="I57" s="4" t="s">
        <v>931</v>
      </c>
      <c r="J57" s="4" t="s">
        <v>31</v>
      </c>
      <c r="K57" s="4" t="s">
        <v>31</v>
      </c>
      <c r="L57" s="2" t="s">
        <v>325</v>
      </c>
      <c r="M57" s="2" t="s">
        <v>40</v>
      </c>
      <c r="N57" s="4" t="s">
        <v>436</v>
      </c>
      <c r="O57" s="4" t="s">
        <v>136</v>
      </c>
      <c r="P57" s="4" t="s">
        <v>35</v>
      </c>
      <c r="Q57" s="154">
        <v>3126</v>
      </c>
      <c r="R57" s="154">
        <v>1</v>
      </c>
      <c r="S57" s="154">
        <v>4273.0006397952657</v>
      </c>
      <c r="U57" s="154">
        <v>133.57400000000001</v>
      </c>
      <c r="V57" s="169">
        <v>4.0000000000000003E-5</v>
      </c>
      <c r="W57" s="169">
        <v>4.8408593928386E-2</v>
      </c>
      <c r="X57" s="169">
        <v>1.33922752540444E-2</v>
      </c>
      <c r="Y57" s="154">
        <v>4273</v>
      </c>
      <c r="Z57" s="193">
        <f t="shared" si="0"/>
        <v>4273.0006397952657</v>
      </c>
    </row>
    <row r="58" spans="1:26">
      <c r="A58" s="4" t="s">
        <v>26</v>
      </c>
      <c r="B58" s="4">
        <v>1477</v>
      </c>
      <c r="C58" s="4" t="s">
        <v>1559</v>
      </c>
      <c r="D58" s="4" t="s">
        <v>1560</v>
      </c>
      <c r="E58" s="4" t="s">
        <v>1305</v>
      </c>
      <c r="F58" s="4" t="s">
        <v>1561</v>
      </c>
      <c r="G58" s="4" t="s">
        <v>1562</v>
      </c>
      <c r="H58" s="4" t="s">
        <v>319</v>
      </c>
      <c r="I58" s="4" t="s">
        <v>931</v>
      </c>
      <c r="J58" s="4" t="s">
        <v>31</v>
      </c>
      <c r="K58" s="4" t="s">
        <v>31</v>
      </c>
      <c r="L58" s="2" t="s">
        <v>325</v>
      </c>
      <c r="M58" s="2" t="s">
        <v>40</v>
      </c>
      <c r="N58" s="4" t="s">
        <v>438</v>
      </c>
      <c r="O58" s="4" t="s">
        <v>136</v>
      </c>
      <c r="P58" s="4" t="s">
        <v>35</v>
      </c>
      <c r="Q58" s="154">
        <v>891</v>
      </c>
      <c r="R58" s="154">
        <v>1</v>
      </c>
      <c r="S58" s="154">
        <v>3478.0022446689118</v>
      </c>
      <c r="U58" s="154">
        <v>30.989000000000001</v>
      </c>
      <c r="V58" s="169">
        <v>6.3999999999999997E-5</v>
      </c>
      <c r="W58" s="169">
        <v>1.12307273398223E-2</v>
      </c>
      <c r="X58" s="169">
        <v>3.1069894750615102E-3</v>
      </c>
      <c r="Y58" s="154">
        <v>3478</v>
      </c>
      <c r="Z58" s="193">
        <f t="shared" si="0"/>
        <v>3478.0022446689118</v>
      </c>
    </row>
    <row r="59" spans="1:26">
      <c r="A59" s="4" t="s">
        <v>26</v>
      </c>
      <c r="B59" s="4">
        <v>1477</v>
      </c>
      <c r="C59" s="4" t="s">
        <v>1563</v>
      </c>
      <c r="D59" s="4" t="s">
        <v>1564</v>
      </c>
      <c r="E59" s="4" t="s">
        <v>1305</v>
      </c>
      <c r="F59" s="4" t="s">
        <v>1565</v>
      </c>
      <c r="G59" s="4" t="s">
        <v>1566</v>
      </c>
      <c r="H59" s="4" t="s">
        <v>319</v>
      </c>
      <c r="I59" s="4" t="s">
        <v>931</v>
      </c>
      <c r="J59" s="4" t="s">
        <v>31</v>
      </c>
      <c r="K59" s="4" t="s">
        <v>31</v>
      </c>
      <c r="L59" s="2" t="s">
        <v>325</v>
      </c>
      <c r="M59" s="2" t="s">
        <v>40</v>
      </c>
      <c r="N59" s="4" t="s">
        <v>461</v>
      </c>
      <c r="O59" s="4" t="s">
        <v>136</v>
      </c>
      <c r="P59" s="4" t="s">
        <v>35</v>
      </c>
      <c r="Q59" s="154">
        <v>1229</v>
      </c>
      <c r="R59" s="154">
        <v>1</v>
      </c>
      <c r="S59" s="154">
        <v>773.96257119609425</v>
      </c>
      <c r="T59" s="161">
        <v>0.16900000000000001</v>
      </c>
      <c r="U59" s="154">
        <v>9.6809999999999992</v>
      </c>
      <c r="V59" s="169">
        <v>6.0000000000000002E-6</v>
      </c>
      <c r="W59" s="169">
        <v>3.5086577616985901E-3</v>
      </c>
      <c r="X59" s="169">
        <v>9.7067290544362199E-4</v>
      </c>
      <c r="Y59" s="154">
        <v>774</v>
      </c>
      <c r="Z59" s="193">
        <f t="shared" si="0"/>
        <v>773.96257119609425</v>
      </c>
    </row>
    <row r="60" spans="1:26">
      <c r="A60" s="4" t="s">
        <v>26</v>
      </c>
      <c r="B60" s="4">
        <v>1477</v>
      </c>
      <c r="C60" s="4" t="s">
        <v>1567</v>
      </c>
      <c r="D60" s="4" t="s">
        <v>1568</v>
      </c>
      <c r="E60" s="4" t="s">
        <v>1305</v>
      </c>
      <c r="F60" s="4" t="s">
        <v>1569</v>
      </c>
      <c r="G60" s="4" t="s">
        <v>1570</v>
      </c>
      <c r="H60" s="4" t="s">
        <v>319</v>
      </c>
      <c r="I60" s="4" t="s">
        <v>931</v>
      </c>
      <c r="J60" s="4" t="s">
        <v>31</v>
      </c>
      <c r="K60" s="4" t="s">
        <v>31</v>
      </c>
      <c r="L60" s="2" t="s">
        <v>325</v>
      </c>
      <c r="M60" s="2" t="s">
        <v>40</v>
      </c>
      <c r="N60" s="4" t="s">
        <v>459</v>
      </c>
      <c r="O60" s="4" t="s">
        <v>136</v>
      </c>
      <c r="P60" s="4" t="s">
        <v>35</v>
      </c>
      <c r="Q60" s="154">
        <v>143</v>
      </c>
      <c r="R60" s="154">
        <v>1</v>
      </c>
      <c r="S60" s="154">
        <v>13100</v>
      </c>
      <c r="U60" s="154">
        <v>18.733000000000001</v>
      </c>
      <c r="V60" s="169">
        <v>1.2E-5</v>
      </c>
      <c r="W60" s="169">
        <v>6.7890332388123396E-3</v>
      </c>
      <c r="X60" s="169">
        <v>1.87819133886715E-3</v>
      </c>
      <c r="Y60" s="154">
        <v>13100</v>
      </c>
      <c r="Z60" s="193">
        <f t="shared" si="0"/>
        <v>13100</v>
      </c>
    </row>
    <row r="61" spans="1:26">
      <c r="A61" s="4" t="s">
        <v>26</v>
      </c>
      <c r="B61" s="4">
        <v>1477</v>
      </c>
      <c r="C61" s="4" t="s">
        <v>1371</v>
      </c>
      <c r="D61" s="4" t="s">
        <v>1372</v>
      </c>
      <c r="E61" s="4" t="s">
        <v>1305</v>
      </c>
      <c r="F61" s="4" t="s">
        <v>1373</v>
      </c>
      <c r="G61" s="4" t="s">
        <v>1374</v>
      </c>
      <c r="H61" s="4" t="s">
        <v>319</v>
      </c>
      <c r="I61" s="4" t="s">
        <v>931</v>
      </c>
      <c r="J61" s="4" t="s">
        <v>31</v>
      </c>
      <c r="K61" s="4" t="s">
        <v>31</v>
      </c>
      <c r="L61" s="2" t="s">
        <v>325</v>
      </c>
      <c r="M61" s="2" t="s">
        <v>40</v>
      </c>
      <c r="N61" s="4" t="s">
        <v>461</v>
      </c>
      <c r="O61" s="4" t="s">
        <v>136</v>
      </c>
      <c r="P61" s="4" t="s">
        <v>35</v>
      </c>
      <c r="Q61" s="154">
        <v>240</v>
      </c>
      <c r="R61" s="154">
        <v>1</v>
      </c>
      <c r="S61" s="154">
        <v>26610</v>
      </c>
      <c r="U61" s="154">
        <v>63.863999999999997</v>
      </c>
      <c r="V61" s="169">
        <v>1.9999999999999999E-6</v>
      </c>
      <c r="W61" s="169">
        <v>2.3144975111488299E-2</v>
      </c>
      <c r="X61" s="169">
        <v>6.4030754105275003E-3</v>
      </c>
      <c r="Y61" s="154">
        <v>26610</v>
      </c>
      <c r="Z61" s="193">
        <f t="shared" si="0"/>
        <v>26610</v>
      </c>
    </row>
    <row r="62" spans="1:26">
      <c r="A62" s="4" t="s">
        <v>26</v>
      </c>
      <c r="B62" s="4">
        <v>1477</v>
      </c>
      <c r="C62" s="4" t="s">
        <v>1571</v>
      </c>
      <c r="D62" s="4" t="s">
        <v>1572</v>
      </c>
      <c r="E62" s="4" t="s">
        <v>1305</v>
      </c>
      <c r="F62" s="4" t="s">
        <v>1573</v>
      </c>
      <c r="G62" s="4" t="s">
        <v>1574</v>
      </c>
      <c r="H62" s="4" t="s">
        <v>319</v>
      </c>
      <c r="I62" s="4" t="s">
        <v>931</v>
      </c>
      <c r="J62" s="4" t="s">
        <v>31</v>
      </c>
      <c r="K62" s="4" t="s">
        <v>31</v>
      </c>
      <c r="L62" s="2" t="s">
        <v>325</v>
      </c>
      <c r="M62" s="2" t="s">
        <v>40</v>
      </c>
      <c r="N62" s="4" t="s">
        <v>478</v>
      </c>
      <c r="O62" s="4" t="s">
        <v>136</v>
      </c>
      <c r="P62" s="4" t="s">
        <v>35</v>
      </c>
      <c r="Q62" s="154">
        <v>2079</v>
      </c>
      <c r="R62" s="154">
        <v>1</v>
      </c>
      <c r="S62" s="154">
        <v>522.89562289562286</v>
      </c>
      <c r="U62" s="154">
        <v>10.871</v>
      </c>
      <c r="V62" s="169">
        <v>1.47E-4</v>
      </c>
      <c r="W62" s="169">
        <v>3.93979598255238E-3</v>
      </c>
      <c r="X62" s="169">
        <v>1.08994763039751E-3</v>
      </c>
      <c r="Y62" s="154">
        <v>522.9</v>
      </c>
      <c r="Z62" s="193">
        <f t="shared" si="0"/>
        <v>522.89562289562286</v>
      </c>
    </row>
    <row r="63" spans="1:26">
      <c r="A63" s="4" t="s">
        <v>26</v>
      </c>
      <c r="B63" s="4">
        <v>1477</v>
      </c>
      <c r="C63" s="4" t="s">
        <v>1575</v>
      </c>
      <c r="D63" s="4" t="s">
        <v>1576</v>
      </c>
      <c r="E63" s="4" t="s">
        <v>1305</v>
      </c>
      <c r="F63" s="4" t="s">
        <v>1577</v>
      </c>
      <c r="G63" s="4" t="s">
        <v>1578</v>
      </c>
      <c r="H63" s="4" t="s">
        <v>319</v>
      </c>
      <c r="I63" s="4" t="s">
        <v>931</v>
      </c>
      <c r="J63" s="4" t="s">
        <v>31</v>
      </c>
      <c r="K63" s="4" t="s">
        <v>31</v>
      </c>
      <c r="L63" s="2" t="s">
        <v>325</v>
      </c>
      <c r="M63" s="2" t="s">
        <v>40</v>
      </c>
      <c r="N63" s="4" t="s">
        <v>445</v>
      </c>
      <c r="O63" s="4" t="s">
        <v>136</v>
      </c>
      <c r="P63" s="4" t="s">
        <v>35</v>
      </c>
      <c r="Q63" s="154">
        <v>2501</v>
      </c>
      <c r="R63" s="154">
        <v>1</v>
      </c>
      <c r="S63" s="154">
        <v>3499.9999999999995</v>
      </c>
      <c r="T63" s="161">
        <v>0.65800000000000003</v>
      </c>
      <c r="U63" s="154">
        <v>88.192999999999998</v>
      </c>
      <c r="V63" s="169">
        <v>1.9999999999999999E-6</v>
      </c>
      <c r="W63" s="169">
        <v>3.1962169061596199E-2</v>
      </c>
      <c r="X63" s="169">
        <v>8.8423589915136696E-3</v>
      </c>
      <c r="Y63" s="154">
        <v>3500</v>
      </c>
      <c r="Z63" s="193">
        <f t="shared" si="0"/>
        <v>3499.9999999999995</v>
      </c>
    </row>
    <row r="64" spans="1:26">
      <c r="A64" s="4" t="s">
        <v>26</v>
      </c>
      <c r="B64" s="4">
        <v>1477</v>
      </c>
      <c r="C64" s="4" t="s">
        <v>1375</v>
      </c>
      <c r="D64" s="4" t="s">
        <v>1376</v>
      </c>
      <c r="E64" s="4" t="s">
        <v>1305</v>
      </c>
      <c r="F64" s="4" t="s">
        <v>1377</v>
      </c>
      <c r="G64" s="4" t="s">
        <v>1378</v>
      </c>
      <c r="H64" s="4" t="s">
        <v>319</v>
      </c>
      <c r="I64" s="4" t="s">
        <v>931</v>
      </c>
      <c r="J64" s="4" t="s">
        <v>31</v>
      </c>
      <c r="K64" s="4" t="s">
        <v>31</v>
      </c>
      <c r="L64" s="2" t="s">
        <v>325</v>
      </c>
      <c r="M64" s="2" t="s">
        <v>40</v>
      </c>
      <c r="N64" s="4" t="s">
        <v>473</v>
      </c>
      <c r="O64" s="4" t="s">
        <v>136</v>
      </c>
      <c r="P64" s="4" t="s">
        <v>35</v>
      </c>
      <c r="Q64" s="154">
        <v>66</v>
      </c>
      <c r="R64" s="154">
        <v>1</v>
      </c>
      <c r="S64" s="154">
        <v>34139.393939393944</v>
      </c>
      <c r="U64" s="154">
        <v>22.532</v>
      </c>
      <c r="V64" s="169">
        <v>5.0000000000000004E-6</v>
      </c>
      <c r="W64" s="169">
        <v>8.1659751534839693E-3</v>
      </c>
      <c r="X64" s="169">
        <v>2.2591233931506002E-3</v>
      </c>
      <c r="Y64" s="154">
        <v>34140</v>
      </c>
      <c r="Z64" s="193">
        <f t="shared" si="0"/>
        <v>34139.393939393944</v>
      </c>
    </row>
    <row r="65" spans="1:26">
      <c r="A65" s="4" t="s">
        <v>26</v>
      </c>
      <c r="B65" s="4">
        <v>1477</v>
      </c>
      <c r="C65" s="4" t="s">
        <v>1579</v>
      </c>
      <c r="D65" s="4" t="s">
        <v>1580</v>
      </c>
      <c r="E65" s="4" t="s">
        <v>1305</v>
      </c>
      <c r="F65" s="4" t="s">
        <v>1581</v>
      </c>
      <c r="G65" s="4" t="s">
        <v>1582</v>
      </c>
      <c r="H65" s="4" t="s">
        <v>319</v>
      </c>
      <c r="I65" s="4" t="s">
        <v>931</v>
      </c>
      <c r="J65" s="4" t="s">
        <v>31</v>
      </c>
      <c r="K65" s="4" t="s">
        <v>31</v>
      </c>
      <c r="L65" s="2" t="s">
        <v>325</v>
      </c>
      <c r="M65" s="2" t="s">
        <v>40</v>
      </c>
      <c r="N65" s="4" t="s">
        <v>474</v>
      </c>
      <c r="O65" s="4" t="s">
        <v>136</v>
      </c>
      <c r="P65" s="4" t="s">
        <v>35</v>
      </c>
      <c r="Q65" s="154">
        <v>29</v>
      </c>
      <c r="R65" s="154">
        <v>1</v>
      </c>
      <c r="S65" s="154">
        <v>30031.034482758616</v>
      </c>
      <c r="U65" s="154">
        <v>8.7089999999999996</v>
      </c>
      <c r="V65" s="169">
        <v>1.9999999999999999E-6</v>
      </c>
      <c r="W65" s="169">
        <v>3.1561230858295499E-3</v>
      </c>
      <c r="X65" s="169">
        <v>8.7314391249625504E-4</v>
      </c>
      <c r="Y65" s="154">
        <v>30030</v>
      </c>
      <c r="Z65" s="193">
        <f t="shared" si="0"/>
        <v>30031.034482758616</v>
      </c>
    </row>
    <row r="66" spans="1:26">
      <c r="A66" s="4" t="s">
        <v>26</v>
      </c>
      <c r="B66" s="4">
        <v>1477</v>
      </c>
      <c r="C66" s="4" t="s">
        <v>1583</v>
      </c>
      <c r="D66" s="4" t="s">
        <v>1584</v>
      </c>
      <c r="E66" s="4" t="s">
        <v>1305</v>
      </c>
      <c r="F66" s="4" t="s">
        <v>1585</v>
      </c>
      <c r="G66" s="4" t="s">
        <v>1586</v>
      </c>
      <c r="H66" s="4" t="s">
        <v>319</v>
      </c>
      <c r="I66" s="4" t="s">
        <v>931</v>
      </c>
      <c r="J66" s="4" t="s">
        <v>31</v>
      </c>
      <c r="K66" s="4" t="s">
        <v>31</v>
      </c>
      <c r="L66" s="2" t="s">
        <v>325</v>
      </c>
      <c r="M66" s="2" t="s">
        <v>40</v>
      </c>
      <c r="N66" s="4" t="s">
        <v>437</v>
      </c>
      <c r="O66" s="4" t="s">
        <v>136</v>
      </c>
      <c r="P66" s="4" t="s">
        <v>35</v>
      </c>
      <c r="Q66" s="154">
        <v>258</v>
      </c>
      <c r="R66" s="154">
        <v>1</v>
      </c>
      <c r="S66" s="154">
        <v>8896.1240310077537</v>
      </c>
      <c r="U66" s="154">
        <v>22.952000000000002</v>
      </c>
      <c r="V66" s="169">
        <v>2.0999999999999999E-5</v>
      </c>
      <c r="W66" s="169">
        <v>8.3179265684398904E-3</v>
      </c>
      <c r="X66" s="169">
        <v>2.30116087057334E-3</v>
      </c>
      <c r="Y66" s="154">
        <v>8896</v>
      </c>
      <c r="Z66" s="193">
        <f t="shared" si="0"/>
        <v>8896.1240310077537</v>
      </c>
    </row>
    <row r="67" spans="1:26">
      <c r="A67" s="4" t="s">
        <v>26</v>
      </c>
      <c r="B67" s="4">
        <v>1477</v>
      </c>
      <c r="C67" s="4" t="s">
        <v>1587</v>
      </c>
      <c r="D67" s="4" t="s">
        <v>1588</v>
      </c>
      <c r="E67" s="4" t="s">
        <v>1305</v>
      </c>
      <c r="F67" s="4" t="s">
        <v>1589</v>
      </c>
      <c r="G67" s="4" t="s">
        <v>1590</v>
      </c>
      <c r="H67" s="4" t="s">
        <v>319</v>
      </c>
      <c r="I67" s="4" t="s">
        <v>931</v>
      </c>
      <c r="J67" s="4" t="s">
        <v>31</v>
      </c>
      <c r="K67" s="4" t="s">
        <v>31</v>
      </c>
      <c r="L67" s="2" t="s">
        <v>325</v>
      </c>
      <c r="M67" s="2" t="s">
        <v>40</v>
      </c>
      <c r="N67" s="4" t="s">
        <v>458</v>
      </c>
      <c r="O67" s="4" t="s">
        <v>136</v>
      </c>
      <c r="P67" s="4" t="s">
        <v>35</v>
      </c>
      <c r="Q67" s="154">
        <v>30</v>
      </c>
      <c r="R67" s="154">
        <v>1</v>
      </c>
      <c r="S67" s="154">
        <v>48200.000000000007</v>
      </c>
      <c r="U67" s="154">
        <v>14.46</v>
      </c>
      <c r="V67" s="169">
        <v>1.9999999999999999E-6</v>
      </c>
      <c r="W67" s="169">
        <v>5.2404537785312802E-3</v>
      </c>
      <c r="X67" s="169">
        <v>1.44977562376656E-3</v>
      </c>
      <c r="Y67" s="154">
        <v>48200</v>
      </c>
      <c r="Z67" s="193">
        <f t="shared" ref="Z67:Z130" si="1">(U67-T67*R67)/R67/Q67*100000</f>
        <v>48200.000000000007</v>
      </c>
    </row>
    <row r="68" spans="1:26">
      <c r="A68" s="4" t="s">
        <v>26</v>
      </c>
      <c r="B68" s="4">
        <v>1477</v>
      </c>
      <c r="C68" s="4" t="s">
        <v>1591</v>
      </c>
      <c r="D68" s="4" t="s">
        <v>1592</v>
      </c>
      <c r="E68" s="4" t="s">
        <v>1305</v>
      </c>
      <c r="F68" s="4" t="s">
        <v>1593</v>
      </c>
      <c r="G68" s="4" t="s">
        <v>1594</v>
      </c>
      <c r="H68" s="4" t="s">
        <v>319</v>
      </c>
      <c r="I68" s="4" t="s">
        <v>931</v>
      </c>
      <c r="J68" s="4" t="s">
        <v>31</v>
      </c>
      <c r="K68" s="4" t="s">
        <v>31</v>
      </c>
      <c r="L68" s="2" t="s">
        <v>325</v>
      </c>
      <c r="M68" s="2" t="s">
        <v>40</v>
      </c>
      <c r="N68" s="4" t="s">
        <v>455</v>
      </c>
      <c r="O68" s="4" t="s">
        <v>136</v>
      </c>
      <c r="P68" s="4" t="s">
        <v>35</v>
      </c>
      <c r="Q68" s="154">
        <v>330</v>
      </c>
      <c r="R68" s="154">
        <v>1</v>
      </c>
      <c r="S68" s="154">
        <v>30800</v>
      </c>
      <c r="U68" s="154">
        <v>101.64</v>
      </c>
      <c r="V68" s="169">
        <v>6.9999999999999999E-6</v>
      </c>
      <c r="W68" s="169">
        <v>3.68353888001327E-2</v>
      </c>
      <c r="X68" s="169">
        <v>1.0190539031786501E-2</v>
      </c>
      <c r="Y68" s="154">
        <v>30800</v>
      </c>
      <c r="Z68" s="193">
        <f t="shared" si="1"/>
        <v>30800</v>
      </c>
    </row>
    <row r="69" spans="1:26">
      <c r="A69" s="4" t="s">
        <v>26</v>
      </c>
      <c r="B69" s="4">
        <v>1477</v>
      </c>
      <c r="C69" s="4" t="s">
        <v>1595</v>
      </c>
      <c r="D69" s="4" t="s">
        <v>1596</v>
      </c>
      <c r="E69" s="4" t="s">
        <v>1305</v>
      </c>
      <c r="F69" s="4" t="s">
        <v>1597</v>
      </c>
      <c r="G69" s="4" t="s">
        <v>1598</v>
      </c>
      <c r="H69" s="4" t="s">
        <v>319</v>
      </c>
      <c r="I69" s="4" t="s">
        <v>931</v>
      </c>
      <c r="J69" s="4" t="s">
        <v>31</v>
      </c>
      <c r="K69" s="4" t="s">
        <v>31</v>
      </c>
      <c r="L69" s="2" t="s">
        <v>325</v>
      </c>
      <c r="M69" s="2" t="s">
        <v>40</v>
      </c>
      <c r="N69" s="4" t="s">
        <v>459</v>
      </c>
      <c r="O69" s="4" t="s">
        <v>136</v>
      </c>
      <c r="P69" s="4" t="s">
        <v>35</v>
      </c>
      <c r="Q69" s="154">
        <v>1053</v>
      </c>
      <c r="R69" s="154">
        <v>1</v>
      </c>
      <c r="S69" s="154">
        <v>1752.9914529914529</v>
      </c>
      <c r="U69" s="154">
        <v>18.459</v>
      </c>
      <c r="V69" s="169">
        <v>1.2E-5</v>
      </c>
      <c r="W69" s="169">
        <v>6.6897654176174904E-3</v>
      </c>
      <c r="X69" s="169">
        <v>1.85072881873535E-3</v>
      </c>
      <c r="Y69" s="154">
        <v>1753</v>
      </c>
      <c r="Z69" s="193">
        <f t="shared" si="1"/>
        <v>1752.9914529914529</v>
      </c>
    </row>
    <row r="70" spans="1:26">
      <c r="A70" s="4" t="s">
        <v>26</v>
      </c>
      <c r="B70" s="4">
        <v>1477</v>
      </c>
      <c r="C70" s="4" t="s">
        <v>1599</v>
      </c>
      <c r="D70" s="4" t="s">
        <v>1600</v>
      </c>
      <c r="E70" s="4" t="s">
        <v>1305</v>
      </c>
      <c r="F70" s="4" t="s">
        <v>1601</v>
      </c>
      <c r="G70" s="4" t="s">
        <v>1602</v>
      </c>
      <c r="H70" s="4" t="s">
        <v>319</v>
      </c>
      <c r="I70" s="4" t="s">
        <v>931</v>
      </c>
      <c r="J70" s="4" t="s">
        <v>31</v>
      </c>
      <c r="K70" s="4" t="s">
        <v>31</v>
      </c>
      <c r="L70" s="2" t="s">
        <v>325</v>
      </c>
      <c r="M70" s="2" t="s">
        <v>40</v>
      </c>
      <c r="N70" s="4" t="s">
        <v>461</v>
      </c>
      <c r="O70" s="4" t="s">
        <v>136</v>
      </c>
      <c r="P70" s="4" t="s">
        <v>35</v>
      </c>
      <c r="Q70" s="154">
        <v>1995</v>
      </c>
      <c r="R70" s="154">
        <v>1</v>
      </c>
      <c r="S70" s="154">
        <v>1566.015037593985</v>
      </c>
      <c r="U70" s="154">
        <v>31.242000000000001</v>
      </c>
      <c r="V70" s="169">
        <v>1.0000000000000001E-5</v>
      </c>
      <c r="W70" s="169">
        <v>1.1322315685528399E-2</v>
      </c>
      <c r="X70" s="169">
        <v>3.13232746231174E-3</v>
      </c>
      <c r="Y70" s="154">
        <v>1566</v>
      </c>
      <c r="Z70" s="193">
        <f t="shared" si="1"/>
        <v>1566.015037593985</v>
      </c>
    </row>
    <row r="71" spans="1:26">
      <c r="A71" s="4" t="s">
        <v>26</v>
      </c>
      <c r="B71" s="4">
        <v>1477</v>
      </c>
      <c r="C71" s="4" t="s">
        <v>1603</v>
      </c>
      <c r="D71" s="4" t="s">
        <v>1604</v>
      </c>
      <c r="E71" s="4" t="s">
        <v>1305</v>
      </c>
      <c r="F71" s="4" t="s">
        <v>1605</v>
      </c>
      <c r="G71" s="4" t="s">
        <v>1606</v>
      </c>
      <c r="H71" s="4" t="s">
        <v>319</v>
      </c>
      <c r="I71" s="4" t="s">
        <v>931</v>
      </c>
      <c r="J71" s="4" t="s">
        <v>31</v>
      </c>
      <c r="K71" s="4" t="s">
        <v>31</v>
      </c>
      <c r="L71" s="2" t="s">
        <v>325</v>
      </c>
      <c r="M71" s="2" t="s">
        <v>40</v>
      </c>
      <c r="N71" s="4" t="s">
        <v>473</v>
      </c>
      <c r="O71" s="4" t="s">
        <v>136</v>
      </c>
      <c r="P71" s="4" t="s">
        <v>35</v>
      </c>
      <c r="Q71" s="154">
        <v>59</v>
      </c>
      <c r="R71" s="154">
        <v>1</v>
      </c>
      <c r="S71" s="154">
        <v>9247.4576271186452</v>
      </c>
      <c r="U71" s="154">
        <v>5.4560000000000004</v>
      </c>
      <c r="V71" s="169">
        <v>9.9999999999999995E-7</v>
      </c>
      <c r="W71" s="169">
        <v>1.9772130631498198E-3</v>
      </c>
      <c r="X71" s="169">
        <v>5.4699753553609596E-4</v>
      </c>
      <c r="Y71" s="154">
        <v>9247</v>
      </c>
      <c r="Z71" s="193">
        <f t="shared" si="1"/>
        <v>9247.4576271186452</v>
      </c>
    </row>
    <row r="72" spans="1:26">
      <c r="A72" s="4" t="s">
        <v>26</v>
      </c>
      <c r="B72" s="4">
        <v>1477</v>
      </c>
      <c r="C72" s="4" t="s">
        <v>1379</v>
      </c>
      <c r="D72" s="4" t="s">
        <v>1380</v>
      </c>
      <c r="E72" s="4" t="s">
        <v>1305</v>
      </c>
      <c r="F72" s="4" t="s">
        <v>1381</v>
      </c>
      <c r="G72" s="4" t="s">
        <v>1382</v>
      </c>
      <c r="H72" s="4" t="s">
        <v>319</v>
      </c>
      <c r="I72" s="4" t="s">
        <v>931</v>
      </c>
      <c r="J72" s="4" t="s">
        <v>31</v>
      </c>
      <c r="K72" s="4" t="s">
        <v>31</v>
      </c>
      <c r="L72" s="2" t="s">
        <v>325</v>
      </c>
      <c r="M72" s="2" t="s">
        <v>40</v>
      </c>
      <c r="N72" s="4" t="s">
        <v>473</v>
      </c>
      <c r="O72" s="4" t="s">
        <v>136</v>
      </c>
      <c r="P72" s="4" t="s">
        <v>35</v>
      </c>
      <c r="Q72" s="154">
        <v>73</v>
      </c>
      <c r="R72" s="154">
        <v>1</v>
      </c>
      <c r="S72" s="154">
        <v>22049.31506849315</v>
      </c>
      <c r="U72" s="154">
        <v>16.096</v>
      </c>
      <c r="V72" s="169">
        <v>5.0000000000000004E-6</v>
      </c>
      <c r="W72" s="169">
        <v>5.8335383296077899E-3</v>
      </c>
      <c r="X72" s="169">
        <v>1.6138529272447101E-3</v>
      </c>
      <c r="Y72" s="154">
        <v>22050</v>
      </c>
      <c r="Z72" s="193">
        <f t="shared" si="1"/>
        <v>22049.31506849315</v>
      </c>
    </row>
    <row r="73" spans="1:26">
      <c r="A73" s="4" t="s">
        <v>26</v>
      </c>
      <c r="B73" s="4">
        <v>1477</v>
      </c>
      <c r="C73" s="4" t="s">
        <v>1383</v>
      </c>
      <c r="D73" s="4" t="s">
        <v>1384</v>
      </c>
      <c r="E73" s="4" t="s">
        <v>1305</v>
      </c>
      <c r="F73" s="4" t="s">
        <v>1385</v>
      </c>
      <c r="G73" s="4" t="s">
        <v>1386</v>
      </c>
      <c r="H73" s="4" t="s">
        <v>319</v>
      </c>
      <c r="I73" s="4" t="s">
        <v>931</v>
      </c>
      <c r="J73" s="4" t="s">
        <v>31</v>
      </c>
      <c r="K73" s="4" t="s">
        <v>31</v>
      </c>
      <c r="L73" s="2" t="s">
        <v>325</v>
      </c>
      <c r="M73" s="2" t="s">
        <v>40</v>
      </c>
      <c r="N73" s="4" t="s">
        <v>461</v>
      </c>
      <c r="O73" s="4" t="s">
        <v>136</v>
      </c>
      <c r="P73" s="4" t="s">
        <v>35</v>
      </c>
      <c r="Q73" s="154">
        <v>2280</v>
      </c>
      <c r="R73" s="154">
        <v>1</v>
      </c>
      <c r="S73" s="154">
        <v>266.18421052631578</v>
      </c>
      <c r="U73" s="154">
        <v>6.069</v>
      </c>
      <c r="V73" s="169">
        <v>1.5999999999999999E-5</v>
      </c>
      <c r="W73" s="169">
        <v>2.1995989312079199E-3</v>
      </c>
      <c r="X73" s="169">
        <v>6.0852075932668202E-4</v>
      </c>
      <c r="Y73" s="154">
        <v>266.2</v>
      </c>
      <c r="Z73" s="193">
        <f t="shared" si="1"/>
        <v>266.18421052631578</v>
      </c>
    </row>
    <row r="74" spans="1:26">
      <c r="A74" s="4" t="s">
        <v>26</v>
      </c>
      <c r="B74" s="4">
        <v>1477</v>
      </c>
      <c r="C74" s="4" t="s">
        <v>1607</v>
      </c>
      <c r="D74" s="4" t="s">
        <v>1608</v>
      </c>
      <c r="E74" s="4" t="s">
        <v>1305</v>
      </c>
      <c r="F74" s="4" t="s">
        <v>1609</v>
      </c>
      <c r="G74" s="4" t="s">
        <v>1610</v>
      </c>
      <c r="H74" s="4" t="s">
        <v>319</v>
      </c>
      <c r="I74" s="4" t="s">
        <v>931</v>
      </c>
      <c r="J74" s="4" t="s">
        <v>31</v>
      </c>
      <c r="K74" s="4" t="s">
        <v>31</v>
      </c>
      <c r="L74" s="2" t="s">
        <v>325</v>
      </c>
      <c r="M74" s="2" t="s">
        <v>40</v>
      </c>
      <c r="N74" s="4" t="s">
        <v>451</v>
      </c>
      <c r="O74" s="4" t="s">
        <v>136</v>
      </c>
      <c r="P74" s="4" t="s">
        <v>35</v>
      </c>
      <c r="Q74" s="154">
        <v>3923</v>
      </c>
      <c r="R74" s="154">
        <v>1</v>
      </c>
      <c r="S74" s="154">
        <v>302.80397654855977</v>
      </c>
      <c r="U74" s="154">
        <v>11.879</v>
      </c>
      <c r="V74" s="169">
        <v>3.0000000000000001E-6</v>
      </c>
      <c r="W74" s="169">
        <v>4.3050161081869699E-3</v>
      </c>
      <c r="X74" s="169">
        <v>1.1909860629132601E-3</v>
      </c>
      <c r="Y74" s="154">
        <v>302.8</v>
      </c>
      <c r="Z74" s="193">
        <f t="shared" si="1"/>
        <v>302.80397654855977</v>
      </c>
    </row>
    <row r="75" spans="1:26">
      <c r="A75" s="4" t="s">
        <v>26</v>
      </c>
      <c r="B75" s="4">
        <v>1477</v>
      </c>
      <c r="C75" s="4" t="s">
        <v>1611</v>
      </c>
      <c r="D75" s="4" t="s">
        <v>1612</v>
      </c>
      <c r="E75" s="4" t="s">
        <v>1305</v>
      </c>
      <c r="F75" s="4" t="s">
        <v>1613</v>
      </c>
      <c r="G75" s="4" t="s">
        <v>1614</v>
      </c>
      <c r="H75" s="4" t="s">
        <v>319</v>
      </c>
      <c r="I75" s="4" t="s">
        <v>931</v>
      </c>
      <c r="J75" s="4" t="s">
        <v>31</v>
      </c>
      <c r="K75" s="4" t="s">
        <v>31</v>
      </c>
      <c r="L75" s="2" t="s">
        <v>325</v>
      </c>
      <c r="M75" s="2" t="s">
        <v>40</v>
      </c>
      <c r="N75" s="4" t="s">
        <v>473</v>
      </c>
      <c r="O75" s="4" t="s">
        <v>136</v>
      </c>
      <c r="P75" s="4" t="s">
        <v>35</v>
      </c>
      <c r="Q75" s="154">
        <v>1543</v>
      </c>
      <c r="R75" s="154">
        <v>1</v>
      </c>
      <c r="S75" s="154">
        <v>2585.0291639662992</v>
      </c>
      <c r="U75" s="154">
        <v>39.887</v>
      </c>
      <c r="V75" s="169">
        <v>6.0000000000000002E-6</v>
      </c>
      <c r="W75" s="169">
        <v>1.4455298869991501E-2</v>
      </c>
      <c r="X75" s="169">
        <v>3.9990697030529796E-3</v>
      </c>
      <c r="Y75" s="154">
        <v>2585</v>
      </c>
      <c r="Z75" s="193">
        <f t="shared" si="1"/>
        <v>2585.0291639662992</v>
      </c>
    </row>
    <row r="76" spans="1:26">
      <c r="A76" s="4" t="s">
        <v>26</v>
      </c>
      <c r="B76" s="4">
        <v>1477</v>
      </c>
      <c r="C76" s="4" t="s">
        <v>1387</v>
      </c>
      <c r="D76" s="4" t="s">
        <v>1388</v>
      </c>
      <c r="E76" s="4" t="s">
        <v>1305</v>
      </c>
      <c r="F76" s="4" t="s">
        <v>1389</v>
      </c>
      <c r="G76" s="4" t="s">
        <v>1390</v>
      </c>
      <c r="H76" s="4" t="s">
        <v>319</v>
      </c>
      <c r="I76" s="4" t="s">
        <v>931</v>
      </c>
      <c r="J76" s="4" t="s">
        <v>31</v>
      </c>
      <c r="K76" s="4" t="s">
        <v>31</v>
      </c>
      <c r="L76" s="2" t="s">
        <v>325</v>
      </c>
      <c r="M76" s="2" t="s">
        <v>40</v>
      </c>
      <c r="N76" s="4" t="s">
        <v>459</v>
      </c>
      <c r="O76" s="4" t="s">
        <v>136</v>
      </c>
      <c r="P76" s="4" t="s">
        <v>35</v>
      </c>
      <c r="Q76" s="154">
        <v>101</v>
      </c>
      <c r="R76" s="154">
        <v>1</v>
      </c>
      <c r="S76" s="154">
        <v>30039.603960396038</v>
      </c>
      <c r="T76" s="161">
        <v>0.26700000000000002</v>
      </c>
      <c r="U76" s="154">
        <v>30.606999999999999</v>
      </c>
      <c r="V76" s="169">
        <v>1.2E-5</v>
      </c>
      <c r="W76" s="169">
        <v>1.10924496676785E-2</v>
      </c>
      <c r="X76" s="169">
        <v>3.06873484924906E-3</v>
      </c>
      <c r="Y76" s="154">
        <v>30040</v>
      </c>
      <c r="Z76" s="193">
        <f t="shared" si="1"/>
        <v>30039.603960396038</v>
      </c>
    </row>
    <row r="77" spans="1:26">
      <c r="A77" s="4" t="s">
        <v>26</v>
      </c>
      <c r="B77" s="4">
        <v>1477</v>
      </c>
      <c r="C77" s="4" t="s">
        <v>1615</v>
      </c>
      <c r="D77" s="4" t="s">
        <v>1616</v>
      </c>
      <c r="E77" s="4" t="s">
        <v>312</v>
      </c>
      <c r="F77" s="4" t="s">
        <v>1617</v>
      </c>
      <c r="G77" s="4" t="s">
        <v>1618</v>
      </c>
      <c r="H77" s="4" t="s">
        <v>319</v>
      </c>
      <c r="I77" s="4" t="s">
        <v>931</v>
      </c>
      <c r="J77" s="4" t="s">
        <v>73</v>
      </c>
      <c r="K77" s="4" t="s">
        <v>74</v>
      </c>
      <c r="L77" s="2" t="s">
        <v>325</v>
      </c>
      <c r="M77" s="2" t="s">
        <v>344</v>
      </c>
      <c r="N77" s="4" t="s">
        <v>513</v>
      </c>
      <c r="O77" s="4" t="s">
        <v>136</v>
      </c>
      <c r="P77" s="4" t="s">
        <v>78</v>
      </c>
      <c r="Q77" s="154">
        <v>29</v>
      </c>
      <c r="R77" s="154">
        <v>3.681</v>
      </c>
      <c r="S77" s="154">
        <v>18037.639696858983</v>
      </c>
      <c r="U77" s="154">
        <v>19.254999999999999</v>
      </c>
      <c r="V77" s="169">
        <v>0</v>
      </c>
      <c r="W77" s="169">
        <v>6.9783508360271099E-3</v>
      </c>
      <c r="X77" s="169">
        <v>1.9305661997458901E-3</v>
      </c>
      <c r="Y77" s="154">
        <v>180.38</v>
      </c>
      <c r="Z77" s="193">
        <f t="shared" si="1"/>
        <v>18037.639696858983</v>
      </c>
    </row>
    <row r="78" spans="1:26">
      <c r="A78" s="4" t="s">
        <v>26</v>
      </c>
      <c r="B78" s="4">
        <v>1477</v>
      </c>
      <c r="C78" s="4" t="s">
        <v>1619</v>
      </c>
      <c r="D78" s="4" t="s">
        <v>1620</v>
      </c>
      <c r="E78" s="4" t="s">
        <v>312</v>
      </c>
      <c r="F78" s="4" t="s">
        <v>1621</v>
      </c>
      <c r="G78" s="4" t="s">
        <v>1622</v>
      </c>
      <c r="H78" s="4" t="s">
        <v>319</v>
      </c>
      <c r="I78" s="4" t="s">
        <v>931</v>
      </c>
      <c r="J78" s="4" t="s">
        <v>73</v>
      </c>
      <c r="K78" s="4" t="s">
        <v>74</v>
      </c>
      <c r="L78" s="2" t="s">
        <v>325</v>
      </c>
      <c r="M78" s="2" t="s">
        <v>344</v>
      </c>
      <c r="N78" s="4" t="s">
        <v>544</v>
      </c>
      <c r="O78" s="4" t="s">
        <v>136</v>
      </c>
      <c r="P78" s="4" t="s">
        <v>78</v>
      </c>
      <c r="Q78" s="154">
        <v>12</v>
      </c>
      <c r="R78" s="154">
        <v>3.681</v>
      </c>
      <c r="S78" s="154">
        <v>17148.872588970389</v>
      </c>
      <c r="U78" s="154">
        <v>7.5750000000000002</v>
      </c>
      <c r="V78" s="169">
        <v>0</v>
      </c>
      <c r="W78" s="169">
        <v>2.7451187753713699E-3</v>
      </c>
      <c r="X78" s="169">
        <v>7.5943924955154001E-4</v>
      </c>
      <c r="Y78" s="154">
        <v>171.48</v>
      </c>
      <c r="Z78" s="193">
        <f t="shared" si="1"/>
        <v>17148.872588970389</v>
      </c>
    </row>
    <row r="79" spans="1:26">
      <c r="A79" s="4" t="s">
        <v>26</v>
      </c>
      <c r="B79" s="4">
        <v>1477</v>
      </c>
      <c r="C79" s="4" t="s">
        <v>1623</v>
      </c>
      <c r="D79" s="4" t="s">
        <v>1624</v>
      </c>
      <c r="E79" s="4" t="s">
        <v>312</v>
      </c>
      <c r="F79" s="4" t="s">
        <v>1625</v>
      </c>
      <c r="G79" s="4" t="s">
        <v>1626</v>
      </c>
      <c r="H79" s="4" t="s">
        <v>319</v>
      </c>
      <c r="I79" s="4" t="s">
        <v>931</v>
      </c>
      <c r="J79" s="4" t="s">
        <v>73</v>
      </c>
      <c r="K79" s="4" t="s">
        <v>74</v>
      </c>
      <c r="L79" s="2" t="s">
        <v>325</v>
      </c>
      <c r="M79" s="2" t="s">
        <v>342</v>
      </c>
      <c r="N79" s="4" t="s">
        <v>534</v>
      </c>
      <c r="O79" s="4" t="s">
        <v>136</v>
      </c>
      <c r="P79" s="4" t="s">
        <v>78</v>
      </c>
      <c r="Q79" s="154">
        <v>66</v>
      </c>
      <c r="R79" s="154">
        <v>3.681</v>
      </c>
      <c r="S79" s="154">
        <v>3792.2007359660165</v>
      </c>
      <c r="U79" s="154">
        <v>9.2129999999999992</v>
      </c>
      <c r="V79" s="169">
        <v>0</v>
      </c>
      <c r="W79" s="169">
        <v>3.33870988915006E-3</v>
      </c>
      <c r="X79" s="169">
        <v>9.2365669399620601E-4</v>
      </c>
      <c r="Y79" s="154">
        <v>3792</v>
      </c>
      <c r="Z79" s="193">
        <f t="shared" si="1"/>
        <v>3792.2007359660165</v>
      </c>
    </row>
    <row r="80" spans="1:26">
      <c r="A80" s="4" t="s">
        <v>26</v>
      </c>
      <c r="B80" s="4">
        <v>1477</v>
      </c>
      <c r="C80" s="4" t="s">
        <v>1627</v>
      </c>
      <c r="D80" s="4" t="s">
        <v>1628</v>
      </c>
      <c r="E80" s="4" t="s">
        <v>312</v>
      </c>
      <c r="F80" s="4" t="s">
        <v>1629</v>
      </c>
      <c r="G80" s="4" t="s">
        <v>1630</v>
      </c>
      <c r="H80" s="4" t="s">
        <v>319</v>
      </c>
      <c r="I80" s="4" t="s">
        <v>931</v>
      </c>
      <c r="J80" s="4" t="s">
        <v>73</v>
      </c>
      <c r="L80" s="2" t="s">
        <v>325</v>
      </c>
      <c r="M80" s="2" t="s">
        <v>164</v>
      </c>
      <c r="N80" s="4" t="s">
        <v>1631</v>
      </c>
      <c r="O80" s="4" t="s">
        <v>136</v>
      </c>
      <c r="P80" s="4" t="s">
        <v>78</v>
      </c>
      <c r="Q80" s="154">
        <v>15</v>
      </c>
      <c r="R80" s="154">
        <v>3.681</v>
      </c>
      <c r="S80" s="154">
        <v>36642.216788916056</v>
      </c>
      <c r="U80" s="154">
        <v>20.231999999999999</v>
      </c>
      <c r="V80" s="169">
        <v>0</v>
      </c>
      <c r="W80" s="169">
        <v>7.3324430900056203E-3</v>
      </c>
      <c r="X80" s="169">
        <v>2.0285260978916701E-3</v>
      </c>
      <c r="Y80" s="154">
        <v>36643</v>
      </c>
      <c r="Z80" s="193">
        <f t="shared" si="1"/>
        <v>36642.216788916056</v>
      </c>
    </row>
    <row r="81" spans="1:26">
      <c r="A81" s="4" t="s">
        <v>26</v>
      </c>
      <c r="B81" s="4">
        <v>1477</v>
      </c>
      <c r="C81" s="4" t="s">
        <v>1632</v>
      </c>
      <c r="D81" s="4" t="s">
        <v>1633</v>
      </c>
      <c r="E81" s="4" t="s">
        <v>312</v>
      </c>
      <c r="F81" s="4" t="s">
        <v>1634</v>
      </c>
      <c r="G81" s="4" t="s">
        <v>1635</v>
      </c>
      <c r="H81" s="4" t="s">
        <v>319</v>
      </c>
      <c r="I81" s="4" t="s">
        <v>931</v>
      </c>
      <c r="J81" s="4" t="s">
        <v>73</v>
      </c>
      <c r="K81" s="4" t="s">
        <v>74</v>
      </c>
      <c r="L81" s="2" t="s">
        <v>325</v>
      </c>
      <c r="M81" s="2" t="s">
        <v>344</v>
      </c>
      <c r="N81" s="4" t="s">
        <v>547</v>
      </c>
      <c r="O81" s="4" t="s">
        <v>136</v>
      </c>
      <c r="P81" s="4" t="s">
        <v>78</v>
      </c>
      <c r="Q81" s="154">
        <v>10</v>
      </c>
      <c r="R81" s="154">
        <v>3.681</v>
      </c>
      <c r="S81" s="154">
        <v>48557.457212713933</v>
      </c>
      <c r="U81" s="154">
        <v>17.873999999999999</v>
      </c>
      <c r="V81" s="169">
        <v>0</v>
      </c>
      <c r="W81" s="169">
        <v>6.4777951507699197E-3</v>
      </c>
      <c r="X81" s="169">
        <v>1.7920870791406E-3</v>
      </c>
      <c r="Y81" s="154">
        <v>48558</v>
      </c>
      <c r="Z81" s="193">
        <f t="shared" si="1"/>
        <v>48557.457212713933</v>
      </c>
    </row>
    <row r="82" spans="1:26">
      <c r="A82" s="4" t="s">
        <v>26</v>
      </c>
      <c r="B82" s="4">
        <v>1477</v>
      </c>
      <c r="C82" s="4" t="s">
        <v>1636</v>
      </c>
      <c r="D82" s="4" t="s">
        <v>1637</v>
      </c>
      <c r="E82" s="4" t="s">
        <v>312</v>
      </c>
      <c r="F82" s="4" t="s">
        <v>1638</v>
      </c>
      <c r="G82" s="4" t="s">
        <v>1639</v>
      </c>
      <c r="H82" s="4" t="s">
        <v>319</v>
      </c>
      <c r="I82" s="4" t="s">
        <v>931</v>
      </c>
      <c r="J82" s="4" t="s">
        <v>73</v>
      </c>
      <c r="K82" s="4" t="s">
        <v>74</v>
      </c>
      <c r="L82" s="2" t="s">
        <v>325</v>
      </c>
      <c r="M82" s="2" t="s">
        <v>344</v>
      </c>
      <c r="N82" s="4" t="s">
        <v>547</v>
      </c>
      <c r="O82" s="4" t="s">
        <v>136</v>
      </c>
      <c r="P82" s="4" t="s">
        <v>78</v>
      </c>
      <c r="Q82" s="154">
        <v>102</v>
      </c>
      <c r="R82" s="154">
        <v>3.681</v>
      </c>
      <c r="S82" s="154">
        <v>15226.041516851237</v>
      </c>
      <c r="U82" s="154">
        <v>57.167999999999999</v>
      </c>
      <c r="V82" s="169">
        <v>0</v>
      </c>
      <c r="W82" s="169">
        <v>2.0718218860936399E-2</v>
      </c>
      <c r="X82" s="169">
        <v>5.7317114016917402E-3</v>
      </c>
      <c r="Y82" s="154">
        <v>15226</v>
      </c>
      <c r="Z82" s="193">
        <f t="shared" si="1"/>
        <v>15226.041516851237</v>
      </c>
    </row>
    <row r="83" spans="1:26">
      <c r="A83" s="4" t="s">
        <v>26</v>
      </c>
      <c r="B83" s="4">
        <v>1477</v>
      </c>
      <c r="C83" s="4" t="s">
        <v>1640</v>
      </c>
      <c r="D83" s="4" t="s">
        <v>1641</v>
      </c>
      <c r="E83" s="4" t="s">
        <v>1305</v>
      </c>
      <c r="F83" s="4" t="s">
        <v>1642</v>
      </c>
      <c r="G83" s="4" t="s">
        <v>1643</v>
      </c>
      <c r="H83" s="4" t="s">
        <v>319</v>
      </c>
      <c r="I83" s="4" t="s">
        <v>931</v>
      </c>
      <c r="J83" s="4" t="s">
        <v>2764</v>
      </c>
      <c r="K83" s="4" t="s">
        <v>31</v>
      </c>
      <c r="L83" s="2" t="s">
        <v>325</v>
      </c>
      <c r="M83" s="2" t="s">
        <v>344</v>
      </c>
      <c r="N83" s="4" t="s">
        <v>544</v>
      </c>
      <c r="O83" s="4" t="s">
        <v>136</v>
      </c>
      <c r="P83" s="4" t="s">
        <v>78</v>
      </c>
      <c r="Q83" s="154">
        <v>147</v>
      </c>
      <c r="R83" s="154">
        <v>3.681</v>
      </c>
      <c r="S83" s="154">
        <v>2796.1536258078349</v>
      </c>
      <c r="T83" s="161">
        <v>5.7000000000000002E-2</v>
      </c>
      <c r="U83" s="154">
        <v>15.34</v>
      </c>
      <c r="V83" s="169">
        <v>1.1E-5</v>
      </c>
      <c r="W83" s="169">
        <v>5.5595138599357696E-3</v>
      </c>
      <c r="X83" s="169">
        <v>1.5380438440554601E-3</v>
      </c>
      <c r="Y83" s="154">
        <v>27.96</v>
      </c>
      <c r="Z83" s="193">
        <f t="shared" si="1"/>
        <v>2796.1536258078349</v>
      </c>
    </row>
    <row r="84" spans="1:26">
      <c r="A84" s="4" t="s">
        <v>26</v>
      </c>
      <c r="B84" s="4">
        <v>1477</v>
      </c>
      <c r="C84" s="4" t="s">
        <v>1644</v>
      </c>
      <c r="D84" s="4" t="s">
        <v>1645</v>
      </c>
      <c r="E84" s="4" t="s">
        <v>312</v>
      </c>
      <c r="F84" s="4" t="s">
        <v>1646</v>
      </c>
      <c r="G84" s="4" t="s">
        <v>1647</v>
      </c>
      <c r="H84" s="4" t="s">
        <v>319</v>
      </c>
      <c r="I84" s="4" t="s">
        <v>931</v>
      </c>
      <c r="J84" s="4" t="s">
        <v>73</v>
      </c>
      <c r="K84" s="4" t="s">
        <v>74</v>
      </c>
      <c r="L84" s="2" t="s">
        <v>325</v>
      </c>
      <c r="M84" s="2" t="s">
        <v>342</v>
      </c>
      <c r="N84" s="4" t="s">
        <v>498</v>
      </c>
      <c r="O84" s="4" t="s">
        <v>136</v>
      </c>
      <c r="P84" s="4" t="s">
        <v>78</v>
      </c>
      <c r="Q84" s="154">
        <v>35</v>
      </c>
      <c r="R84" s="154">
        <v>3.681</v>
      </c>
      <c r="S84" s="154">
        <v>15373.151705670043</v>
      </c>
      <c r="U84" s="154">
        <v>19.806000000000001</v>
      </c>
      <c r="V84" s="169">
        <v>0</v>
      </c>
      <c r="W84" s="169">
        <v>7.1778287199792202E-3</v>
      </c>
      <c r="X84" s="169">
        <v>1.9857519118724001E-3</v>
      </c>
      <c r="Y84" s="154">
        <v>15373</v>
      </c>
      <c r="Z84" s="193">
        <f t="shared" si="1"/>
        <v>15373.151705670043</v>
      </c>
    </row>
    <row r="85" spans="1:26">
      <c r="A85" s="4" t="s">
        <v>26</v>
      </c>
      <c r="B85" s="4">
        <v>1477</v>
      </c>
      <c r="C85" s="4" t="s">
        <v>1648</v>
      </c>
      <c r="D85" s="4" t="s">
        <v>1649</v>
      </c>
      <c r="E85" s="4" t="s">
        <v>312</v>
      </c>
      <c r="F85" s="4" t="s">
        <v>1650</v>
      </c>
      <c r="G85" s="4" t="s">
        <v>1651</v>
      </c>
      <c r="H85" s="4" t="s">
        <v>319</v>
      </c>
      <c r="I85" s="4" t="s">
        <v>931</v>
      </c>
      <c r="J85" s="4" t="s">
        <v>73</v>
      </c>
      <c r="K85" s="4" t="s">
        <v>74</v>
      </c>
      <c r="L85" s="2" t="s">
        <v>325</v>
      </c>
      <c r="M85" s="2" t="s">
        <v>342</v>
      </c>
      <c r="N85" s="4" t="s">
        <v>534</v>
      </c>
      <c r="O85" s="4" t="s">
        <v>136</v>
      </c>
      <c r="P85" s="4" t="s">
        <v>78</v>
      </c>
      <c r="Q85" s="154">
        <v>14</v>
      </c>
      <c r="R85" s="154">
        <v>3.681</v>
      </c>
      <c r="S85" s="154">
        <v>20029.495090619781</v>
      </c>
      <c r="U85" s="154">
        <v>10.321999999999999</v>
      </c>
      <c r="V85" s="169">
        <v>0</v>
      </c>
      <c r="W85" s="169">
        <v>3.7408940157726799E-3</v>
      </c>
      <c r="X85" s="169">
        <v>1.03492124620579E-3</v>
      </c>
      <c r="Y85" s="154">
        <v>200.3</v>
      </c>
      <c r="Z85" s="193">
        <f t="shared" si="1"/>
        <v>20029.495090619781</v>
      </c>
    </row>
    <row r="86" spans="1:26">
      <c r="A86" s="4" t="s">
        <v>26</v>
      </c>
      <c r="B86" s="4">
        <v>1477</v>
      </c>
      <c r="C86" s="4" t="s">
        <v>1652</v>
      </c>
      <c r="D86" s="4" t="s">
        <v>1653</v>
      </c>
      <c r="E86" s="4" t="s">
        <v>312</v>
      </c>
      <c r="F86" s="4" t="s">
        <v>1654</v>
      </c>
      <c r="G86" s="4" t="s">
        <v>1655</v>
      </c>
      <c r="H86" s="4" t="s">
        <v>319</v>
      </c>
      <c r="I86" s="4" t="s">
        <v>931</v>
      </c>
      <c r="J86" s="4" t="s">
        <v>73</v>
      </c>
      <c r="K86" s="4" t="s">
        <v>74</v>
      </c>
      <c r="L86" s="2" t="s">
        <v>325</v>
      </c>
      <c r="M86" s="2" t="s">
        <v>344</v>
      </c>
      <c r="N86" s="4" t="s">
        <v>542</v>
      </c>
      <c r="O86" s="4" t="s">
        <v>136</v>
      </c>
      <c r="P86" s="4" t="s">
        <v>78</v>
      </c>
      <c r="Q86" s="154">
        <v>19</v>
      </c>
      <c r="R86" s="154">
        <v>3.681</v>
      </c>
      <c r="S86" s="154">
        <v>42072.377357411453</v>
      </c>
      <c r="U86" s="154">
        <v>29.425000000000001</v>
      </c>
      <c r="V86" s="169">
        <v>0</v>
      </c>
      <c r="W86" s="169">
        <v>1.0663829140575501E-2</v>
      </c>
      <c r="X86" s="169">
        <v>2.9501566462343302E-3</v>
      </c>
      <c r="Y86" s="154">
        <v>420.72</v>
      </c>
      <c r="Z86" s="193">
        <f t="shared" si="1"/>
        <v>42072.377357411453</v>
      </c>
    </row>
    <row r="87" spans="1:26">
      <c r="A87" s="4" t="s">
        <v>26</v>
      </c>
      <c r="B87" s="4">
        <v>1477</v>
      </c>
      <c r="C87" s="4" t="s">
        <v>1656</v>
      </c>
      <c r="D87" s="4" t="s">
        <v>1657</v>
      </c>
      <c r="E87" s="4" t="s">
        <v>312</v>
      </c>
      <c r="F87" s="4" t="s">
        <v>1658</v>
      </c>
      <c r="G87" s="4" t="s">
        <v>1659</v>
      </c>
      <c r="H87" s="4" t="s">
        <v>319</v>
      </c>
      <c r="I87" s="4" t="s">
        <v>931</v>
      </c>
      <c r="J87" s="4" t="s">
        <v>73</v>
      </c>
      <c r="K87" s="4" t="s">
        <v>74</v>
      </c>
      <c r="L87" s="2" t="s">
        <v>325</v>
      </c>
      <c r="M87" s="2" t="s">
        <v>344</v>
      </c>
      <c r="N87" s="4" t="s">
        <v>523</v>
      </c>
      <c r="O87" s="4" t="s">
        <v>136</v>
      </c>
      <c r="P87" s="4" t="s">
        <v>78</v>
      </c>
      <c r="Q87" s="154">
        <v>60</v>
      </c>
      <c r="R87" s="154">
        <v>3.681</v>
      </c>
      <c r="S87" s="154">
        <v>7000.8426152313687</v>
      </c>
      <c r="T87" s="161">
        <v>1.9E-2</v>
      </c>
      <c r="U87" s="154">
        <v>15.532</v>
      </c>
      <c r="V87" s="169">
        <v>0</v>
      </c>
      <c r="W87" s="169">
        <v>5.62890694499438E-3</v>
      </c>
      <c r="X87" s="169">
        <v>1.55724149514211E-3</v>
      </c>
      <c r="Y87" s="154">
        <v>7000</v>
      </c>
      <c r="Z87" s="193">
        <f t="shared" si="1"/>
        <v>7000.8426152313687</v>
      </c>
    </row>
    <row r="88" spans="1:26">
      <c r="A88" s="4" t="s">
        <v>26</v>
      </c>
      <c r="B88" s="4">
        <v>1477</v>
      </c>
      <c r="C88" s="4" t="s">
        <v>1660</v>
      </c>
      <c r="D88" s="4" t="s">
        <v>1661</v>
      </c>
      <c r="E88" s="4" t="s">
        <v>312</v>
      </c>
      <c r="F88" s="4" t="s">
        <v>1662</v>
      </c>
      <c r="G88" s="4" t="s">
        <v>1663</v>
      </c>
      <c r="H88" s="4" t="s">
        <v>319</v>
      </c>
      <c r="I88" s="4" t="s">
        <v>931</v>
      </c>
      <c r="J88" s="4" t="s">
        <v>73</v>
      </c>
      <c r="K88" s="4" t="s">
        <v>31</v>
      </c>
      <c r="L88" s="2" t="s">
        <v>325</v>
      </c>
      <c r="M88" s="2" t="s">
        <v>344</v>
      </c>
      <c r="N88" s="4" t="s">
        <v>548</v>
      </c>
      <c r="O88" s="4" t="s">
        <v>136</v>
      </c>
      <c r="P88" s="4" t="s">
        <v>78</v>
      </c>
      <c r="Q88" s="154">
        <v>18</v>
      </c>
      <c r="R88" s="154">
        <v>3.681</v>
      </c>
      <c r="S88" s="154">
        <v>26061.75858009599</v>
      </c>
      <c r="U88" s="154">
        <v>17.268000000000001</v>
      </c>
      <c r="V88" s="169">
        <v>0</v>
      </c>
      <c r="W88" s="169">
        <v>6.2581600353156701E-3</v>
      </c>
      <c r="X88" s="169">
        <v>1.7313248532026099E-3</v>
      </c>
      <c r="Y88" s="154">
        <v>26062</v>
      </c>
      <c r="Z88" s="193">
        <f t="shared" si="1"/>
        <v>26061.75858009599</v>
      </c>
    </row>
    <row r="89" spans="1:26">
      <c r="A89" s="4" t="s">
        <v>26</v>
      </c>
      <c r="B89" s="4">
        <v>1477</v>
      </c>
      <c r="C89" s="4" t="s">
        <v>1664</v>
      </c>
      <c r="D89" s="4" t="s">
        <v>1665</v>
      </c>
      <c r="E89" s="4" t="s">
        <v>312</v>
      </c>
      <c r="F89" s="4" t="s">
        <v>1666</v>
      </c>
      <c r="G89" s="4" t="s">
        <v>1667</v>
      </c>
      <c r="H89" s="4" t="s">
        <v>319</v>
      </c>
      <c r="I89" s="4" t="s">
        <v>931</v>
      </c>
      <c r="J89" s="4" t="s">
        <v>73</v>
      </c>
      <c r="K89" s="4" t="s">
        <v>74</v>
      </c>
      <c r="L89" s="2" t="s">
        <v>325</v>
      </c>
      <c r="M89" s="2" t="s">
        <v>342</v>
      </c>
      <c r="N89" s="4" t="s">
        <v>555</v>
      </c>
      <c r="O89" s="4" t="s">
        <v>136</v>
      </c>
      <c r="P89" s="4" t="s">
        <v>78</v>
      </c>
      <c r="Q89" s="154">
        <v>23</v>
      </c>
      <c r="R89" s="154">
        <v>3.681</v>
      </c>
      <c r="S89" s="154">
        <v>6619.1842953828709</v>
      </c>
      <c r="U89" s="154">
        <v>5.6040000000000001</v>
      </c>
      <c r="V89" s="169">
        <v>0</v>
      </c>
      <c r="W89" s="169">
        <v>2.0308911000612899E-3</v>
      </c>
      <c r="X89" s="169">
        <v>5.6184760629994696E-4</v>
      </c>
      <c r="Y89" s="154">
        <v>66.19</v>
      </c>
      <c r="Z89" s="193">
        <f t="shared" si="1"/>
        <v>6619.1842953828709</v>
      </c>
    </row>
    <row r="90" spans="1:26">
      <c r="A90" s="4" t="s">
        <v>26</v>
      </c>
      <c r="B90" s="4">
        <v>1477</v>
      </c>
      <c r="C90" s="4" t="s">
        <v>1668</v>
      </c>
      <c r="D90" s="4" t="s">
        <v>1669</v>
      </c>
      <c r="E90" s="4" t="s">
        <v>312</v>
      </c>
      <c r="F90" s="4" t="s">
        <v>1670</v>
      </c>
      <c r="G90" s="4" t="s">
        <v>1671</v>
      </c>
      <c r="H90" s="4" t="s">
        <v>319</v>
      </c>
      <c r="I90" s="4" t="s">
        <v>931</v>
      </c>
      <c r="J90" s="4" t="s">
        <v>73</v>
      </c>
      <c r="K90" s="4" t="s">
        <v>74</v>
      </c>
      <c r="L90" s="2" t="s">
        <v>325</v>
      </c>
      <c r="M90" s="2" t="s">
        <v>344</v>
      </c>
      <c r="N90" s="4" t="s">
        <v>542</v>
      </c>
      <c r="O90" s="4" t="s">
        <v>136</v>
      </c>
      <c r="P90" s="4" t="s">
        <v>78</v>
      </c>
      <c r="Q90" s="154">
        <v>28</v>
      </c>
      <c r="R90" s="154">
        <v>3.681</v>
      </c>
      <c r="S90" s="154">
        <v>28413.280552644854</v>
      </c>
      <c r="U90" s="154">
        <v>29.285</v>
      </c>
      <c r="V90" s="169">
        <v>0</v>
      </c>
      <c r="W90" s="169">
        <v>1.0613082543200101E-2</v>
      </c>
      <c r="X90" s="169">
        <v>2.93611756050376E-3</v>
      </c>
      <c r="Y90" s="154">
        <v>28413</v>
      </c>
      <c r="Z90" s="193">
        <f t="shared" si="1"/>
        <v>28413.280552644854</v>
      </c>
    </row>
    <row r="91" spans="1:26">
      <c r="A91" s="4" t="s">
        <v>26</v>
      </c>
      <c r="B91" s="4">
        <v>1477</v>
      </c>
      <c r="C91" s="4" t="s">
        <v>1672</v>
      </c>
      <c r="D91" s="4" t="s">
        <v>1673</v>
      </c>
      <c r="E91" s="4" t="s">
        <v>1305</v>
      </c>
      <c r="F91" s="4" t="s">
        <v>1674</v>
      </c>
      <c r="G91" s="4" t="s">
        <v>1675</v>
      </c>
      <c r="H91" s="4" t="s">
        <v>319</v>
      </c>
      <c r="I91" s="4" t="s">
        <v>931</v>
      </c>
      <c r="J91" s="4" t="s">
        <v>73</v>
      </c>
      <c r="K91" s="4" t="s">
        <v>31</v>
      </c>
      <c r="L91" s="2" t="s">
        <v>325</v>
      </c>
      <c r="M91" s="2" t="s">
        <v>344</v>
      </c>
      <c r="N91" s="4" t="s">
        <v>478</v>
      </c>
      <c r="O91" s="4" t="s">
        <v>136</v>
      </c>
      <c r="P91" s="4" t="s">
        <v>78</v>
      </c>
      <c r="Q91" s="154">
        <v>62</v>
      </c>
      <c r="R91" s="154">
        <v>3.681</v>
      </c>
      <c r="S91" s="154">
        <v>2247.8113415884532</v>
      </c>
      <c r="U91" s="154">
        <v>5.13</v>
      </c>
      <c r="V91" s="169">
        <v>9.9999999999999995E-7</v>
      </c>
      <c r="W91" s="169">
        <v>1.85932117660058E-3</v>
      </c>
      <c r="X91" s="169">
        <v>5.1438265320297605E-4</v>
      </c>
      <c r="Y91" s="154">
        <v>2248</v>
      </c>
      <c r="Z91" s="193">
        <f t="shared" si="1"/>
        <v>2247.8113415884532</v>
      </c>
    </row>
    <row r="92" spans="1:26">
      <c r="A92" s="4" t="s">
        <v>26</v>
      </c>
      <c r="B92" s="4">
        <v>1477</v>
      </c>
      <c r="C92" s="4" t="s">
        <v>1676</v>
      </c>
      <c r="D92" s="4" t="s">
        <v>1677</v>
      </c>
      <c r="E92" s="4" t="s">
        <v>312</v>
      </c>
      <c r="F92" s="4" t="s">
        <v>1678</v>
      </c>
      <c r="G92" s="4" t="s">
        <v>1679</v>
      </c>
      <c r="H92" s="4" t="s">
        <v>319</v>
      </c>
      <c r="I92" s="4" t="s">
        <v>931</v>
      </c>
      <c r="J92" s="4" t="s">
        <v>73</v>
      </c>
      <c r="K92" s="4" t="s">
        <v>233</v>
      </c>
      <c r="L92" s="2" t="s">
        <v>325</v>
      </c>
      <c r="M92" s="2" t="s">
        <v>378</v>
      </c>
      <c r="N92" s="4" t="s">
        <v>515</v>
      </c>
      <c r="O92" s="4" t="s">
        <v>136</v>
      </c>
      <c r="P92" s="4" t="s">
        <v>1182</v>
      </c>
      <c r="Q92" s="154">
        <v>310</v>
      </c>
      <c r="R92" s="154">
        <v>4.6539999999999999</v>
      </c>
      <c r="S92" s="154">
        <v>1414.8772474596949</v>
      </c>
      <c r="U92" s="154">
        <v>20.413</v>
      </c>
      <c r="V92" s="169">
        <v>1.5E-5</v>
      </c>
      <c r="W92" s="169">
        <v>7.3977296126937096E-3</v>
      </c>
      <c r="X92" s="169">
        <v>2.0465876652966601E-3</v>
      </c>
      <c r="Y92" s="154">
        <v>1415</v>
      </c>
      <c r="Z92" s="193">
        <f t="shared" si="1"/>
        <v>1414.8772474596949</v>
      </c>
    </row>
    <row r="93" spans="1:26">
      <c r="A93" s="4" t="s">
        <v>26</v>
      </c>
      <c r="B93" s="4">
        <v>1477</v>
      </c>
      <c r="C93" s="4" t="s">
        <v>1680</v>
      </c>
      <c r="D93" s="4" t="s">
        <v>1681</v>
      </c>
      <c r="E93" s="4" t="s">
        <v>312</v>
      </c>
      <c r="F93" s="4" t="s">
        <v>1680</v>
      </c>
      <c r="G93" s="4" t="s">
        <v>1682</v>
      </c>
      <c r="H93" s="4" t="s">
        <v>319</v>
      </c>
      <c r="I93" s="4" t="s">
        <v>931</v>
      </c>
      <c r="J93" s="4" t="s">
        <v>73</v>
      </c>
      <c r="K93" s="4" t="s">
        <v>238</v>
      </c>
      <c r="L93" s="2" t="s">
        <v>325</v>
      </c>
      <c r="M93" s="2" t="s">
        <v>366</v>
      </c>
      <c r="N93" s="4" t="s">
        <v>555</v>
      </c>
      <c r="O93" s="4" t="s">
        <v>136</v>
      </c>
      <c r="P93" s="4" t="s">
        <v>1178</v>
      </c>
      <c r="Q93" s="154">
        <v>190</v>
      </c>
      <c r="R93" s="154">
        <v>3.9790000000000001</v>
      </c>
      <c r="S93" s="154">
        <v>3146.1224057882832</v>
      </c>
      <c r="U93" s="154">
        <v>23.785</v>
      </c>
      <c r="V93" s="169">
        <v>0</v>
      </c>
      <c r="W93" s="169">
        <v>8.6198116206971896E-3</v>
      </c>
      <c r="X93" s="169">
        <v>2.38467760565745E-3</v>
      </c>
      <c r="Y93" s="154">
        <v>3146</v>
      </c>
      <c r="Z93" s="193">
        <f t="shared" si="1"/>
        <v>3146.1224057882832</v>
      </c>
    </row>
    <row r="94" spans="1:26">
      <c r="A94" s="4" t="s">
        <v>26</v>
      </c>
      <c r="B94" s="4">
        <v>1477</v>
      </c>
      <c r="C94" s="4" t="s">
        <v>1683</v>
      </c>
      <c r="D94" s="4" t="s">
        <v>1684</v>
      </c>
      <c r="E94" s="4" t="s">
        <v>312</v>
      </c>
      <c r="F94" s="4" t="s">
        <v>1685</v>
      </c>
      <c r="G94" s="4" t="s">
        <v>1686</v>
      </c>
      <c r="H94" s="4" t="s">
        <v>319</v>
      </c>
      <c r="I94" s="4" t="s">
        <v>931</v>
      </c>
      <c r="J94" s="4" t="s">
        <v>73</v>
      </c>
      <c r="K94" s="4" t="s">
        <v>74</v>
      </c>
      <c r="L94" s="2" t="s">
        <v>325</v>
      </c>
      <c r="M94" s="2" t="s">
        <v>344</v>
      </c>
      <c r="N94" s="4" t="s">
        <v>542</v>
      </c>
      <c r="O94" s="4" t="s">
        <v>136</v>
      </c>
      <c r="P94" s="4" t="s">
        <v>78</v>
      </c>
      <c r="Q94" s="154">
        <v>30</v>
      </c>
      <c r="R94" s="154">
        <v>3.681</v>
      </c>
      <c r="S94" s="154">
        <v>30118.510368559266</v>
      </c>
      <c r="T94" s="161">
        <v>8.9999999999999993E-3</v>
      </c>
      <c r="U94" s="154">
        <v>33.292999999999999</v>
      </c>
      <c r="V94" s="169">
        <v>0</v>
      </c>
      <c r="W94" s="169">
        <v>1.2065741607303801E-2</v>
      </c>
      <c r="X94" s="169">
        <v>3.3379968232135899E-3</v>
      </c>
      <c r="Y94" s="154">
        <v>30118</v>
      </c>
      <c r="Z94" s="193">
        <f t="shared" si="1"/>
        <v>30118.510368559266</v>
      </c>
    </row>
    <row r="95" spans="1:26">
      <c r="A95" s="4" t="s">
        <v>26</v>
      </c>
      <c r="B95" s="4">
        <v>1477</v>
      </c>
      <c r="C95" s="4" t="s">
        <v>1687</v>
      </c>
      <c r="D95" s="4" t="s">
        <v>1688</v>
      </c>
      <c r="E95" s="4" t="s">
        <v>1305</v>
      </c>
      <c r="F95" s="4" t="s">
        <v>1687</v>
      </c>
      <c r="G95" s="4" t="s">
        <v>1689</v>
      </c>
      <c r="H95" s="4" t="s">
        <v>319</v>
      </c>
      <c r="I95" s="4" t="s">
        <v>931</v>
      </c>
      <c r="J95" s="4" t="s">
        <v>31</v>
      </c>
      <c r="K95" s="4" t="s">
        <v>31</v>
      </c>
      <c r="L95" s="2" t="s">
        <v>325</v>
      </c>
      <c r="M95" s="2" t="s">
        <v>394</v>
      </c>
      <c r="N95" s="4" t="s">
        <v>528</v>
      </c>
      <c r="O95" s="4" t="s">
        <v>136</v>
      </c>
      <c r="P95" s="4" t="s">
        <v>1179</v>
      </c>
      <c r="Q95" s="154">
        <v>290</v>
      </c>
      <c r="R95" s="154">
        <v>4.0739999999999998</v>
      </c>
      <c r="S95" s="154">
        <v>545.0036395646066</v>
      </c>
      <c r="U95" s="154">
        <v>6.4390000000000001</v>
      </c>
      <c r="V95" s="169">
        <v>4.1999999999999998E-5</v>
      </c>
      <c r="W95" s="169">
        <v>2.33354471234097E-3</v>
      </c>
      <c r="X95" s="169">
        <v>6.4557696411349003E-4</v>
      </c>
      <c r="Y95" s="154">
        <v>545</v>
      </c>
      <c r="Z95" s="193">
        <f t="shared" si="1"/>
        <v>545.0036395646066</v>
      </c>
    </row>
    <row r="96" spans="1:26">
      <c r="A96" s="4" t="s">
        <v>26</v>
      </c>
      <c r="B96" s="4">
        <v>1477</v>
      </c>
      <c r="C96" s="4" t="s">
        <v>1690</v>
      </c>
      <c r="D96" s="4" t="s">
        <v>1691</v>
      </c>
      <c r="E96" s="4" t="s">
        <v>312</v>
      </c>
      <c r="F96" s="4" t="s">
        <v>1692</v>
      </c>
      <c r="G96" s="4" t="s">
        <v>1693</v>
      </c>
      <c r="H96" s="4" t="s">
        <v>319</v>
      </c>
      <c r="I96" s="4" t="s">
        <v>931</v>
      </c>
      <c r="J96" s="4" t="s">
        <v>73</v>
      </c>
      <c r="K96" s="4" t="s">
        <v>268</v>
      </c>
      <c r="L96" s="2" t="s">
        <v>325</v>
      </c>
      <c r="M96" s="2" t="s">
        <v>342</v>
      </c>
      <c r="N96" s="4" t="s">
        <v>546</v>
      </c>
      <c r="O96" s="4" t="s">
        <v>136</v>
      </c>
      <c r="P96" s="4" t="s">
        <v>78</v>
      </c>
      <c r="Q96" s="154">
        <v>100</v>
      </c>
      <c r="R96" s="154">
        <v>3.681</v>
      </c>
      <c r="S96" s="154">
        <v>13605.00842162456</v>
      </c>
      <c r="T96" s="161">
        <v>4.3999999999999997E-2</v>
      </c>
      <c r="U96" s="154">
        <v>50.241999999999997</v>
      </c>
      <c r="V96" s="169">
        <v>0</v>
      </c>
      <c r="W96" s="169">
        <v>1.82080563163554E-2</v>
      </c>
      <c r="X96" s="169">
        <v>5.0372729765816599E-3</v>
      </c>
      <c r="Y96" s="154">
        <v>13605</v>
      </c>
      <c r="Z96" s="193">
        <f t="shared" si="1"/>
        <v>13605.00842162456</v>
      </c>
    </row>
    <row r="97" spans="1:26">
      <c r="A97" s="4" t="s">
        <v>26</v>
      </c>
      <c r="B97" s="4">
        <v>9962</v>
      </c>
      <c r="C97" s="4" t="s">
        <v>1391</v>
      </c>
      <c r="D97" s="4" t="s">
        <v>1392</v>
      </c>
      <c r="E97" s="4" t="s">
        <v>1305</v>
      </c>
      <c r="F97" s="4" t="s">
        <v>1393</v>
      </c>
      <c r="G97" s="4" t="s">
        <v>1394</v>
      </c>
      <c r="H97" s="4" t="s">
        <v>319</v>
      </c>
      <c r="I97" s="4" t="s">
        <v>931</v>
      </c>
      <c r="J97" s="4" t="s">
        <v>31</v>
      </c>
      <c r="K97" s="4" t="s">
        <v>31</v>
      </c>
      <c r="L97" s="2" t="s">
        <v>325</v>
      </c>
      <c r="M97" s="2" t="s">
        <v>40</v>
      </c>
      <c r="N97" s="4" t="s">
        <v>437</v>
      </c>
      <c r="O97" s="4" t="s">
        <v>136</v>
      </c>
      <c r="P97" s="4" t="s">
        <v>35</v>
      </c>
      <c r="Q97" s="154">
        <v>1186</v>
      </c>
      <c r="R97" s="154">
        <v>1</v>
      </c>
      <c r="S97" s="154">
        <v>2616.0202360876897</v>
      </c>
      <c r="U97" s="154">
        <v>31.026</v>
      </c>
      <c r="V97" s="169">
        <v>5.0000000000000004E-6</v>
      </c>
      <c r="W97" s="169">
        <v>6.5698574495718799E-3</v>
      </c>
      <c r="X97" s="169">
        <v>1.0051319831092601E-3</v>
      </c>
      <c r="Y97" s="154">
        <v>2616</v>
      </c>
      <c r="Z97" s="193">
        <f t="shared" si="1"/>
        <v>2616.0202360876897</v>
      </c>
    </row>
    <row r="98" spans="1:26">
      <c r="A98" s="4" t="s">
        <v>26</v>
      </c>
      <c r="B98" s="4">
        <v>9962</v>
      </c>
      <c r="C98" s="4" t="s">
        <v>1395</v>
      </c>
      <c r="D98" s="4" t="s">
        <v>1396</v>
      </c>
      <c r="E98" s="4" t="s">
        <v>1305</v>
      </c>
      <c r="F98" s="4" t="s">
        <v>1397</v>
      </c>
      <c r="G98" s="4" t="s">
        <v>1398</v>
      </c>
      <c r="H98" s="4" t="s">
        <v>319</v>
      </c>
      <c r="I98" s="4" t="s">
        <v>931</v>
      </c>
      <c r="J98" s="4" t="s">
        <v>31</v>
      </c>
      <c r="K98" s="4" t="s">
        <v>31</v>
      </c>
      <c r="L98" s="2" t="s">
        <v>325</v>
      </c>
      <c r="M98" s="2" t="s">
        <v>40</v>
      </c>
      <c r="N98" s="4" t="s">
        <v>476</v>
      </c>
      <c r="O98" s="4" t="s">
        <v>136</v>
      </c>
      <c r="P98" s="4" t="s">
        <v>35</v>
      </c>
      <c r="Q98" s="154">
        <v>472</v>
      </c>
      <c r="R98" s="154">
        <v>1</v>
      </c>
      <c r="S98" s="154">
        <v>5665.0423728813566</v>
      </c>
      <c r="U98" s="154">
        <v>26.739000000000001</v>
      </c>
      <c r="V98" s="169">
        <v>3.1999999999999999E-5</v>
      </c>
      <c r="W98" s="169">
        <v>5.6620725607563803E-3</v>
      </c>
      <c r="X98" s="169">
        <v>8.6624866143365602E-4</v>
      </c>
      <c r="Y98" s="154">
        <v>5665</v>
      </c>
      <c r="Z98" s="193">
        <f t="shared" si="1"/>
        <v>5665.0423728813566</v>
      </c>
    </row>
    <row r="99" spans="1:26">
      <c r="A99" s="4" t="s">
        <v>26</v>
      </c>
      <c r="B99" s="4">
        <v>9962</v>
      </c>
      <c r="C99" s="4" t="s">
        <v>1399</v>
      </c>
      <c r="D99" s="4" t="s">
        <v>1400</v>
      </c>
      <c r="E99" s="4" t="s">
        <v>1305</v>
      </c>
      <c r="F99" s="4" t="s">
        <v>1401</v>
      </c>
      <c r="G99" s="4" t="s">
        <v>1402</v>
      </c>
      <c r="H99" s="4" t="s">
        <v>319</v>
      </c>
      <c r="I99" s="4" t="s">
        <v>931</v>
      </c>
      <c r="J99" s="4" t="s">
        <v>31</v>
      </c>
      <c r="K99" s="4" t="s">
        <v>31</v>
      </c>
      <c r="L99" s="2" t="s">
        <v>325</v>
      </c>
      <c r="M99" s="2" t="s">
        <v>40</v>
      </c>
      <c r="N99" s="4" t="s">
        <v>475</v>
      </c>
      <c r="O99" s="4" t="s">
        <v>136</v>
      </c>
      <c r="P99" s="4" t="s">
        <v>35</v>
      </c>
      <c r="Q99" s="154">
        <v>462</v>
      </c>
      <c r="R99" s="154">
        <v>1</v>
      </c>
      <c r="S99" s="154">
        <v>1050</v>
      </c>
      <c r="T99" s="161">
        <v>7.2999999999999995E-2</v>
      </c>
      <c r="U99" s="154">
        <v>4.9240000000000004</v>
      </c>
      <c r="V99" s="169">
        <v>2.0999999999999999E-5</v>
      </c>
      <c r="W99" s="169">
        <v>1.04268548067287E-3</v>
      </c>
      <c r="X99" s="169">
        <v>1.59521958123497E-4</v>
      </c>
      <c r="Y99" s="154">
        <v>1050</v>
      </c>
      <c r="Z99" s="193">
        <f t="shared" si="1"/>
        <v>1050</v>
      </c>
    </row>
    <row r="100" spans="1:26">
      <c r="A100" s="4" t="s">
        <v>26</v>
      </c>
      <c r="B100" s="4">
        <v>9962</v>
      </c>
      <c r="C100" s="4" t="s">
        <v>1403</v>
      </c>
      <c r="D100" s="4" t="s">
        <v>1404</v>
      </c>
      <c r="E100" s="4" t="s">
        <v>1305</v>
      </c>
      <c r="F100" s="4" t="s">
        <v>1405</v>
      </c>
      <c r="G100" s="4" t="s">
        <v>1406</v>
      </c>
      <c r="H100" s="4" t="s">
        <v>319</v>
      </c>
      <c r="I100" s="4" t="s">
        <v>931</v>
      </c>
      <c r="J100" s="4" t="s">
        <v>31</v>
      </c>
      <c r="K100" s="4" t="s">
        <v>31</v>
      </c>
      <c r="L100" s="2" t="s">
        <v>325</v>
      </c>
      <c r="M100" s="2" t="s">
        <v>40</v>
      </c>
      <c r="N100" s="4" t="s">
        <v>453</v>
      </c>
      <c r="O100" s="4" t="s">
        <v>136</v>
      </c>
      <c r="P100" s="4" t="s">
        <v>35</v>
      </c>
      <c r="Q100" s="154">
        <v>2574</v>
      </c>
      <c r="R100" s="154">
        <v>1</v>
      </c>
      <c r="S100" s="154">
        <v>1951.0101010101012</v>
      </c>
      <c r="U100" s="154">
        <v>50.219000000000001</v>
      </c>
      <c r="V100" s="169">
        <v>1.9999999999999999E-6</v>
      </c>
      <c r="W100" s="169">
        <v>1.0634065470019501E-2</v>
      </c>
      <c r="X100" s="169">
        <v>1.62692103998253E-3</v>
      </c>
      <c r="Y100" s="154">
        <v>1951</v>
      </c>
      <c r="Z100" s="193">
        <f t="shared" si="1"/>
        <v>1951.0101010101012</v>
      </c>
    </row>
    <row r="101" spans="1:26">
      <c r="A101" s="4" t="s">
        <v>26</v>
      </c>
      <c r="B101" s="4">
        <v>9962</v>
      </c>
      <c r="C101" s="4" t="s">
        <v>1407</v>
      </c>
      <c r="D101" s="4" t="s">
        <v>1408</v>
      </c>
      <c r="E101" s="4" t="s">
        <v>1305</v>
      </c>
      <c r="F101" s="4" t="s">
        <v>1409</v>
      </c>
      <c r="G101" s="4" t="s">
        <v>1410</v>
      </c>
      <c r="H101" s="4" t="s">
        <v>319</v>
      </c>
      <c r="I101" s="4" t="s">
        <v>931</v>
      </c>
      <c r="J101" s="4" t="s">
        <v>31</v>
      </c>
      <c r="K101" s="4" t="s">
        <v>31</v>
      </c>
      <c r="L101" s="2" t="s">
        <v>327</v>
      </c>
      <c r="M101" s="2" t="s">
        <v>40</v>
      </c>
      <c r="N101" s="4" t="s">
        <v>460</v>
      </c>
      <c r="O101" s="4" t="s">
        <v>136</v>
      </c>
      <c r="P101" s="4" t="s">
        <v>35</v>
      </c>
      <c r="Q101" s="154">
        <v>2000</v>
      </c>
      <c r="R101" s="154">
        <v>1</v>
      </c>
      <c r="S101" s="154">
        <v>1172.25</v>
      </c>
      <c r="U101" s="154">
        <v>23.445</v>
      </c>
      <c r="V101" s="169">
        <v>1.4E-5</v>
      </c>
      <c r="W101" s="169">
        <v>4.9646522130692098E-3</v>
      </c>
      <c r="X101" s="169">
        <v>7.5954931483257601E-4</v>
      </c>
      <c r="Y101" s="154">
        <v>1172.2639999999999</v>
      </c>
      <c r="Z101" s="193">
        <f t="shared" si="1"/>
        <v>1172.25</v>
      </c>
    </row>
    <row r="102" spans="1:26">
      <c r="A102" s="4" t="s">
        <v>26</v>
      </c>
      <c r="B102" s="4">
        <v>9962</v>
      </c>
      <c r="C102" s="4" t="s">
        <v>1411</v>
      </c>
      <c r="D102" s="4" t="s">
        <v>1412</v>
      </c>
      <c r="E102" s="4" t="s">
        <v>1305</v>
      </c>
      <c r="F102" s="4" t="s">
        <v>1413</v>
      </c>
      <c r="G102" s="4" t="s">
        <v>1414</v>
      </c>
      <c r="H102" s="4" t="s">
        <v>319</v>
      </c>
      <c r="I102" s="4" t="s">
        <v>931</v>
      </c>
      <c r="J102" s="4" t="s">
        <v>31</v>
      </c>
      <c r="K102" s="4" t="s">
        <v>31</v>
      </c>
      <c r="L102" s="2" t="s">
        <v>325</v>
      </c>
      <c r="M102" s="2" t="s">
        <v>40</v>
      </c>
      <c r="N102" s="4" t="s">
        <v>458</v>
      </c>
      <c r="O102" s="4" t="s">
        <v>136</v>
      </c>
      <c r="P102" s="4" t="s">
        <v>35</v>
      </c>
      <c r="Q102" s="154">
        <v>177</v>
      </c>
      <c r="R102" s="154">
        <v>1</v>
      </c>
      <c r="S102" s="154">
        <v>8311.8644067796613</v>
      </c>
      <c r="U102" s="154">
        <v>14.712</v>
      </c>
      <c r="V102" s="169">
        <v>1.1E-5</v>
      </c>
      <c r="W102" s="169">
        <v>3.11538926246736E-3</v>
      </c>
      <c r="X102" s="169">
        <v>4.7662790426985098E-4</v>
      </c>
      <c r="Y102" s="154">
        <v>8312</v>
      </c>
      <c r="Z102" s="193">
        <f t="shared" si="1"/>
        <v>8311.8644067796613</v>
      </c>
    </row>
    <row r="103" spans="1:26">
      <c r="A103" s="4" t="s">
        <v>26</v>
      </c>
      <c r="B103" s="4">
        <v>9962</v>
      </c>
      <c r="C103" s="4" t="s">
        <v>1356</v>
      </c>
      <c r="D103" s="4" t="s">
        <v>1357</v>
      </c>
      <c r="E103" s="4" t="s">
        <v>1305</v>
      </c>
      <c r="F103" s="4" t="s">
        <v>1358</v>
      </c>
      <c r="G103" s="4" t="s">
        <v>1359</v>
      </c>
      <c r="H103" s="4" t="s">
        <v>319</v>
      </c>
      <c r="I103" s="4" t="s">
        <v>931</v>
      </c>
      <c r="J103" s="4" t="s">
        <v>31</v>
      </c>
      <c r="K103" s="4" t="s">
        <v>31</v>
      </c>
      <c r="L103" s="2" t="s">
        <v>325</v>
      </c>
      <c r="M103" s="2" t="s">
        <v>40</v>
      </c>
      <c r="N103" s="4" t="s">
        <v>443</v>
      </c>
      <c r="O103" s="4" t="s">
        <v>136</v>
      </c>
      <c r="P103" s="4" t="s">
        <v>35</v>
      </c>
      <c r="Q103" s="154">
        <v>161</v>
      </c>
      <c r="R103" s="154">
        <v>1</v>
      </c>
      <c r="S103" s="154">
        <v>77500</v>
      </c>
      <c r="U103" s="154">
        <v>124.77500000000001</v>
      </c>
      <c r="V103" s="169">
        <v>3.9999999999999998E-6</v>
      </c>
      <c r="W103" s="169">
        <v>2.6421720636991101E-2</v>
      </c>
      <c r="X103" s="169">
        <v>4.0422972134271E-3</v>
      </c>
      <c r="Y103" s="154">
        <v>77500</v>
      </c>
      <c r="Z103" s="193">
        <f t="shared" si="1"/>
        <v>77500</v>
      </c>
    </row>
    <row r="104" spans="1:26">
      <c r="A104" s="4" t="s">
        <v>26</v>
      </c>
      <c r="B104" s="4">
        <v>9962</v>
      </c>
      <c r="C104" s="4" t="s">
        <v>1415</v>
      </c>
      <c r="D104" s="4" t="s">
        <v>1416</v>
      </c>
      <c r="E104" s="4" t="s">
        <v>1305</v>
      </c>
      <c r="F104" s="4" t="s">
        <v>1417</v>
      </c>
      <c r="G104" s="4" t="s">
        <v>1418</v>
      </c>
      <c r="H104" s="4" t="s">
        <v>319</v>
      </c>
      <c r="I104" s="4" t="s">
        <v>931</v>
      </c>
      <c r="J104" s="4" t="s">
        <v>31</v>
      </c>
      <c r="K104" s="4" t="s">
        <v>31</v>
      </c>
      <c r="L104" s="2" t="s">
        <v>325</v>
      </c>
      <c r="M104" s="2" t="s">
        <v>40</v>
      </c>
      <c r="N104" s="4" t="s">
        <v>462</v>
      </c>
      <c r="O104" s="4" t="s">
        <v>136</v>
      </c>
      <c r="P104" s="4" t="s">
        <v>35</v>
      </c>
      <c r="Q104" s="154">
        <v>654</v>
      </c>
      <c r="R104" s="154">
        <v>1</v>
      </c>
      <c r="S104" s="154">
        <v>3879.9694189602446</v>
      </c>
      <c r="T104" s="161">
        <v>0.218</v>
      </c>
      <c r="U104" s="154">
        <v>25.593</v>
      </c>
      <c r="V104" s="169">
        <v>1.2E-5</v>
      </c>
      <c r="W104" s="169">
        <v>5.4194204758424604E-3</v>
      </c>
      <c r="X104" s="169">
        <v>8.2912496838746699E-4</v>
      </c>
      <c r="Y104" s="154">
        <v>3880</v>
      </c>
      <c r="Z104" s="193">
        <f t="shared" si="1"/>
        <v>3879.9694189602446</v>
      </c>
    </row>
    <row r="105" spans="1:26">
      <c r="A105" s="4" t="s">
        <v>26</v>
      </c>
      <c r="B105" s="4">
        <v>9962</v>
      </c>
      <c r="C105" s="4" t="s">
        <v>1419</v>
      </c>
      <c r="D105" s="4" t="s">
        <v>1420</v>
      </c>
      <c r="E105" s="4" t="s">
        <v>1305</v>
      </c>
      <c r="F105" s="4" t="s">
        <v>1421</v>
      </c>
      <c r="G105" s="4" t="s">
        <v>1422</v>
      </c>
      <c r="H105" s="4" t="s">
        <v>319</v>
      </c>
      <c r="I105" s="4" t="s">
        <v>931</v>
      </c>
      <c r="J105" s="4" t="s">
        <v>31</v>
      </c>
      <c r="K105" s="4" t="s">
        <v>31</v>
      </c>
      <c r="L105" s="2" t="s">
        <v>325</v>
      </c>
      <c r="M105" s="2" t="s">
        <v>40</v>
      </c>
      <c r="N105" s="4" t="s">
        <v>461</v>
      </c>
      <c r="O105" s="4" t="s">
        <v>136</v>
      </c>
      <c r="P105" s="4" t="s">
        <v>35</v>
      </c>
      <c r="Q105" s="154">
        <v>4132</v>
      </c>
      <c r="R105" s="154">
        <v>1</v>
      </c>
      <c r="S105" s="154">
        <v>1749.0077444336882</v>
      </c>
      <c r="U105" s="154">
        <v>72.269000000000005</v>
      </c>
      <c r="V105" s="169">
        <v>9.0000000000000002E-6</v>
      </c>
      <c r="W105" s="169">
        <v>1.53032488380213E-2</v>
      </c>
      <c r="X105" s="169">
        <v>2.34126614932522E-3</v>
      </c>
      <c r="Y105" s="154">
        <v>1749</v>
      </c>
      <c r="Z105" s="193">
        <f t="shared" si="1"/>
        <v>1749.0077444336882</v>
      </c>
    </row>
    <row r="106" spans="1:26">
      <c r="A106" s="4" t="s">
        <v>26</v>
      </c>
      <c r="B106" s="4">
        <v>9962</v>
      </c>
      <c r="C106" s="4" t="s">
        <v>1423</v>
      </c>
      <c r="D106" s="4" t="s">
        <v>1424</v>
      </c>
      <c r="E106" s="4" t="s">
        <v>1305</v>
      </c>
      <c r="F106" s="4" t="s">
        <v>1425</v>
      </c>
      <c r="G106" s="4" t="s">
        <v>1426</v>
      </c>
      <c r="H106" s="4" t="s">
        <v>319</v>
      </c>
      <c r="I106" s="4" t="s">
        <v>931</v>
      </c>
      <c r="J106" s="4" t="s">
        <v>31</v>
      </c>
      <c r="K106" s="4" t="s">
        <v>31</v>
      </c>
      <c r="L106" s="2" t="s">
        <v>325</v>
      </c>
      <c r="M106" s="2" t="s">
        <v>40</v>
      </c>
      <c r="N106" s="4" t="s">
        <v>438</v>
      </c>
      <c r="O106" s="4" t="s">
        <v>136</v>
      </c>
      <c r="P106" s="4" t="s">
        <v>35</v>
      </c>
      <c r="Q106" s="154">
        <v>1384.7</v>
      </c>
      <c r="R106" s="154">
        <v>1</v>
      </c>
      <c r="S106" s="154">
        <v>6298.9817288943441</v>
      </c>
      <c r="U106" s="154">
        <v>87.221999999999994</v>
      </c>
      <c r="V106" s="169">
        <v>1.2E-5</v>
      </c>
      <c r="W106" s="169">
        <v>1.8469741551552399E-2</v>
      </c>
      <c r="X106" s="169">
        <v>2.8257124444058001E-3</v>
      </c>
      <c r="Y106" s="154">
        <v>6299</v>
      </c>
      <c r="Z106" s="193">
        <f t="shared" si="1"/>
        <v>6298.9817288943441</v>
      </c>
    </row>
    <row r="107" spans="1:26">
      <c r="A107" s="4" t="s">
        <v>26</v>
      </c>
      <c r="B107" s="4">
        <v>9962</v>
      </c>
      <c r="C107" s="4" t="s">
        <v>1427</v>
      </c>
      <c r="D107" s="4" t="s">
        <v>1428</v>
      </c>
      <c r="E107" s="4" t="s">
        <v>1305</v>
      </c>
      <c r="F107" s="4" t="s">
        <v>1429</v>
      </c>
      <c r="G107" s="4" t="s">
        <v>1430</v>
      </c>
      <c r="H107" s="4" t="s">
        <v>319</v>
      </c>
      <c r="I107" s="4" t="s">
        <v>931</v>
      </c>
      <c r="J107" s="4" t="s">
        <v>31</v>
      </c>
      <c r="K107" s="4" t="s">
        <v>31</v>
      </c>
      <c r="L107" s="2" t="s">
        <v>325</v>
      </c>
      <c r="M107" s="2" t="s">
        <v>40</v>
      </c>
      <c r="N107" s="4" t="s">
        <v>438</v>
      </c>
      <c r="O107" s="4" t="s">
        <v>136</v>
      </c>
      <c r="P107" s="4" t="s">
        <v>35</v>
      </c>
      <c r="Q107" s="154">
        <v>4334</v>
      </c>
      <c r="R107" s="154">
        <v>1</v>
      </c>
      <c r="S107" s="154">
        <v>1352.0073834794646</v>
      </c>
      <c r="U107" s="154">
        <v>58.595999999999997</v>
      </c>
      <c r="V107" s="169">
        <v>7.9999999999999996E-6</v>
      </c>
      <c r="W107" s="169">
        <v>1.24079237627291E-2</v>
      </c>
      <c r="X107" s="169">
        <v>1.8983061829923101E-3</v>
      </c>
      <c r="Y107" s="154">
        <v>1352</v>
      </c>
      <c r="Z107" s="193">
        <f t="shared" si="1"/>
        <v>1352.0073834794646</v>
      </c>
    </row>
    <row r="108" spans="1:26">
      <c r="A108" s="4" t="s">
        <v>26</v>
      </c>
      <c r="B108" s="4">
        <v>9962</v>
      </c>
      <c r="C108" s="4" t="s">
        <v>1431</v>
      </c>
      <c r="D108" s="4" t="s">
        <v>1432</v>
      </c>
      <c r="E108" s="4" t="s">
        <v>312</v>
      </c>
      <c r="F108" s="4" t="s">
        <v>1431</v>
      </c>
      <c r="G108" s="4" t="s">
        <v>1433</v>
      </c>
      <c r="H108" s="4" t="s">
        <v>319</v>
      </c>
      <c r="I108" s="4" t="s">
        <v>931</v>
      </c>
      <c r="J108" s="4" t="s">
        <v>73</v>
      </c>
      <c r="K108" s="4" t="s">
        <v>238</v>
      </c>
      <c r="L108" s="2" t="s">
        <v>325</v>
      </c>
      <c r="M108" s="2" t="s">
        <v>40</v>
      </c>
      <c r="N108" s="4" t="s">
        <v>462</v>
      </c>
      <c r="O108" s="4" t="s">
        <v>136</v>
      </c>
      <c r="P108" s="4" t="s">
        <v>35</v>
      </c>
      <c r="Q108" s="154">
        <v>240</v>
      </c>
      <c r="R108" s="154">
        <v>1</v>
      </c>
      <c r="S108" s="154">
        <v>7562.9166666666661</v>
      </c>
      <c r="U108" s="154">
        <v>18.151</v>
      </c>
      <c r="V108" s="169">
        <v>1.2999999999999999E-5</v>
      </c>
      <c r="W108" s="169">
        <v>3.8436059757656002E-3</v>
      </c>
      <c r="X108" s="169">
        <v>5.8803883133927404E-4</v>
      </c>
      <c r="Y108" s="154">
        <v>7563</v>
      </c>
      <c r="Z108" s="193">
        <f t="shared" si="1"/>
        <v>7562.9166666666661</v>
      </c>
    </row>
    <row r="109" spans="1:26">
      <c r="A109" s="4" t="s">
        <v>26</v>
      </c>
      <c r="B109" s="4">
        <v>9962</v>
      </c>
      <c r="C109" s="4" t="s">
        <v>1434</v>
      </c>
      <c r="D109" s="4" t="s">
        <v>1435</v>
      </c>
      <c r="E109" s="4" t="s">
        <v>1305</v>
      </c>
      <c r="F109" s="4" t="s">
        <v>1436</v>
      </c>
      <c r="G109" s="4" t="s">
        <v>1437</v>
      </c>
      <c r="H109" s="4" t="s">
        <v>319</v>
      </c>
      <c r="I109" s="4" t="s">
        <v>931</v>
      </c>
      <c r="J109" s="4" t="s">
        <v>31</v>
      </c>
      <c r="K109" s="4" t="s">
        <v>31</v>
      </c>
      <c r="L109" s="2" t="s">
        <v>325</v>
      </c>
      <c r="M109" s="2" t="s">
        <v>40</v>
      </c>
      <c r="N109" s="4" t="s">
        <v>436</v>
      </c>
      <c r="O109" s="4" t="s">
        <v>136</v>
      </c>
      <c r="P109" s="4" t="s">
        <v>35</v>
      </c>
      <c r="Q109" s="154">
        <v>203</v>
      </c>
      <c r="R109" s="154">
        <v>1</v>
      </c>
      <c r="S109" s="154">
        <v>5100</v>
      </c>
      <c r="U109" s="154">
        <v>10.353</v>
      </c>
      <c r="V109" s="169">
        <v>7.9999999999999996E-6</v>
      </c>
      <c r="W109" s="169">
        <v>2.1922987277481001E-3</v>
      </c>
      <c r="X109" s="169">
        <v>3.3540294971437198E-4</v>
      </c>
      <c r="Y109" s="154">
        <v>5100</v>
      </c>
      <c r="Z109" s="193">
        <f t="shared" si="1"/>
        <v>5100</v>
      </c>
    </row>
    <row r="110" spans="1:26">
      <c r="A110" s="4" t="s">
        <v>26</v>
      </c>
      <c r="B110" s="4">
        <v>9962</v>
      </c>
      <c r="C110" s="4" t="s">
        <v>1438</v>
      </c>
      <c r="D110" s="4" t="s">
        <v>1439</v>
      </c>
      <c r="E110" s="4" t="s">
        <v>1305</v>
      </c>
      <c r="F110" s="4" t="s">
        <v>1440</v>
      </c>
      <c r="G110" s="4" t="s">
        <v>1441</v>
      </c>
      <c r="H110" s="4" t="s">
        <v>319</v>
      </c>
      <c r="I110" s="4" t="s">
        <v>931</v>
      </c>
      <c r="J110" s="4" t="s">
        <v>31</v>
      </c>
      <c r="K110" s="4" t="s">
        <v>31</v>
      </c>
      <c r="L110" s="2" t="s">
        <v>325</v>
      </c>
      <c r="M110" s="2" t="s">
        <v>40</v>
      </c>
      <c r="N110" s="4" t="s">
        <v>482</v>
      </c>
      <c r="O110" s="4" t="s">
        <v>136</v>
      </c>
      <c r="P110" s="4" t="s">
        <v>35</v>
      </c>
      <c r="Q110" s="154">
        <v>16006</v>
      </c>
      <c r="R110" s="154">
        <v>1</v>
      </c>
      <c r="S110" s="154">
        <v>472.99762589029115</v>
      </c>
      <c r="U110" s="154">
        <v>75.707999999999998</v>
      </c>
      <c r="V110" s="169">
        <v>6.0000000000000002E-6</v>
      </c>
      <c r="W110" s="169">
        <v>1.6031622249963198E-2</v>
      </c>
      <c r="X110" s="169">
        <v>2.4527010499465398E-3</v>
      </c>
      <c r="Y110" s="154">
        <v>473</v>
      </c>
      <c r="Z110" s="193">
        <f t="shared" si="1"/>
        <v>472.99762589029115</v>
      </c>
    </row>
    <row r="111" spans="1:26">
      <c r="A111" s="4" t="s">
        <v>26</v>
      </c>
      <c r="B111" s="4">
        <v>9962</v>
      </c>
      <c r="C111" s="4" t="s">
        <v>1442</v>
      </c>
      <c r="D111" s="4" t="s">
        <v>1443</v>
      </c>
      <c r="E111" s="4" t="s">
        <v>1305</v>
      </c>
      <c r="F111" s="4" t="s">
        <v>1444</v>
      </c>
      <c r="G111" s="4" t="s">
        <v>1445</v>
      </c>
      <c r="H111" s="4" t="s">
        <v>319</v>
      </c>
      <c r="I111" s="4" t="s">
        <v>931</v>
      </c>
      <c r="J111" s="4" t="s">
        <v>31</v>
      </c>
      <c r="K111" s="4" t="s">
        <v>31</v>
      </c>
      <c r="L111" s="2" t="s">
        <v>325</v>
      </c>
      <c r="M111" s="2" t="s">
        <v>40</v>
      </c>
      <c r="N111" s="4" t="s">
        <v>461</v>
      </c>
      <c r="O111" s="4" t="s">
        <v>136</v>
      </c>
      <c r="P111" s="4" t="s">
        <v>35</v>
      </c>
      <c r="Q111" s="154">
        <v>232</v>
      </c>
      <c r="R111" s="154">
        <v>1</v>
      </c>
      <c r="S111" s="154">
        <v>41030.172413793101</v>
      </c>
      <c r="U111" s="154">
        <v>95.19</v>
      </c>
      <c r="V111" s="169">
        <v>9.0000000000000002E-6</v>
      </c>
      <c r="W111" s="169">
        <v>2.0156866509692801E-2</v>
      </c>
      <c r="X111" s="169">
        <v>3.0838281292505701E-3</v>
      </c>
      <c r="Y111" s="154">
        <v>41030</v>
      </c>
      <c r="Z111" s="193">
        <f t="shared" si="1"/>
        <v>41030.172413793101</v>
      </c>
    </row>
    <row r="112" spans="1:26">
      <c r="A112" s="4" t="s">
        <v>26</v>
      </c>
      <c r="B112" s="4">
        <v>9962</v>
      </c>
      <c r="C112" s="4" t="s">
        <v>1446</v>
      </c>
      <c r="D112" s="4" t="s">
        <v>1447</v>
      </c>
      <c r="E112" s="4" t="s">
        <v>1305</v>
      </c>
      <c r="F112" s="4" t="s">
        <v>1448</v>
      </c>
      <c r="G112" s="4" t="s">
        <v>1449</v>
      </c>
      <c r="H112" s="4" t="s">
        <v>319</v>
      </c>
      <c r="I112" s="4" t="s">
        <v>931</v>
      </c>
      <c r="J112" s="4" t="s">
        <v>31</v>
      </c>
      <c r="K112" s="4" t="s">
        <v>31</v>
      </c>
      <c r="L112" s="2" t="s">
        <v>325</v>
      </c>
      <c r="M112" s="2" t="s">
        <v>40</v>
      </c>
      <c r="N112" s="4" t="s">
        <v>445</v>
      </c>
      <c r="O112" s="4" t="s">
        <v>136</v>
      </c>
      <c r="P112" s="4" t="s">
        <v>35</v>
      </c>
      <c r="Q112" s="154">
        <v>661</v>
      </c>
      <c r="R112" s="154">
        <v>1</v>
      </c>
      <c r="S112" s="154">
        <v>15439.939485627838</v>
      </c>
      <c r="U112" s="154">
        <v>102.05800000000001</v>
      </c>
      <c r="V112" s="169">
        <v>6.9999999999999999E-6</v>
      </c>
      <c r="W112" s="169">
        <v>2.16113687313828E-2</v>
      </c>
      <c r="X112" s="169">
        <v>3.3063545255606298E-3</v>
      </c>
      <c r="Y112" s="154">
        <v>15440</v>
      </c>
      <c r="Z112" s="193">
        <f t="shared" si="1"/>
        <v>15439.939485627838</v>
      </c>
    </row>
    <row r="113" spans="1:26">
      <c r="A113" s="4" t="s">
        <v>26</v>
      </c>
      <c r="B113" s="4">
        <v>9962</v>
      </c>
      <c r="C113" s="4" t="s">
        <v>1450</v>
      </c>
      <c r="D113" s="4" t="s">
        <v>1451</v>
      </c>
      <c r="E113" s="4" t="s">
        <v>1305</v>
      </c>
      <c r="F113" s="4" t="s">
        <v>1452</v>
      </c>
      <c r="G113" s="4" t="s">
        <v>1453</v>
      </c>
      <c r="H113" s="4" t="s">
        <v>319</v>
      </c>
      <c r="I113" s="4" t="s">
        <v>931</v>
      </c>
      <c r="J113" s="4" t="s">
        <v>31</v>
      </c>
      <c r="K113" s="4" t="s">
        <v>31</v>
      </c>
      <c r="L113" s="2" t="s">
        <v>325</v>
      </c>
      <c r="M113" s="2" t="s">
        <v>40</v>
      </c>
      <c r="N113" s="4" t="s">
        <v>461</v>
      </c>
      <c r="O113" s="4" t="s">
        <v>136</v>
      </c>
      <c r="P113" s="4" t="s">
        <v>35</v>
      </c>
      <c r="Q113" s="154">
        <v>1499</v>
      </c>
      <c r="R113" s="154">
        <v>1</v>
      </c>
      <c r="S113" s="154">
        <v>1160.9739826551033</v>
      </c>
      <c r="U113" s="154">
        <v>17.402999999999999</v>
      </c>
      <c r="V113" s="169">
        <v>2.0999999999999999E-5</v>
      </c>
      <c r="W113" s="169">
        <v>3.6852535260797799E-3</v>
      </c>
      <c r="X113" s="169">
        <v>5.6381226127978298E-4</v>
      </c>
      <c r="Y113" s="154">
        <v>1161</v>
      </c>
      <c r="Z113" s="193">
        <f t="shared" si="1"/>
        <v>1160.9739826551033</v>
      </c>
    </row>
    <row r="114" spans="1:26">
      <c r="A114" s="4" t="s">
        <v>26</v>
      </c>
      <c r="B114" s="4">
        <v>9962</v>
      </c>
      <c r="C114" s="4" t="s">
        <v>1454</v>
      </c>
      <c r="D114" s="4" t="s">
        <v>1455</v>
      </c>
      <c r="E114" s="4" t="s">
        <v>1305</v>
      </c>
      <c r="F114" s="4" t="s">
        <v>1456</v>
      </c>
      <c r="G114" s="4" t="s">
        <v>1457</v>
      </c>
      <c r="H114" s="4" t="s">
        <v>319</v>
      </c>
      <c r="I114" s="4" t="s">
        <v>931</v>
      </c>
      <c r="J114" s="4" t="s">
        <v>31</v>
      </c>
      <c r="K114" s="4" t="s">
        <v>31</v>
      </c>
      <c r="L114" s="2" t="s">
        <v>325</v>
      </c>
      <c r="M114" s="2" t="s">
        <v>40</v>
      </c>
      <c r="N114" s="4" t="s">
        <v>460</v>
      </c>
      <c r="O114" s="4" t="s">
        <v>136</v>
      </c>
      <c r="P114" s="4" t="s">
        <v>35</v>
      </c>
      <c r="Q114" s="154">
        <v>416</v>
      </c>
      <c r="R114" s="154">
        <v>1</v>
      </c>
      <c r="S114" s="154">
        <v>14789.903846153846</v>
      </c>
      <c r="U114" s="154">
        <v>61.526000000000003</v>
      </c>
      <c r="V114" s="169">
        <v>4.6999999999999997E-5</v>
      </c>
      <c r="W114" s="169">
        <v>1.3028518153474399E-2</v>
      </c>
      <c r="X114" s="169">
        <v>1.9932518154454101E-3</v>
      </c>
      <c r="Y114" s="154">
        <v>14790</v>
      </c>
      <c r="Z114" s="193">
        <f t="shared" si="1"/>
        <v>14789.903846153846</v>
      </c>
    </row>
    <row r="115" spans="1:26">
      <c r="A115" s="4" t="s">
        <v>26</v>
      </c>
      <c r="B115" s="4">
        <v>9962</v>
      </c>
      <c r="C115" s="4" t="s">
        <v>1458</v>
      </c>
      <c r="D115" s="4" t="s">
        <v>1459</v>
      </c>
      <c r="E115" s="4" t="s">
        <v>1305</v>
      </c>
      <c r="F115" s="4" t="s">
        <v>1460</v>
      </c>
      <c r="G115" s="4" t="s">
        <v>1461</v>
      </c>
      <c r="H115" s="4" t="s">
        <v>319</v>
      </c>
      <c r="I115" s="4" t="s">
        <v>931</v>
      </c>
      <c r="J115" s="4" t="s">
        <v>31</v>
      </c>
      <c r="K115" s="4" t="s">
        <v>31</v>
      </c>
      <c r="L115" s="2" t="s">
        <v>325</v>
      </c>
      <c r="M115" s="2" t="s">
        <v>40</v>
      </c>
      <c r="N115" s="4" t="s">
        <v>461</v>
      </c>
      <c r="O115" s="4" t="s">
        <v>136</v>
      </c>
      <c r="P115" s="4" t="s">
        <v>35</v>
      </c>
      <c r="Q115" s="154">
        <v>1101</v>
      </c>
      <c r="R115" s="154">
        <v>1</v>
      </c>
      <c r="S115" s="154">
        <v>2780.0181653042691</v>
      </c>
      <c r="U115" s="154">
        <v>30.608000000000001</v>
      </c>
      <c r="V115" s="169">
        <v>5.4900000000000001E-4</v>
      </c>
      <c r="W115" s="169">
        <v>6.4813523615539596E-3</v>
      </c>
      <c r="X115" s="169">
        <v>9.9159146182435393E-4</v>
      </c>
      <c r="Y115" s="154">
        <v>2780</v>
      </c>
      <c r="Z115" s="193">
        <f t="shared" si="1"/>
        <v>2780.0181653042691</v>
      </c>
    </row>
    <row r="116" spans="1:26">
      <c r="A116" s="4" t="s">
        <v>26</v>
      </c>
      <c r="B116" s="4">
        <v>9962</v>
      </c>
      <c r="C116" s="4" t="s">
        <v>1462</v>
      </c>
      <c r="D116" s="4" t="s">
        <v>1463</v>
      </c>
      <c r="E116" s="4" t="s">
        <v>1305</v>
      </c>
      <c r="F116" s="4" t="s">
        <v>1464</v>
      </c>
      <c r="G116" s="4" t="s">
        <v>1465</v>
      </c>
      <c r="H116" s="4" t="s">
        <v>319</v>
      </c>
      <c r="I116" s="4" t="s">
        <v>931</v>
      </c>
      <c r="J116" s="4" t="s">
        <v>31</v>
      </c>
      <c r="K116" s="4" t="s">
        <v>31</v>
      </c>
      <c r="L116" s="2" t="s">
        <v>325</v>
      </c>
      <c r="M116" s="2" t="s">
        <v>40</v>
      </c>
      <c r="N116" s="4" t="s">
        <v>445</v>
      </c>
      <c r="O116" s="4" t="s">
        <v>136</v>
      </c>
      <c r="P116" s="4" t="s">
        <v>35</v>
      </c>
      <c r="Q116" s="154">
        <v>6526</v>
      </c>
      <c r="R116" s="154">
        <v>1</v>
      </c>
      <c r="S116" s="154">
        <v>1946.0006129328838</v>
      </c>
      <c r="T116" s="161">
        <v>0.97</v>
      </c>
      <c r="U116" s="154">
        <v>127.96599999999999</v>
      </c>
      <c r="V116" s="169">
        <v>5.0000000000000004E-6</v>
      </c>
      <c r="W116" s="169">
        <v>2.7097350132473299E-2</v>
      </c>
      <c r="X116" s="169">
        <v>4.1456627460666803E-3</v>
      </c>
      <c r="Y116" s="154">
        <v>1946</v>
      </c>
      <c r="Z116" s="193">
        <f t="shared" si="1"/>
        <v>1946.0006129328838</v>
      </c>
    </row>
    <row r="117" spans="1:26">
      <c r="A117" s="4" t="s">
        <v>26</v>
      </c>
      <c r="B117" s="4">
        <v>9962</v>
      </c>
      <c r="C117" s="4" t="s">
        <v>1466</v>
      </c>
      <c r="D117" s="4" t="s">
        <v>1467</v>
      </c>
      <c r="E117" s="4" t="s">
        <v>1305</v>
      </c>
      <c r="F117" s="4" t="s">
        <v>1468</v>
      </c>
      <c r="G117" s="4" t="s">
        <v>1469</v>
      </c>
      <c r="H117" s="4" t="s">
        <v>319</v>
      </c>
      <c r="I117" s="4" t="s">
        <v>931</v>
      </c>
      <c r="J117" s="4" t="s">
        <v>31</v>
      </c>
      <c r="K117" s="4" t="s">
        <v>31</v>
      </c>
      <c r="L117" s="2" t="s">
        <v>325</v>
      </c>
      <c r="M117" s="2" t="s">
        <v>40</v>
      </c>
      <c r="N117" s="4" t="s">
        <v>459</v>
      </c>
      <c r="O117" s="4" t="s">
        <v>136</v>
      </c>
      <c r="P117" s="4" t="s">
        <v>35</v>
      </c>
      <c r="Q117" s="154">
        <v>1100</v>
      </c>
      <c r="R117" s="154">
        <v>1</v>
      </c>
      <c r="S117" s="154">
        <v>3409</v>
      </c>
      <c r="U117" s="154">
        <v>37.499000000000002</v>
      </c>
      <c r="V117" s="169">
        <v>4.0000000000000003E-5</v>
      </c>
      <c r="W117" s="169">
        <v>7.9405978935405998E-3</v>
      </c>
      <c r="X117" s="169">
        <v>1.21484354402967E-3</v>
      </c>
      <c r="Y117" s="154">
        <v>3409</v>
      </c>
      <c r="Z117" s="193">
        <f t="shared" si="1"/>
        <v>3409</v>
      </c>
    </row>
    <row r="118" spans="1:26">
      <c r="A118" s="4" t="s">
        <v>26</v>
      </c>
      <c r="B118" s="4">
        <v>9962</v>
      </c>
      <c r="C118" s="4" t="s">
        <v>1470</v>
      </c>
      <c r="D118" s="4" t="s">
        <v>1471</v>
      </c>
      <c r="E118" s="4" t="s">
        <v>1305</v>
      </c>
      <c r="F118" s="4" t="s">
        <v>1472</v>
      </c>
      <c r="G118" s="4" t="s">
        <v>1473</v>
      </c>
      <c r="H118" s="4" t="s">
        <v>319</v>
      </c>
      <c r="I118" s="4" t="s">
        <v>931</v>
      </c>
      <c r="J118" s="4" t="s">
        <v>31</v>
      </c>
      <c r="K118" s="4" t="s">
        <v>31</v>
      </c>
      <c r="L118" s="2" t="s">
        <v>325</v>
      </c>
      <c r="M118" s="2" t="s">
        <v>40</v>
      </c>
      <c r="N118" s="4" t="s">
        <v>475</v>
      </c>
      <c r="O118" s="4" t="s">
        <v>136</v>
      </c>
      <c r="P118" s="4" t="s">
        <v>35</v>
      </c>
      <c r="Q118" s="154">
        <v>47</v>
      </c>
      <c r="R118" s="154">
        <v>1</v>
      </c>
      <c r="S118" s="154">
        <v>33189.361702127659</v>
      </c>
      <c r="U118" s="154">
        <v>15.599</v>
      </c>
      <c r="V118" s="169">
        <v>7.9999999999999996E-6</v>
      </c>
      <c r="W118" s="169">
        <v>3.3032285853144801E-3</v>
      </c>
      <c r="X118" s="169">
        <v>5.0536571365588701E-4</v>
      </c>
      <c r="Y118" s="154">
        <v>33190</v>
      </c>
      <c r="Z118" s="193">
        <f t="shared" si="1"/>
        <v>33189.361702127659</v>
      </c>
    </row>
    <row r="119" spans="1:26">
      <c r="A119" s="4" t="s">
        <v>26</v>
      </c>
      <c r="B119" s="4">
        <v>9962</v>
      </c>
      <c r="C119" s="4" t="s">
        <v>1360</v>
      </c>
      <c r="D119" s="4" t="s">
        <v>1361</v>
      </c>
      <c r="E119" s="4" t="s">
        <v>1305</v>
      </c>
      <c r="F119" s="4" t="s">
        <v>1362</v>
      </c>
      <c r="G119" s="4" t="s">
        <v>1363</v>
      </c>
      <c r="H119" s="4" t="s">
        <v>319</v>
      </c>
      <c r="I119" s="4" t="s">
        <v>931</v>
      </c>
      <c r="J119" s="4" t="s">
        <v>31</v>
      </c>
      <c r="K119" s="4" t="s">
        <v>31</v>
      </c>
      <c r="L119" s="2" t="s">
        <v>325</v>
      </c>
      <c r="M119" s="2" t="s">
        <v>40</v>
      </c>
      <c r="N119" s="4" t="s">
        <v>442</v>
      </c>
      <c r="O119" s="4" t="s">
        <v>136</v>
      </c>
      <c r="P119" s="4" t="s">
        <v>35</v>
      </c>
      <c r="Q119" s="154">
        <v>2600</v>
      </c>
      <c r="R119" s="154">
        <v>1</v>
      </c>
      <c r="S119" s="154">
        <v>3810</v>
      </c>
      <c r="U119" s="154">
        <v>99.06</v>
      </c>
      <c r="V119" s="169">
        <v>1.0000000000000001E-5</v>
      </c>
      <c r="W119" s="169">
        <v>2.0976442767384001E-2</v>
      </c>
      <c r="X119" s="169">
        <v>3.2092162850097198E-3</v>
      </c>
      <c r="Y119" s="154">
        <v>3810</v>
      </c>
      <c r="Z119" s="193">
        <f t="shared" si="1"/>
        <v>3810</v>
      </c>
    </row>
    <row r="120" spans="1:26">
      <c r="A120" s="4" t="s">
        <v>26</v>
      </c>
      <c r="B120" s="4">
        <v>9962</v>
      </c>
      <c r="C120" s="4" t="s">
        <v>1474</v>
      </c>
      <c r="D120" s="4" t="s">
        <v>1475</v>
      </c>
      <c r="E120" s="4" t="s">
        <v>1305</v>
      </c>
      <c r="F120" s="4" t="s">
        <v>1476</v>
      </c>
      <c r="G120" s="4" t="s">
        <v>1477</v>
      </c>
      <c r="H120" s="4" t="s">
        <v>319</v>
      </c>
      <c r="I120" s="4" t="s">
        <v>931</v>
      </c>
      <c r="J120" s="4" t="s">
        <v>31</v>
      </c>
      <c r="K120" s="4" t="s">
        <v>31</v>
      </c>
      <c r="L120" s="2" t="s">
        <v>325</v>
      </c>
      <c r="M120" s="2" t="s">
        <v>40</v>
      </c>
      <c r="N120" s="4" t="s">
        <v>474</v>
      </c>
      <c r="O120" s="4" t="s">
        <v>136</v>
      </c>
      <c r="P120" s="4" t="s">
        <v>35</v>
      </c>
      <c r="Q120" s="154">
        <v>485</v>
      </c>
      <c r="R120" s="154">
        <v>1</v>
      </c>
      <c r="S120" s="154">
        <v>5625.1546391752572</v>
      </c>
      <c r="T120" s="161">
        <v>0.22</v>
      </c>
      <c r="U120" s="154">
        <v>27.501999999999999</v>
      </c>
      <c r="V120" s="169">
        <v>6.9999999999999999E-6</v>
      </c>
      <c r="W120" s="169">
        <v>5.8236076869493001E-3</v>
      </c>
      <c r="X120" s="169">
        <v>8.9096215377018704E-4</v>
      </c>
      <c r="Y120" s="154">
        <v>5625</v>
      </c>
      <c r="Z120" s="193">
        <f t="shared" si="1"/>
        <v>5625.1546391752572</v>
      </c>
    </row>
    <row r="121" spans="1:26">
      <c r="A121" s="4" t="s">
        <v>26</v>
      </c>
      <c r="B121" s="4">
        <v>9962</v>
      </c>
      <c r="C121" s="4" t="s">
        <v>1478</v>
      </c>
      <c r="D121" s="4" t="s">
        <v>1479</v>
      </c>
      <c r="E121" s="4" t="s">
        <v>1305</v>
      </c>
      <c r="F121" s="4" t="s">
        <v>1480</v>
      </c>
      <c r="G121" s="4" t="s">
        <v>1481</v>
      </c>
      <c r="H121" s="4" t="s">
        <v>319</v>
      </c>
      <c r="I121" s="4" t="s">
        <v>931</v>
      </c>
      <c r="J121" s="4" t="s">
        <v>31</v>
      </c>
      <c r="K121" s="4" t="s">
        <v>293</v>
      </c>
      <c r="L121" s="2" t="s">
        <v>325</v>
      </c>
      <c r="M121" s="2" t="s">
        <v>40</v>
      </c>
      <c r="N121" s="4" t="s">
        <v>444</v>
      </c>
      <c r="O121" s="4" t="s">
        <v>136</v>
      </c>
      <c r="P121" s="4" t="s">
        <v>35</v>
      </c>
      <c r="Q121" s="154">
        <v>700</v>
      </c>
      <c r="R121" s="154">
        <v>1</v>
      </c>
      <c r="S121" s="154">
        <v>546.42857142857144</v>
      </c>
      <c r="U121" s="154">
        <v>3.8250000000000002</v>
      </c>
      <c r="V121" s="169">
        <v>1.5999999999999999E-5</v>
      </c>
      <c r="W121" s="169">
        <v>8.0992023315859302E-4</v>
      </c>
      <c r="X121" s="169">
        <v>1.23910866615235E-4</v>
      </c>
      <c r="Y121" s="154">
        <v>546.4</v>
      </c>
      <c r="Z121" s="193">
        <f t="shared" si="1"/>
        <v>546.42857142857144</v>
      </c>
    </row>
    <row r="122" spans="1:26">
      <c r="A122" s="4" t="s">
        <v>26</v>
      </c>
      <c r="B122" s="4">
        <v>9962</v>
      </c>
      <c r="C122" s="4" t="s">
        <v>1482</v>
      </c>
      <c r="D122" s="4" t="s">
        <v>1483</v>
      </c>
      <c r="E122" s="4" t="s">
        <v>1305</v>
      </c>
      <c r="F122" s="4" t="s">
        <v>1484</v>
      </c>
      <c r="G122" s="4" t="s">
        <v>1485</v>
      </c>
      <c r="H122" s="4" t="s">
        <v>319</v>
      </c>
      <c r="I122" s="4" t="s">
        <v>931</v>
      </c>
      <c r="J122" s="4" t="s">
        <v>31</v>
      </c>
      <c r="K122" s="4" t="s">
        <v>31</v>
      </c>
      <c r="L122" s="2" t="s">
        <v>325</v>
      </c>
      <c r="M122" s="2" t="s">
        <v>40</v>
      </c>
      <c r="N122" s="4" t="s">
        <v>444</v>
      </c>
      <c r="O122" s="4" t="s">
        <v>136</v>
      </c>
      <c r="P122" s="4" t="s">
        <v>35</v>
      </c>
      <c r="Q122" s="154">
        <v>1920</v>
      </c>
      <c r="R122" s="154">
        <v>1</v>
      </c>
      <c r="S122" s="154">
        <v>1595.9895833333335</v>
      </c>
      <c r="U122" s="154">
        <v>30.643000000000001</v>
      </c>
      <c r="V122" s="169">
        <v>3.1999999999999999E-5</v>
      </c>
      <c r="W122" s="169">
        <v>6.4888484858621103E-3</v>
      </c>
      <c r="X122" s="169">
        <v>9.9273830471239589E-4</v>
      </c>
      <c r="Y122" s="154">
        <v>1596</v>
      </c>
      <c r="Z122" s="193">
        <f t="shared" si="1"/>
        <v>1595.9895833333335</v>
      </c>
    </row>
    <row r="123" spans="1:26">
      <c r="A123" s="4" t="s">
        <v>26</v>
      </c>
      <c r="B123" s="4">
        <v>9962</v>
      </c>
      <c r="C123" s="4" t="s">
        <v>1486</v>
      </c>
      <c r="D123" s="4" t="s">
        <v>1487</v>
      </c>
      <c r="E123" s="4" t="s">
        <v>1305</v>
      </c>
      <c r="F123" s="4" t="s">
        <v>1488</v>
      </c>
      <c r="G123" s="4" t="s">
        <v>1489</v>
      </c>
      <c r="H123" s="4" t="s">
        <v>319</v>
      </c>
      <c r="I123" s="4" t="s">
        <v>931</v>
      </c>
      <c r="J123" s="4" t="s">
        <v>31</v>
      </c>
      <c r="K123" s="4" t="s">
        <v>31</v>
      </c>
      <c r="L123" s="2" t="s">
        <v>325</v>
      </c>
      <c r="M123" s="2" t="s">
        <v>40</v>
      </c>
      <c r="N123" s="4" t="s">
        <v>474</v>
      </c>
      <c r="O123" s="4" t="s">
        <v>136</v>
      </c>
      <c r="P123" s="4" t="s">
        <v>35</v>
      </c>
      <c r="Q123" s="154">
        <v>144</v>
      </c>
      <c r="R123" s="154">
        <v>1</v>
      </c>
      <c r="S123" s="154">
        <v>23459.722222222219</v>
      </c>
      <c r="U123" s="154">
        <v>33.781999999999996</v>
      </c>
      <c r="V123" s="169">
        <v>6.0000000000000002E-6</v>
      </c>
      <c r="W123" s="169">
        <v>7.1535895431543801E-3</v>
      </c>
      <c r="X123" s="169">
        <v>1.0944379994620699E-3</v>
      </c>
      <c r="Y123" s="154">
        <v>23460</v>
      </c>
      <c r="Z123" s="193">
        <f t="shared" si="1"/>
        <v>23459.722222222219</v>
      </c>
    </row>
    <row r="124" spans="1:26">
      <c r="A124" s="4" t="s">
        <v>26</v>
      </c>
      <c r="B124" s="4">
        <v>9962</v>
      </c>
      <c r="C124" s="4" t="s">
        <v>1490</v>
      </c>
      <c r="D124" s="4" t="s">
        <v>1491</v>
      </c>
      <c r="E124" s="4" t="s">
        <v>1305</v>
      </c>
      <c r="F124" s="4" t="s">
        <v>1492</v>
      </c>
      <c r="G124" s="4" t="s">
        <v>1493</v>
      </c>
      <c r="H124" s="4" t="s">
        <v>319</v>
      </c>
      <c r="I124" s="4" t="s">
        <v>931</v>
      </c>
      <c r="J124" s="4" t="s">
        <v>31</v>
      </c>
      <c r="K124" s="4" t="s">
        <v>31</v>
      </c>
      <c r="L124" s="2" t="s">
        <v>325</v>
      </c>
      <c r="M124" s="2" t="s">
        <v>40</v>
      </c>
      <c r="N124" s="4" t="s">
        <v>460</v>
      </c>
      <c r="O124" s="4" t="s">
        <v>136</v>
      </c>
      <c r="P124" s="4" t="s">
        <v>35</v>
      </c>
      <c r="Q124" s="154">
        <v>1670</v>
      </c>
      <c r="R124" s="154">
        <v>1</v>
      </c>
      <c r="S124" s="154">
        <v>1255.0299401197603</v>
      </c>
      <c r="U124" s="154">
        <v>20.959</v>
      </c>
      <c r="V124" s="169">
        <v>4.5000000000000003E-5</v>
      </c>
      <c r="W124" s="169">
        <v>4.43806557379585E-3</v>
      </c>
      <c r="X124" s="169">
        <v>6.7898606409626803E-4</v>
      </c>
      <c r="Y124" s="154">
        <v>1255</v>
      </c>
      <c r="Z124" s="193">
        <f t="shared" si="1"/>
        <v>1255.0299401197603</v>
      </c>
    </row>
    <row r="125" spans="1:26">
      <c r="A125" s="4" t="s">
        <v>26</v>
      </c>
      <c r="B125" s="4">
        <v>9962</v>
      </c>
      <c r="C125" s="4" t="s">
        <v>1494</v>
      </c>
      <c r="D125" s="4" t="s">
        <v>1495</v>
      </c>
      <c r="E125" s="4" t="s">
        <v>1305</v>
      </c>
      <c r="F125" s="4" t="s">
        <v>1496</v>
      </c>
      <c r="G125" s="4" t="s">
        <v>1497</v>
      </c>
      <c r="H125" s="4" t="s">
        <v>319</v>
      </c>
      <c r="I125" s="4" t="s">
        <v>931</v>
      </c>
      <c r="J125" s="4" t="s">
        <v>31</v>
      </c>
      <c r="K125" s="4" t="s">
        <v>31</v>
      </c>
      <c r="L125" s="2" t="s">
        <v>325</v>
      </c>
      <c r="M125" s="2" t="s">
        <v>40</v>
      </c>
      <c r="N125" s="4" t="s">
        <v>455</v>
      </c>
      <c r="O125" s="4" t="s">
        <v>136</v>
      </c>
      <c r="P125" s="4" t="s">
        <v>35</v>
      </c>
      <c r="Q125" s="154">
        <v>500</v>
      </c>
      <c r="R125" s="154">
        <v>1</v>
      </c>
      <c r="S125" s="154">
        <v>12310</v>
      </c>
      <c r="U125" s="154">
        <v>61.55</v>
      </c>
      <c r="V125" s="169">
        <v>5.0000000000000004E-6</v>
      </c>
      <c r="W125" s="169">
        <v>1.3033515569679801E-2</v>
      </c>
      <c r="X125" s="169">
        <v>1.99401637737077E-3</v>
      </c>
      <c r="Y125" s="154">
        <v>12310</v>
      </c>
      <c r="Z125" s="193">
        <f t="shared" si="1"/>
        <v>12310</v>
      </c>
    </row>
    <row r="126" spans="1:26">
      <c r="A126" s="4" t="s">
        <v>26</v>
      </c>
      <c r="B126" s="4">
        <v>9962</v>
      </c>
      <c r="C126" s="4" t="s">
        <v>1498</v>
      </c>
      <c r="D126" s="4" t="s">
        <v>1499</v>
      </c>
      <c r="E126" s="4" t="s">
        <v>1305</v>
      </c>
      <c r="F126" s="4" t="s">
        <v>1500</v>
      </c>
      <c r="G126" s="4" t="s">
        <v>1501</v>
      </c>
      <c r="H126" s="4" t="s">
        <v>319</v>
      </c>
      <c r="I126" s="4" t="s">
        <v>931</v>
      </c>
      <c r="J126" s="4" t="s">
        <v>31</v>
      </c>
      <c r="K126" s="4" t="s">
        <v>31</v>
      </c>
      <c r="L126" s="2" t="s">
        <v>325</v>
      </c>
      <c r="M126" s="2" t="s">
        <v>40</v>
      </c>
      <c r="N126" s="4" t="s">
        <v>464</v>
      </c>
      <c r="O126" s="4" t="s">
        <v>136</v>
      </c>
      <c r="P126" s="4" t="s">
        <v>35</v>
      </c>
      <c r="Q126" s="154">
        <v>2498</v>
      </c>
      <c r="R126" s="154">
        <v>1</v>
      </c>
      <c r="S126" s="154">
        <v>5173.0184147317859</v>
      </c>
      <c r="U126" s="154">
        <v>129.22200000000001</v>
      </c>
      <c r="V126" s="169">
        <v>1.9999999999999999E-6</v>
      </c>
      <c r="W126" s="169">
        <v>2.7363297376572001E-2</v>
      </c>
      <c r="X126" s="169">
        <v>4.1863503991725701E-3</v>
      </c>
      <c r="Y126" s="154">
        <v>5173</v>
      </c>
      <c r="Z126" s="193">
        <f t="shared" si="1"/>
        <v>5173.0184147317859</v>
      </c>
    </row>
    <row r="127" spans="1:26">
      <c r="A127" s="4" t="s">
        <v>26</v>
      </c>
      <c r="B127" s="4">
        <v>9962</v>
      </c>
      <c r="C127" s="4" t="s">
        <v>1502</v>
      </c>
      <c r="D127" s="4" t="s">
        <v>1503</v>
      </c>
      <c r="E127" s="4" t="s">
        <v>1305</v>
      </c>
      <c r="F127" s="4" t="s">
        <v>1504</v>
      </c>
      <c r="G127" s="4" t="s">
        <v>1505</v>
      </c>
      <c r="H127" s="4" t="s">
        <v>319</v>
      </c>
      <c r="I127" s="4" t="s">
        <v>931</v>
      </c>
      <c r="J127" s="4" t="s">
        <v>31</v>
      </c>
      <c r="K127" s="4" t="s">
        <v>31</v>
      </c>
      <c r="L127" s="2" t="s">
        <v>325</v>
      </c>
      <c r="M127" s="2" t="s">
        <v>40</v>
      </c>
      <c r="N127" s="4" t="s">
        <v>473</v>
      </c>
      <c r="O127" s="4" t="s">
        <v>136</v>
      </c>
      <c r="P127" s="4" t="s">
        <v>35</v>
      </c>
      <c r="Q127" s="154">
        <v>4467</v>
      </c>
      <c r="R127" s="154">
        <v>1</v>
      </c>
      <c r="S127" s="154">
        <v>510.99171703604213</v>
      </c>
      <c r="U127" s="154">
        <v>22.826000000000001</v>
      </c>
      <c r="V127" s="169">
        <v>4.1999999999999998E-5</v>
      </c>
      <c r="W127" s="169">
        <v>4.83359624361125E-3</v>
      </c>
      <c r="X127" s="169">
        <v>7.3949887272014301E-4</v>
      </c>
      <c r="Y127" s="154">
        <v>511</v>
      </c>
      <c r="Z127" s="193">
        <f t="shared" si="1"/>
        <v>510.99171703604213</v>
      </c>
    </row>
    <row r="128" spans="1:26">
      <c r="A128" s="4" t="s">
        <v>26</v>
      </c>
      <c r="B128" s="4">
        <v>9962</v>
      </c>
      <c r="C128" s="4" t="s">
        <v>1506</v>
      </c>
      <c r="D128" s="4" t="s">
        <v>1507</v>
      </c>
      <c r="E128" s="4" t="s">
        <v>1305</v>
      </c>
      <c r="F128" s="4" t="s">
        <v>1508</v>
      </c>
      <c r="G128" s="4" t="s">
        <v>1509</v>
      </c>
      <c r="H128" s="4" t="s">
        <v>319</v>
      </c>
      <c r="I128" s="4" t="s">
        <v>931</v>
      </c>
      <c r="J128" s="4" t="s">
        <v>31</v>
      </c>
      <c r="K128" s="4" t="s">
        <v>31</v>
      </c>
      <c r="L128" s="2" t="s">
        <v>325</v>
      </c>
      <c r="M128" s="2" t="s">
        <v>40</v>
      </c>
      <c r="N128" s="4" t="s">
        <v>451</v>
      </c>
      <c r="O128" s="4" t="s">
        <v>136</v>
      </c>
      <c r="P128" s="4" t="s">
        <v>35</v>
      </c>
      <c r="Q128" s="154">
        <v>40000</v>
      </c>
      <c r="R128" s="154">
        <v>1</v>
      </c>
      <c r="S128" s="154">
        <v>179</v>
      </c>
      <c r="U128" s="154">
        <v>71.599999999999994</v>
      </c>
      <c r="V128" s="169">
        <v>1.5E-5</v>
      </c>
      <c r="W128" s="169">
        <v>1.5161652555468299E-2</v>
      </c>
      <c r="X128" s="169">
        <v>2.31960312948411E-3</v>
      </c>
      <c r="Y128" s="154">
        <v>179</v>
      </c>
      <c r="Z128" s="193">
        <f t="shared" si="1"/>
        <v>179</v>
      </c>
    </row>
    <row r="129" spans="1:26">
      <c r="A129" s="4" t="s">
        <v>26</v>
      </c>
      <c r="B129" s="4">
        <v>9962</v>
      </c>
      <c r="C129" s="4" t="s">
        <v>1510</v>
      </c>
      <c r="D129" s="4" t="s">
        <v>1511</v>
      </c>
      <c r="E129" s="4" t="s">
        <v>1305</v>
      </c>
      <c r="F129" s="4" t="s">
        <v>1512</v>
      </c>
      <c r="G129" s="4" t="s">
        <v>1513</v>
      </c>
      <c r="H129" s="4" t="s">
        <v>319</v>
      </c>
      <c r="I129" s="4" t="s">
        <v>931</v>
      </c>
      <c r="J129" s="4" t="s">
        <v>31</v>
      </c>
      <c r="K129" s="4" t="s">
        <v>31</v>
      </c>
      <c r="L129" s="2" t="s">
        <v>325</v>
      </c>
      <c r="M129" s="2" t="s">
        <v>40</v>
      </c>
      <c r="N129" s="4" t="s">
        <v>458</v>
      </c>
      <c r="O129" s="4" t="s">
        <v>136</v>
      </c>
      <c r="P129" s="4" t="s">
        <v>35</v>
      </c>
      <c r="Q129" s="154">
        <v>197</v>
      </c>
      <c r="R129" s="154">
        <v>1</v>
      </c>
      <c r="S129" s="154">
        <v>8848.2233502538074</v>
      </c>
      <c r="U129" s="154">
        <v>17.431000000000001</v>
      </c>
      <c r="V129" s="169">
        <v>3.0000000000000001E-6</v>
      </c>
      <c r="W129" s="169">
        <v>3.6910069073637398E-3</v>
      </c>
      <c r="X129" s="169">
        <v>5.6469247939470101E-4</v>
      </c>
      <c r="Y129" s="154">
        <v>8848</v>
      </c>
      <c r="Z129" s="193">
        <f t="shared" si="1"/>
        <v>8848.2233502538074</v>
      </c>
    </row>
    <row r="130" spans="1:26">
      <c r="A130" s="4" t="s">
        <v>26</v>
      </c>
      <c r="B130" s="4">
        <v>9962</v>
      </c>
      <c r="C130" s="4" t="s">
        <v>1176</v>
      </c>
      <c r="D130" s="4" t="s">
        <v>1364</v>
      </c>
      <c r="E130" s="4" t="s">
        <v>1305</v>
      </c>
      <c r="F130" s="4" t="s">
        <v>1365</v>
      </c>
      <c r="G130" s="4" t="s">
        <v>1366</v>
      </c>
      <c r="H130" s="4" t="s">
        <v>319</v>
      </c>
      <c r="I130" s="4" t="s">
        <v>931</v>
      </c>
      <c r="J130" s="4" t="s">
        <v>31</v>
      </c>
      <c r="K130" s="4" t="s">
        <v>31</v>
      </c>
      <c r="L130" s="2" t="s">
        <v>325</v>
      </c>
      <c r="M130" s="2" t="s">
        <v>40</v>
      </c>
      <c r="N130" s="4" t="s">
        <v>445</v>
      </c>
      <c r="O130" s="4" t="s">
        <v>136</v>
      </c>
      <c r="P130" s="4" t="s">
        <v>35</v>
      </c>
      <c r="Q130" s="154">
        <v>8343</v>
      </c>
      <c r="R130" s="154">
        <v>1</v>
      </c>
      <c r="S130" s="154">
        <v>3099.9999999999995</v>
      </c>
      <c r="T130" s="161">
        <v>2</v>
      </c>
      <c r="U130" s="154">
        <v>260.63299999999998</v>
      </c>
      <c r="V130" s="169">
        <v>5.0000000000000004E-6</v>
      </c>
      <c r="W130" s="169">
        <v>5.5190295685629498E-2</v>
      </c>
      <c r="X130" s="169">
        <v>8.4436430739449307E-3</v>
      </c>
      <c r="Y130" s="154">
        <v>3100</v>
      </c>
      <c r="Z130" s="193">
        <f t="shared" si="1"/>
        <v>3099.9999999999995</v>
      </c>
    </row>
    <row r="131" spans="1:26">
      <c r="A131" s="4" t="s">
        <v>26</v>
      </c>
      <c r="B131" s="4">
        <v>9962</v>
      </c>
      <c r="C131" s="4" t="s">
        <v>1514</v>
      </c>
      <c r="D131" s="4" t="s">
        <v>1515</v>
      </c>
      <c r="E131" s="4" t="s">
        <v>1305</v>
      </c>
      <c r="F131" s="4" t="s">
        <v>1516</v>
      </c>
      <c r="G131" s="4" t="s">
        <v>1517</v>
      </c>
      <c r="H131" s="4" t="s">
        <v>319</v>
      </c>
      <c r="I131" s="4" t="s">
        <v>931</v>
      </c>
      <c r="J131" s="4" t="s">
        <v>31</v>
      </c>
      <c r="K131" s="4" t="s">
        <v>31</v>
      </c>
      <c r="L131" s="2" t="s">
        <v>325</v>
      </c>
      <c r="M131" s="2" t="s">
        <v>40</v>
      </c>
      <c r="N131" s="4" t="s">
        <v>473</v>
      </c>
      <c r="O131" s="4" t="s">
        <v>136</v>
      </c>
      <c r="P131" s="4" t="s">
        <v>35</v>
      </c>
      <c r="Q131" s="154">
        <v>108</v>
      </c>
      <c r="R131" s="154">
        <v>1</v>
      </c>
      <c r="S131" s="154">
        <v>18179.629629629628</v>
      </c>
      <c r="U131" s="154">
        <v>19.634</v>
      </c>
      <c r="V131" s="169">
        <v>6.9999999999999999E-6</v>
      </c>
      <c r="W131" s="169">
        <v>4.15768087898167E-3</v>
      </c>
      <c r="X131" s="169">
        <v>6.3608960454668805E-4</v>
      </c>
      <c r="Y131" s="154">
        <v>18180</v>
      </c>
      <c r="Z131" s="193">
        <f t="shared" ref="Z131:Z194" si="2">(U131-T131*R131)/R131/Q131*100000</f>
        <v>18179.629629629628</v>
      </c>
    </row>
    <row r="132" spans="1:26">
      <c r="A132" s="4" t="s">
        <v>26</v>
      </c>
      <c r="B132" s="4">
        <v>9962</v>
      </c>
      <c r="C132" s="4" t="s">
        <v>1367</v>
      </c>
      <c r="D132" s="4" t="s">
        <v>1368</v>
      </c>
      <c r="E132" s="4" t="s">
        <v>1305</v>
      </c>
      <c r="F132" s="4" t="s">
        <v>1369</v>
      </c>
      <c r="G132" s="4" t="s">
        <v>1370</v>
      </c>
      <c r="H132" s="4" t="s">
        <v>319</v>
      </c>
      <c r="I132" s="4" t="s">
        <v>931</v>
      </c>
      <c r="J132" s="4" t="s">
        <v>31</v>
      </c>
      <c r="K132" s="4" t="s">
        <v>31</v>
      </c>
      <c r="L132" s="2" t="s">
        <v>325</v>
      </c>
      <c r="M132" s="2" t="s">
        <v>40</v>
      </c>
      <c r="N132" s="4" t="s">
        <v>461</v>
      </c>
      <c r="O132" s="4" t="s">
        <v>136</v>
      </c>
      <c r="P132" s="4" t="s">
        <v>35</v>
      </c>
      <c r="Q132" s="154">
        <v>7521</v>
      </c>
      <c r="R132" s="154">
        <v>1</v>
      </c>
      <c r="S132" s="154">
        <v>907.10011966493812</v>
      </c>
      <c r="U132" s="154">
        <v>68.222999999999999</v>
      </c>
      <c r="V132" s="169">
        <v>1.0000000000000001E-5</v>
      </c>
      <c r="W132" s="169">
        <v>1.4446554271464299E-2</v>
      </c>
      <c r="X132" s="169">
        <v>2.21019920986545E-3</v>
      </c>
      <c r="Y132" s="154">
        <v>907.1</v>
      </c>
      <c r="Z132" s="193">
        <f t="shared" si="2"/>
        <v>907.10011966493812</v>
      </c>
    </row>
    <row r="133" spans="1:26">
      <c r="A133" s="4" t="s">
        <v>26</v>
      </c>
      <c r="B133" s="4">
        <v>9962</v>
      </c>
      <c r="C133" s="4" t="s">
        <v>1518</v>
      </c>
      <c r="D133" s="4" t="s">
        <v>1519</v>
      </c>
      <c r="E133" s="4" t="s">
        <v>1305</v>
      </c>
      <c r="F133" s="4" t="s">
        <v>1520</v>
      </c>
      <c r="G133" s="4" t="s">
        <v>1521</v>
      </c>
      <c r="H133" s="4" t="s">
        <v>319</v>
      </c>
      <c r="I133" s="4" t="s">
        <v>931</v>
      </c>
      <c r="J133" s="4" t="s">
        <v>31</v>
      </c>
      <c r="K133" s="4" t="s">
        <v>31</v>
      </c>
      <c r="L133" s="2" t="s">
        <v>325</v>
      </c>
      <c r="M133" s="2" t="s">
        <v>40</v>
      </c>
      <c r="N133" s="4" t="s">
        <v>445</v>
      </c>
      <c r="O133" s="4" t="s">
        <v>136</v>
      </c>
      <c r="P133" s="4" t="s">
        <v>35</v>
      </c>
      <c r="Q133" s="154">
        <v>1047</v>
      </c>
      <c r="R133" s="154">
        <v>1</v>
      </c>
      <c r="S133" s="154">
        <v>14000.000000000002</v>
      </c>
      <c r="U133" s="154">
        <v>146.58000000000001</v>
      </c>
      <c r="V133" s="169">
        <v>3.9999999999999998E-6</v>
      </c>
      <c r="W133" s="169">
        <v>3.1039036753918298E-2</v>
      </c>
      <c r="X133" s="169">
        <v>4.7487070770919201E-3</v>
      </c>
      <c r="Y133" s="154">
        <v>14000</v>
      </c>
      <c r="Z133" s="193">
        <f t="shared" si="2"/>
        <v>14000.000000000002</v>
      </c>
    </row>
    <row r="134" spans="1:26">
      <c r="A134" s="4" t="s">
        <v>26</v>
      </c>
      <c r="B134" s="4">
        <v>9962</v>
      </c>
      <c r="C134" s="4" t="s">
        <v>1522</v>
      </c>
      <c r="D134" s="4" t="s">
        <v>1523</v>
      </c>
      <c r="E134" s="4" t="s">
        <v>1305</v>
      </c>
      <c r="F134" s="4" t="s">
        <v>1524</v>
      </c>
      <c r="G134" s="4" t="s">
        <v>1525</v>
      </c>
      <c r="H134" s="4" t="s">
        <v>319</v>
      </c>
      <c r="I134" s="4" t="s">
        <v>931</v>
      </c>
      <c r="J134" s="4" t="s">
        <v>31</v>
      </c>
      <c r="K134" s="4" t="s">
        <v>31</v>
      </c>
      <c r="L134" s="2" t="s">
        <v>325</v>
      </c>
      <c r="M134" s="2" t="s">
        <v>40</v>
      </c>
      <c r="N134" s="4" t="s">
        <v>474</v>
      </c>
      <c r="O134" s="4" t="s">
        <v>136</v>
      </c>
      <c r="P134" s="4" t="s">
        <v>35</v>
      </c>
      <c r="Q134" s="154">
        <v>387</v>
      </c>
      <c r="R134" s="154">
        <v>1</v>
      </c>
      <c r="S134" s="154">
        <v>8160.2067183462523</v>
      </c>
      <c r="T134" s="161">
        <v>0.49099999999999999</v>
      </c>
      <c r="U134" s="154">
        <v>32.070999999999998</v>
      </c>
      <c r="V134" s="169">
        <v>6.0000000000000002E-6</v>
      </c>
      <c r="W134" s="169">
        <v>6.7911265222644198E-3</v>
      </c>
      <c r="X134" s="169">
        <v>1.0389842582222699E-3</v>
      </c>
      <c r="Y134" s="154">
        <v>8160</v>
      </c>
      <c r="Z134" s="193">
        <f t="shared" si="2"/>
        <v>8160.2067183462523</v>
      </c>
    </row>
    <row r="135" spans="1:26">
      <c r="A135" s="4" t="s">
        <v>26</v>
      </c>
      <c r="B135" s="4">
        <v>9962</v>
      </c>
      <c r="C135" s="4" t="s">
        <v>1526</v>
      </c>
      <c r="D135" s="4" t="s">
        <v>1527</v>
      </c>
      <c r="E135" s="4" t="s">
        <v>1305</v>
      </c>
      <c r="F135" s="4" t="s">
        <v>1528</v>
      </c>
      <c r="G135" s="4" t="s">
        <v>1529</v>
      </c>
      <c r="H135" s="4" t="s">
        <v>319</v>
      </c>
      <c r="I135" s="4" t="s">
        <v>931</v>
      </c>
      <c r="J135" s="4" t="s">
        <v>31</v>
      </c>
      <c r="K135" s="4" t="s">
        <v>31</v>
      </c>
      <c r="L135" s="2" t="s">
        <v>325</v>
      </c>
      <c r="M135" s="2" t="s">
        <v>40</v>
      </c>
      <c r="N135" s="4" t="s">
        <v>461</v>
      </c>
      <c r="O135" s="4" t="s">
        <v>136</v>
      </c>
      <c r="P135" s="4" t="s">
        <v>35</v>
      </c>
      <c r="Q135" s="154">
        <v>428</v>
      </c>
      <c r="R135" s="154">
        <v>1</v>
      </c>
      <c r="S135" s="154">
        <v>26899.999999999996</v>
      </c>
      <c r="T135" s="161">
        <v>1.081</v>
      </c>
      <c r="U135" s="154">
        <v>116.21299999999999</v>
      </c>
      <c r="V135" s="169">
        <v>9.0000000000000002E-6</v>
      </c>
      <c r="W135" s="169">
        <v>2.4608628391970401E-2</v>
      </c>
      <c r="X135" s="169">
        <v>3.7649096113693899E-3</v>
      </c>
      <c r="Y135" s="154">
        <v>26900</v>
      </c>
      <c r="Z135" s="193">
        <f t="shared" si="2"/>
        <v>26899.999999999996</v>
      </c>
    </row>
    <row r="136" spans="1:26">
      <c r="A136" s="4" t="s">
        <v>26</v>
      </c>
      <c r="B136" s="4">
        <v>9962</v>
      </c>
      <c r="C136" s="4" t="s">
        <v>1530</v>
      </c>
      <c r="D136" s="4" t="s">
        <v>1531</v>
      </c>
      <c r="E136" s="4" t="s">
        <v>1305</v>
      </c>
      <c r="F136" s="4" t="s">
        <v>1532</v>
      </c>
      <c r="G136" s="4" t="s">
        <v>1533</v>
      </c>
      <c r="H136" s="4" t="s">
        <v>319</v>
      </c>
      <c r="I136" s="4" t="s">
        <v>931</v>
      </c>
      <c r="J136" s="4" t="s">
        <v>31</v>
      </c>
      <c r="K136" s="4" t="s">
        <v>31</v>
      </c>
      <c r="L136" s="2" t="s">
        <v>325</v>
      </c>
      <c r="M136" s="2" t="s">
        <v>40</v>
      </c>
      <c r="N136" s="4" t="s">
        <v>442</v>
      </c>
      <c r="O136" s="4" t="s">
        <v>136</v>
      </c>
      <c r="P136" s="4" t="s">
        <v>35</v>
      </c>
      <c r="Q136" s="154">
        <v>580</v>
      </c>
      <c r="R136" s="154">
        <v>1</v>
      </c>
      <c r="S136" s="154">
        <v>9800</v>
      </c>
      <c r="U136" s="154">
        <v>56.84</v>
      </c>
      <c r="V136" s="169">
        <v>9.0000000000000002E-6</v>
      </c>
      <c r="W136" s="169">
        <v>1.20361498778327E-2</v>
      </c>
      <c r="X136" s="169">
        <v>1.8414279592161599E-3</v>
      </c>
      <c r="Y136" s="154">
        <v>9800</v>
      </c>
      <c r="Z136" s="193">
        <f t="shared" si="2"/>
        <v>9800</v>
      </c>
    </row>
    <row r="137" spans="1:26">
      <c r="A137" s="4" t="s">
        <v>26</v>
      </c>
      <c r="B137" s="4">
        <v>9962</v>
      </c>
      <c r="C137" s="4" t="s">
        <v>1534</v>
      </c>
      <c r="D137" s="4" t="s">
        <v>1535</v>
      </c>
      <c r="E137" s="4" t="s">
        <v>1305</v>
      </c>
      <c r="F137" s="4" t="s">
        <v>1536</v>
      </c>
      <c r="G137" s="4" t="s">
        <v>1537</v>
      </c>
      <c r="H137" s="4" t="s">
        <v>319</v>
      </c>
      <c r="I137" s="4" t="s">
        <v>931</v>
      </c>
      <c r="J137" s="4" t="s">
        <v>73</v>
      </c>
      <c r="K137" s="4" t="s">
        <v>74</v>
      </c>
      <c r="L137" s="2" t="s">
        <v>325</v>
      </c>
      <c r="M137" s="2" t="s">
        <v>40</v>
      </c>
      <c r="N137" s="4" t="s">
        <v>451</v>
      </c>
      <c r="O137" s="4" t="s">
        <v>136</v>
      </c>
      <c r="P137" s="4" t="s">
        <v>35</v>
      </c>
      <c r="Q137" s="154">
        <v>1996</v>
      </c>
      <c r="R137" s="154">
        <v>1</v>
      </c>
      <c r="S137" s="154">
        <v>4169.9899799599198</v>
      </c>
      <c r="U137" s="154">
        <v>83.233000000000004</v>
      </c>
      <c r="V137" s="169">
        <v>2.0999999999999999E-5</v>
      </c>
      <c r="W137" s="169">
        <v>1.76250399368688E-2</v>
      </c>
      <c r="X137" s="169">
        <v>2.6964803239801199E-3</v>
      </c>
      <c r="Y137" s="154">
        <v>4170</v>
      </c>
      <c r="Z137" s="193">
        <f t="shared" si="2"/>
        <v>4169.9899799599198</v>
      </c>
    </row>
    <row r="138" spans="1:26">
      <c r="A138" s="4" t="s">
        <v>26</v>
      </c>
      <c r="B138" s="4">
        <v>9962</v>
      </c>
      <c r="C138" s="4" t="s">
        <v>1538</v>
      </c>
      <c r="D138" s="4" t="s">
        <v>1539</v>
      </c>
      <c r="E138" s="4" t="s">
        <v>1305</v>
      </c>
      <c r="F138" s="4" t="s">
        <v>1540</v>
      </c>
      <c r="G138" s="4" t="s">
        <v>1541</v>
      </c>
      <c r="H138" s="4" t="s">
        <v>319</v>
      </c>
      <c r="I138" s="4" t="s">
        <v>931</v>
      </c>
      <c r="J138" s="4" t="s">
        <v>31</v>
      </c>
      <c r="K138" s="4" t="s">
        <v>31</v>
      </c>
      <c r="L138" s="2" t="s">
        <v>325</v>
      </c>
      <c r="M138" s="2" t="s">
        <v>40</v>
      </c>
      <c r="N138" s="4" t="s">
        <v>455</v>
      </c>
      <c r="O138" s="4" t="s">
        <v>136</v>
      </c>
      <c r="P138" s="4" t="s">
        <v>35</v>
      </c>
      <c r="Q138" s="154">
        <v>103</v>
      </c>
      <c r="R138" s="154">
        <v>1</v>
      </c>
      <c r="S138" s="154">
        <v>64720.388349514571</v>
      </c>
      <c r="U138" s="154">
        <v>66.662000000000006</v>
      </c>
      <c r="V138" s="169">
        <v>3.9999999999999998E-6</v>
      </c>
      <c r="W138" s="169">
        <v>1.41159220389889E-2</v>
      </c>
      <c r="X138" s="169">
        <v>2.1596153069332099E-3</v>
      </c>
      <c r="Y138" s="154">
        <v>64720</v>
      </c>
      <c r="Z138" s="193">
        <f t="shared" si="2"/>
        <v>64720.388349514571</v>
      </c>
    </row>
    <row r="139" spans="1:26">
      <c r="A139" s="4" t="s">
        <v>26</v>
      </c>
      <c r="B139" s="4">
        <v>9962</v>
      </c>
      <c r="C139" s="4" t="s">
        <v>1318</v>
      </c>
      <c r="D139" s="4" t="s">
        <v>1319</v>
      </c>
      <c r="E139" s="4" t="s">
        <v>1305</v>
      </c>
      <c r="F139" s="4" t="s">
        <v>1542</v>
      </c>
      <c r="G139" s="4" t="s">
        <v>1543</v>
      </c>
      <c r="H139" s="4" t="s">
        <v>319</v>
      </c>
      <c r="I139" s="4" t="s">
        <v>931</v>
      </c>
      <c r="J139" s="4" t="s">
        <v>31</v>
      </c>
      <c r="K139" s="4" t="s">
        <v>31</v>
      </c>
      <c r="L139" s="2" t="s">
        <v>325</v>
      </c>
      <c r="M139" s="2" t="s">
        <v>40</v>
      </c>
      <c r="N139" s="4" t="s">
        <v>438</v>
      </c>
      <c r="O139" s="4" t="s">
        <v>136</v>
      </c>
      <c r="P139" s="4" t="s">
        <v>35</v>
      </c>
      <c r="Q139" s="154">
        <v>1035</v>
      </c>
      <c r="R139" s="154">
        <v>1</v>
      </c>
      <c r="S139" s="154">
        <v>8908.0193236714967</v>
      </c>
      <c r="U139" s="154">
        <v>92.197999999999993</v>
      </c>
      <c r="V139" s="169">
        <v>2.9E-5</v>
      </c>
      <c r="W139" s="169">
        <v>1.9523338128192201E-2</v>
      </c>
      <c r="X139" s="169">
        <v>2.9869037068652299E-3</v>
      </c>
      <c r="Y139" s="154">
        <v>8908</v>
      </c>
      <c r="Z139" s="193">
        <f t="shared" si="2"/>
        <v>8908.0193236714967</v>
      </c>
    </row>
    <row r="140" spans="1:26">
      <c r="A140" s="4" t="s">
        <v>26</v>
      </c>
      <c r="B140" s="4">
        <v>9962</v>
      </c>
      <c r="C140" s="4" t="s">
        <v>1544</v>
      </c>
      <c r="D140" s="4" t="s">
        <v>1545</v>
      </c>
      <c r="E140" s="4" t="s">
        <v>1305</v>
      </c>
      <c r="F140" s="4" t="s">
        <v>1546</v>
      </c>
      <c r="G140" s="4" t="s">
        <v>1547</v>
      </c>
      <c r="H140" s="4" t="s">
        <v>319</v>
      </c>
      <c r="I140" s="4" t="s">
        <v>931</v>
      </c>
      <c r="J140" s="4" t="s">
        <v>31</v>
      </c>
      <c r="K140" s="4" t="s">
        <v>31</v>
      </c>
      <c r="L140" s="2" t="s">
        <v>325</v>
      </c>
      <c r="M140" s="2" t="s">
        <v>40</v>
      </c>
      <c r="N140" s="4" t="s">
        <v>451</v>
      </c>
      <c r="O140" s="4" t="s">
        <v>136</v>
      </c>
      <c r="P140" s="4" t="s">
        <v>35</v>
      </c>
      <c r="Q140" s="154">
        <v>4835</v>
      </c>
      <c r="R140" s="154">
        <v>1</v>
      </c>
      <c r="S140" s="154">
        <v>935.30506721820063</v>
      </c>
      <c r="T140" s="161">
        <v>0.92600000000000005</v>
      </c>
      <c r="U140" s="154">
        <v>46.148000000000003</v>
      </c>
      <c r="V140" s="169">
        <v>3.9999999999999998E-6</v>
      </c>
      <c r="W140" s="169">
        <v>9.7720969353264405E-3</v>
      </c>
      <c r="X140" s="169">
        <v>1.49504722851797E-3</v>
      </c>
      <c r="Y140" s="154">
        <v>935.3</v>
      </c>
      <c r="Z140" s="193">
        <f t="shared" si="2"/>
        <v>935.30506721820063</v>
      </c>
    </row>
    <row r="141" spans="1:26">
      <c r="A141" s="4" t="s">
        <v>26</v>
      </c>
      <c r="B141" s="4">
        <v>9962</v>
      </c>
      <c r="C141" s="4" t="s">
        <v>1548</v>
      </c>
      <c r="D141" s="4" t="s">
        <v>1549</v>
      </c>
      <c r="E141" s="4" t="s">
        <v>1305</v>
      </c>
      <c r="F141" s="4" t="s">
        <v>1550</v>
      </c>
      <c r="G141" s="4" t="s">
        <v>1551</v>
      </c>
      <c r="H141" s="4" t="s">
        <v>319</v>
      </c>
      <c r="I141" s="4" t="s">
        <v>931</v>
      </c>
      <c r="J141" s="4" t="s">
        <v>31</v>
      </c>
      <c r="K141" s="4" t="s">
        <v>31</v>
      </c>
      <c r="L141" s="2" t="s">
        <v>325</v>
      </c>
      <c r="M141" s="2" t="s">
        <v>40</v>
      </c>
      <c r="N141" s="4" t="s">
        <v>478</v>
      </c>
      <c r="O141" s="4" t="s">
        <v>136</v>
      </c>
      <c r="P141" s="4" t="s">
        <v>35</v>
      </c>
      <c r="Q141" s="154">
        <v>81</v>
      </c>
      <c r="R141" s="154">
        <v>1</v>
      </c>
      <c r="S141" s="154">
        <v>95150.617283950618</v>
      </c>
      <c r="U141" s="154">
        <v>77.072000000000003</v>
      </c>
      <c r="V141" s="169">
        <v>9.9999999999999995E-7</v>
      </c>
      <c r="W141" s="169">
        <v>1.6320269621910299E-2</v>
      </c>
      <c r="X141" s="169">
        <v>2.4968616284083102E-3</v>
      </c>
      <c r="Y141" s="154">
        <v>95150</v>
      </c>
      <c r="Z141" s="193">
        <f t="shared" si="2"/>
        <v>95150.617283950618</v>
      </c>
    </row>
    <row r="142" spans="1:26">
      <c r="A142" s="4" t="s">
        <v>26</v>
      </c>
      <c r="B142" s="4">
        <v>9962</v>
      </c>
      <c r="C142" s="4" t="s">
        <v>1552</v>
      </c>
      <c r="D142" s="4" t="s">
        <v>1553</v>
      </c>
      <c r="E142" s="4" t="s">
        <v>1305</v>
      </c>
      <c r="F142" s="4" t="s">
        <v>1554</v>
      </c>
      <c r="G142" s="4" t="s">
        <v>1555</v>
      </c>
      <c r="H142" s="4" t="s">
        <v>319</v>
      </c>
      <c r="I142" s="4" t="s">
        <v>931</v>
      </c>
      <c r="J142" s="4" t="s">
        <v>31</v>
      </c>
      <c r="K142" s="4" t="s">
        <v>31</v>
      </c>
      <c r="L142" s="2" t="s">
        <v>325</v>
      </c>
      <c r="M142" s="2" t="s">
        <v>40</v>
      </c>
      <c r="N142" s="4" t="s">
        <v>461</v>
      </c>
      <c r="O142" s="4" t="s">
        <v>136</v>
      </c>
      <c r="P142" s="4" t="s">
        <v>35</v>
      </c>
      <c r="Q142" s="154">
        <v>282</v>
      </c>
      <c r="R142" s="154">
        <v>1</v>
      </c>
      <c r="S142" s="154">
        <v>22540.070921985818</v>
      </c>
      <c r="U142" s="154">
        <v>63.563000000000002</v>
      </c>
      <c r="V142" s="169">
        <v>3.8000000000000002E-5</v>
      </c>
      <c r="W142" s="169">
        <v>1.34597358806246E-2</v>
      </c>
      <c r="X142" s="169">
        <v>2.0592244385303402E-3</v>
      </c>
      <c r="Y142" s="154">
        <v>22540</v>
      </c>
      <c r="Z142" s="193">
        <f t="shared" si="2"/>
        <v>22540.070921985818</v>
      </c>
    </row>
    <row r="143" spans="1:26">
      <c r="A143" s="4" t="s">
        <v>26</v>
      </c>
      <c r="B143" s="4">
        <v>9962</v>
      </c>
      <c r="C143" s="4" t="s">
        <v>1556</v>
      </c>
      <c r="D143" s="4" t="s">
        <v>1557</v>
      </c>
      <c r="E143" s="4" t="s">
        <v>1305</v>
      </c>
      <c r="F143" s="4" t="s">
        <v>1556</v>
      </c>
      <c r="G143" s="4" t="s">
        <v>1558</v>
      </c>
      <c r="H143" s="4" t="s">
        <v>319</v>
      </c>
      <c r="I143" s="4" t="s">
        <v>931</v>
      </c>
      <c r="J143" s="4" t="s">
        <v>31</v>
      </c>
      <c r="K143" s="4" t="s">
        <v>31</v>
      </c>
      <c r="L143" s="2" t="s">
        <v>325</v>
      </c>
      <c r="M143" s="2" t="s">
        <v>40</v>
      </c>
      <c r="N143" s="4" t="s">
        <v>436</v>
      </c>
      <c r="O143" s="4" t="s">
        <v>136</v>
      </c>
      <c r="P143" s="4" t="s">
        <v>35</v>
      </c>
      <c r="Q143" s="154">
        <v>5285</v>
      </c>
      <c r="R143" s="154">
        <v>1</v>
      </c>
      <c r="S143" s="154">
        <v>4272.9990539262062</v>
      </c>
      <c r="U143" s="154">
        <v>225.828</v>
      </c>
      <c r="V143" s="169">
        <v>6.7000000000000002E-5</v>
      </c>
      <c r="W143" s="169">
        <v>4.7820201555571602E-2</v>
      </c>
      <c r="X143" s="169">
        <v>7.3160817249342796E-3</v>
      </c>
      <c r="Y143" s="154">
        <v>4273</v>
      </c>
      <c r="Z143" s="193">
        <f t="shared" si="2"/>
        <v>4272.9990539262062</v>
      </c>
    </row>
    <row r="144" spans="1:26">
      <c r="A144" s="4" t="s">
        <v>26</v>
      </c>
      <c r="B144" s="4">
        <v>9962</v>
      </c>
      <c r="C144" s="4" t="s">
        <v>1559</v>
      </c>
      <c r="D144" s="4" t="s">
        <v>1560</v>
      </c>
      <c r="E144" s="4" t="s">
        <v>1305</v>
      </c>
      <c r="F144" s="4" t="s">
        <v>1561</v>
      </c>
      <c r="G144" s="4" t="s">
        <v>1562</v>
      </c>
      <c r="H144" s="4" t="s">
        <v>319</v>
      </c>
      <c r="I144" s="4" t="s">
        <v>931</v>
      </c>
      <c r="J144" s="4" t="s">
        <v>31</v>
      </c>
      <c r="K144" s="4" t="s">
        <v>31</v>
      </c>
      <c r="L144" s="2" t="s">
        <v>325</v>
      </c>
      <c r="M144" s="2" t="s">
        <v>40</v>
      </c>
      <c r="N144" s="4" t="s">
        <v>438</v>
      </c>
      <c r="O144" s="4" t="s">
        <v>136</v>
      </c>
      <c r="P144" s="4" t="s">
        <v>35</v>
      </c>
      <c r="Q144" s="154">
        <v>790</v>
      </c>
      <c r="R144" s="154">
        <v>1</v>
      </c>
      <c r="S144" s="154">
        <v>3477.9746835443034</v>
      </c>
      <c r="U144" s="154">
        <v>27.475999999999999</v>
      </c>
      <c r="V144" s="169">
        <v>5.7000000000000003E-5</v>
      </c>
      <c r="W144" s="169">
        <v>5.8182206416837797E-3</v>
      </c>
      <c r="X144" s="169">
        <v>8.9013798193200201E-4</v>
      </c>
      <c r="Y144" s="154">
        <v>3478</v>
      </c>
      <c r="Z144" s="193">
        <f t="shared" si="2"/>
        <v>3477.9746835443034</v>
      </c>
    </row>
    <row r="145" spans="1:26">
      <c r="A145" s="4" t="s">
        <v>26</v>
      </c>
      <c r="B145" s="4">
        <v>9962</v>
      </c>
      <c r="C145" s="4" t="s">
        <v>1563</v>
      </c>
      <c r="D145" s="4" t="s">
        <v>1564</v>
      </c>
      <c r="E145" s="4" t="s">
        <v>1305</v>
      </c>
      <c r="F145" s="4" t="s">
        <v>1565</v>
      </c>
      <c r="G145" s="4" t="s">
        <v>1566</v>
      </c>
      <c r="H145" s="4" t="s">
        <v>319</v>
      </c>
      <c r="I145" s="4" t="s">
        <v>931</v>
      </c>
      <c r="J145" s="4" t="s">
        <v>31</v>
      </c>
      <c r="K145" s="4" t="s">
        <v>31</v>
      </c>
      <c r="L145" s="2" t="s">
        <v>325</v>
      </c>
      <c r="M145" s="2" t="s">
        <v>40</v>
      </c>
      <c r="N145" s="4" t="s">
        <v>461</v>
      </c>
      <c r="O145" s="4" t="s">
        <v>136</v>
      </c>
      <c r="P145" s="4" t="s">
        <v>35</v>
      </c>
      <c r="Q145" s="154">
        <v>2678</v>
      </c>
      <c r="R145" s="154">
        <v>1</v>
      </c>
      <c r="S145" s="154">
        <v>774.01045556385372</v>
      </c>
      <c r="T145" s="161">
        <v>0.36799999999999999</v>
      </c>
      <c r="U145" s="154">
        <v>21.096</v>
      </c>
      <c r="V145" s="169">
        <v>1.2E-5</v>
      </c>
      <c r="W145" s="169">
        <v>4.4671712880940198E-3</v>
      </c>
      <c r="X145" s="169">
        <v>6.83438989377658E-4</v>
      </c>
      <c r="Y145" s="154">
        <v>774</v>
      </c>
      <c r="Z145" s="193">
        <f t="shared" si="2"/>
        <v>774.01045556385372</v>
      </c>
    </row>
    <row r="146" spans="1:26">
      <c r="A146" s="4" t="s">
        <v>26</v>
      </c>
      <c r="B146" s="4">
        <v>9962</v>
      </c>
      <c r="C146" s="4" t="s">
        <v>1567</v>
      </c>
      <c r="D146" s="4" t="s">
        <v>1568</v>
      </c>
      <c r="E146" s="4" t="s">
        <v>1305</v>
      </c>
      <c r="F146" s="4" t="s">
        <v>1569</v>
      </c>
      <c r="G146" s="4" t="s">
        <v>1570</v>
      </c>
      <c r="H146" s="4" t="s">
        <v>319</v>
      </c>
      <c r="I146" s="4" t="s">
        <v>931</v>
      </c>
      <c r="J146" s="4" t="s">
        <v>31</v>
      </c>
      <c r="K146" s="4" t="s">
        <v>31</v>
      </c>
      <c r="L146" s="2" t="s">
        <v>325</v>
      </c>
      <c r="M146" s="2" t="s">
        <v>40</v>
      </c>
      <c r="N146" s="4" t="s">
        <v>459</v>
      </c>
      <c r="O146" s="4" t="s">
        <v>136</v>
      </c>
      <c r="P146" s="4" t="s">
        <v>35</v>
      </c>
      <c r="Q146" s="154">
        <v>152</v>
      </c>
      <c r="R146" s="154">
        <v>1</v>
      </c>
      <c r="S146" s="154">
        <v>13100</v>
      </c>
      <c r="U146" s="154">
        <v>19.911999999999999</v>
      </c>
      <c r="V146" s="169">
        <v>1.2E-5</v>
      </c>
      <c r="W146" s="169">
        <v>4.2164640458727002E-3</v>
      </c>
      <c r="X146" s="169">
        <v>6.4508292617720204E-4</v>
      </c>
      <c r="Y146" s="154">
        <v>13100</v>
      </c>
      <c r="Z146" s="193">
        <f t="shared" si="2"/>
        <v>13100</v>
      </c>
    </row>
    <row r="147" spans="1:26">
      <c r="A147" s="4" t="s">
        <v>26</v>
      </c>
      <c r="B147" s="4">
        <v>9962</v>
      </c>
      <c r="C147" s="4" t="s">
        <v>1371</v>
      </c>
      <c r="D147" s="4" t="s">
        <v>1372</v>
      </c>
      <c r="E147" s="4" t="s">
        <v>1305</v>
      </c>
      <c r="F147" s="4" t="s">
        <v>1373</v>
      </c>
      <c r="G147" s="4" t="s">
        <v>1374</v>
      </c>
      <c r="H147" s="4" t="s">
        <v>319</v>
      </c>
      <c r="I147" s="4" t="s">
        <v>931</v>
      </c>
      <c r="J147" s="4" t="s">
        <v>31</v>
      </c>
      <c r="K147" s="4" t="s">
        <v>31</v>
      </c>
      <c r="L147" s="2" t="s">
        <v>325</v>
      </c>
      <c r="M147" s="2" t="s">
        <v>40</v>
      </c>
      <c r="N147" s="4" t="s">
        <v>461</v>
      </c>
      <c r="O147" s="4" t="s">
        <v>136</v>
      </c>
      <c r="P147" s="4" t="s">
        <v>35</v>
      </c>
      <c r="Q147" s="154">
        <v>414</v>
      </c>
      <c r="R147" s="154">
        <v>1</v>
      </c>
      <c r="S147" s="154">
        <v>26609.903381642514</v>
      </c>
      <c r="U147" s="154">
        <v>110.16500000000001</v>
      </c>
      <c r="V147" s="169">
        <v>3.0000000000000001E-6</v>
      </c>
      <c r="W147" s="169">
        <v>2.3328065899918898E-2</v>
      </c>
      <c r="X147" s="169">
        <v>3.5689945055987298E-3</v>
      </c>
      <c r="Y147" s="154">
        <v>26610</v>
      </c>
      <c r="Z147" s="193">
        <f t="shared" si="2"/>
        <v>26609.903381642514</v>
      </c>
    </row>
    <row r="148" spans="1:26">
      <c r="A148" s="4" t="s">
        <v>26</v>
      </c>
      <c r="B148" s="4">
        <v>9962</v>
      </c>
      <c r="C148" s="4" t="s">
        <v>1571</v>
      </c>
      <c r="D148" s="4" t="s">
        <v>1572</v>
      </c>
      <c r="E148" s="4" t="s">
        <v>1305</v>
      </c>
      <c r="F148" s="4" t="s">
        <v>1573</v>
      </c>
      <c r="G148" s="4" t="s">
        <v>1574</v>
      </c>
      <c r="H148" s="4" t="s">
        <v>319</v>
      </c>
      <c r="I148" s="4" t="s">
        <v>931</v>
      </c>
      <c r="J148" s="4" t="s">
        <v>31</v>
      </c>
      <c r="K148" s="4" t="s">
        <v>31</v>
      </c>
      <c r="L148" s="2" t="s">
        <v>325</v>
      </c>
      <c r="M148" s="2" t="s">
        <v>40</v>
      </c>
      <c r="N148" s="4" t="s">
        <v>478</v>
      </c>
      <c r="O148" s="4" t="s">
        <v>136</v>
      </c>
      <c r="P148" s="4" t="s">
        <v>35</v>
      </c>
      <c r="Q148" s="154">
        <v>2481</v>
      </c>
      <c r="R148" s="154">
        <v>1</v>
      </c>
      <c r="S148" s="154">
        <v>522.89399435711402</v>
      </c>
      <c r="U148" s="154">
        <v>12.973000000000001</v>
      </c>
      <c r="V148" s="169">
        <v>1.76E-4</v>
      </c>
      <c r="W148" s="169">
        <v>2.7471281800044902E-3</v>
      </c>
      <c r="X148" s="169">
        <v>4.2028710921317999E-4</v>
      </c>
      <c r="Y148" s="154">
        <v>522.9</v>
      </c>
      <c r="Z148" s="193">
        <f t="shared" si="2"/>
        <v>522.89399435711402</v>
      </c>
    </row>
    <row r="149" spans="1:26">
      <c r="A149" s="4" t="s">
        <v>26</v>
      </c>
      <c r="B149" s="4">
        <v>9962</v>
      </c>
      <c r="C149" s="4" t="s">
        <v>1575</v>
      </c>
      <c r="D149" s="4" t="s">
        <v>1576</v>
      </c>
      <c r="E149" s="4" t="s">
        <v>1305</v>
      </c>
      <c r="F149" s="4" t="s">
        <v>1577</v>
      </c>
      <c r="G149" s="4" t="s">
        <v>1578</v>
      </c>
      <c r="H149" s="4" t="s">
        <v>319</v>
      </c>
      <c r="I149" s="4" t="s">
        <v>931</v>
      </c>
      <c r="J149" s="4" t="s">
        <v>31</v>
      </c>
      <c r="K149" s="4" t="s">
        <v>31</v>
      </c>
      <c r="L149" s="2" t="s">
        <v>325</v>
      </c>
      <c r="M149" s="2" t="s">
        <v>40</v>
      </c>
      <c r="N149" s="4" t="s">
        <v>445</v>
      </c>
      <c r="O149" s="4" t="s">
        <v>136</v>
      </c>
      <c r="P149" s="4" t="s">
        <v>35</v>
      </c>
      <c r="Q149" s="154">
        <v>4950</v>
      </c>
      <c r="R149" s="154">
        <v>1</v>
      </c>
      <c r="S149" s="154">
        <v>3500.0000000000005</v>
      </c>
      <c r="T149" s="161">
        <v>1.3029999999999999</v>
      </c>
      <c r="U149" s="154">
        <v>174.553</v>
      </c>
      <c r="V149" s="169">
        <v>3.9999999999999998E-6</v>
      </c>
      <c r="W149" s="169">
        <v>3.6962444536529498E-2</v>
      </c>
      <c r="X149" s="169">
        <v>5.6549377916850904E-3</v>
      </c>
      <c r="Y149" s="154">
        <v>3500</v>
      </c>
      <c r="Z149" s="193">
        <f t="shared" si="2"/>
        <v>3500.0000000000005</v>
      </c>
    </row>
    <row r="150" spans="1:26">
      <c r="A150" s="4" t="s">
        <v>26</v>
      </c>
      <c r="B150" s="4">
        <v>9962</v>
      </c>
      <c r="C150" s="4" t="s">
        <v>1375</v>
      </c>
      <c r="D150" s="4" t="s">
        <v>1376</v>
      </c>
      <c r="E150" s="4" t="s">
        <v>1305</v>
      </c>
      <c r="F150" s="4" t="s">
        <v>1377</v>
      </c>
      <c r="G150" s="4" t="s">
        <v>1378</v>
      </c>
      <c r="H150" s="4" t="s">
        <v>319</v>
      </c>
      <c r="I150" s="4" t="s">
        <v>931</v>
      </c>
      <c r="J150" s="4" t="s">
        <v>31</v>
      </c>
      <c r="K150" s="4" t="s">
        <v>31</v>
      </c>
      <c r="L150" s="2" t="s">
        <v>325</v>
      </c>
      <c r="M150" s="2" t="s">
        <v>40</v>
      </c>
      <c r="N150" s="4" t="s">
        <v>473</v>
      </c>
      <c r="O150" s="4" t="s">
        <v>136</v>
      </c>
      <c r="P150" s="4" t="s">
        <v>35</v>
      </c>
      <c r="Q150" s="154">
        <v>134</v>
      </c>
      <c r="R150" s="154">
        <v>1</v>
      </c>
      <c r="S150" s="154">
        <v>34140.298507462685</v>
      </c>
      <c r="U150" s="154">
        <v>45.747999999999998</v>
      </c>
      <c r="V150" s="169">
        <v>1.0000000000000001E-5</v>
      </c>
      <c r="W150" s="169">
        <v>9.6872795593092604E-3</v>
      </c>
      <c r="X150" s="169">
        <v>1.48207089561993E-3</v>
      </c>
      <c r="Y150" s="154">
        <v>34140</v>
      </c>
      <c r="Z150" s="193">
        <f t="shared" si="2"/>
        <v>34140.298507462685</v>
      </c>
    </row>
    <row r="151" spans="1:26">
      <c r="A151" s="4" t="s">
        <v>26</v>
      </c>
      <c r="B151" s="4">
        <v>9962</v>
      </c>
      <c r="C151" s="4" t="s">
        <v>1579</v>
      </c>
      <c r="D151" s="4" t="s">
        <v>1580</v>
      </c>
      <c r="E151" s="4" t="s">
        <v>1305</v>
      </c>
      <c r="F151" s="4" t="s">
        <v>1581</v>
      </c>
      <c r="G151" s="4" t="s">
        <v>1582</v>
      </c>
      <c r="H151" s="4" t="s">
        <v>319</v>
      </c>
      <c r="I151" s="4" t="s">
        <v>931</v>
      </c>
      <c r="J151" s="4" t="s">
        <v>31</v>
      </c>
      <c r="K151" s="4" t="s">
        <v>31</v>
      </c>
      <c r="L151" s="2" t="s">
        <v>325</v>
      </c>
      <c r="M151" s="2" t="s">
        <v>40</v>
      </c>
      <c r="N151" s="4" t="s">
        <v>474</v>
      </c>
      <c r="O151" s="4" t="s">
        <v>136</v>
      </c>
      <c r="P151" s="4" t="s">
        <v>35</v>
      </c>
      <c r="Q151" s="154">
        <v>90</v>
      </c>
      <c r="R151" s="154">
        <v>1</v>
      </c>
      <c r="S151" s="154">
        <v>30030</v>
      </c>
      <c r="U151" s="154">
        <v>27.027000000000001</v>
      </c>
      <c r="V151" s="169">
        <v>6.0000000000000002E-6</v>
      </c>
      <c r="W151" s="169">
        <v>5.72310032984138E-3</v>
      </c>
      <c r="X151" s="169">
        <v>8.7558538799674705E-4</v>
      </c>
      <c r="Y151" s="154">
        <v>30030</v>
      </c>
      <c r="Z151" s="193">
        <f t="shared" si="2"/>
        <v>30030</v>
      </c>
    </row>
    <row r="152" spans="1:26">
      <c r="A152" s="4" t="s">
        <v>26</v>
      </c>
      <c r="B152" s="4">
        <v>9962</v>
      </c>
      <c r="C152" s="4" t="s">
        <v>1583</v>
      </c>
      <c r="D152" s="4" t="s">
        <v>1584</v>
      </c>
      <c r="E152" s="4" t="s">
        <v>1305</v>
      </c>
      <c r="F152" s="4" t="s">
        <v>1585</v>
      </c>
      <c r="G152" s="4" t="s">
        <v>1586</v>
      </c>
      <c r="H152" s="4" t="s">
        <v>319</v>
      </c>
      <c r="I152" s="4" t="s">
        <v>931</v>
      </c>
      <c r="J152" s="4" t="s">
        <v>31</v>
      </c>
      <c r="K152" s="4" t="s">
        <v>31</v>
      </c>
      <c r="L152" s="2" t="s">
        <v>325</v>
      </c>
      <c r="M152" s="2" t="s">
        <v>40</v>
      </c>
      <c r="N152" s="4" t="s">
        <v>437</v>
      </c>
      <c r="O152" s="4" t="s">
        <v>136</v>
      </c>
      <c r="P152" s="4" t="s">
        <v>35</v>
      </c>
      <c r="Q152" s="154">
        <v>552</v>
      </c>
      <c r="R152" s="154">
        <v>1</v>
      </c>
      <c r="S152" s="154">
        <v>8896.0144927536239</v>
      </c>
      <c r="U152" s="154">
        <v>49.106000000000002</v>
      </c>
      <c r="V152" s="169">
        <v>4.3999999999999999E-5</v>
      </c>
      <c r="W152" s="169">
        <v>1.03984203555394E-2</v>
      </c>
      <c r="X152" s="169">
        <v>1.5908693534664299E-3</v>
      </c>
      <c r="Y152" s="154">
        <v>8896</v>
      </c>
      <c r="Z152" s="193">
        <f t="shared" si="2"/>
        <v>8896.0144927536239</v>
      </c>
    </row>
    <row r="153" spans="1:26">
      <c r="A153" s="4" t="s">
        <v>26</v>
      </c>
      <c r="B153" s="4">
        <v>9962</v>
      </c>
      <c r="C153" s="4" t="s">
        <v>1587</v>
      </c>
      <c r="D153" s="4" t="s">
        <v>1588</v>
      </c>
      <c r="E153" s="4" t="s">
        <v>1305</v>
      </c>
      <c r="F153" s="4" t="s">
        <v>1589</v>
      </c>
      <c r="G153" s="4" t="s">
        <v>1590</v>
      </c>
      <c r="H153" s="4" t="s">
        <v>319</v>
      </c>
      <c r="I153" s="4" t="s">
        <v>931</v>
      </c>
      <c r="J153" s="4" t="s">
        <v>31</v>
      </c>
      <c r="K153" s="4" t="s">
        <v>31</v>
      </c>
      <c r="L153" s="2" t="s">
        <v>325</v>
      </c>
      <c r="M153" s="2" t="s">
        <v>40</v>
      </c>
      <c r="N153" s="4" t="s">
        <v>458</v>
      </c>
      <c r="O153" s="4" t="s">
        <v>136</v>
      </c>
      <c r="P153" s="4" t="s">
        <v>35</v>
      </c>
      <c r="Q153" s="154">
        <v>81</v>
      </c>
      <c r="R153" s="154">
        <v>1</v>
      </c>
      <c r="S153" s="154">
        <v>48200.000000000007</v>
      </c>
      <c r="U153" s="154">
        <v>39.042000000000002</v>
      </c>
      <c r="V153" s="169">
        <v>5.0000000000000004E-6</v>
      </c>
      <c r="W153" s="169">
        <v>8.2673357412094192E-3</v>
      </c>
      <c r="X153" s="169">
        <v>1.26483163940389E-3</v>
      </c>
      <c r="Y153" s="154">
        <v>48200</v>
      </c>
      <c r="Z153" s="193">
        <f t="shared" si="2"/>
        <v>48200.000000000007</v>
      </c>
    </row>
    <row r="154" spans="1:26">
      <c r="A154" s="4" t="s">
        <v>26</v>
      </c>
      <c r="B154" s="4">
        <v>9962</v>
      </c>
      <c r="C154" s="4" t="s">
        <v>1591</v>
      </c>
      <c r="D154" s="4" t="s">
        <v>1592</v>
      </c>
      <c r="E154" s="4" t="s">
        <v>1305</v>
      </c>
      <c r="F154" s="4" t="s">
        <v>1593</v>
      </c>
      <c r="G154" s="4" t="s">
        <v>1594</v>
      </c>
      <c r="H154" s="4" t="s">
        <v>319</v>
      </c>
      <c r="I154" s="4" t="s">
        <v>931</v>
      </c>
      <c r="J154" s="4" t="s">
        <v>31</v>
      </c>
      <c r="K154" s="4" t="s">
        <v>31</v>
      </c>
      <c r="L154" s="2" t="s">
        <v>325</v>
      </c>
      <c r="M154" s="2" t="s">
        <v>40</v>
      </c>
      <c r="N154" s="4" t="s">
        <v>455</v>
      </c>
      <c r="O154" s="4" t="s">
        <v>136</v>
      </c>
      <c r="P154" s="4" t="s">
        <v>35</v>
      </c>
      <c r="Q154" s="154">
        <v>570</v>
      </c>
      <c r="R154" s="154">
        <v>1</v>
      </c>
      <c r="S154" s="154">
        <v>30800</v>
      </c>
      <c r="U154" s="154">
        <v>175.56</v>
      </c>
      <c r="V154" s="169">
        <v>1.2999999999999999E-5</v>
      </c>
      <c r="W154" s="169">
        <v>3.7175694450251699E-2</v>
      </c>
      <c r="X154" s="169">
        <v>5.6875632040814302E-3</v>
      </c>
      <c r="Y154" s="154">
        <v>30800</v>
      </c>
      <c r="Z154" s="193">
        <f t="shared" si="2"/>
        <v>30800</v>
      </c>
    </row>
    <row r="155" spans="1:26">
      <c r="A155" s="4" t="s">
        <v>26</v>
      </c>
      <c r="B155" s="4">
        <v>9962</v>
      </c>
      <c r="C155" s="4" t="s">
        <v>1595</v>
      </c>
      <c r="D155" s="4" t="s">
        <v>1596</v>
      </c>
      <c r="E155" s="4" t="s">
        <v>1305</v>
      </c>
      <c r="F155" s="4" t="s">
        <v>1597</v>
      </c>
      <c r="G155" s="4" t="s">
        <v>1598</v>
      </c>
      <c r="H155" s="4" t="s">
        <v>319</v>
      </c>
      <c r="I155" s="4" t="s">
        <v>931</v>
      </c>
      <c r="J155" s="4" t="s">
        <v>31</v>
      </c>
      <c r="K155" s="4" t="s">
        <v>31</v>
      </c>
      <c r="L155" s="2" t="s">
        <v>325</v>
      </c>
      <c r="M155" s="2" t="s">
        <v>40</v>
      </c>
      <c r="N155" s="4" t="s">
        <v>459</v>
      </c>
      <c r="O155" s="4" t="s">
        <v>136</v>
      </c>
      <c r="P155" s="4" t="s">
        <v>35</v>
      </c>
      <c r="Q155" s="154">
        <v>1650</v>
      </c>
      <c r="R155" s="154">
        <v>1</v>
      </c>
      <c r="S155" s="154">
        <v>1752.969696969697</v>
      </c>
      <c r="U155" s="154">
        <v>28.923999999999999</v>
      </c>
      <c r="V155" s="169">
        <v>1.8E-5</v>
      </c>
      <c r="W155" s="169">
        <v>6.1249052980536798E-3</v>
      </c>
      <c r="X155" s="169">
        <v>9.3705811059725103E-4</v>
      </c>
      <c r="Y155" s="154">
        <v>1753</v>
      </c>
      <c r="Z155" s="193">
        <f t="shared" si="2"/>
        <v>1752.969696969697</v>
      </c>
    </row>
    <row r="156" spans="1:26">
      <c r="A156" s="4" t="s">
        <v>26</v>
      </c>
      <c r="B156" s="4">
        <v>9962</v>
      </c>
      <c r="C156" s="4" t="s">
        <v>1599</v>
      </c>
      <c r="D156" s="4" t="s">
        <v>1600</v>
      </c>
      <c r="E156" s="4" t="s">
        <v>1305</v>
      </c>
      <c r="F156" s="4" t="s">
        <v>1601</v>
      </c>
      <c r="G156" s="4" t="s">
        <v>1602</v>
      </c>
      <c r="H156" s="4" t="s">
        <v>319</v>
      </c>
      <c r="I156" s="4" t="s">
        <v>931</v>
      </c>
      <c r="J156" s="4" t="s">
        <v>31</v>
      </c>
      <c r="K156" s="4" t="s">
        <v>31</v>
      </c>
      <c r="L156" s="2" t="s">
        <v>325</v>
      </c>
      <c r="M156" s="2" t="s">
        <v>40</v>
      </c>
      <c r="N156" s="4" t="s">
        <v>461</v>
      </c>
      <c r="O156" s="4" t="s">
        <v>136</v>
      </c>
      <c r="P156" s="4" t="s">
        <v>35</v>
      </c>
      <c r="Q156" s="154">
        <v>4598</v>
      </c>
      <c r="R156" s="154">
        <v>1</v>
      </c>
      <c r="S156" s="154">
        <v>1566.0069595476291</v>
      </c>
      <c r="U156" s="154">
        <v>72.004999999999995</v>
      </c>
      <c r="V156" s="169">
        <v>2.4000000000000001E-5</v>
      </c>
      <c r="W156" s="169">
        <v>1.52473455380961E-2</v>
      </c>
      <c r="X156" s="169">
        <v>2.3327134227025398E-3</v>
      </c>
      <c r="Y156" s="154">
        <v>1566</v>
      </c>
      <c r="Z156" s="193">
        <f t="shared" si="2"/>
        <v>1566.0069595476291</v>
      </c>
    </row>
    <row r="157" spans="1:26">
      <c r="A157" s="4" t="s">
        <v>26</v>
      </c>
      <c r="B157" s="4">
        <v>9962</v>
      </c>
      <c r="C157" s="4" t="s">
        <v>1603</v>
      </c>
      <c r="D157" s="4" t="s">
        <v>1604</v>
      </c>
      <c r="E157" s="4" t="s">
        <v>1305</v>
      </c>
      <c r="F157" s="4" t="s">
        <v>1605</v>
      </c>
      <c r="G157" s="4" t="s">
        <v>1606</v>
      </c>
      <c r="H157" s="4" t="s">
        <v>319</v>
      </c>
      <c r="I157" s="4" t="s">
        <v>931</v>
      </c>
      <c r="J157" s="4" t="s">
        <v>31</v>
      </c>
      <c r="K157" s="4" t="s">
        <v>31</v>
      </c>
      <c r="L157" s="2" t="s">
        <v>325</v>
      </c>
      <c r="M157" s="2" t="s">
        <v>40</v>
      </c>
      <c r="N157" s="4" t="s">
        <v>473</v>
      </c>
      <c r="O157" s="4" t="s">
        <v>136</v>
      </c>
      <c r="P157" s="4" t="s">
        <v>35</v>
      </c>
      <c r="Q157" s="154">
        <v>164</v>
      </c>
      <c r="R157" s="154">
        <v>1</v>
      </c>
      <c r="S157" s="154">
        <v>9246.9512195121952</v>
      </c>
      <c r="U157" s="154">
        <v>15.164999999999999</v>
      </c>
      <c r="V157" s="169">
        <v>3.0000000000000001E-6</v>
      </c>
      <c r="W157" s="169">
        <v>3.2112803622329801E-3</v>
      </c>
      <c r="X157" s="169">
        <v>4.9129842216308502E-4</v>
      </c>
      <c r="Y157" s="154">
        <v>9247</v>
      </c>
      <c r="Z157" s="193">
        <f t="shared" si="2"/>
        <v>9246.9512195121952</v>
      </c>
    </row>
    <row r="158" spans="1:26">
      <c r="A158" s="4" t="s">
        <v>26</v>
      </c>
      <c r="B158" s="4">
        <v>9962</v>
      </c>
      <c r="C158" s="4" t="s">
        <v>1379</v>
      </c>
      <c r="D158" s="4" t="s">
        <v>1380</v>
      </c>
      <c r="E158" s="4" t="s">
        <v>1305</v>
      </c>
      <c r="F158" s="4" t="s">
        <v>1381</v>
      </c>
      <c r="G158" s="4" t="s">
        <v>1382</v>
      </c>
      <c r="H158" s="4" t="s">
        <v>319</v>
      </c>
      <c r="I158" s="4" t="s">
        <v>931</v>
      </c>
      <c r="J158" s="4" t="s">
        <v>31</v>
      </c>
      <c r="K158" s="4" t="s">
        <v>31</v>
      </c>
      <c r="L158" s="2" t="s">
        <v>325</v>
      </c>
      <c r="M158" s="2" t="s">
        <v>40</v>
      </c>
      <c r="N158" s="4" t="s">
        <v>473</v>
      </c>
      <c r="O158" s="4" t="s">
        <v>136</v>
      </c>
      <c r="P158" s="4" t="s">
        <v>35</v>
      </c>
      <c r="Q158" s="154">
        <v>118</v>
      </c>
      <c r="R158" s="154">
        <v>1</v>
      </c>
      <c r="S158" s="154">
        <v>22049.999999999996</v>
      </c>
      <c r="U158" s="154">
        <v>26.018999999999998</v>
      </c>
      <c r="V158" s="169">
        <v>9.0000000000000002E-6</v>
      </c>
      <c r="W158" s="169">
        <v>5.5096513664906503E-3</v>
      </c>
      <c r="X158" s="169">
        <v>8.4292952271015496E-4</v>
      </c>
      <c r="Y158" s="154">
        <v>22050</v>
      </c>
      <c r="Z158" s="193">
        <f t="shared" si="2"/>
        <v>22049.999999999996</v>
      </c>
    </row>
    <row r="159" spans="1:26">
      <c r="A159" s="4" t="s">
        <v>26</v>
      </c>
      <c r="B159" s="4">
        <v>9962</v>
      </c>
      <c r="C159" s="4" t="s">
        <v>1383</v>
      </c>
      <c r="D159" s="4" t="s">
        <v>1384</v>
      </c>
      <c r="E159" s="4" t="s">
        <v>1305</v>
      </c>
      <c r="F159" s="4" t="s">
        <v>1385</v>
      </c>
      <c r="G159" s="4" t="s">
        <v>1386</v>
      </c>
      <c r="H159" s="4" t="s">
        <v>319</v>
      </c>
      <c r="I159" s="4" t="s">
        <v>931</v>
      </c>
      <c r="J159" s="4" t="s">
        <v>31</v>
      </c>
      <c r="K159" s="4" t="s">
        <v>31</v>
      </c>
      <c r="L159" s="2" t="s">
        <v>325</v>
      </c>
      <c r="M159" s="2" t="s">
        <v>40</v>
      </c>
      <c r="N159" s="4" t="s">
        <v>461</v>
      </c>
      <c r="O159" s="4" t="s">
        <v>136</v>
      </c>
      <c r="P159" s="4" t="s">
        <v>35</v>
      </c>
      <c r="Q159" s="154">
        <v>7379</v>
      </c>
      <c r="R159" s="154">
        <v>1</v>
      </c>
      <c r="S159" s="154">
        <v>266.2013823011248</v>
      </c>
      <c r="U159" s="154">
        <v>19.643000000000001</v>
      </c>
      <c r="V159" s="169">
        <v>5.1E-5</v>
      </c>
      <c r="W159" s="169">
        <v>4.1594803723254701E-3</v>
      </c>
      <c r="X159" s="169">
        <v>6.3636491163320105E-4</v>
      </c>
      <c r="Y159" s="154">
        <v>266.2</v>
      </c>
      <c r="Z159" s="193">
        <f t="shared" si="2"/>
        <v>266.2013823011248</v>
      </c>
    </row>
    <row r="160" spans="1:26">
      <c r="A160" s="4" t="s">
        <v>26</v>
      </c>
      <c r="B160" s="4">
        <v>9962</v>
      </c>
      <c r="C160" s="4" t="s">
        <v>1607</v>
      </c>
      <c r="D160" s="4" t="s">
        <v>1608</v>
      </c>
      <c r="E160" s="4" t="s">
        <v>1305</v>
      </c>
      <c r="F160" s="4" t="s">
        <v>1609</v>
      </c>
      <c r="G160" s="4" t="s">
        <v>1610</v>
      </c>
      <c r="H160" s="4" t="s">
        <v>319</v>
      </c>
      <c r="I160" s="4" t="s">
        <v>931</v>
      </c>
      <c r="J160" s="4" t="s">
        <v>31</v>
      </c>
      <c r="K160" s="4" t="s">
        <v>31</v>
      </c>
      <c r="L160" s="2" t="s">
        <v>325</v>
      </c>
      <c r="M160" s="2" t="s">
        <v>40</v>
      </c>
      <c r="N160" s="4" t="s">
        <v>451</v>
      </c>
      <c r="O160" s="4" t="s">
        <v>136</v>
      </c>
      <c r="P160" s="4" t="s">
        <v>35</v>
      </c>
      <c r="Q160" s="154">
        <v>12421</v>
      </c>
      <c r="R160" s="154">
        <v>1</v>
      </c>
      <c r="S160" s="154">
        <v>302.80170678689313</v>
      </c>
      <c r="U160" s="154">
        <v>37.610999999999997</v>
      </c>
      <c r="V160" s="169">
        <v>1.1E-5</v>
      </c>
      <c r="W160" s="169">
        <v>7.96426955298013E-3</v>
      </c>
      <c r="X160" s="169">
        <v>1.21846510540731E-3</v>
      </c>
      <c r="Y160" s="154">
        <v>302.8</v>
      </c>
      <c r="Z160" s="193">
        <f t="shared" si="2"/>
        <v>302.80170678689313</v>
      </c>
    </row>
    <row r="161" spans="1:26">
      <c r="A161" s="4" t="s">
        <v>26</v>
      </c>
      <c r="B161" s="4">
        <v>9962</v>
      </c>
      <c r="C161" s="4" t="s">
        <v>1611</v>
      </c>
      <c r="D161" s="4" t="s">
        <v>1612</v>
      </c>
      <c r="E161" s="4" t="s">
        <v>1305</v>
      </c>
      <c r="F161" s="4" t="s">
        <v>1613</v>
      </c>
      <c r="G161" s="4" t="s">
        <v>1614</v>
      </c>
      <c r="H161" s="4" t="s">
        <v>319</v>
      </c>
      <c r="I161" s="4" t="s">
        <v>931</v>
      </c>
      <c r="J161" s="4" t="s">
        <v>31</v>
      </c>
      <c r="K161" s="4" t="s">
        <v>31</v>
      </c>
      <c r="L161" s="2" t="s">
        <v>325</v>
      </c>
      <c r="M161" s="2" t="s">
        <v>40</v>
      </c>
      <c r="N161" s="4" t="s">
        <v>473</v>
      </c>
      <c r="O161" s="4" t="s">
        <v>136</v>
      </c>
      <c r="P161" s="4" t="s">
        <v>35</v>
      </c>
      <c r="Q161" s="154">
        <v>2388</v>
      </c>
      <c r="R161" s="154">
        <v>1</v>
      </c>
      <c r="S161" s="154">
        <v>2585.0083752093801</v>
      </c>
      <c r="U161" s="154">
        <v>61.73</v>
      </c>
      <c r="V161" s="169">
        <v>9.0000000000000002E-6</v>
      </c>
      <c r="W161" s="169">
        <v>1.30715891050077E-2</v>
      </c>
      <c r="X161" s="169">
        <v>1.99984130254788E-3</v>
      </c>
      <c r="Y161" s="154">
        <v>2585</v>
      </c>
      <c r="Z161" s="193">
        <f t="shared" si="2"/>
        <v>2585.0083752093801</v>
      </c>
    </row>
    <row r="162" spans="1:26">
      <c r="A162" s="4" t="s">
        <v>26</v>
      </c>
      <c r="B162" s="4">
        <v>9962</v>
      </c>
      <c r="C162" s="4" t="s">
        <v>1387</v>
      </c>
      <c r="D162" s="4" t="s">
        <v>1388</v>
      </c>
      <c r="E162" s="4" t="s">
        <v>1305</v>
      </c>
      <c r="F162" s="4" t="s">
        <v>1389</v>
      </c>
      <c r="G162" s="4" t="s">
        <v>1390</v>
      </c>
      <c r="H162" s="4" t="s">
        <v>319</v>
      </c>
      <c r="I162" s="4" t="s">
        <v>931</v>
      </c>
      <c r="J162" s="4" t="s">
        <v>31</v>
      </c>
      <c r="K162" s="4" t="s">
        <v>31</v>
      </c>
      <c r="L162" s="2" t="s">
        <v>325</v>
      </c>
      <c r="M162" s="2" t="s">
        <v>40</v>
      </c>
      <c r="N162" s="4" t="s">
        <v>459</v>
      </c>
      <c r="O162" s="4" t="s">
        <v>136</v>
      </c>
      <c r="P162" s="4" t="s">
        <v>35</v>
      </c>
      <c r="Q162" s="154">
        <v>225</v>
      </c>
      <c r="R162" s="154">
        <v>1</v>
      </c>
      <c r="S162" s="154">
        <v>30040</v>
      </c>
      <c r="T162" s="161">
        <v>0.59499999999999997</v>
      </c>
      <c r="U162" s="154">
        <v>68.185000000000002</v>
      </c>
      <c r="V162" s="169">
        <v>2.5999999999999998E-5</v>
      </c>
      <c r="W162" s="169">
        <v>1.44384798444588E-2</v>
      </c>
      <c r="X162" s="169">
        <v>2.2089638916122402E-3</v>
      </c>
      <c r="Y162" s="154">
        <v>30040</v>
      </c>
      <c r="Z162" s="193">
        <f t="shared" si="2"/>
        <v>30040</v>
      </c>
    </row>
    <row r="163" spans="1:26">
      <c r="A163" s="4" t="s">
        <v>26</v>
      </c>
      <c r="B163" s="4">
        <v>9962</v>
      </c>
      <c r="C163" s="4" t="s">
        <v>1619</v>
      </c>
      <c r="D163" s="4" t="s">
        <v>1620</v>
      </c>
      <c r="E163" s="4" t="s">
        <v>312</v>
      </c>
      <c r="F163" s="4" t="s">
        <v>1621</v>
      </c>
      <c r="G163" s="4" t="s">
        <v>1622</v>
      </c>
      <c r="H163" s="4" t="s">
        <v>319</v>
      </c>
      <c r="I163" s="4" t="s">
        <v>931</v>
      </c>
      <c r="J163" s="4" t="s">
        <v>73</v>
      </c>
      <c r="K163" s="4" t="s">
        <v>74</v>
      </c>
      <c r="L163" s="2" t="s">
        <v>325</v>
      </c>
      <c r="M163" s="2" t="s">
        <v>344</v>
      </c>
      <c r="N163" s="4" t="s">
        <v>544</v>
      </c>
      <c r="O163" s="4" t="s">
        <v>136</v>
      </c>
      <c r="P163" s="4" t="s">
        <v>78</v>
      </c>
      <c r="Q163" s="154">
        <v>39</v>
      </c>
      <c r="R163" s="154">
        <v>3.681</v>
      </c>
      <c r="S163" s="154">
        <v>17147.653577971429</v>
      </c>
      <c r="U163" s="154">
        <v>24.617000000000001</v>
      </c>
      <c r="V163" s="169">
        <v>0</v>
      </c>
      <c r="W163" s="169">
        <v>5.2128762730588403E-3</v>
      </c>
      <c r="X163" s="169">
        <v>7.9752547239579196E-4</v>
      </c>
      <c r="Y163" s="154">
        <v>171.48</v>
      </c>
      <c r="Z163" s="193">
        <f t="shared" si="2"/>
        <v>17147.653577971429</v>
      </c>
    </row>
    <row r="164" spans="1:26">
      <c r="A164" s="4" t="s">
        <v>26</v>
      </c>
      <c r="B164" s="4">
        <v>9962</v>
      </c>
      <c r="C164" s="4" t="s">
        <v>1623</v>
      </c>
      <c r="D164" s="4" t="s">
        <v>1624</v>
      </c>
      <c r="E164" s="4" t="s">
        <v>312</v>
      </c>
      <c r="F164" s="4" t="s">
        <v>1625</v>
      </c>
      <c r="G164" s="4" t="s">
        <v>1626</v>
      </c>
      <c r="H164" s="4" t="s">
        <v>319</v>
      </c>
      <c r="I164" s="4" t="s">
        <v>931</v>
      </c>
      <c r="J164" s="4" t="s">
        <v>73</v>
      </c>
      <c r="K164" s="4" t="s">
        <v>74</v>
      </c>
      <c r="L164" s="2" t="s">
        <v>325</v>
      </c>
      <c r="M164" s="2" t="s">
        <v>342</v>
      </c>
      <c r="N164" s="4" t="s">
        <v>534</v>
      </c>
      <c r="O164" s="4" t="s">
        <v>136</v>
      </c>
      <c r="P164" s="4" t="s">
        <v>78</v>
      </c>
      <c r="Q164" s="154">
        <v>206</v>
      </c>
      <c r="R164" s="154">
        <v>3.681</v>
      </c>
      <c r="S164" s="154">
        <v>3791.972949520366</v>
      </c>
      <c r="U164" s="154">
        <v>28.754000000000001</v>
      </c>
      <c r="V164" s="169">
        <v>0</v>
      </c>
      <c r="W164" s="169">
        <v>6.0888445186886601E-3</v>
      </c>
      <c r="X164" s="169">
        <v>9.3154111986285004E-4</v>
      </c>
      <c r="Y164" s="154">
        <v>3792</v>
      </c>
      <c r="Z164" s="193">
        <f t="shared" si="2"/>
        <v>3791.972949520366</v>
      </c>
    </row>
    <row r="165" spans="1:26">
      <c r="A165" s="4" t="s">
        <v>26</v>
      </c>
      <c r="B165" s="4">
        <v>9962</v>
      </c>
      <c r="C165" s="4" t="s">
        <v>1627</v>
      </c>
      <c r="D165" s="4" t="s">
        <v>1628</v>
      </c>
      <c r="E165" s="4" t="s">
        <v>312</v>
      </c>
      <c r="F165" s="4" t="s">
        <v>1629</v>
      </c>
      <c r="G165" s="4" t="s">
        <v>1630</v>
      </c>
      <c r="H165" s="4" t="s">
        <v>319</v>
      </c>
      <c r="I165" s="4" t="s">
        <v>931</v>
      </c>
      <c r="J165" s="4" t="s">
        <v>73</v>
      </c>
      <c r="L165" s="2" t="s">
        <v>325</v>
      </c>
      <c r="M165" s="2" t="s">
        <v>164</v>
      </c>
      <c r="N165" s="4" t="s">
        <v>1631</v>
      </c>
      <c r="O165" s="4" t="s">
        <v>136</v>
      </c>
      <c r="P165" s="4" t="s">
        <v>78</v>
      </c>
      <c r="Q165" s="154">
        <v>23</v>
      </c>
      <c r="R165" s="154">
        <v>3.681</v>
      </c>
      <c r="S165" s="154">
        <v>36642.925481024766</v>
      </c>
      <c r="U165" s="154">
        <v>31.023</v>
      </c>
      <c r="V165" s="169">
        <v>0</v>
      </c>
      <c r="W165" s="169">
        <v>6.5692863655999103E-3</v>
      </c>
      <c r="X165" s="169">
        <v>1.0050446121472999E-3</v>
      </c>
      <c r="Y165" s="154">
        <v>36643</v>
      </c>
      <c r="Z165" s="193">
        <f t="shared" si="2"/>
        <v>36642.925481024766</v>
      </c>
    </row>
    <row r="166" spans="1:26">
      <c r="A166" s="4" t="s">
        <v>26</v>
      </c>
      <c r="B166" s="4">
        <v>9962</v>
      </c>
      <c r="C166" s="4" t="s">
        <v>1632</v>
      </c>
      <c r="D166" s="4" t="s">
        <v>1633</v>
      </c>
      <c r="E166" s="4" t="s">
        <v>312</v>
      </c>
      <c r="F166" s="4" t="s">
        <v>1634</v>
      </c>
      <c r="G166" s="4" t="s">
        <v>1635</v>
      </c>
      <c r="H166" s="4" t="s">
        <v>319</v>
      </c>
      <c r="I166" s="4" t="s">
        <v>931</v>
      </c>
      <c r="J166" s="4" t="s">
        <v>73</v>
      </c>
      <c r="K166" s="4" t="s">
        <v>74</v>
      </c>
      <c r="L166" s="2" t="s">
        <v>325</v>
      </c>
      <c r="M166" s="2" t="s">
        <v>344</v>
      </c>
      <c r="N166" s="4" t="s">
        <v>547</v>
      </c>
      <c r="O166" s="4" t="s">
        <v>136</v>
      </c>
      <c r="P166" s="4" t="s">
        <v>78</v>
      </c>
      <c r="Q166" s="154">
        <v>33</v>
      </c>
      <c r="R166" s="154">
        <v>3.681</v>
      </c>
      <c r="S166" s="154">
        <v>48558.115795279606</v>
      </c>
      <c r="U166" s="154">
        <v>58.984999999999999</v>
      </c>
      <c r="V166" s="169">
        <v>0</v>
      </c>
      <c r="W166" s="169">
        <v>1.2490334404277201E-2</v>
      </c>
      <c r="X166" s="169">
        <v>1.9109143061067601E-3</v>
      </c>
      <c r="Y166" s="154">
        <v>48558</v>
      </c>
      <c r="Z166" s="193">
        <f t="shared" si="2"/>
        <v>48558.115795279606</v>
      </c>
    </row>
    <row r="167" spans="1:26">
      <c r="A167" s="4" t="s">
        <v>26</v>
      </c>
      <c r="B167" s="4">
        <v>9962</v>
      </c>
      <c r="C167" s="4" t="s">
        <v>1636</v>
      </c>
      <c r="D167" s="4" t="s">
        <v>1637</v>
      </c>
      <c r="E167" s="4" t="s">
        <v>312</v>
      </c>
      <c r="F167" s="4" t="s">
        <v>1638</v>
      </c>
      <c r="G167" s="4" t="s">
        <v>1639</v>
      </c>
      <c r="H167" s="4" t="s">
        <v>319</v>
      </c>
      <c r="I167" s="4" t="s">
        <v>931</v>
      </c>
      <c r="J167" s="4" t="s">
        <v>73</v>
      </c>
      <c r="K167" s="4" t="s">
        <v>74</v>
      </c>
      <c r="L167" s="2" t="s">
        <v>325</v>
      </c>
      <c r="M167" s="2" t="s">
        <v>344</v>
      </c>
      <c r="N167" s="4" t="s">
        <v>547</v>
      </c>
      <c r="O167" s="4" t="s">
        <v>136</v>
      </c>
      <c r="P167" s="4" t="s">
        <v>78</v>
      </c>
      <c r="Q167" s="154">
        <v>164</v>
      </c>
      <c r="R167" s="154">
        <v>3.681</v>
      </c>
      <c r="S167" s="154">
        <v>15226.012284572724</v>
      </c>
      <c r="U167" s="154">
        <v>91.917000000000002</v>
      </c>
      <c r="V167" s="169">
        <v>0</v>
      </c>
      <c r="W167" s="169">
        <v>1.94638616417993E-2</v>
      </c>
      <c r="X167" s="169">
        <v>2.97780431328244E-3</v>
      </c>
      <c r="Y167" s="154">
        <v>15226</v>
      </c>
      <c r="Z167" s="193">
        <f t="shared" si="2"/>
        <v>15226.012284572724</v>
      </c>
    </row>
    <row r="168" spans="1:26">
      <c r="A168" s="4" t="s">
        <v>26</v>
      </c>
      <c r="B168" s="4">
        <v>9962</v>
      </c>
      <c r="C168" s="4" t="s">
        <v>1640</v>
      </c>
      <c r="D168" s="4" t="s">
        <v>1641</v>
      </c>
      <c r="E168" s="4" t="s">
        <v>1305</v>
      </c>
      <c r="F168" s="4" t="s">
        <v>1642</v>
      </c>
      <c r="G168" s="4" t="s">
        <v>1643</v>
      </c>
      <c r="H168" s="4" t="s">
        <v>319</v>
      </c>
      <c r="I168" s="4" t="s">
        <v>931</v>
      </c>
      <c r="J168" s="4" t="s">
        <v>2764</v>
      </c>
      <c r="K168" s="4" t="s">
        <v>31</v>
      </c>
      <c r="L168" s="2" t="s">
        <v>325</v>
      </c>
      <c r="M168" s="2" t="s">
        <v>344</v>
      </c>
      <c r="N168" s="4" t="s">
        <v>544</v>
      </c>
      <c r="O168" s="4" t="s">
        <v>136</v>
      </c>
      <c r="P168" s="4" t="s">
        <v>78</v>
      </c>
      <c r="Q168" s="154">
        <v>231</v>
      </c>
      <c r="R168" s="154">
        <v>3.681</v>
      </c>
      <c r="S168" s="154">
        <v>2796.0016982021875</v>
      </c>
      <c r="T168" s="161">
        <v>0.09</v>
      </c>
      <c r="U168" s="154">
        <v>24.106000000000002</v>
      </c>
      <c r="V168" s="169">
        <v>1.8E-5</v>
      </c>
      <c r="W168" s="169">
        <v>5.1046312915046304E-3</v>
      </c>
      <c r="X168" s="169">
        <v>7.8096491627926805E-4</v>
      </c>
      <c r="Y168" s="154">
        <v>27.96</v>
      </c>
      <c r="Z168" s="193">
        <f t="shared" si="2"/>
        <v>2796.0016982021875</v>
      </c>
    </row>
    <row r="169" spans="1:26">
      <c r="A169" s="4" t="s">
        <v>26</v>
      </c>
      <c r="B169" s="4">
        <v>9962</v>
      </c>
      <c r="C169" s="4" t="s">
        <v>1644</v>
      </c>
      <c r="D169" s="4" t="s">
        <v>1645</v>
      </c>
      <c r="E169" s="4" t="s">
        <v>312</v>
      </c>
      <c r="F169" s="4" t="s">
        <v>1646</v>
      </c>
      <c r="G169" s="4" t="s">
        <v>1647</v>
      </c>
      <c r="H169" s="4" t="s">
        <v>319</v>
      </c>
      <c r="I169" s="4" t="s">
        <v>931</v>
      </c>
      <c r="J169" s="4" t="s">
        <v>73</v>
      </c>
      <c r="K169" s="4" t="s">
        <v>74</v>
      </c>
      <c r="L169" s="2" t="s">
        <v>325</v>
      </c>
      <c r="M169" s="2" t="s">
        <v>342</v>
      </c>
      <c r="N169" s="4" t="s">
        <v>498</v>
      </c>
      <c r="O169" s="4" t="s">
        <v>136</v>
      </c>
      <c r="P169" s="4" t="s">
        <v>78</v>
      </c>
      <c r="Q169" s="154">
        <v>55</v>
      </c>
      <c r="R169" s="154">
        <v>3.681</v>
      </c>
      <c r="S169" s="154">
        <v>15372.79889358129</v>
      </c>
      <c r="U169" s="154">
        <v>31.123000000000001</v>
      </c>
      <c r="V169" s="169">
        <v>0</v>
      </c>
      <c r="W169" s="169">
        <v>6.5905347143949498E-3</v>
      </c>
      <c r="X169" s="169">
        <v>1.0082954277283299E-3</v>
      </c>
      <c r="Y169" s="154">
        <v>15373</v>
      </c>
      <c r="Z169" s="193">
        <f t="shared" si="2"/>
        <v>15372.79889358129</v>
      </c>
    </row>
    <row r="170" spans="1:26">
      <c r="A170" s="4" t="s">
        <v>26</v>
      </c>
      <c r="B170" s="4">
        <v>9962</v>
      </c>
      <c r="C170" s="4" t="s">
        <v>1648</v>
      </c>
      <c r="D170" s="4" t="s">
        <v>1649</v>
      </c>
      <c r="E170" s="4" t="s">
        <v>312</v>
      </c>
      <c r="F170" s="4" t="s">
        <v>1650</v>
      </c>
      <c r="G170" s="4" t="s">
        <v>1651</v>
      </c>
      <c r="H170" s="4" t="s">
        <v>319</v>
      </c>
      <c r="I170" s="4" t="s">
        <v>931</v>
      </c>
      <c r="J170" s="4" t="s">
        <v>73</v>
      </c>
      <c r="K170" s="4" t="s">
        <v>74</v>
      </c>
      <c r="L170" s="2" t="s">
        <v>325</v>
      </c>
      <c r="M170" s="2" t="s">
        <v>342</v>
      </c>
      <c r="N170" s="4" t="s">
        <v>534</v>
      </c>
      <c r="O170" s="4" t="s">
        <v>136</v>
      </c>
      <c r="P170" s="4" t="s">
        <v>78</v>
      </c>
      <c r="Q170" s="154">
        <v>44</v>
      </c>
      <c r="R170" s="154">
        <v>3.681</v>
      </c>
      <c r="S170" s="154">
        <v>20029.759699686354</v>
      </c>
      <c r="U170" s="154">
        <v>32.441000000000003</v>
      </c>
      <c r="V170" s="169">
        <v>0</v>
      </c>
      <c r="W170" s="169">
        <v>6.8696239031720997E-3</v>
      </c>
      <c r="X170" s="169">
        <v>1.0509936859376E-3</v>
      </c>
      <c r="Y170" s="154">
        <v>200.3</v>
      </c>
      <c r="Z170" s="193">
        <f t="shared" si="2"/>
        <v>20029.759699686354</v>
      </c>
    </row>
    <row r="171" spans="1:26">
      <c r="A171" s="4" t="s">
        <v>26</v>
      </c>
      <c r="B171" s="4">
        <v>9962</v>
      </c>
      <c r="C171" s="4" t="s">
        <v>1652</v>
      </c>
      <c r="D171" s="4" t="s">
        <v>1653</v>
      </c>
      <c r="E171" s="4" t="s">
        <v>312</v>
      </c>
      <c r="F171" s="4" t="s">
        <v>1654</v>
      </c>
      <c r="G171" s="4" t="s">
        <v>1655</v>
      </c>
      <c r="H171" s="4" t="s">
        <v>319</v>
      </c>
      <c r="I171" s="4" t="s">
        <v>931</v>
      </c>
      <c r="J171" s="4" t="s">
        <v>73</v>
      </c>
      <c r="K171" s="4" t="s">
        <v>74</v>
      </c>
      <c r="L171" s="2" t="s">
        <v>325</v>
      </c>
      <c r="M171" s="2" t="s">
        <v>344</v>
      </c>
      <c r="N171" s="4" t="s">
        <v>542</v>
      </c>
      <c r="O171" s="4" t="s">
        <v>136</v>
      </c>
      <c r="P171" s="4" t="s">
        <v>78</v>
      </c>
      <c r="Q171" s="154">
        <v>22</v>
      </c>
      <c r="R171" s="154">
        <v>3.681</v>
      </c>
      <c r="S171" s="154">
        <v>42072.312365710895</v>
      </c>
      <c r="U171" s="154">
        <v>34.070999999999998</v>
      </c>
      <c r="V171" s="169">
        <v>0</v>
      </c>
      <c r="W171" s="169">
        <v>7.2146484486833896E-3</v>
      </c>
      <c r="X171" s="169">
        <v>1.10377948963471E-3</v>
      </c>
      <c r="Y171" s="154">
        <v>420.72</v>
      </c>
      <c r="Z171" s="193">
        <f t="shared" si="2"/>
        <v>42072.312365710895</v>
      </c>
    </row>
    <row r="172" spans="1:26">
      <c r="A172" s="4" t="s">
        <v>26</v>
      </c>
      <c r="B172" s="4">
        <v>9962</v>
      </c>
      <c r="C172" s="4" t="s">
        <v>1656</v>
      </c>
      <c r="D172" s="4" t="s">
        <v>1657</v>
      </c>
      <c r="E172" s="4" t="s">
        <v>312</v>
      </c>
      <c r="F172" s="4" t="s">
        <v>1658</v>
      </c>
      <c r="G172" s="4" t="s">
        <v>1659</v>
      </c>
      <c r="H172" s="4" t="s">
        <v>319</v>
      </c>
      <c r="I172" s="4" t="s">
        <v>931</v>
      </c>
      <c r="J172" s="4" t="s">
        <v>73</v>
      </c>
      <c r="K172" s="4" t="s">
        <v>74</v>
      </c>
      <c r="L172" s="2" t="s">
        <v>325</v>
      </c>
      <c r="M172" s="2" t="s">
        <v>344</v>
      </c>
      <c r="N172" s="4" t="s">
        <v>523</v>
      </c>
      <c r="O172" s="4" t="s">
        <v>136</v>
      </c>
      <c r="P172" s="4" t="s">
        <v>78</v>
      </c>
      <c r="Q172" s="154">
        <v>95</v>
      </c>
      <c r="R172" s="154">
        <v>3.681</v>
      </c>
      <c r="S172" s="154">
        <v>6999.7823817898443</v>
      </c>
      <c r="T172" s="161">
        <v>3.1E-2</v>
      </c>
      <c r="U172" s="154">
        <v>24.591999999999999</v>
      </c>
      <c r="V172" s="169">
        <v>0</v>
      </c>
      <c r="W172" s="169">
        <v>5.2075067356904302E-3</v>
      </c>
      <c r="X172" s="169">
        <v>7.9670397911608102E-4</v>
      </c>
      <c r="Y172" s="154">
        <v>7000</v>
      </c>
      <c r="Z172" s="193">
        <f t="shared" si="2"/>
        <v>6999.7823817898443</v>
      </c>
    </row>
    <row r="173" spans="1:26">
      <c r="A173" s="4" t="s">
        <v>26</v>
      </c>
      <c r="B173" s="4">
        <v>9962</v>
      </c>
      <c r="C173" s="4" t="s">
        <v>1660</v>
      </c>
      <c r="D173" s="4" t="s">
        <v>1661</v>
      </c>
      <c r="E173" s="4" t="s">
        <v>312</v>
      </c>
      <c r="F173" s="4" t="s">
        <v>1662</v>
      </c>
      <c r="G173" s="4" t="s">
        <v>1663</v>
      </c>
      <c r="H173" s="4" t="s">
        <v>319</v>
      </c>
      <c r="I173" s="4" t="s">
        <v>931</v>
      </c>
      <c r="J173" s="4" t="s">
        <v>73</v>
      </c>
      <c r="K173" s="4" t="s">
        <v>31</v>
      </c>
      <c r="L173" s="2" t="s">
        <v>325</v>
      </c>
      <c r="M173" s="2" t="s">
        <v>344</v>
      </c>
      <c r="N173" s="4" t="s">
        <v>548</v>
      </c>
      <c r="O173" s="4" t="s">
        <v>136</v>
      </c>
      <c r="P173" s="4" t="s">
        <v>78</v>
      </c>
      <c r="Q173" s="154">
        <v>53</v>
      </c>
      <c r="R173" s="154">
        <v>3.681</v>
      </c>
      <c r="S173" s="154">
        <v>26061.92943878048</v>
      </c>
      <c r="U173" s="154">
        <v>50.844999999999999</v>
      </c>
      <c r="V173" s="169">
        <v>9.9999999999999995E-7</v>
      </c>
      <c r="W173" s="169">
        <v>1.0766708258881E-2</v>
      </c>
      <c r="X173" s="169">
        <v>1.64721425188808E-3</v>
      </c>
      <c r="Y173" s="154">
        <v>26062</v>
      </c>
      <c r="Z173" s="193">
        <f t="shared" si="2"/>
        <v>26061.92943878048</v>
      </c>
    </row>
    <row r="174" spans="1:26">
      <c r="A174" s="4" t="s">
        <v>26</v>
      </c>
      <c r="B174" s="4">
        <v>9962</v>
      </c>
      <c r="C174" s="4" t="s">
        <v>1664</v>
      </c>
      <c r="D174" s="4" t="s">
        <v>1665</v>
      </c>
      <c r="E174" s="4" t="s">
        <v>312</v>
      </c>
      <c r="F174" s="4" t="s">
        <v>1666</v>
      </c>
      <c r="G174" s="4" t="s">
        <v>1667</v>
      </c>
      <c r="H174" s="4" t="s">
        <v>319</v>
      </c>
      <c r="I174" s="4" t="s">
        <v>931</v>
      </c>
      <c r="J174" s="4" t="s">
        <v>73</v>
      </c>
      <c r="K174" s="4" t="s">
        <v>74</v>
      </c>
      <c r="L174" s="2" t="s">
        <v>325</v>
      </c>
      <c r="M174" s="2" t="s">
        <v>342</v>
      </c>
      <c r="N174" s="4" t="s">
        <v>555</v>
      </c>
      <c r="O174" s="4" t="s">
        <v>136</v>
      </c>
      <c r="P174" s="4" t="s">
        <v>78</v>
      </c>
      <c r="Q174" s="154">
        <v>70</v>
      </c>
      <c r="R174" s="154">
        <v>3.681</v>
      </c>
      <c r="S174" s="154">
        <v>6618.9311910583301</v>
      </c>
      <c r="U174" s="154">
        <v>17.055</v>
      </c>
      <c r="V174" s="169">
        <v>9.9999999999999995E-7</v>
      </c>
      <c r="W174" s="169">
        <v>3.6115177722696999E-3</v>
      </c>
      <c r="X174" s="169">
        <v>5.5253132177355299E-4</v>
      </c>
      <c r="Y174" s="154">
        <v>66.19</v>
      </c>
      <c r="Z174" s="193">
        <f t="shared" si="2"/>
        <v>6618.9311910583301</v>
      </c>
    </row>
    <row r="175" spans="1:26">
      <c r="A175" s="4" t="s">
        <v>26</v>
      </c>
      <c r="B175" s="4">
        <v>9962</v>
      </c>
      <c r="C175" s="4" t="s">
        <v>1668</v>
      </c>
      <c r="D175" s="4" t="s">
        <v>1669</v>
      </c>
      <c r="E175" s="4" t="s">
        <v>312</v>
      </c>
      <c r="F175" s="4" t="s">
        <v>1670</v>
      </c>
      <c r="G175" s="4" t="s">
        <v>1671</v>
      </c>
      <c r="H175" s="4" t="s">
        <v>319</v>
      </c>
      <c r="I175" s="4" t="s">
        <v>931</v>
      </c>
      <c r="J175" s="4" t="s">
        <v>73</v>
      </c>
      <c r="K175" s="4" t="s">
        <v>74</v>
      </c>
      <c r="L175" s="2" t="s">
        <v>325</v>
      </c>
      <c r="M175" s="2" t="s">
        <v>344</v>
      </c>
      <c r="N175" s="4" t="s">
        <v>542</v>
      </c>
      <c r="O175" s="4" t="s">
        <v>136</v>
      </c>
      <c r="P175" s="4" t="s">
        <v>78</v>
      </c>
      <c r="Q175" s="154">
        <v>44</v>
      </c>
      <c r="R175" s="154">
        <v>3.681</v>
      </c>
      <c r="S175" s="154">
        <v>28413.104146600475</v>
      </c>
      <c r="U175" s="154">
        <v>46.018999999999998</v>
      </c>
      <c r="V175" s="169">
        <v>0</v>
      </c>
      <c r="W175" s="169">
        <v>9.74471412685117E-3</v>
      </c>
      <c r="X175" s="169">
        <v>1.4908578930876201E-3</v>
      </c>
      <c r="Y175" s="154">
        <v>28413</v>
      </c>
      <c r="Z175" s="193">
        <f t="shared" si="2"/>
        <v>28413.104146600475</v>
      </c>
    </row>
    <row r="176" spans="1:26">
      <c r="A176" s="4" t="s">
        <v>26</v>
      </c>
      <c r="B176" s="4">
        <v>9962</v>
      </c>
      <c r="C176" s="4" t="s">
        <v>1672</v>
      </c>
      <c r="D176" s="4" t="s">
        <v>1673</v>
      </c>
      <c r="E176" s="4" t="s">
        <v>1305</v>
      </c>
      <c r="F176" s="4" t="s">
        <v>1674</v>
      </c>
      <c r="G176" s="4" t="s">
        <v>1675</v>
      </c>
      <c r="H176" s="4" t="s">
        <v>319</v>
      </c>
      <c r="I176" s="4" t="s">
        <v>931</v>
      </c>
      <c r="J176" s="4" t="s">
        <v>73</v>
      </c>
      <c r="K176" s="4" t="s">
        <v>31</v>
      </c>
      <c r="L176" s="2" t="s">
        <v>325</v>
      </c>
      <c r="M176" s="2" t="s">
        <v>344</v>
      </c>
      <c r="N176" s="4" t="s">
        <v>478</v>
      </c>
      <c r="O176" s="4" t="s">
        <v>136</v>
      </c>
      <c r="P176" s="4" t="s">
        <v>78</v>
      </c>
      <c r="Q176" s="154">
        <v>117</v>
      </c>
      <c r="R176" s="154">
        <v>3.681</v>
      </c>
      <c r="S176" s="154">
        <v>2248.0884746573415</v>
      </c>
      <c r="U176" s="154">
        <v>9.6820000000000004</v>
      </c>
      <c r="V176" s="169">
        <v>3.0000000000000001E-6</v>
      </c>
      <c r="W176" s="169">
        <v>2.0501304866753401E-3</v>
      </c>
      <c r="X176" s="169">
        <v>3.1365242511297101E-4</v>
      </c>
      <c r="Y176" s="154">
        <v>2248</v>
      </c>
      <c r="Z176" s="193">
        <f t="shared" si="2"/>
        <v>2248.0884746573415</v>
      </c>
    </row>
    <row r="177" spans="1:26">
      <c r="A177" s="4" t="s">
        <v>26</v>
      </c>
      <c r="B177" s="4">
        <v>9962</v>
      </c>
      <c r="C177" s="4" t="s">
        <v>1676</v>
      </c>
      <c r="D177" s="4" t="s">
        <v>1677</v>
      </c>
      <c r="E177" s="4" t="s">
        <v>312</v>
      </c>
      <c r="F177" s="4" t="s">
        <v>1678</v>
      </c>
      <c r="G177" s="4" t="s">
        <v>1679</v>
      </c>
      <c r="H177" s="4" t="s">
        <v>319</v>
      </c>
      <c r="I177" s="4" t="s">
        <v>931</v>
      </c>
      <c r="J177" s="4" t="s">
        <v>73</v>
      </c>
      <c r="K177" s="4" t="s">
        <v>233</v>
      </c>
      <c r="L177" s="2" t="s">
        <v>325</v>
      </c>
      <c r="M177" s="2" t="s">
        <v>378</v>
      </c>
      <c r="N177" s="4" t="s">
        <v>515</v>
      </c>
      <c r="O177" s="4" t="s">
        <v>136</v>
      </c>
      <c r="P177" s="4" t="s">
        <v>1182</v>
      </c>
      <c r="Q177" s="154">
        <v>700</v>
      </c>
      <c r="R177" s="154">
        <v>4.6539999999999999</v>
      </c>
      <c r="S177" s="154">
        <v>1414.8505126158759</v>
      </c>
      <c r="U177" s="154">
        <v>46.093000000000004</v>
      </c>
      <c r="V177" s="169">
        <v>3.4E-5</v>
      </c>
      <c r="W177" s="169">
        <v>9.7604022402634893E-3</v>
      </c>
      <c r="X177" s="169">
        <v>1.4932580402242E-3</v>
      </c>
      <c r="Y177" s="154">
        <v>1415</v>
      </c>
      <c r="Z177" s="193">
        <f t="shared" si="2"/>
        <v>1414.8505126158759</v>
      </c>
    </row>
    <row r="178" spans="1:26">
      <c r="A178" s="4" t="s">
        <v>26</v>
      </c>
      <c r="B178" s="4">
        <v>9962</v>
      </c>
      <c r="C178" s="4" t="s">
        <v>1680</v>
      </c>
      <c r="D178" s="4" t="s">
        <v>1681</v>
      </c>
      <c r="E178" s="4" t="s">
        <v>312</v>
      </c>
      <c r="F178" s="4" t="s">
        <v>1680</v>
      </c>
      <c r="G178" s="4" t="s">
        <v>1682</v>
      </c>
      <c r="H178" s="4" t="s">
        <v>319</v>
      </c>
      <c r="I178" s="4" t="s">
        <v>931</v>
      </c>
      <c r="J178" s="4" t="s">
        <v>73</v>
      </c>
      <c r="K178" s="4" t="s">
        <v>238</v>
      </c>
      <c r="L178" s="2" t="s">
        <v>325</v>
      </c>
      <c r="M178" s="2" t="s">
        <v>366</v>
      </c>
      <c r="N178" s="4" t="s">
        <v>555</v>
      </c>
      <c r="O178" s="4" t="s">
        <v>136</v>
      </c>
      <c r="P178" s="4" t="s">
        <v>1178</v>
      </c>
      <c r="Q178" s="154">
        <v>310</v>
      </c>
      <c r="R178" s="154">
        <v>3.9790000000000001</v>
      </c>
      <c r="S178" s="154">
        <v>3146.1138720216622</v>
      </c>
      <c r="U178" s="154">
        <v>38.807000000000002</v>
      </c>
      <c r="V178" s="169">
        <v>0</v>
      </c>
      <c r="W178" s="169">
        <v>8.2174824192199902E-3</v>
      </c>
      <c r="X178" s="169">
        <v>1.2572045076464E-3</v>
      </c>
      <c r="Y178" s="154">
        <v>3146</v>
      </c>
      <c r="Z178" s="193">
        <f t="shared" si="2"/>
        <v>3146.1138720216622</v>
      </c>
    </row>
    <row r="179" spans="1:26">
      <c r="A179" s="4" t="s">
        <v>26</v>
      </c>
      <c r="B179" s="4">
        <v>9962</v>
      </c>
      <c r="C179" s="4" t="s">
        <v>1687</v>
      </c>
      <c r="D179" s="4" t="s">
        <v>1688</v>
      </c>
      <c r="E179" s="4" t="s">
        <v>1305</v>
      </c>
      <c r="F179" s="4" t="s">
        <v>1687</v>
      </c>
      <c r="G179" s="4" t="s">
        <v>1689</v>
      </c>
      <c r="H179" s="4" t="s">
        <v>319</v>
      </c>
      <c r="I179" s="4" t="s">
        <v>931</v>
      </c>
      <c r="J179" s="4" t="s">
        <v>31</v>
      </c>
      <c r="K179" s="4" t="s">
        <v>31</v>
      </c>
      <c r="L179" s="2" t="s">
        <v>325</v>
      </c>
      <c r="M179" s="2" t="s">
        <v>394</v>
      </c>
      <c r="N179" s="4" t="s">
        <v>528</v>
      </c>
      <c r="O179" s="4" t="s">
        <v>136</v>
      </c>
      <c r="P179" s="4" t="s">
        <v>1179</v>
      </c>
      <c r="Q179" s="154">
        <v>676</v>
      </c>
      <c r="R179" s="154">
        <v>4.0739999999999998</v>
      </c>
      <c r="S179" s="154">
        <v>544.98435743479365</v>
      </c>
      <c r="U179" s="154">
        <v>15.009</v>
      </c>
      <c r="V179" s="169">
        <v>9.7999999999999997E-5</v>
      </c>
      <c r="W179" s="169">
        <v>3.1783208777227002E-3</v>
      </c>
      <c r="X179" s="169">
        <v>4.8625590300915101E-4</v>
      </c>
      <c r="Y179" s="154">
        <v>545</v>
      </c>
      <c r="Z179" s="193">
        <f t="shared" si="2"/>
        <v>544.98435743479365</v>
      </c>
    </row>
    <row r="180" spans="1:26">
      <c r="A180" s="4" t="s">
        <v>26</v>
      </c>
      <c r="B180" s="4">
        <v>9962</v>
      </c>
      <c r="C180" s="4" t="s">
        <v>1690</v>
      </c>
      <c r="D180" s="4" t="s">
        <v>1691</v>
      </c>
      <c r="E180" s="4" t="s">
        <v>312</v>
      </c>
      <c r="F180" s="4" t="s">
        <v>1692</v>
      </c>
      <c r="G180" s="4" t="s">
        <v>1693</v>
      </c>
      <c r="H180" s="4" t="s">
        <v>319</v>
      </c>
      <c r="I180" s="4" t="s">
        <v>931</v>
      </c>
      <c r="J180" s="4" t="s">
        <v>73</v>
      </c>
      <c r="K180" s="4" t="s">
        <v>268</v>
      </c>
      <c r="L180" s="2" t="s">
        <v>325</v>
      </c>
      <c r="M180" s="2" t="s">
        <v>342</v>
      </c>
      <c r="N180" s="4" t="s">
        <v>546</v>
      </c>
      <c r="O180" s="4" t="s">
        <v>136</v>
      </c>
      <c r="P180" s="4" t="s">
        <v>78</v>
      </c>
      <c r="Q180" s="154">
        <v>200</v>
      </c>
      <c r="R180" s="154">
        <v>3.681</v>
      </c>
      <c r="S180" s="154">
        <v>13604.872588970391</v>
      </c>
      <c r="T180" s="161">
        <v>8.7999999999999995E-2</v>
      </c>
      <c r="U180" s="154">
        <v>100.483</v>
      </c>
      <c r="V180" s="169">
        <v>0</v>
      </c>
      <c r="W180" s="169">
        <v>2.1277789082120899E-2</v>
      </c>
      <c r="X180" s="169">
        <v>3.2553196930758901E-3</v>
      </c>
      <c r="Y180" s="154">
        <v>13605</v>
      </c>
      <c r="Z180" s="193">
        <f t="shared" si="2"/>
        <v>13604.872588970391</v>
      </c>
    </row>
    <row r="181" spans="1:26">
      <c r="A181" s="4" t="s">
        <v>26</v>
      </c>
      <c r="B181" s="4">
        <v>9963</v>
      </c>
      <c r="C181" s="4" t="s">
        <v>1391</v>
      </c>
      <c r="D181" s="4" t="s">
        <v>1392</v>
      </c>
      <c r="E181" s="4" t="s">
        <v>1305</v>
      </c>
      <c r="F181" s="4" t="s">
        <v>1393</v>
      </c>
      <c r="G181" s="4" t="s">
        <v>1394</v>
      </c>
      <c r="H181" s="4" t="s">
        <v>319</v>
      </c>
      <c r="I181" s="4" t="s">
        <v>931</v>
      </c>
      <c r="J181" s="4" t="s">
        <v>31</v>
      </c>
      <c r="K181" s="4" t="s">
        <v>31</v>
      </c>
      <c r="L181" s="2" t="s">
        <v>325</v>
      </c>
      <c r="M181" s="2" t="s">
        <v>40</v>
      </c>
      <c r="N181" s="4" t="s">
        <v>437</v>
      </c>
      <c r="O181" s="4" t="s">
        <v>136</v>
      </c>
      <c r="P181" s="4" t="s">
        <v>35</v>
      </c>
      <c r="Q181" s="154">
        <v>41372</v>
      </c>
      <c r="R181" s="154">
        <v>1</v>
      </c>
      <c r="S181" s="154">
        <v>2616.001160204969</v>
      </c>
      <c r="U181" s="154">
        <v>1082.2919999999999</v>
      </c>
      <c r="V181" s="169">
        <v>1.84E-4</v>
      </c>
      <c r="W181" s="169">
        <v>6.7622870100109899E-3</v>
      </c>
      <c r="X181" s="169">
        <v>1.0533662880444501E-3</v>
      </c>
      <c r="Y181" s="154">
        <v>2616</v>
      </c>
      <c r="Z181" s="193">
        <f t="shared" si="2"/>
        <v>2616.001160204969</v>
      </c>
    </row>
    <row r="182" spans="1:26">
      <c r="A182" s="4" t="s">
        <v>26</v>
      </c>
      <c r="B182" s="4">
        <v>9963</v>
      </c>
      <c r="C182" s="4" t="s">
        <v>1395</v>
      </c>
      <c r="D182" s="4" t="s">
        <v>1396</v>
      </c>
      <c r="E182" s="4" t="s">
        <v>1305</v>
      </c>
      <c r="F182" s="4" t="s">
        <v>1397</v>
      </c>
      <c r="G182" s="4" t="s">
        <v>1398</v>
      </c>
      <c r="H182" s="4" t="s">
        <v>319</v>
      </c>
      <c r="I182" s="4" t="s">
        <v>931</v>
      </c>
      <c r="J182" s="4" t="s">
        <v>31</v>
      </c>
      <c r="K182" s="4" t="s">
        <v>31</v>
      </c>
      <c r="L182" s="2" t="s">
        <v>325</v>
      </c>
      <c r="M182" s="2" t="s">
        <v>40</v>
      </c>
      <c r="N182" s="4" t="s">
        <v>476</v>
      </c>
      <c r="O182" s="4" t="s">
        <v>136</v>
      </c>
      <c r="P182" s="4" t="s">
        <v>35</v>
      </c>
      <c r="Q182" s="154">
        <v>18398</v>
      </c>
      <c r="R182" s="154">
        <v>1</v>
      </c>
      <c r="S182" s="154">
        <v>5665.0016306120242</v>
      </c>
      <c r="U182" s="154">
        <v>1042.2470000000001</v>
      </c>
      <c r="V182" s="169">
        <v>1.237E-3</v>
      </c>
      <c r="W182" s="169">
        <v>6.5120821797040604E-3</v>
      </c>
      <c r="X182" s="169">
        <v>1.01439170252908E-3</v>
      </c>
      <c r="Y182" s="154">
        <v>5665</v>
      </c>
      <c r="Z182" s="193">
        <f t="shared" si="2"/>
        <v>5665.0016306120242</v>
      </c>
    </row>
    <row r="183" spans="1:26">
      <c r="A183" s="4" t="s">
        <v>26</v>
      </c>
      <c r="B183" s="4">
        <v>9963</v>
      </c>
      <c r="C183" s="4" t="s">
        <v>1399</v>
      </c>
      <c r="D183" s="4" t="s">
        <v>1400</v>
      </c>
      <c r="E183" s="4" t="s">
        <v>1305</v>
      </c>
      <c r="F183" s="4" t="s">
        <v>1401</v>
      </c>
      <c r="G183" s="4" t="s">
        <v>1402</v>
      </c>
      <c r="H183" s="4" t="s">
        <v>319</v>
      </c>
      <c r="I183" s="4" t="s">
        <v>931</v>
      </c>
      <c r="J183" s="4" t="s">
        <v>31</v>
      </c>
      <c r="K183" s="4" t="s">
        <v>31</v>
      </c>
      <c r="L183" s="2" t="s">
        <v>325</v>
      </c>
      <c r="M183" s="2" t="s">
        <v>40</v>
      </c>
      <c r="N183" s="4" t="s">
        <v>475</v>
      </c>
      <c r="O183" s="4" t="s">
        <v>136</v>
      </c>
      <c r="P183" s="4" t="s">
        <v>35</v>
      </c>
      <c r="Q183" s="154">
        <v>12281</v>
      </c>
      <c r="R183" s="154">
        <v>1</v>
      </c>
      <c r="S183" s="154">
        <v>1049.9959286703036</v>
      </c>
      <c r="T183" s="161">
        <v>1.9410000000000001</v>
      </c>
      <c r="U183" s="154">
        <v>130.89099999999999</v>
      </c>
      <c r="V183" s="169">
        <v>5.4900000000000001E-4</v>
      </c>
      <c r="W183" s="169">
        <v>8.1782538999624905E-4</v>
      </c>
      <c r="X183" s="169">
        <v>1.27393246405177E-4</v>
      </c>
      <c r="Y183" s="154">
        <v>1050</v>
      </c>
      <c r="Z183" s="193">
        <f t="shared" si="2"/>
        <v>1049.9959286703036</v>
      </c>
    </row>
    <row r="184" spans="1:26">
      <c r="A184" s="4" t="s">
        <v>26</v>
      </c>
      <c r="B184" s="4">
        <v>9963</v>
      </c>
      <c r="C184" s="4" t="s">
        <v>1403</v>
      </c>
      <c r="D184" s="4" t="s">
        <v>1404</v>
      </c>
      <c r="E184" s="4" t="s">
        <v>1305</v>
      </c>
      <c r="F184" s="4" t="s">
        <v>1405</v>
      </c>
      <c r="G184" s="4" t="s">
        <v>1406</v>
      </c>
      <c r="H184" s="4" t="s">
        <v>319</v>
      </c>
      <c r="I184" s="4" t="s">
        <v>931</v>
      </c>
      <c r="J184" s="4" t="s">
        <v>31</v>
      </c>
      <c r="K184" s="4" t="s">
        <v>31</v>
      </c>
      <c r="L184" s="2" t="s">
        <v>325</v>
      </c>
      <c r="M184" s="2" t="s">
        <v>40</v>
      </c>
      <c r="N184" s="4" t="s">
        <v>453</v>
      </c>
      <c r="O184" s="4" t="s">
        <v>136</v>
      </c>
      <c r="P184" s="4" t="s">
        <v>35</v>
      </c>
      <c r="Q184" s="154">
        <v>103106</v>
      </c>
      <c r="R184" s="154">
        <v>1</v>
      </c>
      <c r="S184" s="154">
        <v>1950.9999418074603</v>
      </c>
      <c r="U184" s="154">
        <v>2011.598</v>
      </c>
      <c r="V184" s="169">
        <v>8.0000000000000007E-5</v>
      </c>
      <c r="W184" s="169">
        <v>1.2568705546636199E-2</v>
      </c>
      <c r="X184" s="169">
        <v>1.9578362597718799E-3</v>
      </c>
      <c r="Y184" s="154">
        <v>1951</v>
      </c>
      <c r="Z184" s="193">
        <f t="shared" si="2"/>
        <v>1950.9999418074603</v>
      </c>
    </row>
    <row r="185" spans="1:26">
      <c r="A185" s="4" t="s">
        <v>26</v>
      </c>
      <c r="B185" s="4">
        <v>9963</v>
      </c>
      <c r="C185" s="4" t="s">
        <v>1694</v>
      </c>
      <c r="D185" s="4" t="s">
        <v>1695</v>
      </c>
      <c r="E185" s="4" t="s">
        <v>1305</v>
      </c>
      <c r="F185" s="4" t="s">
        <v>1696</v>
      </c>
      <c r="G185" s="4" t="s">
        <v>1697</v>
      </c>
      <c r="H185" s="4" t="s">
        <v>319</v>
      </c>
      <c r="I185" s="4" t="s">
        <v>931</v>
      </c>
      <c r="J185" s="4" t="s">
        <v>31</v>
      </c>
      <c r="K185" s="4" t="s">
        <v>31</v>
      </c>
      <c r="L185" s="2" t="s">
        <v>325</v>
      </c>
      <c r="M185" s="2" t="s">
        <v>40</v>
      </c>
      <c r="N185" s="4" t="s">
        <v>478</v>
      </c>
      <c r="O185" s="4" t="s">
        <v>136</v>
      </c>
      <c r="P185" s="4" t="s">
        <v>35</v>
      </c>
      <c r="Q185" s="154">
        <v>7958</v>
      </c>
      <c r="R185" s="154">
        <v>1</v>
      </c>
      <c r="S185" s="154">
        <v>312.30208595124407</v>
      </c>
      <c r="U185" s="154">
        <v>24.853000000000002</v>
      </c>
      <c r="V185" s="169">
        <v>6.3100000000000005E-4</v>
      </c>
      <c r="W185" s="169">
        <v>1.5528348269804401E-4</v>
      </c>
      <c r="X185" s="169">
        <v>2.4188619252939399E-5</v>
      </c>
      <c r="Y185" s="154">
        <v>312.3</v>
      </c>
      <c r="Z185" s="193">
        <f t="shared" si="2"/>
        <v>312.30208595124407</v>
      </c>
    </row>
    <row r="186" spans="1:26">
      <c r="A186" s="4" t="s">
        <v>26</v>
      </c>
      <c r="B186" s="4">
        <v>9963</v>
      </c>
      <c r="C186" s="4" t="s">
        <v>1407</v>
      </c>
      <c r="D186" s="4" t="s">
        <v>1408</v>
      </c>
      <c r="E186" s="4" t="s">
        <v>1305</v>
      </c>
      <c r="F186" s="4" t="s">
        <v>1409</v>
      </c>
      <c r="G186" s="4" t="s">
        <v>1410</v>
      </c>
      <c r="H186" s="4" t="s">
        <v>319</v>
      </c>
      <c r="I186" s="4" t="s">
        <v>931</v>
      </c>
      <c r="J186" s="4" t="s">
        <v>31</v>
      </c>
      <c r="K186" s="4" t="s">
        <v>31</v>
      </c>
      <c r="L186" s="2" t="s">
        <v>327</v>
      </c>
      <c r="M186" s="2" t="s">
        <v>40</v>
      </c>
      <c r="N186" s="4" t="s">
        <v>460</v>
      </c>
      <c r="O186" s="4" t="s">
        <v>136</v>
      </c>
      <c r="P186" s="4" t="s">
        <v>35</v>
      </c>
      <c r="Q186" s="154">
        <v>84000</v>
      </c>
      <c r="R186" s="154">
        <v>1</v>
      </c>
      <c r="S186" s="154">
        <v>1172.2642857142857</v>
      </c>
      <c r="U186" s="154">
        <v>984.702</v>
      </c>
      <c r="V186" s="169">
        <v>5.7600000000000001E-4</v>
      </c>
      <c r="W186" s="169">
        <v>6.15253292965525E-3</v>
      </c>
      <c r="X186" s="169">
        <v>9.5838445848096202E-4</v>
      </c>
      <c r="Y186" s="154">
        <v>1172.2639999999999</v>
      </c>
      <c r="Z186" s="193">
        <f t="shared" si="2"/>
        <v>1172.2642857142857</v>
      </c>
    </row>
    <row r="187" spans="1:26">
      <c r="A187" s="4" t="s">
        <v>26</v>
      </c>
      <c r="B187" s="4">
        <v>9963</v>
      </c>
      <c r="C187" s="4" t="s">
        <v>1411</v>
      </c>
      <c r="D187" s="4" t="s">
        <v>1412</v>
      </c>
      <c r="E187" s="4" t="s">
        <v>1305</v>
      </c>
      <c r="F187" s="4" t="s">
        <v>1413</v>
      </c>
      <c r="G187" s="4" t="s">
        <v>1414</v>
      </c>
      <c r="H187" s="4" t="s">
        <v>319</v>
      </c>
      <c r="I187" s="4" t="s">
        <v>931</v>
      </c>
      <c r="J187" s="4" t="s">
        <v>31</v>
      </c>
      <c r="K187" s="4" t="s">
        <v>31</v>
      </c>
      <c r="L187" s="2" t="s">
        <v>325</v>
      </c>
      <c r="M187" s="2" t="s">
        <v>40</v>
      </c>
      <c r="N187" s="4" t="s">
        <v>458</v>
      </c>
      <c r="O187" s="4" t="s">
        <v>136</v>
      </c>
      <c r="P187" s="4" t="s">
        <v>35</v>
      </c>
      <c r="Q187" s="154">
        <v>7133</v>
      </c>
      <c r="R187" s="154">
        <v>1</v>
      </c>
      <c r="S187" s="154">
        <v>8312.0005607738676</v>
      </c>
      <c r="U187" s="154">
        <v>592.89499999999998</v>
      </c>
      <c r="V187" s="169">
        <v>4.5100000000000001E-4</v>
      </c>
      <c r="W187" s="169">
        <v>3.70447870302909E-3</v>
      </c>
      <c r="X187" s="169">
        <v>5.7704929926408904E-4</v>
      </c>
      <c r="Y187" s="154">
        <v>8312</v>
      </c>
      <c r="Z187" s="193">
        <f t="shared" si="2"/>
        <v>8312.0005607738676</v>
      </c>
    </row>
    <row r="188" spans="1:26">
      <c r="A188" s="4" t="s">
        <v>26</v>
      </c>
      <c r="B188" s="4">
        <v>9963</v>
      </c>
      <c r="C188" s="4" t="s">
        <v>1356</v>
      </c>
      <c r="D188" s="4" t="s">
        <v>1357</v>
      </c>
      <c r="E188" s="4" t="s">
        <v>1305</v>
      </c>
      <c r="F188" s="4" t="s">
        <v>1358</v>
      </c>
      <c r="G188" s="4" t="s">
        <v>1359</v>
      </c>
      <c r="H188" s="4" t="s">
        <v>319</v>
      </c>
      <c r="I188" s="4" t="s">
        <v>931</v>
      </c>
      <c r="J188" s="4" t="s">
        <v>31</v>
      </c>
      <c r="K188" s="4" t="s">
        <v>31</v>
      </c>
      <c r="L188" s="2" t="s">
        <v>325</v>
      </c>
      <c r="M188" s="2" t="s">
        <v>40</v>
      </c>
      <c r="N188" s="4" t="s">
        <v>443</v>
      </c>
      <c r="O188" s="4" t="s">
        <v>136</v>
      </c>
      <c r="P188" s="4" t="s">
        <v>35</v>
      </c>
      <c r="Q188" s="154">
        <v>5385</v>
      </c>
      <c r="R188" s="154">
        <v>1</v>
      </c>
      <c r="S188" s="154">
        <v>77500</v>
      </c>
      <c r="U188" s="154">
        <v>4173.375</v>
      </c>
      <c r="V188" s="169">
        <v>1.21E-4</v>
      </c>
      <c r="W188" s="169">
        <v>2.60757467178571E-2</v>
      </c>
      <c r="X188" s="169">
        <v>4.06183773145291E-3</v>
      </c>
      <c r="Y188" s="154">
        <v>77500</v>
      </c>
      <c r="Z188" s="193">
        <f t="shared" si="2"/>
        <v>77500</v>
      </c>
    </row>
    <row r="189" spans="1:26">
      <c r="A189" s="4" t="s">
        <v>26</v>
      </c>
      <c r="B189" s="4">
        <v>9963</v>
      </c>
      <c r="C189" s="4" t="s">
        <v>1698</v>
      </c>
      <c r="D189" s="4" t="s">
        <v>1699</v>
      </c>
      <c r="E189" s="4" t="s">
        <v>1305</v>
      </c>
      <c r="F189" s="4" t="s">
        <v>1700</v>
      </c>
      <c r="G189" s="4" t="s">
        <v>1701</v>
      </c>
      <c r="H189" s="4" t="s">
        <v>319</v>
      </c>
      <c r="I189" s="4" t="s">
        <v>931</v>
      </c>
      <c r="J189" s="4" t="s">
        <v>31</v>
      </c>
      <c r="K189" s="4" t="s">
        <v>31</v>
      </c>
      <c r="L189" s="2" t="s">
        <v>325</v>
      </c>
      <c r="M189" s="2" t="s">
        <v>40</v>
      </c>
      <c r="N189" s="4" t="s">
        <v>448</v>
      </c>
      <c r="O189" s="4" t="s">
        <v>136</v>
      </c>
      <c r="P189" s="4" t="s">
        <v>35</v>
      </c>
      <c r="Q189" s="154">
        <v>1279461</v>
      </c>
      <c r="R189" s="154">
        <v>1</v>
      </c>
      <c r="S189" s="154">
        <v>33.899978193942609</v>
      </c>
      <c r="U189" s="154">
        <v>433.73700000000002</v>
      </c>
      <c r="V189" s="169">
        <v>5.0049999999999999E-3</v>
      </c>
      <c r="W189" s="169">
        <v>2.71004245467914E-3</v>
      </c>
      <c r="X189" s="169">
        <v>4.2214525303379597E-4</v>
      </c>
      <c r="Y189" s="154">
        <v>33.9</v>
      </c>
      <c r="Z189" s="193">
        <f t="shared" si="2"/>
        <v>33.899978193942609</v>
      </c>
    </row>
    <row r="190" spans="1:26">
      <c r="A190" s="4" t="s">
        <v>26</v>
      </c>
      <c r="B190" s="4">
        <v>9963</v>
      </c>
      <c r="C190" s="4" t="s">
        <v>1415</v>
      </c>
      <c r="D190" s="4" t="s">
        <v>1416</v>
      </c>
      <c r="E190" s="4" t="s">
        <v>1305</v>
      </c>
      <c r="F190" s="4" t="s">
        <v>1417</v>
      </c>
      <c r="G190" s="4" t="s">
        <v>1418</v>
      </c>
      <c r="H190" s="4" t="s">
        <v>319</v>
      </c>
      <c r="I190" s="4" t="s">
        <v>931</v>
      </c>
      <c r="J190" s="4" t="s">
        <v>31</v>
      </c>
      <c r="K190" s="4" t="s">
        <v>31</v>
      </c>
      <c r="L190" s="2" t="s">
        <v>325</v>
      </c>
      <c r="M190" s="2" t="s">
        <v>40</v>
      </c>
      <c r="N190" s="4" t="s">
        <v>462</v>
      </c>
      <c r="O190" s="4" t="s">
        <v>136</v>
      </c>
      <c r="P190" s="4" t="s">
        <v>35</v>
      </c>
      <c r="Q190" s="154">
        <v>25012</v>
      </c>
      <c r="R190" s="154">
        <v>1</v>
      </c>
      <c r="S190" s="154">
        <v>3879.9976011514477</v>
      </c>
      <c r="T190" s="161">
        <v>8.3260000000000005</v>
      </c>
      <c r="U190" s="154">
        <v>978.79100000000005</v>
      </c>
      <c r="V190" s="169">
        <v>4.44E-4</v>
      </c>
      <c r="W190" s="169">
        <v>6.1156049299798797E-3</v>
      </c>
      <c r="X190" s="169">
        <v>9.5263215753819399E-4</v>
      </c>
      <c r="Y190" s="154">
        <v>3880</v>
      </c>
      <c r="Z190" s="193">
        <f t="shared" si="2"/>
        <v>3879.9976011514477</v>
      </c>
    </row>
    <row r="191" spans="1:26">
      <c r="A191" s="4" t="s">
        <v>26</v>
      </c>
      <c r="B191" s="4">
        <v>9963</v>
      </c>
      <c r="C191" s="4" t="s">
        <v>1419</v>
      </c>
      <c r="D191" s="4" t="s">
        <v>1420</v>
      </c>
      <c r="E191" s="4" t="s">
        <v>1305</v>
      </c>
      <c r="F191" s="4" t="s">
        <v>1421</v>
      </c>
      <c r="G191" s="4" t="s">
        <v>1422</v>
      </c>
      <c r="H191" s="4" t="s">
        <v>319</v>
      </c>
      <c r="I191" s="4" t="s">
        <v>931</v>
      </c>
      <c r="J191" s="4" t="s">
        <v>31</v>
      </c>
      <c r="K191" s="4" t="s">
        <v>31</v>
      </c>
      <c r="L191" s="2" t="s">
        <v>325</v>
      </c>
      <c r="M191" s="2" t="s">
        <v>40</v>
      </c>
      <c r="N191" s="4" t="s">
        <v>461</v>
      </c>
      <c r="O191" s="4" t="s">
        <v>136</v>
      </c>
      <c r="P191" s="4" t="s">
        <v>35</v>
      </c>
      <c r="Q191" s="154">
        <v>96846</v>
      </c>
      <c r="R191" s="154">
        <v>1</v>
      </c>
      <c r="S191" s="154">
        <v>1749.0004749808975</v>
      </c>
      <c r="U191" s="154">
        <v>1693.837</v>
      </c>
      <c r="V191" s="169">
        <v>2.0599999999999999E-4</v>
      </c>
      <c r="W191" s="169">
        <v>1.0583293521068999E-2</v>
      </c>
      <c r="X191" s="169">
        <v>1.6485672073766799E-3</v>
      </c>
      <c r="Y191" s="154">
        <v>1749</v>
      </c>
      <c r="Z191" s="193">
        <f t="shared" si="2"/>
        <v>1749.0004749808975</v>
      </c>
    </row>
    <row r="192" spans="1:26">
      <c r="A192" s="4" t="s">
        <v>26</v>
      </c>
      <c r="B192" s="4">
        <v>9963</v>
      </c>
      <c r="C192" s="4" t="s">
        <v>1423</v>
      </c>
      <c r="D192" s="4" t="s">
        <v>1424</v>
      </c>
      <c r="E192" s="4" t="s">
        <v>1305</v>
      </c>
      <c r="F192" s="4" t="s">
        <v>1425</v>
      </c>
      <c r="G192" s="4" t="s">
        <v>1426</v>
      </c>
      <c r="H192" s="4" t="s">
        <v>319</v>
      </c>
      <c r="I192" s="4" t="s">
        <v>931</v>
      </c>
      <c r="J192" s="4" t="s">
        <v>31</v>
      </c>
      <c r="K192" s="4" t="s">
        <v>31</v>
      </c>
      <c r="L192" s="2" t="s">
        <v>325</v>
      </c>
      <c r="M192" s="2" t="s">
        <v>40</v>
      </c>
      <c r="N192" s="4" t="s">
        <v>438</v>
      </c>
      <c r="O192" s="4" t="s">
        <v>136</v>
      </c>
      <c r="P192" s="4" t="s">
        <v>35</v>
      </c>
      <c r="Q192" s="154">
        <v>61618.6</v>
      </c>
      <c r="R192" s="154">
        <v>1</v>
      </c>
      <c r="S192" s="154">
        <v>6299.0006264342273</v>
      </c>
      <c r="U192" s="154">
        <v>3881.3560000000002</v>
      </c>
      <c r="V192" s="169">
        <v>5.22E-4</v>
      </c>
      <c r="W192" s="169">
        <v>2.42511746278724E-2</v>
      </c>
      <c r="X192" s="169">
        <v>3.7776228309537902E-3</v>
      </c>
      <c r="Y192" s="154">
        <v>6299</v>
      </c>
      <c r="Z192" s="193">
        <f t="shared" si="2"/>
        <v>6299.0006264342273</v>
      </c>
    </row>
    <row r="193" spans="1:26">
      <c r="A193" s="4" t="s">
        <v>26</v>
      </c>
      <c r="B193" s="4">
        <v>9963</v>
      </c>
      <c r="C193" s="4" t="s">
        <v>1427</v>
      </c>
      <c r="D193" s="4" t="s">
        <v>1428</v>
      </c>
      <c r="E193" s="4" t="s">
        <v>1305</v>
      </c>
      <c r="F193" s="4" t="s">
        <v>1429</v>
      </c>
      <c r="G193" s="4" t="s">
        <v>1430</v>
      </c>
      <c r="H193" s="4" t="s">
        <v>319</v>
      </c>
      <c r="I193" s="4" t="s">
        <v>931</v>
      </c>
      <c r="J193" s="4" t="s">
        <v>31</v>
      </c>
      <c r="K193" s="4" t="s">
        <v>31</v>
      </c>
      <c r="L193" s="2" t="s">
        <v>325</v>
      </c>
      <c r="M193" s="2" t="s">
        <v>40</v>
      </c>
      <c r="N193" s="4" t="s">
        <v>438</v>
      </c>
      <c r="O193" s="4" t="s">
        <v>136</v>
      </c>
      <c r="P193" s="4" t="s">
        <v>35</v>
      </c>
      <c r="Q193" s="154">
        <v>225458</v>
      </c>
      <c r="R193" s="154">
        <v>1</v>
      </c>
      <c r="S193" s="154">
        <v>1351.9999290333456</v>
      </c>
      <c r="U193" s="154">
        <v>3048.192</v>
      </c>
      <c r="V193" s="169">
        <v>4.1199999999999999E-4</v>
      </c>
      <c r="W193" s="169">
        <v>1.9045469604700702E-2</v>
      </c>
      <c r="X193" s="169">
        <v>2.9667264332121999E-3</v>
      </c>
      <c r="Y193" s="154">
        <v>1352</v>
      </c>
      <c r="Z193" s="193">
        <f t="shared" si="2"/>
        <v>1351.9999290333456</v>
      </c>
    </row>
    <row r="194" spans="1:26">
      <c r="A194" s="4" t="s">
        <v>26</v>
      </c>
      <c r="B194" s="4">
        <v>9963</v>
      </c>
      <c r="C194" s="4" t="s">
        <v>1431</v>
      </c>
      <c r="D194" s="4" t="s">
        <v>1432</v>
      </c>
      <c r="E194" s="4" t="s">
        <v>312</v>
      </c>
      <c r="F194" s="4" t="s">
        <v>1431</v>
      </c>
      <c r="G194" s="4" t="s">
        <v>1433</v>
      </c>
      <c r="H194" s="4" t="s">
        <v>319</v>
      </c>
      <c r="I194" s="4" t="s">
        <v>931</v>
      </c>
      <c r="J194" s="4" t="s">
        <v>73</v>
      </c>
      <c r="K194" s="4" t="s">
        <v>238</v>
      </c>
      <c r="L194" s="2" t="s">
        <v>325</v>
      </c>
      <c r="M194" s="2" t="s">
        <v>40</v>
      </c>
      <c r="N194" s="4" t="s">
        <v>462</v>
      </c>
      <c r="O194" s="4" t="s">
        <v>136</v>
      </c>
      <c r="P194" s="4" t="s">
        <v>35</v>
      </c>
      <c r="Q194" s="154">
        <v>13113</v>
      </c>
      <c r="R194" s="154">
        <v>1</v>
      </c>
      <c r="S194" s="154">
        <v>7562.9985510562037</v>
      </c>
      <c r="U194" s="154">
        <v>991.73599999999999</v>
      </c>
      <c r="V194" s="169">
        <v>7.2400000000000003E-4</v>
      </c>
      <c r="W194" s="169">
        <v>6.1964864651205898E-3</v>
      </c>
      <c r="X194" s="169">
        <v>9.6523113216266296E-4</v>
      </c>
      <c r="Y194" s="154">
        <v>7563</v>
      </c>
      <c r="Z194" s="193">
        <f t="shared" si="2"/>
        <v>7562.9985510562037</v>
      </c>
    </row>
    <row r="195" spans="1:26">
      <c r="A195" s="4" t="s">
        <v>26</v>
      </c>
      <c r="B195" s="4">
        <v>9963</v>
      </c>
      <c r="C195" s="4" t="s">
        <v>1434</v>
      </c>
      <c r="D195" s="4" t="s">
        <v>1435</v>
      </c>
      <c r="E195" s="4" t="s">
        <v>1305</v>
      </c>
      <c r="F195" s="4" t="s">
        <v>1436</v>
      </c>
      <c r="G195" s="4" t="s">
        <v>1437</v>
      </c>
      <c r="H195" s="4" t="s">
        <v>319</v>
      </c>
      <c r="I195" s="4" t="s">
        <v>931</v>
      </c>
      <c r="J195" s="4" t="s">
        <v>31</v>
      </c>
      <c r="K195" s="4" t="s">
        <v>31</v>
      </c>
      <c r="L195" s="2" t="s">
        <v>325</v>
      </c>
      <c r="M195" s="2" t="s">
        <v>40</v>
      </c>
      <c r="N195" s="4" t="s">
        <v>436</v>
      </c>
      <c r="O195" s="4" t="s">
        <v>136</v>
      </c>
      <c r="P195" s="4" t="s">
        <v>35</v>
      </c>
      <c r="Q195" s="154">
        <v>8160</v>
      </c>
      <c r="R195" s="154">
        <v>1</v>
      </c>
      <c r="S195" s="154">
        <v>5100</v>
      </c>
      <c r="U195" s="154">
        <v>416.16</v>
      </c>
      <c r="V195" s="169">
        <v>3.3E-4</v>
      </c>
      <c r="W195" s="169">
        <v>2.6002175107924502E-3</v>
      </c>
      <c r="X195" s="169">
        <v>4.0503774291106E-4</v>
      </c>
      <c r="Y195" s="154">
        <v>5100</v>
      </c>
      <c r="Z195" s="193">
        <f t="shared" ref="Z195:Z258" si="3">(U195-T195*R195)/R195/Q195*100000</f>
        <v>5100</v>
      </c>
    </row>
    <row r="196" spans="1:26">
      <c r="A196" s="4" t="s">
        <v>26</v>
      </c>
      <c r="B196" s="4">
        <v>9963</v>
      </c>
      <c r="C196" s="4" t="s">
        <v>1438</v>
      </c>
      <c r="D196" s="4" t="s">
        <v>1439</v>
      </c>
      <c r="E196" s="4" t="s">
        <v>1305</v>
      </c>
      <c r="F196" s="4" t="s">
        <v>1440</v>
      </c>
      <c r="G196" s="4" t="s">
        <v>1441</v>
      </c>
      <c r="H196" s="4" t="s">
        <v>319</v>
      </c>
      <c r="I196" s="4" t="s">
        <v>931</v>
      </c>
      <c r="J196" s="4" t="s">
        <v>31</v>
      </c>
      <c r="K196" s="4" t="s">
        <v>31</v>
      </c>
      <c r="L196" s="2" t="s">
        <v>325</v>
      </c>
      <c r="M196" s="2" t="s">
        <v>40</v>
      </c>
      <c r="N196" s="4" t="s">
        <v>482</v>
      </c>
      <c r="O196" s="4" t="s">
        <v>136</v>
      </c>
      <c r="P196" s="4" t="s">
        <v>35</v>
      </c>
      <c r="Q196" s="154">
        <v>530578.24</v>
      </c>
      <c r="R196" s="154">
        <v>1</v>
      </c>
      <c r="S196" s="154">
        <v>472.9999858267841</v>
      </c>
      <c r="U196" s="154">
        <v>2509.6350000000002</v>
      </c>
      <c r="V196" s="169">
        <v>1.92E-4</v>
      </c>
      <c r="W196" s="169">
        <v>1.5680500452311501E-2</v>
      </c>
      <c r="X196" s="169">
        <v>2.4425627796747298E-3</v>
      </c>
      <c r="Y196" s="154">
        <v>473</v>
      </c>
      <c r="Z196" s="193">
        <f t="shared" si="3"/>
        <v>472.9999858267841</v>
      </c>
    </row>
    <row r="197" spans="1:26">
      <c r="A197" s="4" t="s">
        <v>26</v>
      </c>
      <c r="B197" s="4">
        <v>9963</v>
      </c>
      <c r="C197" s="4" t="s">
        <v>1442</v>
      </c>
      <c r="D197" s="4" t="s">
        <v>1443</v>
      </c>
      <c r="E197" s="4" t="s">
        <v>1305</v>
      </c>
      <c r="F197" s="4" t="s">
        <v>1444</v>
      </c>
      <c r="G197" s="4" t="s">
        <v>1445</v>
      </c>
      <c r="H197" s="4" t="s">
        <v>319</v>
      </c>
      <c r="I197" s="4" t="s">
        <v>931</v>
      </c>
      <c r="J197" s="4" t="s">
        <v>31</v>
      </c>
      <c r="K197" s="4" t="s">
        <v>31</v>
      </c>
      <c r="L197" s="2" t="s">
        <v>325</v>
      </c>
      <c r="M197" s="2" t="s">
        <v>40</v>
      </c>
      <c r="N197" s="4" t="s">
        <v>461</v>
      </c>
      <c r="O197" s="4" t="s">
        <v>136</v>
      </c>
      <c r="P197" s="4" t="s">
        <v>35</v>
      </c>
      <c r="Q197" s="154">
        <v>2865</v>
      </c>
      <c r="R197" s="154">
        <v>1</v>
      </c>
      <c r="S197" s="154">
        <v>41029.982547993022</v>
      </c>
      <c r="U197" s="154">
        <v>1175.509</v>
      </c>
      <c r="V197" s="169">
        <v>1.17E-4</v>
      </c>
      <c r="W197" s="169">
        <v>7.3447241109257802E-3</v>
      </c>
      <c r="X197" s="169">
        <v>1.14409293216674E-3</v>
      </c>
      <c r="Y197" s="154">
        <v>41030</v>
      </c>
      <c r="Z197" s="193">
        <f t="shared" si="3"/>
        <v>41029.982547993022</v>
      </c>
    </row>
    <row r="198" spans="1:26">
      <c r="A198" s="4" t="s">
        <v>26</v>
      </c>
      <c r="B198" s="4">
        <v>9963</v>
      </c>
      <c r="C198" s="4" t="s">
        <v>1446</v>
      </c>
      <c r="D198" s="4" t="s">
        <v>1447</v>
      </c>
      <c r="E198" s="4" t="s">
        <v>1305</v>
      </c>
      <c r="F198" s="4" t="s">
        <v>1448</v>
      </c>
      <c r="G198" s="4" t="s">
        <v>1449</v>
      </c>
      <c r="H198" s="4" t="s">
        <v>319</v>
      </c>
      <c r="I198" s="4" t="s">
        <v>931</v>
      </c>
      <c r="J198" s="4" t="s">
        <v>31</v>
      </c>
      <c r="K198" s="4" t="s">
        <v>31</v>
      </c>
      <c r="L198" s="2" t="s">
        <v>325</v>
      </c>
      <c r="M198" s="2" t="s">
        <v>40</v>
      </c>
      <c r="N198" s="4" t="s">
        <v>445</v>
      </c>
      <c r="O198" s="4" t="s">
        <v>136</v>
      </c>
      <c r="P198" s="4" t="s">
        <v>35</v>
      </c>
      <c r="Q198" s="154">
        <v>19925</v>
      </c>
      <c r="R198" s="154">
        <v>1</v>
      </c>
      <c r="S198" s="154">
        <v>15440.000000000002</v>
      </c>
      <c r="U198" s="154">
        <v>3076.42</v>
      </c>
      <c r="V198" s="169">
        <v>1.9900000000000001E-4</v>
      </c>
      <c r="W198" s="169">
        <v>1.9221840529008299E-2</v>
      </c>
      <c r="X198" s="169">
        <v>2.9941998583392E-3</v>
      </c>
      <c r="Y198" s="154">
        <v>15440</v>
      </c>
      <c r="Z198" s="193">
        <f t="shared" si="3"/>
        <v>15440.000000000002</v>
      </c>
    </row>
    <row r="199" spans="1:26">
      <c r="A199" s="4" t="s">
        <v>26</v>
      </c>
      <c r="B199" s="4">
        <v>9963</v>
      </c>
      <c r="C199" s="4" t="s">
        <v>1450</v>
      </c>
      <c r="D199" s="4" t="s">
        <v>1451</v>
      </c>
      <c r="E199" s="4" t="s">
        <v>1305</v>
      </c>
      <c r="F199" s="4" t="s">
        <v>1452</v>
      </c>
      <c r="G199" s="4" t="s">
        <v>1453</v>
      </c>
      <c r="H199" s="4" t="s">
        <v>319</v>
      </c>
      <c r="I199" s="4" t="s">
        <v>931</v>
      </c>
      <c r="J199" s="4" t="s">
        <v>31</v>
      </c>
      <c r="K199" s="4" t="s">
        <v>31</v>
      </c>
      <c r="L199" s="2" t="s">
        <v>325</v>
      </c>
      <c r="M199" s="2" t="s">
        <v>40</v>
      </c>
      <c r="N199" s="4" t="s">
        <v>461</v>
      </c>
      <c r="O199" s="4" t="s">
        <v>136</v>
      </c>
      <c r="P199" s="4" t="s">
        <v>35</v>
      </c>
      <c r="Q199" s="154">
        <v>69139</v>
      </c>
      <c r="R199" s="154">
        <v>1</v>
      </c>
      <c r="S199" s="154">
        <v>1161.000303735952</v>
      </c>
      <c r="U199" s="154">
        <v>802.70399999999995</v>
      </c>
      <c r="V199" s="169">
        <v>9.8900000000000008E-4</v>
      </c>
      <c r="W199" s="169">
        <v>5.0153893952745599E-3</v>
      </c>
      <c r="X199" s="169">
        <v>7.8125079615473203E-4</v>
      </c>
      <c r="Y199" s="154">
        <v>1161</v>
      </c>
      <c r="Z199" s="193">
        <f t="shared" si="3"/>
        <v>1161.000303735952</v>
      </c>
    </row>
    <row r="200" spans="1:26">
      <c r="A200" s="4" t="s">
        <v>26</v>
      </c>
      <c r="B200" s="4">
        <v>9963</v>
      </c>
      <c r="C200" s="4" t="s">
        <v>1454</v>
      </c>
      <c r="D200" s="4" t="s">
        <v>1455</v>
      </c>
      <c r="E200" s="4" t="s">
        <v>1305</v>
      </c>
      <c r="F200" s="4" t="s">
        <v>1456</v>
      </c>
      <c r="G200" s="4" t="s">
        <v>1457</v>
      </c>
      <c r="H200" s="4" t="s">
        <v>319</v>
      </c>
      <c r="I200" s="4" t="s">
        <v>931</v>
      </c>
      <c r="J200" s="4" t="s">
        <v>31</v>
      </c>
      <c r="K200" s="4" t="s">
        <v>31</v>
      </c>
      <c r="L200" s="2" t="s">
        <v>325</v>
      </c>
      <c r="M200" s="2" t="s">
        <v>40</v>
      </c>
      <c r="N200" s="4" t="s">
        <v>460</v>
      </c>
      <c r="O200" s="4" t="s">
        <v>136</v>
      </c>
      <c r="P200" s="4" t="s">
        <v>35</v>
      </c>
      <c r="Q200" s="154">
        <v>16655</v>
      </c>
      <c r="R200" s="154">
        <v>1</v>
      </c>
      <c r="S200" s="154">
        <v>14789.996997898528</v>
      </c>
      <c r="U200" s="154">
        <v>2463.2739999999999</v>
      </c>
      <c r="V200" s="169">
        <v>1.882E-3</v>
      </c>
      <c r="W200" s="169">
        <v>1.5390834027269601E-2</v>
      </c>
      <c r="X200" s="169">
        <v>2.39744123330058E-3</v>
      </c>
      <c r="Y200" s="154">
        <v>14790</v>
      </c>
      <c r="Z200" s="193">
        <f t="shared" si="3"/>
        <v>14789.996997898528</v>
      </c>
    </row>
    <row r="201" spans="1:26">
      <c r="A201" s="4" t="s">
        <v>26</v>
      </c>
      <c r="B201" s="4">
        <v>9963</v>
      </c>
      <c r="C201" s="4" t="s">
        <v>1458</v>
      </c>
      <c r="D201" s="4" t="s">
        <v>1459</v>
      </c>
      <c r="E201" s="4" t="s">
        <v>1305</v>
      </c>
      <c r="F201" s="4" t="s">
        <v>1460</v>
      </c>
      <c r="G201" s="4" t="s">
        <v>1461</v>
      </c>
      <c r="H201" s="4" t="s">
        <v>319</v>
      </c>
      <c r="I201" s="4" t="s">
        <v>931</v>
      </c>
      <c r="J201" s="4" t="s">
        <v>31</v>
      </c>
      <c r="K201" s="4" t="s">
        <v>31</v>
      </c>
      <c r="L201" s="2" t="s">
        <v>325</v>
      </c>
      <c r="M201" s="2" t="s">
        <v>40</v>
      </c>
      <c r="N201" s="4" t="s">
        <v>461</v>
      </c>
      <c r="O201" s="4" t="s">
        <v>136</v>
      </c>
      <c r="P201" s="4" t="s">
        <v>35</v>
      </c>
      <c r="Q201" s="154">
        <v>42807</v>
      </c>
      <c r="R201" s="154">
        <v>1</v>
      </c>
      <c r="S201" s="154">
        <v>2780.0009344266127</v>
      </c>
      <c r="U201" s="154">
        <v>1190.0350000000001</v>
      </c>
      <c r="V201" s="169">
        <v>2.1336999999999998E-2</v>
      </c>
      <c r="W201" s="169">
        <v>7.4354786749540698E-3</v>
      </c>
      <c r="X201" s="169">
        <v>1.1582298355682101E-3</v>
      </c>
      <c r="Y201" s="154">
        <v>2780</v>
      </c>
      <c r="Z201" s="193">
        <f t="shared" si="3"/>
        <v>2780.0009344266127</v>
      </c>
    </row>
    <row r="202" spans="1:26">
      <c r="A202" s="4" t="s">
        <v>26</v>
      </c>
      <c r="B202" s="4">
        <v>9963</v>
      </c>
      <c r="C202" s="4" t="s">
        <v>1462</v>
      </c>
      <c r="D202" s="4" t="s">
        <v>1463</v>
      </c>
      <c r="E202" s="4" t="s">
        <v>1305</v>
      </c>
      <c r="F202" s="4" t="s">
        <v>1464</v>
      </c>
      <c r="G202" s="4" t="s">
        <v>1465</v>
      </c>
      <c r="H202" s="4" t="s">
        <v>319</v>
      </c>
      <c r="I202" s="4" t="s">
        <v>931</v>
      </c>
      <c r="J202" s="4" t="s">
        <v>31</v>
      </c>
      <c r="K202" s="4" t="s">
        <v>31</v>
      </c>
      <c r="L202" s="2" t="s">
        <v>325</v>
      </c>
      <c r="M202" s="2" t="s">
        <v>40</v>
      </c>
      <c r="N202" s="4" t="s">
        <v>445</v>
      </c>
      <c r="O202" s="4" t="s">
        <v>136</v>
      </c>
      <c r="P202" s="4" t="s">
        <v>35</v>
      </c>
      <c r="Q202" s="154">
        <v>241173.24</v>
      </c>
      <c r="R202" s="154">
        <v>1</v>
      </c>
      <c r="S202" s="154">
        <v>1946.0003108139194</v>
      </c>
      <c r="T202" s="161">
        <v>35.834000000000003</v>
      </c>
      <c r="U202" s="154">
        <v>4729.0659999999998</v>
      </c>
      <c r="V202" s="169">
        <v>1.95E-4</v>
      </c>
      <c r="W202" s="169">
        <v>2.9547768814566999E-2</v>
      </c>
      <c r="X202" s="169">
        <v>4.6026770987564998E-3</v>
      </c>
      <c r="Y202" s="154">
        <v>1946</v>
      </c>
      <c r="Z202" s="193">
        <f t="shared" si="3"/>
        <v>1946.0003108139194</v>
      </c>
    </row>
    <row r="203" spans="1:26">
      <c r="A203" s="4" t="s">
        <v>26</v>
      </c>
      <c r="B203" s="4">
        <v>9963</v>
      </c>
      <c r="C203" s="4" t="s">
        <v>1466</v>
      </c>
      <c r="D203" s="4" t="s">
        <v>1467</v>
      </c>
      <c r="E203" s="4" t="s">
        <v>1305</v>
      </c>
      <c r="F203" s="4" t="s">
        <v>1468</v>
      </c>
      <c r="G203" s="4" t="s">
        <v>1469</v>
      </c>
      <c r="H203" s="4" t="s">
        <v>319</v>
      </c>
      <c r="I203" s="4" t="s">
        <v>931</v>
      </c>
      <c r="J203" s="4" t="s">
        <v>31</v>
      </c>
      <c r="K203" s="4" t="s">
        <v>31</v>
      </c>
      <c r="L203" s="2" t="s">
        <v>325</v>
      </c>
      <c r="M203" s="2" t="s">
        <v>40</v>
      </c>
      <c r="N203" s="4" t="s">
        <v>459</v>
      </c>
      <c r="O203" s="4" t="s">
        <v>136</v>
      </c>
      <c r="P203" s="4" t="s">
        <v>35</v>
      </c>
      <c r="Q203" s="154">
        <v>25749</v>
      </c>
      <c r="R203" s="154">
        <v>1</v>
      </c>
      <c r="S203" s="154">
        <v>3408.9984077051536</v>
      </c>
      <c r="U203" s="154">
        <v>877.78300000000002</v>
      </c>
      <c r="V203" s="169">
        <v>9.41E-4</v>
      </c>
      <c r="W203" s="169">
        <v>5.48449585103111E-3</v>
      </c>
      <c r="X203" s="169">
        <v>8.5432384455779895E-4</v>
      </c>
      <c r="Y203" s="154">
        <v>3409</v>
      </c>
      <c r="Z203" s="193">
        <f t="shared" si="3"/>
        <v>3408.9984077051536</v>
      </c>
    </row>
    <row r="204" spans="1:26">
      <c r="A204" s="4" t="s">
        <v>26</v>
      </c>
      <c r="B204" s="4">
        <v>9963</v>
      </c>
      <c r="C204" s="4" t="s">
        <v>1470</v>
      </c>
      <c r="D204" s="4" t="s">
        <v>1471</v>
      </c>
      <c r="E204" s="4" t="s">
        <v>1305</v>
      </c>
      <c r="F204" s="4" t="s">
        <v>1472</v>
      </c>
      <c r="G204" s="4" t="s">
        <v>1473</v>
      </c>
      <c r="H204" s="4" t="s">
        <v>319</v>
      </c>
      <c r="I204" s="4" t="s">
        <v>931</v>
      </c>
      <c r="J204" s="4" t="s">
        <v>31</v>
      </c>
      <c r="K204" s="4" t="s">
        <v>31</v>
      </c>
      <c r="L204" s="2" t="s">
        <v>325</v>
      </c>
      <c r="M204" s="2" t="s">
        <v>40</v>
      </c>
      <c r="N204" s="4" t="s">
        <v>475</v>
      </c>
      <c r="O204" s="4" t="s">
        <v>136</v>
      </c>
      <c r="P204" s="4" t="s">
        <v>35</v>
      </c>
      <c r="Q204" s="154">
        <v>1582</v>
      </c>
      <c r="R204" s="154">
        <v>1</v>
      </c>
      <c r="S204" s="154">
        <v>33190.01264222504</v>
      </c>
      <c r="U204" s="154">
        <v>525.06600000000003</v>
      </c>
      <c r="V204" s="169">
        <v>2.72E-4</v>
      </c>
      <c r="W204" s="169">
        <v>3.2806739895190401E-3</v>
      </c>
      <c r="X204" s="169">
        <v>5.1103293567808105E-4</v>
      </c>
      <c r="Y204" s="154">
        <v>33190</v>
      </c>
      <c r="Z204" s="193">
        <f t="shared" si="3"/>
        <v>33190.01264222504</v>
      </c>
    </row>
    <row r="205" spans="1:26">
      <c r="A205" s="4" t="s">
        <v>26</v>
      </c>
      <c r="B205" s="4">
        <v>9963</v>
      </c>
      <c r="C205" s="4" t="s">
        <v>1360</v>
      </c>
      <c r="D205" s="4" t="s">
        <v>1361</v>
      </c>
      <c r="E205" s="4" t="s">
        <v>1305</v>
      </c>
      <c r="F205" s="4" t="s">
        <v>1362</v>
      </c>
      <c r="G205" s="4" t="s">
        <v>1363</v>
      </c>
      <c r="H205" s="4" t="s">
        <v>319</v>
      </c>
      <c r="I205" s="4" t="s">
        <v>931</v>
      </c>
      <c r="J205" s="4" t="s">
        <v>31</v>
      </c>
      <c r="K205" s="4" t="s">
        <v>31</v>
      </c>
      <c r="L205" s="2" t="s">
        <v>325</v>
      </c>
      <c r="M205" s="2" t="s">
        <v>40</v>
      </c>
      <c r="N205" s="4" t="s">
        <v>442</v>
      </c>
      <c r="O205" s="4" t="s">
        <v>136</v>
      </c>
      <c r="P205" s="4" t="s">
        <v>35</v>
      </c>
      <c r="Q205" s="154">
        <v>80000</v>
      </c>
      <c r="R205" s="154">
        <v>1</v>
      </c>
      <c r="S205" s="154">
        <v>3810</v>
      </c>
      <c r="U205" s="154">
        <v>3048</v>
      </c>
      <c r="V205" s="169">
        <v>3.0800000000000001E-4</v>
      </c>
      <c r="W205" s="169">
        <v>1.90442689660116E-2</v>
      </c>
      <c r="X205" s="169">
        <v>2.9665394088641598E-3</v>
      </c>
      <c r="Y205" s="154">
        <v>3810</v>
      </c>
      <c r="Z205" s="193">
        <f t="shared" si="3"/>
        <v>3810</v>
      </c>
    </row>
    <row r="206" spans="1:26">
      <c r="A206" s="4" t="s">
        <v>26</v>
      </c>
      <c r="B206" s="4">
        <v>9963</v>
      </c>
      <c r="C206" s="4" t="s">
        <v>1474</v>
      </c>
      <c r="D206" s="4" t="s">
        <v>1475</v>
      </c>
      <c r="E206" s="4" t="s">
        <v>1305</v>
      </c>
      <c r="F206" s="4" t="s">
        <v>1476</v>
      </c>
      <c r="G206" s="4" t="s">
        <v>1477</v>
      </c>
      <c r="H206" s="4" t="s">
        <v>319</v>
      </c>
      <c r="I206" s="4" t="s">
        <v>931</v>
      </c>
      <c r="J206" s="4" t="s">
        <v>31</v>
      </c>
      <c r="K206" s="4" t="s">
        <v>31</v>
      </c>
      <c r="L206" s="2" t="s">
        <v>325</v>
      </c>
      <c r="M206" s="2" t="s">
        <v>40</v>
      </c>
      <c r="N206" s="4" t="s">
        <v>474</v>
      </c>
      <c r="O206" s="4" t="s">
        <v>136</v>
      </c>
      <c r="P206" s="4" t="s">
        <v>35</v>
      </c>
      <c r="Q206" s="154">
        <v>20440</v>
      </c>
      <c r="R206" s="154">
        <v>1</v>
      </c>
      <c r="S206" s="154">
        <v>5625</v>
      </c>
      <c r="T206" s="161">
        <v>9.2880000000000003</v>
      </c>
      <c r="U206" s="154">
        <v>1159.038</v>
      </c>
      <c r="V206" s="169">
        <v>2.8600000000000001E-4</v>
      </c>
      <c r="W206" s="169">
        <v>7.24181039347843E-3</v>
      </c>
      <c r="X206" s="169">
        <v>1.12806198873356E-3</v>
      </c>
      <c r="Y206" s="154">
        <v>5625</v>
      </c>
      <c r="Z206" s="193">
        <f t="shared" si="3"/>
        <v>5625</v>
      </c>
    </row>
    <row r="207" spans="1:26">
      <c r="A207" s="4" t="s">
        <v>26</v>
      </c>
      <c r="B207" s="4">
        <v>9963</v>
      </c>
      <c r="C207" s="4" t="s">
        <v>1478</v>
      </c>
      <c r="D207" s="4" t="s">
        <v>1479</v>
      </c>
      <c r="E207" s="4" t="s">
        <v>1305</v>
      </c>
      <c r="F207" s="4" t="s">
        <v>1480</v>
      </c>
      <c r="G207" s="4" t="s">
        <v>1481</v>
      </c>
      <c r="H207" s="4" t="s">
        <v>319</v>
      </c>
      <c r="I207" s="4" t="s">
        <v>931</v>
      </c>
      <c r="J207" s="4" t="s">
        <v>31</v>
      </c>
      <c r="K207" s="4" t="s">
        <v>293</v>
      </c>
      <c r="L207" s="2" t="s">
        <v>325</v>
      </c>
      <c r="M207" s="2" t="s">
        <v>40</v>
      </c>
      <c r="N207" s="4" t="s">
        <v>444</v>
      </c>
      <c r="O207" s="4" t="s">
        <v>136</v>
      </c>
      <c r="P207" s="4" t="s">
        <v>35</v>
      </c>
      <c r="Q207" s="154">
        <v>40955</v>
      </c>
      <c r="R207" s="154">
        <v>1</v>
      </c>
      <c r="S207" s="154">
        <v>546.3997069954828</v>
      </c>
      <c r="U207" s="154">
        <v>223.77799999999999</v>
      </c>
      <c r="V207" s="169">
        <v>9.6400000000000001E-4</v>
      </c>
      <c r="W207" s="169">
        <v>1.3981924888413399E-3</v>
      </c>
      <c r="X207" s="169">
        <v>2.1779744482333801E-4</v>
      </c>
      <c r="Y207" s="154">
        <v>546.4</v>
      </c>
      <c r="Z207" s="193">
        <f t="shared" si="3"/>
        <v>546.3997069954828</v>
      </c>
    </row>
    <row r="208" spans="1:26">
      <c r="A208" s="4" t="s">
        <v>26</v>
      </c>
      <c r="B208" s="4">
        <v>9963</v>
      </c>
      <c r="C208" s="4" t="s">
        <v>1482</v>
      </c>
      <c r="D208" s="4" t="s">
        <v>1483</v>
      </c>
      <c r="E208" s="4" t="s">
        <v>1305</v>
      </c>
      <c r="F208" s="4" t="s">
        <v>1484</v>
      </c>
      <c r="G208" s="4" t="s">
        <v>1485</v>
      </c>
      <c r="H208" s="4" t="s">
        <v>319</v>
      </c>
      <c r="I208" s="4" t="s">
        <v>931</v>
      </c>
      <c r="J208" s="4" t="s">
        <v>31</v>
      </c>
      <c r="K208" s="4" t="s">
        <v>31</v>
      </c>
      <c r="L208" s="2" t="s">
        <v>325</v>
      </c>
      <c r="M208" s="2" t="s">
        <v>40</v>
      </c>
      <c r="N208" s="4" t="s">
        <v>444</v>
      </c>
      <c r="O208" s="4" t="s">
        <v>136</v>
      </c>
      <c r="P208" s="4" t="s">
        <v>35</v>
      </c>
      <c r="Q208" s="154">
        <v>120873</v>
      </c>
      <c r="R208" s="154">
        <v>1</v>
      </c>
      <c r="S208" s="154">
        <v>1595.9999338148305</v>
      </c>
      <c r="U208" s="154">
        <v>1929.133</v>
      </c>
      <c r="V208" s="169">
        <v>1.9959999999999999E-3</v>
      </c>
      <c r="W208" s="169">
        <v>1.20534544772803E-2</v>
      </c>
      <c r="X208" s="169">
        <v>1.87757523187779E-3</v>
      </c>
      <c r="Y208" s="154">
        <v>1596</v>
      </c>
      <c r="Z208" s="193">
        <f t="shared" si="3"/>
        <v>1595.9999338148305</v>
      </c>
    </row>
    <row r="209" spans="1:26">
      <c r="A209" s="4" t="s">
        <v>26</v>
      </c>
      <c r="B209" s="4">
        <v>9963</v>
      </c>
      <c r="C209" s="4" t="s">
        <v>1486</v>
      </c>
      <c r="D209" s="4" t="s">
        <v>1487</v>
      </c>
      <c r="E209" s="4" t="s">
        <v>1305</v>
      </c>
      <c r="F209" s="4" t="s">
        <v>1488</v>
      </c>
      <c r="G209" s="4" t="s">
        <v>1489</v>
      </c>
      <c r="H209" s="4" t="s">
        <v>319</v>
      </c>
      <c r="I209" s="4" t="s">
        <v>931</v>
      </c>
      <c r="J209" s="4" t="s">
        <v>31</v>
      </c>
      <c r="K209" s="4" t="s">
        <v>31</v>
      </c>
      <c r="L209" s="2" t="s">
        <v>325</v>
      </c>
      <c r="M209" s="2" t="s">
        <v>40</v>
      </c>
      <c r="N209" s="4" t="s">
        <v>474</v>
      </c>
      <c r="O209" s="4" t="s">
        <v>136</v>
      </c>
      <c r="P209" s="4" t="s">
        <v>35</v>
      </c>
      <c r="Q209" s="154">
        <v>5222</v>
      </c>
      <c r="R209" s="154">
        <v>1</v>
      </c>
      <c r="S209" s="154">
        <v>23459.996170049788</v>
      </c>
      <c r="U209" s="154">
        <v>1225.0809999999999</v>
      </c>
      <c r="V209" s="169">
        <v>2.22E-4</v>
      </c>
      <c r="W209" s="169">
        <v>7.6544540282166102E-3</v>
      </c>
      <c r="X209" s="169">
        <v>1.1923397830900899E-3</v>
      </c>
      <c r="Y209" s="154">
        <v>23460</v>
      </c>
      <c r="Z209" s="193">
        <f t="shared" si="3"/>
        <v>23459.996170049788</v>
      </c>
    </row>
    <row r="210" spans="1:26">
      <c r="A210" s="4" t="s">
        <v>26</v>
      </c>
      <c r="B210" s="4">
        <v>9963</v>
      </c>
      <c r="C210" s="4" t="s">
        <v>1490</v>
      </c>
      <c r="D210" s="4" t="s">
        <v>1491</v>
      </c>
      <c r="E210" s="4" t="s">
        <v>1305</v>
      </c>
      <c r="F210" s="4" t="s">
        <v>1492</v>
      </c>
      <c r="G210" s="4" t="s">
        <v>1493</v>
      </c>
      <c r="H210" s="4" t="s">
        <v>319</v>
      </c>
      <c r="I210" s="4" t="s">
        <v>931</v>
      </c>
      <c r="J210" s="4" t="s">
        <v>31</v>
      </c>
      <c r="K210" s="4" t="s">
        <v>31</v>
      </c>
      <c r="L210" s="2" t="s">
        <v>325</v>
      </c>
      <c r="M210" s="2" t="s">
        <v>40</v>
      </c>
      <c r="N210" s="4" t="s">
        <v>460</v>
      </c>
      <c r="O210" s="4" t="s">
        <v>136</v>
      </c>
      <c r="P210" s="4" t="s">
        <v>35</v>
      </c>
      <c r="Q210" s="154">
        <v>88737</v>
      </c>
      <c r="R210" s="154">
        <v>1</v>
      </c>
      <c r="S210" s="154">
        <v>1254.999605576028</v>
      </c>
      <c r="U210" s="154">
        <v>1113.6489999999999</v>
      </c>
      <c r="V210" s="169">
        <v>2.4120000000000001E-3</v>
      </c>
      <c r="W210" s="169">
        <v>6.9582144866220403E-3</v>
      </c>
      <c r="X210" s="169">
        <v>1.0838860513224899E-3</v>
      </c>
      <c r="Y210" s="154">
        <v>1255</v>
      </c>
      <c r="Z210" s="193">
        <f t="shared" si="3"/>
        <v>1254.999605576028</v>
      </c>
    </row>
    <row r="211" spans="1:26">
      <c r="A211" s="4" t="s">
        <v>26</v>
      </c>
      <c r="B211" s="4">
        <v>9963</v>
      </c>
      <c r="C211" s="4" t="s">
        <v>1702</v>
      </c>
      <c r="D211" s="4" t="s">
        <v>1703</v>
      </c>
      <c r="E211" s="4" t="s">
        <v>1305</v>
      </c>
      <c r="F211" s="4" t="s">
        <v>1704</v>
      </c>
      <c r="G211" s="4" t="s">
        <v>1705</v>
      </c>
      <c r="H211" s="4" t="s">
        <v>319</v>
      </c>
      <c r="I211" s="4" t="s">
        <v>931</v>
      </c>
      <c r="J211" s="4" t="s">
        <v>31</v>
      </c>
      <c r="K211" s="4" t="s">
        <v>31</v>
      </c>
      <c r="L211" s="2" t="s">
        <v>325</v>
      </c>
      <c r="M211" s="2" t="s">
        <v>40</v>
      </c>
      <c r="N211" s="4" t="s">
        <v>164</v>
      </c>
      <c r="O211" s="4" t="s">
        <v>136</v>
      </c>
      <c r="P211" s="4" t="s">
        <v>35</v>
      </c>
      <c r="Q211" s="154">
        <v>6497.5</v>
      </c>
      <c r="R211" s="154">
        <v>1</v>
      </c>
      <c r="S211" s="154">
        <v>0</v>
      </c>
      <c r="U211" s="154">
        <v>0</v>
      </c>
      <c r="V211" s="169">
        <v>5.4100000000000003E-4</v>
      </c>
      <c r="W211" s="169">
        <v>4.0597158007434494E-11</v>
      </c>
      <c r="X211" s="169">
        <v>6.32384836256395E-12</v>
      </c>
      <c r="Y211" s="154">
        <v>0</v>
      </c>
      <c r="Z211" s="193">
        <f t="shared" si="3"/>
        <v>0</v>
      </c>
    </row>
    <row r="212" spans="1:26">
      <c r="A212" s="4" t="s">
        <v>26</v>
      </c>
      <c r="B212" s="4">
        <v>9963</v>
      </c>
      <c r="C212" s="4" t="s">
        <v>1494</v>
      </c>
      <c r="D212" s="4" t="s">
        <v>1495</v>
      </c>
      <c r="E212" s="4" t="s">
        <v>1305</v>
      </c>
      <c r="F212" s="4" t="s">
        <v>1496</v>
      </c>
      <c r="G212" s="4" t="s">
        <v>1497</v>
      </c>
      <c r="H212" s="4" t="s">
        <v>319</v>
      </c>
      <c r="I212" s="4" t="s">
        <v>931</v>
      </c>
      <c r="J212" s="4" t="s">
        <v>31</v>
      </c>
      <c r="K212" s="4" t="s">
        <v>31</v>
      </c>
      <c r="L212" s="2" t="s">
        <v>325</v>
      </c>
      <c r="M212" s="2" t="s">
        <v>40</v>
      </c>
      <c r="N212" s="4" t="s">
        <v>455</v>
      </c>
      <c r="O212" s="4" t="s">
        <v>136</v>
      </c>
      <c r="P212" s="4" t="s">
        <v>35</v>
      </c>
      <c r="Q212" s="154">
        <v>18169</v>
      </c>
      <c r="R212" s="154">
        <v>1</v>
      </c>
      <c r="S212" s="154">
        <v>12310.000550388022</v>
      </c>
      <c r="U212" s="154">
        <v>2236.6039999999998</v>
      </c>
      <c r="V212" s="169">
        <v>1.65E-4</v>
      </c>
      <c r="W212" s="169">
        <v>1.39745689770441E-2</v>
      </c>
      <c r="X212" s="169">
        <v>2.1768286126539601E-3</v>
      </c>
      <c r="Y212" s="154">
        <v>12310</v>
      </c>
      <c r="Z212" s="193">
        <f t="shared" si="3"/>
        <v>12310.000550388022</v>
      </c>
    </row>
    <row r="213" spans="1:26">
      <c r="A213" s="4" t="s">
        <v>26</v>
      </c>
      <c r="B213" s="4">
        <v>9963</v>
      </c>
      <c r="C213" s="4" t="s">
        <v>1498</v>
      </c>
      <c r="D213" s="4" t="s">
        <v>1499</v>
      </c>
      <c r="E213" s="4" t="s">
        <v>1305</v>
      </c>
      <c r="F213" s="4" t="s">
        <v>1500</v>
      </c>
      <c r="G213" s="4" t="s">
        <v>1501</v>
      </c>
      <c r="H213" s="4" t="s">
        <v>319</v>
      </c>
      <c r="I213" s="4" t="s">
        <v>931</v>
      </c>
      <c r="J213" s="4" t="s">
        <v>31</v>
      </c>
      <c r="K213" s="4" t="s">
        <v>31</v>
      </c>
      <c r="L213" s="2" t="s">
        <v>325</v>
      </c>
      <c r="M213" s="2" t="s">
        <v>40</v>
      </c>
      <c r="N213" s="4" t="s">
        <v>464</v>
      </c>
      <c r="O213" s="4" t="s">
        <v>136</v>
      </c>
      <c r="P213" s="4" t="s">
        <v>35</v>
      </c>
      <c r="Q213" s="154">
        <v>86255</v>
      </c>
      <c r="R213" s="154">
        <v>1</v>
      </c>
      <c r="S213" s="154">
        <v>5172.9998260970378</v>
      </c>
      <c r="U213" s="154">
        <v>4461.9709999999995</v>
      </c>
      <c r="V213" s="169">
        <v>7.7000000000000001E-5</v>
      </c>
      <c r="W213" s="169">
        <v>2.7878930019417301E-2</v>
      </c>
      <c r="X213" s="169">
        <v>4.3427208850688797E-3</v>
      </c>
      <c r="Y213" s="154">
        <v>5173</v>
      </c>
      <c r="Z213" s="193">
        <f t="shared" si="3"/>
        <v>5172.9998260970378</v>
      </c>
    </row>
    <row r="214" spans="1:26">
      <c r="A214" s="4" t="s">
        <v>26</v>
      </c>
      <c r="B214" s="4">
        <v>9963</v>
      </c>
      <c r="C214" s="4" t="s">
        <v>1502</v>
      </c>
      <c r="D214" s="4" t="s">
        <v>1503</v>
      </c>
      <c r="E214" s="4" t="s">
        <v>1305</v>
      </c>
      <c r="F214" s="4" t="s">
        <v>1504</v>
      </c>
      <c r="G214" s="4" t="s">
        <v>1505</v>
      </c>
      <c r="H214" s="4" t="s">
        <v>319</v>
      </c>
      <c r="I214" s="4" t="s">
        <v>931</v>
      </c>
      <c r="J214" s="4" t="s">
        <v>31</v>
      </c>
      <c r="K214" s="4" t="s">
        <v>31</v>
      </c>
      <c r="L214" s="2" t="s">
        <v>325</v>
      </c>
      <c r="M214" s="2" t="s">
        <v>40</v>
      </c>
      <c r="N214" s="4" t="s">
        <v>473</v>
      </c>
      <c r="O214" s="4" t="s">
        <v>136</v>
      </c>
      <c r="P214" s="4" t="s">
        <v>35</v>
      </c>
      <c r="Q214" s="154">
        <v>174505</v>
      </c>
      <c r="R214" s="154">
        <v>1</v>
      </c>
      <c r="S214" s="154">
        <v>511.0002578722673</v>
      </c>
      <c r="U214" s="154">
        <v>891.721</v>
      </c>
      <c r="V214" s="169">
        <v>1.639E-3</v>
      </c>
      <c r="W214" s="169">
        <v>5.5715767705773502E-3</v>
      </c>
      <c r="X214" s="169">
        <v>8.6788850172868403E-4</v>
      </c>
      <c r="Y214" s="154">
        <v>511</v>
      </c>
      <c r="Z214" s="193">
        <f t="shared" si="3"/>
        <v>511.0002578722673</v>
      </c>
    </row>
    <row r="215" spans="1:26">
      <c r="A215" s="4" t="s">
        <v>26</v>
      </c>
      <c r="B215" s="4">
        <v>9963</v>
      </c>
      <c r="C215" s="4" t="s">
        <v>1506</v>
      </c>
      <c r="D215" s="4" t="s">
        <v>1507</v>
      </c>
      <c r="E215" s="4" t="s">
        <v>1305</v>
      </c>
      <c r="F215" s="4" t="s">
        <v>1508</v>
      </c>
      <c r="G215" s="4" t="s">
        <v>1509</v>
      </c>
      <c r="H215" s="4" t="s">
        <v>319</v>
      </c>
      <c r="I215" s="4" t="s">
        <v>931</v>
      </c>
      <c r="J215" s="4" t="s">
        <v>31</v>
      </c>
      <c r="K215" s="4" t="s">
        <v>31</v>
      </c>
      <c r="L215" s="2" t="s">
        <v>325</v>
      </c>
      <c r="M215" s="2" t="s">
        <v>40</v>
      </c>
      <c r="N215" s="4" t="s">
        <v>451</v>
      </c>
      <c r="O215" s="4" t="s">
        <v>136</v>
      </c>
      <c r="P215" s="4" t="s">
        <v>35</v>
      </c>
      <c r="Q215" s="154">
        <v>775519</v>
      </c>
      <c r="R215" s="154">
        <v>1</v>
      </c>
      <c r="S215" s="154">
        <v>178.99999871054095</v>
      </c>
      <c r="U215" s="154">
        <v>1388.1790000000001</v>
      </c>
      <c r="V215" s="169">
        <v>2.99E-4</v>
      </c>
      <c r="W215" s="169">
        <v>8.6735086743476592E-3</v>
      </c>
      <c r="X215" s="169">
        <v>1.3510786547647801E-3</v>
      </c>
      <c r="Y215" s="154">
        <v>179</v>
      </c>
      <c r="Z215" s="193">
        <f t="shared" si="3"/>
        <v>178.99999871054095</v>
      </c>
    </row>
    <row r="216" spans="1:26">
      <c r="A216" s="4" t="s">
        <v>26</v>
      </c>
      <c r="B216" s="4">
        <v>9963</v>
      </c>
      <c r="C216" s="4" t="s">
        <v>1510</v>
      </c>
      <c r="D216" s="4" t="s">
        <v>1511</v>
      </c>
      <c r="E216" s="4" t="s">
        <v>1305</v>
      </c>
      <c r="F216" s="4" t="s">
        <v>1512</v>
      </c>
      <c r="G216" s="4" t="s">
        <v>1513</v>
      </c>
      <c r="H216" s="4" t="s">
        <v>319</v>
      </c>
      <c r="I216" s="4" t="s">
        <v>931</v>
      </c>
      <c r="J216" s="4" t="s">
        <v>31</v>
      </c>
      <c r="K216" s="4" t="s">
        <v>31</v>
      </c>
      <c r="L216" s="2" t="s">
        <v>325</v>
      </c>
      <c r="M216" s="2" t="s">
        <v>40</v>
      </c>
      <c r="N216" s="4" t="s">
        <v>458</v>
      </c>
      <c r="O216" s="4" t="s">
        <v>136</v>
      </c>
      <c r="P216" s="4" t="s">
        <v>35</v>
      </c>
      <c r="Q216" s="154">
        <v>8667</v>
      </c>
      <c r="R216" s="154">
        <v>1</v>
      </c>
      <c r="S216" s="154">
        <v>8847.9981539171567</v>
      </c>
      <c r="U216" s="154">
        <v>766.85599999999999</v>
      </c>
      <c r="V216" s="169">
        <v>1.46E-4</v>
      </c>
      <c r="W216" s="169">
        <v>4.7914091106570902E-3</v>
      </c>
      <c r="X216" s="169">
        <v>7.4636122689312405E-4</v>
      </c>
      <c r="Y216" s="154">
        <v>8848</v>
      </c>
      <c r="Z216" s="193">
        <f t="shared" si="3"/>
        <v>8847.9981539171567</v>
      </c>
    </row>
    <row r="217" spans="1:26">
      <c r="A217" s="4" t="s">
        <v>26</v>
      </c>
      <c r="B217" s="4">
        <v>9963</v>
      </c>
      <c r="C217" s="4" t="s">
        <v>1176</v>
      </c>
      <c r="D217" s="4" t="s">
        <v>1364</v>
      </c>
      <c r="E217" s="4" t="s">
        <v>1305</v>
      </c>
      <c r="F217" s="4" t="s">
        <v>1365</v>
      </c>
      <c r="G217" s="4" t="s">
        <v>1366</v>
      </c>
      <c r="H217" s="4" t="s">
        <v>319</v>
      </c>
      <c r="I217" s="4" t="s">
        <v>931</v>
      </c>
      <c r="J217" s="4" t="s">
        <v>31</v>
      </c>
      <c r="K217" s="4" t="s">
        <v>31</v>
      </c>
      <c r="L217" s="2" t="s">
        <v>325</v>
      </c>
      <c r="M217" s="2" t="s">
        <v>40</v>
      </c>
      <c r="N217" s="4" t="s">
        <v>445</v>
      </c>
      <c r="O217" s="4" t="s">
        <v>136</v>
      </c>
      <c r="P217" s="4" t="s">
        <v>35</v>
      </c>
      <c r="Q217" s="154">
        <v>232995.11</v>
      </c>
      <c r="R217" s="154">
        <v>1</v>
      </c>
      <c r="S217" s="154">
        <v>3099.9998240306418</v>
      </c>
      <c r="T217" s="161">
        <v>55.850999999999999</v>
      </c>
      <c r="U217" s="154">
        <v>7278.6989999999996</v>
      </c>
      <c r="V217" s="169">
        <v>1.44E-4</v>
      </c>
      <c r="W217" s="169">
        <v>4.5478183587109297E-2</v>
      </c>
      <c r="X217" s="169">
        <v>7.08416921098409E-3</v>
      </c>
      <c r="Y217" s="154">
        <v>3100</v>
      </c>
      <c r="Z217" s="193">
        <f t="shared" si="3"/>
        <v>3099.9998240306418</v>
      </c>
    </row>
    <row r="218" spans="1:26">
      <c r="A218" s="4" t="s">
        <v>26</v>
      </c>
      <c r="B218" s="4">
        <v>9963</v>
      </c>
      <c r="C218" s="4" t="s">
        <v>1514</v>
      </c>
      <c r="D218" s="4" t="s">
        <v>1515</v>
      </c>
      <c r="E218" s="4" t="s">
        <v>1305</v>
      </c>
      <c r="F218" s="4" t="s">
        <v>1516</v>
      </c>
      <c r="G218" s="4" t="s">
        <v>1517</v>
      </c>
      <c r="H218" s="4" t="s">
        <v>319</v>
      </c>
      <c r="I218" s="4" t="s">
        <v>931</v>
      </c>
      <c r="J218" s="4" t="s">
        <v>31</v>
      </c>
      <c r="K218" s="4" t="s">
        <v>31</v>
      </c>
      <c r="L218" s="2" t="s">
        <v>325</v>
      </c>
      <c r="M218" s="2" t="s">
        <v>40</v>
      </c>
      <c r="N218" s="4" t="s">
        <v>473</v>
      </c>
      <c r="O218" s="4" t="s">
        <v>136</v>
      </c>
      <c r="P218" s="4" t="s">
        <v>35</v>
      </c>
      <c r="Q218" s="154">
        <v>5568</v>
      </c>
      <c r="R218" s="154">
        <v>1</v>
      </c>
      <c r="S218" s="154">
        <v>18179.992816091952</v>
      </c>
      <c r="U218" s="154">
        <v>1012.2619999999999</v>
      </c>
      <c r="V218" s="169">
        <v>3.8400000000000001E-4</v>
      </c>
      <c r="W218" s="169">
        <v>6.3247366829988199E-3</v>
      </c>
      <c r="X218" s="169">
        <v>9.8520876040400908E-4</v>
      </c>
      <c r="Y218" s="154">
        <v>18180</v>
      </c>
      <c r="Z218" s="193">
        <f t="shared" si="3"/>
        <v>18179.992816091952</v>
      </c>
    </row>
    <row r="219" spans="1:26">
      <c r="A219" s="4" t="s">
        <v>26</v>
      </c>
      <c r="B219" s="4">
        <v>9963</v>
      </c>
      <c r="C219" s="4" t="s">
        <v>1367</v>
      </c>
      <c r="D219" s="4" t="s">
        <v>1368</v>
      </c>
      <c r="E219" s="4" t="s">
        <v>1305</v>
      </c>
      <c r="F219" s="4" t="s">
        <v>1369</v>
      </c>
      <c r="G219" s="4" t="s">
        <v>1370</v>
      </c>
      <c r="H219" s="4" t="s">
        <v>319</v>
      </c>
      <c r="I219" s="4" t="s">
        <v>931</v>
      </c>
      <c r="J219" s="4" t="s">
        <v>31</v>
      </c>
      <c r="K219" s="4" t="s">
        <v>31</v>
      </c>
      <c r="L219" s="2" t="s">
        <v>325</v>
      </c>
      <c r="M219" s="2" t="s">
        <v>40</v>
      </c>
      <c r="N219" s="4" t="s">
        <v>461</v>
      </c>
      <c r="O219" s="4" t="s">
        <v>136</v>
      </c>
      <c r="P219" s="4" t="s">
        <v>35</v>
      </c>
      <c r="Q219" s="154">
        <v>217012.85</v>
      </c>
      <c r="R219" s="154">
        <v>1</v>
      </c>
      <c r="S219" s="154">
        <v>907.10020167008543</v>
      </c>
      <c r="U219" s="154">
        <v>1968.5239999999999</v>
      </c>
      <c r="V219" s="169">
        <v>2.8699999999999998E-4</v>
      </c>
      <c r="W219" s="169">
        <v>1.22995709276E-2</v>
      </c>
      <c r="X219" s="169">
        <v>1.91591296751606E-3</v>
      </c>
      <c r="Y219" s="154">
        <v>907.1</v>
      </c>
      <c r="Z219" s="193">
        <f t="shared" si="3"/>
        <v>907.10020167008543</v>
      </c>
    </row>
    <row r="220" spans="1:26">
      <c r="A220" s="4" t="s">
        <v>26</v>
      </c>
      <c r="B220" s="4">
        <v>9963</v>
      </c>
      <c r="C220" s="4" t="s">
        <v>1518</v>
      </c>
      <c r="D220" s="4" t="s">
        <v>1519</v>
      </c>
      <c r="E220" s="4" t="s">
        <v>1305</v>
      </c>
      <c r="F220" s="4" t="s">
        <v>1520</v>
      </c>
      <c r="G220" s="4" t="s">
        <v>1521</v>
      </c>
      <c r="H220" s="4" t="s">
        <v>319</v>
      </c>
      <c r="I220" s="4" t="s">
        <v>931</v>
      </c>
      <c r="J220" s="4" t="s">
        <v>31</v>
      </c>
      <c r="K220" s="4" t="s">
        <v>31</v>
      </c>
      <c r="L220" s="2" t="s">
        <v>325</v>
      </c>
      <c r="M220" s="2" t="s">
        <v>40</v>
      </c>
      <c r="N220" s="4" t="s">
        <v>445</v>
      </c>
      <c r="O220" s="4" t="s">
        <v>136</v>
      </c>
      <c r="P220" s="4" t="s">
        <v>35</v>
      </c>
      <c r="Q220" s="154">
        <v>47082.65</v>
      </c>
      <c r="R220" s="154">
        <v>1</v>
      </c>
      <c r="S220" s="154">
        <v>13999.999999999998</v>
      </c>
      <c r="U220" s="154">
        <v>6591.5709999999999</v>
      </c>
      <c r="V220" s="169">
        <v>1.8200000000000001E-4</v>
      </c>
      <c r="W220" s="169">
        <v>4.11849248794494E-2</v>
      </c>
      <c r="X220" s="169">
        <v>6.4154052289455898E-3</v>
      </c>
      <c r="Y220" s="154">
        <v>14000</v>
      </c>
      <c r="Z220" s="193">
        <f t="shared" si="3"/>
        <v>13999.999999999998</v>
      </c>
    </row>
    <row r="221" spans="1:26">
      <c r="A221" s="4" t="s">
        <v>26</v>
      </c>
      <c r="B221" s="4">
        <v>9963</v>
      </c>
      <c r="C221" s="4" t="s">
        <v>1522</v>
      </c>
      <c r="D221" s="4" t="s">
        <v>1523</v>
      </c>
      <c r="E221" s="4" t="s">
        <v>1305</v>
      </c>
      <c r="F221" s="4" t="s">
        <v>1524</v>
      </c>
      <c r="G221" s="4" t="s">
        <v>1525</v>
      </c>
      <c r="H221" s="4" t="s">
        <v>319</v>
      </c>
      <c r="I221" s="4" t="s">
        <v>931</v>
      </c>
      <c r="J221" s="4" t="s">
        <v>31</v>
      </c>
      <c r="K221" s="4" t="s">
        <v>31</v>
      </c>
      <c r="L221" s="2" t="s">
        <v>325</v>
      </c>
      <c r="M221" s="2" t="s">
        <v>40</v>
      </c>
      <c r="N221" s="4" t="s">
        <v>474</v>
      </c>
      <c r="O221" s="4" t="s">
        <v>136</v>
      </c>
      <c r="P221" s="4" t="s">
        <v>35</v>
      </c>
      <c r="Q221" s="154">
        <v>14040</v>
      </c>
      <c r="R221" s="154">
        <v>1</v>
      </c>
      <c r="S221" s="154">
        <v>8160.0000000000009</v>
      </c>
      <c r="T221" s="161">
        <v>17.831</v>
      </c>
      <c r="U221" s="154">
        <v>1163.4949999999999</v>
      </c>
      <c r="V221" s="169">
        <v>2.2100000000000001E-4</v>
      </c>
      <c r="W221" s="169">
        <v>7.2696548266915498E-3</v>
      </c>
      <c r="X221" s="169">
        <v>1.1323993360264201E-3</v>
      </c>
      <c r="Y221" s="154">
        <v>8160</v>
      </c>
      <c r="Z221" s="193">
        <f t="shared" si="3"/>
        <v>8160.0000000000009</v>
      </c>
    </row>
    <row r="222" spans="1:26">
      <c r="A222" s="4" t="s">
        <v>26</v>
      </c>
      <c r="B222" s="4">
        <v>9963</v>
      </c>
      <c r="C222" s="4" t="s">
        <v>1526</v>
      </c>
      <c r="D222" s="4" t="s">
        <v>1527</v>
      </c>
      <c r="E222" s="4" t="s">
        <v>1305</v>
      </c>
      <c r="F222" s="4" t="s">
        <v>1528</v>
      </c>
      <c r="G222" s="4" t="s">
        <v>1529</v>
      </c>
      <c r="H222" s="4" t="s">
        <v>319</v>
      </c>
      <c r="I222" s="4" t="s">
        <v>931</v>
      </c>
      <c r="J222" s="4" t="s">
        <v>31</v>
      </c>
      <c r="K222" s="4" t="s">
        <v>31</v>
      </c>
      <c r="L222" s="2" t="s">
        <v>325</v>
      </c>
      <c r="M222" s="2" t="s">
        <v>40</v>
      </c>
      <c r="N222" s="4" t="s">
        <v>461</v>
      </c>
      <c r="O222" s="4" t="s">
        <v>136</v>
      </c>
      <c r="P222" s="4" t="s">
        <v>35</v>
      </c>
      <c r="Q222" s="154">
        <v>8095</v>
      </c>
      <c r="R222" s="154">
        <v>1</v>
      </c>
      <c r="S222" s="154">
        <v>26900</v>
      </c>
      <c r="T222" s="161">
        <v>20.440999999999999</v>
      </c>
      <c r="U222" s="154">
        <v>2197.9960000000001</v>
      </c>
      <c r="V222" s="169">
        <v>1.7000000000000001E-4</v>
      </c>
      <c r="W222" s="169">
        <v>1.37333446942012E-2</v>
      </c>
      <c r="X222" s="169">
        <v>2.1392529334453899E-3</v>
      </c>
      <c r="Y222" s="154">
        <v>26900</v>
      </c>
      <c r="Z222" s="193">
        <f t="shared" si="3"/>
        <v>26900</v>
      </c>
    </row>
    <row r="223" spans="1:26">
      <c r="A223" s="4" t="s">
        <v>26</v>
      </c>
      <c r="B223" s="4">
        <v>9963</v>
      </c>
      <c r="C223" s="4" t="s">
        <v>1530</v>
      </c>
      <c r="D223" s="4" t="s">
        <v>1531</v>
      </c>
      <c r="E223" s="4" t="s">
        <v>1305</v>
      </c>
      <c r="F223" s="4" t="s">
        <v>1532</v>
      </c>
      <c r="G223" s="4" t="s">
        <v>1533</v>
      </c>
      <c r="H223" s="4" t="s">
        <v>319</v>
      </c>
      <c r="I223" s="4" t="s">
        <v>931</v>
      </c>
      <c r="J223" s="4" t="s">
        <v>31</v>
      </c>
      <c r="K223" s="4" t="s">
        <v>31</v>
      </c>
      <c r="L223" s="2" t="s">
        <v>325</v>
      </c>
      <c r="M223" s="2" t="s">
        <v>40</v>
      </c>
      <c r="N223" s="4" t="s">
        <v>442</v>
      </c>
      <c r="O223" s="4" t="s">
        <v>136</v>
      </c>
      <c r="P223" s="4" t="s">
        <v>35</v>
      </c>
      <c r="Q223" s="154">
        <v>22080</v>
      </c>
      <c r="R223" s="154">
        <v>1</v>
      </c>
      <c r="S223" s="154">
        <v>9800</v>
      </c>
      <c r="U223" s="154">
        <v>2163.84</v>
      </c>
      <c r="V223" s="169">
        <v>3.57E-4</v>
      </c>
      <c r="W223" s="169">
        <v>1.35199314171307E-2</v>
      </c>
      <c r="X223" s="169">
        <v>2.1060093945133298E-3</v>
      </c>
      <c r="Y223" s="154">
        <v>9800</v>
      </c>
      <c r="Z223" s="193">
        <f t="shared" si="3"/>
        <v>9800</v>
      </c>
    </row>
    <row r="224" spans="1:26">
      <c r="A224" s="4" t="s">
        <v>26</v>
      </c>
      <c r="B224" s="4">
        <v>9963</v>
      </c>
      <c r="C224" s="4" t="s">
        <v>1534</v>
      </c>
      <c r="D224" s="4" t="s">
        <v>1535</v>
      </c>
      <c r="E224" s="4" t="s">
        <v>1305</v>
      </c>
      <c r="F224" s="4" t="s">
        <v>1536</v>
      </c>
      <c r="G224" s="4" t="s">
        <v>1537</v>
      </c>
      <c r="H224" s="4" t="s">
        <v>319</v>
      </c>
      <c r="I224" s="4" t="s">
        <v>931</v>
      </c>
      <c r="J224" s="4" t="s">
        <v>73</v>
      </c>
      <c r="K224" s="4" t="s">
        <v>74</v>
      </c>
      <c r="L224" s="2" t="s">
        <v>325</v>
      </c>
      <c r="M224" s="2" t="s">
        <v>40</v>
      </c>
      <c r="N224" s="4" t="s">
        <v>451</v>
      </c>
      <c r="O224" s="4" t="s">
        <v>136</v>
      </c>
      <c r="P224" s="4" t="s">
        <v>35</v>
      </c>
      <c r="Q224" s="154">
        <v>69641</v>
      </c>
      <c r="R224" s="154">
        <v>1</v>
      </c>
      <c r="S224" s="154">
        <v>4170.0004307807185</v>
      </c>
      <c r="U224" s="154">
        <v>2904.03</v>
      </c>
      <c r="V224" s="169">
        <v>7.4200000000000004E-4</v>
      </c>
      <c r="W224" s="169">
        <v>1.81447252926791E-2</v>
      </c>
      <c r="X224" s="169">
        <v>2.8264168469691502E-3</v>
      </c>
      <c r="Y224" s="154">
        <v>4170</v>
      </c>
      <c r="Z224" s="193">
        <f t="shared" si="3"/>
        <v>4170.0004307807185</v>
      </c>
    </row>
    <row r="225" spans="1:26">
      <c r="A225" s="4" t="s">
        <v>26</v>
      </c>
      <c r="B225" s="4">
        <v>9963</v>
      </c>
      <c r="C225" s="4" t="s">
        <v>1538</v>
      </c>
      <c r="D225" s="4" t="s">
        <v>1539</v>
      </c>
      <c r="E225" s="4" t="s">
        <v>1305</v>
      </c>
      <c r="F225" s="4" t="s">
        <v>1540</v>
      </c>
      <c r="G225" s="4" t="s">
        <v>1541</v>
      </c>
      <c r="H225" s="4" t="s">
        <v>319</v>
      </c>
      <c r="I225" s="4" t="s">
        <v>931</v>
      </c>
      <c r="J225" s="4" t="s">
        <v>31</v>
      </c>
      <c r="K225" s="4" t="s">
        <v>31</v>
      </c>
      <c r="L225" s="2" t="s">
        <v>325</v>
      </c>
      <c r="M225" s="2" t="s">
        <v>40</v>
      </c>
      <c r="N225" s="4" t="s">
        <v>455</v>
      </c>
      <c r="O225" s="4" t="s">
        <v>136</v>
      </c>
      <c r="P225" s="4" t="s">
        <v>35</v>
      </c>
      <c r="Q225" s="154">
        <v>1980</v>
      </c>
      <c r="R225" s="154">
        <v>1</v>
      </c>
      <c r="S225" s="154">
        <v>64720</v>
      </c>
      <c r="U225" s="154">
        <v>1281.4559999999999</v>
      </c>
      <c r="V225" s="169">
        <v>6.8999999999999997E-5</v>
      </c>
      <c r="W225" s="169">
        <v>8.0066905289072603E-3</v>
      </c>
      <c r="X225" s="169">
        <v>1.24720791493617E-3</v>
      </c>
      <c r="Y225" s="154">
        <v>64720</v>
      </c>
      <c r="Z225" s="193">
        <f t="shared" si="3"/>
        <v>64720</v>
      </c>
    </row>
    <row r="226" spans="1:26">
      <c r="A226" s="4" t="s">
        <v>26</v>
      </c>
      <c r="B226" s="4">
        <v>9963</v>
      </c>
      <c r="C226" s="4" t="s">
        <v>1318</v>
      </c>
      <c r="D226" s="4" t="s">
        <v>1319</v>
      </c>
      <c r="E226" s="4" t="s">
        <v>1305</v>
      </c>
      <c r="F226" s="4" t="s">
        <v>1542</v>
      </c>
      <c r="G226" s="4" t="s">
        <v>1543</v>
      </c>
      <c r="H226" s="4" t="s">
        <v>319</v>
      </c>
      <c r="I226" s="4" t="s">
        <v>931</v>
      </c>
      <c r="J226" s="4" t="s">
        <v>31</v>
      </c>
      <c r="K226" s="4" t="s">
        <v>31</v>
      </c>
      <c r="L226" s="2" t="s">
        <v>325</v>
      </c>
      <c r="M226" s="2" t="s">
        <v>40</v>
      </c>
      <c r="N226" s="4" t="s">
        <v>438</v>
      </c>
      <c r="O226" s="4" t="s">
        <v>136</v>
      </c>
      <c r="P226" s="4" t="s">
        <v>35</v>
      </c>
      <c r="Q226" s="154">
        <v>35195</v>
      </c>
      <c r="R226" s="154">
        <v>1</v>
      </c>
      <c r="S226" s="154">
        <v>8908.0011365250739</v>
      </c>
      <c r="U226" s="154">
        <v>3135.1709999999998</v>
      </c>
      <c r="V226" s="169">
        <v>9.8999999999999999E-4</v>
      </c>
      <c r="W226" s="169">
        <v>1.9588921312576099E-2</v>
      </c>
      <c r="X226" s="169">
        <v>3.0513802947546901E-3</v>
      </c>
      <c r="Y226" s="154">
        <v>8908</v>
      </c>
      <c r="Z226" s="193">
        <f t="shared" si="3"/>
        <v>8908.0011365250739</v>
      </c>
    </row>
    <row r="227" spans="1:26">
      <c r="A227" s="4" t="s">
        <v>26</v>
      </c>
      <c r="B227" s="4">
        <v>9963</v>
      </c>
      <c r="C227" s="4" t="s">
        <v>1544</v>
      </c>
      <c r="D227" s="4" t="s">
        <v>1545</v>
      </c>
      <c r="E227" s="4" t="s">
        <v>1305</v>
      </c>
      <c r="F227" s="4" t="s">
        <v>1546</v>
      </c>
      <c r="G227" s="4" t="s">
        <v>1547</v>
      </c>
      <c r="H227" s="4" t="s">
        <v>319</v>
      </c>
      <c r="I227" s="4" t="s">
        <v>931</v>
      </c>
      <c r="J227" s="4" t="s">
        <v>31</v>
      </c>
      <c r="K227" s="4" t="s">
        <v>31</v>
      </c>
      <c r="L227" s="2" t="s">
        <v>325</v>
      </c>
      <c r="M227" s="2" t="s">
        <v>40</v>
      </c>
      <c r="N227" s="4" t="s">
        <v>451</v>
      </c>
      <c r="O227" s="4" t="s">
        <v>136</v>
      </c>
      <c r="P227" s="4" t="s">
        <v>35</v>
      </c>
      <c r="Q227" s="154">
        <v>200028</v>
      </c>
      <c r="R227" s="154">
        <v>1</v>
      </c>
      <c r="S227" s="154">
        <v>935.30005799188109</v>
      </c>
      <c r="T227" s="161">
        <v>38.325000000000003</v>
      </c>
      <c r="U227" s="154">
        <v>1909.1869999999999</v>
      </c>
      <c r="V227" s="169">
        <v>1.7000000000000001E-4</v>
      </c>
      <c r="W227" s="169">
        <v>1.19288276939939E-2</v>
      </c>
      <c r="X227" s="169">
        <v>1.8581620286364901E-3</v>
      </c>
      <c r="Y227" s="154">
        <v>935.3</v>
      </c>
      <c r="Z227" s="193">
        <f t="shared" si="3"/>
        <v>935.30005799188109</v>
      </c>
    </row>
    <row r="228" spans="1:26">
      <c r="A228" s="4" t="s">
        <v>26</v>
      </c>
      <c r="B228" s="4">
        <v>9963</v>
      </c>
      <c r="C228" s="4" t="s">
        <v>1548</v>
      </c>
      <c r="D228" s="4" t="s">
        <v>1549</v>
      </c>
      <c r="E228" s="4" t="s">
        <v>1305</v>
      </c>
      <c r="F228" s="4" t="s">
        <v>1550</v>
      </c>
      <c r="G228" s="4" t="s">
        <v>1551</v>
      </c>
      <c r="H228" s="4" t="s">
        <v>319</v>
      </c>
      <c r="I228" s="4" t="s">
        <v>931</v>
      </c>
      <c r="J228" s="4" t="s">
        <v>31</v>
      </c>
      <c r="K228" s="4" t="s">
        <v>31</v>
      </c>
      <c r="L228" s="2" t="s">
        <v>325</v>
      </c>
      <c r="M228" s="2" t="s">
        <v>40</v>
      </c>
      <c r="N228" s="4" t="s">
        <v>478</v>
      </c>
      <c r="O228" s="4" t="s">
        <v>136</v>
      </c>
      <c r="P228" s="4" t="s">
        <v>35</v>
      </c>
      <c r="Q228" s="154">
        <v>2076</v>
      </c>
      <c r="R228" s="154">
        <v>1</v>
      </c>
      <c r="S228" s="154">
        <v>95150</v>
      </c>
      <c r="U228" s="154">
        <v>1975.3140000000001</v>
      </c>
      <c r="V228" s="169">
        <v>3.3000000000000003E-5</v>
      </c>
      <c r="W228" s="169">
        <v>1.2341998395120801E-2</v>
      </c>
      <c r="X228" s="169">
        <v>1.92252192450168E-3</v>
      </c>
      <c r="Y228" s="154">
        <v>95150</v>
      </c>
      <c r="Z228" s="193">
        <f t="shared" si="3"/>
        <v>95150</v>
      </c>
    </row>
    <row r="229" spans="1:26">
      <c r="A229" s="4" t="s">
        <v>26</v>
      </c>
      <c r="B229" s="4">
        <v>9963</v>
      </c>
      <c r="C229" s="4" t="s">
        <v>1552</v>
      </c>
      <c r="D229" s="4" t="s">
        <v>1553</v>
      </c>
      <c r="E229" s="4" t="s">
        <v>1305</v>
      </c>
      <c r="F229" s="4" t="s">
        <v>1554</v>
      </c>
      <c r="G229" s="4" t="s">
        <v>1555</v>
      </c>
      <c r="H229" s="4" t="s">
        <v>319</v>
      </c>
      <c r="I229" s="4" t="s">
        <v>931</v>
      </c>
      <c r="J229" s="4" t="s">
        <v>31</v>
      </c>
      <c r="K229" s="4" t="s">
        <v>31</v>
      </c>
      <c r="L229" s="2" t="s">
        <v>325</v>
      </c>
      <c r="M229" s="2" t="s">
        <v>40</v>
      </c>
      <c r="N229" s="4" t="s">
        <v>461</v>
      </c>
      <c r="O229" s="4" t="s">
        <v>136</v>
      </c>
      <c r="P229" s="4" t="s">
        <v>35</v>
      </c>
      <c r="Q229" s="154">
        <v>9300</v>
      </c>
      <c r="R229" s="154">
        <v>1</v>
      </c>
      <c r="S229" s="154">
        <v>22540</v>
      </c>
      <c r="U229" s="154">
        <v>2096.2199999999998</v>
      </c>
      <c r="V229" s="169">
        <v>1.2600000000000001E-3</v>
      </c>
      <c r="W229" s="169">
        <v>1.3097433560345401E-2</v>
      </c>
      <c r="X229" s="169">
        <v>2.04019660093479E-3</v>
      </c>
      <c r="Y229" s="154">
        <v>22540</v>
      </c>
      <c r="Z229" s="193">
        <f t="shared" si="3"/>
        <v>22540</v>
      </c>
    </row>
    <row r="230" spans="1:26">
      <c r="A230" s="4" t="s">
        <v>26</v>
      </c>
      <c r="B230" s="4">
        <v>9963</v>
      </c>
      <c r="C230" s="4" t="s">
        <v>1556</v>
      </c>
      <c r="D230" s="4" t="s">
        <v>1557</v>
      </c>
      <c r="E230" s="4" t="s">
        <v>1305</v>
      </c>
      <c r="F230" s="4" t="s">
        <v>1556</v>
      </c>
      <c r="G230" s="4" t="s">
        <v>1558</v>
      </c>
      <c r="H230" s="4" t="s">
        <v>319</v>
      </c>
      <c r="I230" s="4" t="s">
        <v>931</v>
      </c>
      <c r="J230" s="4" t="s">
        <v>31</v>
      </c>
      <c r="K230" s="4" t="s">
        <v>31</v>
      </c>
      <c r="L230" s="2" t="s">
        <v>325</v>
      </c>
      <c r="M230" s="2" t="s">
        <v>40</v>
      </c>
      <c r="N230" s="4" t="s">
        <v>436</v>
      </c>
      <c r="O230" s="4" t="s">
        <v>136</v>
      </c>
      <c r="P230" s="4" t="s">
        <v>35</v>
      </c>
      <c r="Q230" s="154">
        <v>182990</v>
      </c>
      <c r="R230" s="154">
        <v>1</v>
      </c>
      <c r="S230" s="154">
        <v>4273.0001639433849</v>
      </c>
      <c r="U230" s="154">
        <v>7819.1629999999996</v>
      </c>
      <c r="V230" s="169">
        <v>2.3189999999999999E-3</v>
      </c>
      <c r="W230" s="169">
        <v>4.88550648122721E-2</v>
      </c>
      <c r="X230" s="169">
        <v>7.6101884166242502E-3</v>
      </c>
      <c r="Y230" s="154">
        <v>4273</v>
      </c>
      <c r="Z230" s="193">
        <f t="shared" si="3"/>
        <v>4273.0001639433849</v>
      </c>
    </row>
    <row r="231" spans="1:26">
      <c r="A231" s="4" t="s">
        <v>26</v>
      </c>
      <c r="B231" s="4">
        <v>9963</v>
      </c>
      <c r="C231" s="4" t="s">
        <v>1559</v>
      </c>
      <c r="D231" s="4" t="s">
        <v>1560</v>
      </c>
      <c r="E231" s="4" t="s">
        <v>1305</v>
      </c>
      <c r="F231" s="4" t="s">
        <v>1561</v>
      </c>
      <c r="G231" s="4" t="s">
        <v>1562</v>
      </c>
      <c r="H231" s="4" t="s">
        <v>319</v>
      </c>
      <c r="I231" s="4" t="s">
        <v>931</v>
      </c>
      <c r="J231" s="4" t="s">
        <v>31</v>
      </c>
      <c r="K231" s="4" t="s">
        <v>31</v>
      </c>
      <c r="L231" s="2" t="s">
        <v>325</v>
      </c>
      <c r="M231" s="2" t="s">
        <v>40</v>
      </c>
      <c r="N231" s="4" t="s">
        <v>438</v>
      </c>
      <c r="O231" s="4" t="s">
        <v>136</v>
      </c>
      <c r="P231" s="4" t="s">
        <v>35</v>
      </c>
      <c r="Q231" s="154">
        <v>30333</v>
      </c>
      <c r="R231" s="154">
        <v>1</v>
      </c>
      <c r="S231" s="154">
        <v>3478.0008571522762</v>
      </c>
      <c r="U231" s="154">
        <v>1054.982</v>
      </c>
      <c r="V231" s="169">
        <v>2.1749999999999999E-3</v>
      </c>
      <c r="W231" s="169">
        <v>6.5916522345114501E-3</v>
      </c>
      <c r="X231" s="169">
        <v>1.0267863869232599E-3</v>
      </c>
      <c r="Y231" s="154">
        <v>3478</v>
      </c>
      <c r="Z231" s="193">
        <f t="shared" si="3"/>
        <v>3478.0008571522762</v>
      </c>
    </row>
    <row r="232" spans="1:26">
      <c r="A232" s="4" t="s">
        <v>26</v>
      </c>
      <c r="B232" s="4">
        <v>9963</v>
      </c>
      <c r="C232" s="4" t="s">
        <v>1563</v>
      </c>
      <c r="D232" s="4" t="s">
        <v>1564</v>
      </c>
      <c r="E232" s="4" t="s">
        <v>1305</v>
      </c>
      <c r="F232" s="4" t="s">
        <v>1565</v>
      </c>
      <c r="G232" s="4" t="s">
        <v>1566</v>
      </c>
      <c r="H232" s="4" t="s">
        <v>319</v>
      </c>
      <c r="I232" s="4" t="s">
        <v>931</v>
      </c>
      <c r="J232" s="4" t="s">
        <v>31</v>
      </c>
      <c r="K232" s="4" t="s">
        <v>31</v>
      </c>
      <c r="L232" s="2" t="s">
        <v>325</v>
      </c>
      <c r="M232" s="2" t="s">
        <v>40</v>
      </c>
      <c r="N232" s="4" t="s">
        <v>461</v>
      </c>
      <c r="O232" s="4" t="s">
        <v>136</v>
      </c>
      <c r="P232" s="4" t="s">
        <v>35</v>
      </c>
      <c r="Q232" s="154">
        <v>144004</v>
      </c>
      <c r="R232" s="154">
        <v>1</v>
      </c>
      <c r="S232" s="154">
        <v>774.00002777700627</v>
      </c>
      <c r="T232" s="161">
        <v>19.800999999999998</v>
      </c>
      <c r="U232" s="154">
        <v>1134.3920000000001</v>
      </c>
      <c r="V232" s="169">
        <v>6.6299999999999996E-4</v>
      </c>
      <c r="W232" s="169">
        <v>7.0878139859580098E-3</v>
      </c>
      <c r="X232" s="169">
        <v>1.10407385810234E-3</v>
      </c>
      <c r="Y232" s="154">
        <v>774</v>
      </c>
      <c r="Z232" s="193">
        <f t="shared" si="3"/>
        <v>774.00002777700627</v>
      </c>
    </row>
    <row r="233" spans="1:26">
      <c r="A233" s="4" t="s">
        <v>26</v>
      </c>
      <c r="B233" s="4">
        <v>9963</v>
      </c>
      <c r="C233" s="4" t="s">
        <v>1567</v>
      </c>
      <c r="D233" s="4" t="s">
        <v>1568</v>
      </c>
      <c r="E233" s="4" t="s">
        <v>1305</v>
      </c>
      <c r="F233" s="4" t="s">
        <v>1569</v>
      </c>
      <c r="G233" s="4" t="s">
        <v>1570</v>
      </c>
      <c r="H233" s="4" t="s">
        <v>319</v>
      </c>
      <c r="I233" s="4" t="s">
        <v>931</v>
      </c>
      <c r="J233" s="4" t="s">
        <v>31</v>
      </c>
      <c r="K233" s="4" t="s">
        <v>31</v>
      </c>
      <c r="L233" s="2" t="s">
        <v>325</v>
      </c>
      <c r="M233" s="2" t="s">
        <v>40</v>
      </c>
      <c r="N233" s="4" t="s">
        <v>459</v>
      </c>
      <c r="O233" s="4" t="s">
        <v>136</v>
      </c>
      <c r="P233" s="4" t="s">
        <v>35</v>
      </c>
      <c r="Q233" s="154">
        <v>10044</v>
      </c>
      <c r="R233" s="154">
        <v>1</v>
      </c>
      <c r="S233" s="154">
        <v>13099.999999999998</v>
      </c>
      <c r="U233" s="154">
        <v>1315.7639999999999</v>
      </c>
      <c r="V233" s="169">
        <v>8.2100000000000001E-4</v>
      </c>
      <c r="W233" s="169">
        <v>8.2210510209302003E-3</v>
      </c>
      <c r="X233" s="169">
        <v>1.2805990022194101E-3</v>
      </c>
      <c r="Y233" s="154">
        <v>13100</v>
      </c>
      <c r="Z233" s="193">
        <f t="shared" si="3"/>
        <v>13099.999999999998</v>
      </c>
    </row>
    <row r="234" spans="1:26">
      <c r="A234" s="4" t="s">
        <v>26</v>
      </c>
      <c r="B234" s="4">
        <v>9963</v>
      </c>
      <c r="C234" s="4" t="s">
        <v>1371</v>
      </c>
      <c r="D234" s="4" t="s">
        <v>1372</v>
      </c>
      <c r="E234" s="4" t="s">
        <v>1305</v>
      </c>
      <c r="F234" s="4" t="s">
        <v>1373</v>
      </c>
      <c r="G234" s="4" t="s">
        <v>1374</v>
      </c>
      <c r="H234" s="4" t="s">
        <v>319</v>
      </c>
      <c r="I234" s="4" t="s">
        <v>931</v>
      </c>
      <c r="J234" s="4" t="s">
        <v>31</v>
      </c>
      <c r="K234" s="4" t="s">
        <v>31</v>
      </c>
      <c r="L234" s="2" t="s">
        <v>325</v>
      </c>
      <c r="M234" s="2" t="s">
        <v>40</v>
      </c>
      <c r="N234" s="4" t="s">
        <v>461</v>
      </c>
      <c r="O234" s="4" t="s">
        <v>136</v>
      </c>
      <c r="P234" s="4" t="s">
        <v>35</v>
      </c>
      <c r="Q234" s="154">
        <v>9900</v>
      </c>
      <c r="R234" s="154">
        <v>1</v>
      </c>
      <c r="S234" s="154">
        <v>26610</v>
      </c>
      <c r="U234" s="154">
        <v>2634.39</v>
      </c>
      <c r="V234" s="169">
        <v>8.2000000000000001E-5</v>
      </c>
      <c r="W234" s="169">
        <v>1.64599841605549E-2</v>
      </c>
      <c r="X234" s="169">
        <v>2.5639835148679999E-3</v>
      </c>
      <c r="Y234" s="154">
        <v>26610</v>
      </c>
      <c r="Z234" s="193">
        <f t="shared" si="3"/>
        <v>26610</v>
      </c>
    </row>
    <row r="235" spans="1:26">
      <c r="A235" s="4" t="s">
        <v>26</v>
      </c>
      <c r="B235" s="4">
        <v>9963</v>
      </c>
      <c r="C235" s="4" t="s">
        <v>1571</v>
      </c>
      <c r="D235" s="4" t="s">
        <v>1572</v>
      </c>
      <c r="E235" s="4" t="s">
        <v>1305</v>
      </c>
      <c r="F235" s="4" t="s">
        <v>1573</v>
      </c>
      <c r="G235" s="4" t="s">
        <v>1574</v>
      </c>
      <c r="H235" s="4" t="s">
        <v>319</v>
      </c>
      <c r="I235" s="4" t="s">
        <v>931</v>
      </c>
      <c r="J235" s="4" t="s">
        <v>31</v>
      </c>
      <c r="K235" s="4" t="s">
        <v>31</v>
      </c>
      <c r="L235" s="2" t="s">
        <v>325</v>
      </c>
      <c r="M235" s="2" t="s">
        <v>40</v>
      </c>
      <c r="N235" s="4" t="s">
        <v>478</v>
      </c>
      <c r="O235" s="4" t="s">
        <v>136</v>
      </c>
      <c r="P235" s="4" t="s">
        <v>35</v>
      </c>
      <c r="Q235" s="154">
        <v>19077</v>
      </c>
      <c r="R235" s="154">
        <v>1</v>
      </c>
      <c r="S235" s="154">
        <v>522.9019237825654</v>
      </c>
      <c r="U235" s="154">
        <v>99.754000000000005</v>
      </c>
      <c r="V235" s="169">
        <v>1.351E-3</v>
      </c>
      <c r="W235" s="169">
        <v>6.2327264343464803E-4</v>
      </c>
      <c r="X235" s="169">
        <v>9.7087625810981894E-5</v>
      </c>
      <c r="Y235" s="154">
        <v>522.9</v>
      </c>
      <c r="Z235" s="193">
        <f t="shared" si="3"/>
        <v>522.9019237825654</v>
      </c>
    </row>
    <row r="236" spans="1:26">
      <c r="A236" s="4" t="s">
        <v>26</v>
      </c>
      <c r="B236" s="4">
        <v>9963</v>
      </c>
      <c r="C236" s="4" t="s">
        <v>1575</v>
      </c>
      <c r="D236" s="4" t="s">
        <v>1576</v>
      </c>
      <c r="E236" s="4" t="s">
        <v>1305</v>
      </c>
      <c r="F236" s="4" t="s">
        <v>1577</v>
      </c>
      <c r="G236" s="4" t="s">
        <v>1578</v>
      </c>
      <c r="H236" s="4" t="s">
        <v>319</v>
      </c>
      <c r="I236" s="4" t="s">
        <v>931</v>
      </c>
      <c r="J236" s="4" t="s">
        <v>31</v>
      </c>
      <c r="K236" s="4" t="s">
        <v>31</v>
      </c>
      <c r="L236" s="2" t="s">
        <v>325</v>
      </c>
      <c r="M236" s="2" t="s">
        <v>40</v>
      </c>
      <c r="N236" s="4" t="s">
        <v>445</v>
      </c>
      <c r="O236" s="4" t="s">
        <v>136</v>
      </c>
      <c r="P236" s="4" t="s">
        <v>35</v>
      </c>
      <c r="Q236" s="154">
        <v>151712</v>
      </c>
      <c r="R236" s="154">
        <v>1</v>
      </c>
      <c r="S236" s="154">
        <v>3500.0000000000005</v>
      </c>
      <c r="T236" s="161">
        <v>39.933999999999997</v>
      </c>
      <c r="U236" s="154">
        <v>5349.8540000000003</v>
      </c>
      <c r="V236" s="169">
        <v>1.13E-4</v>
      </c>
      <c r="W236" s="169">
        <v>3.34265265689156E-2</v>
      </c>
      <c r="X236" s="169">
        <v>5.20687397059487E-3</v>
      </c>
      <c r="Y236" s="154">
        <v>3500</v>
      </c>
      <c r="Z236" s="193">
        <f t="shared" si="3"/>
        <v>3500.0000000000005</v>
      </c>
    </row>
    <row r="237" spans="1:26">
      <c r="A237" s="4" t="s">
        <v>26</v>
      </c>
      <c r="B237" s="4">
        <v>9963</v>
      </c>
      <c r="C237" s="4" t="s">
        <v>1579</v>
      </c>
      <c r="D237" s="4" t="s">
        <v>1580</v>
      </c>
      <c r="E237" s="4" t="s">
        <v>1305</v>
      </c>
      <c r="F237" s="4" t="s">
        <v>1581</v>
      </c>
      <c r="G237" s="4" t="s">
        <v>1582</v>
      </c>
      <c r="H237" s="4" t="s">
        <v>319</v>
      </c>
      <c r="I237" s="4" t="s">
        <v>931</v>
      </c>
      <c r="J237" s="4" t="s">
        <v>31</v>
      </c>
      <c r="K237" s="4" t="s">
        <v>31</v>
      </c>
      <c r="L237" s="2" t="s">
        <v>325</v>
      </c>
      <c r="M237" s="2" t="s">
        <v>40</v>
      </c>
      <c r="N237" s="4" t="s">
        <v>474</v>
      </c>
      <c r="O237" s="4" t="s">
        <v>136</v>
      </c>
      <c r="P237" s="4" t="s">
        <v>35</v>
      </c>
      <c r="Q237" s="154">
        <v>3836</v>
      </c>
      <c r="R237" s="154">
        <v>1</v>
      </c>
      <c r="S237" s="154">
        <v>30030.00521376434</v>
      </c>
      <c r="U237" s="154">
        <v>1151.951</v>
      </c>
      <c r="V237" s="169">
        <v>2.5000000000000001E-4</v>
      </c>
      <c r="W237" s="169">
        <v>7.1975265324187004E-3</v>
      </c>
      <c r="X237" s="169">
        <v>1.12116385999757E-3</v>
      </c>
      <c r="Y237" s="154">
        <v>30030</v>
      </c>
      <c r="Z237" s="193">
        <f t="shared" si="3"/>
        <v>30030.00521376434</v>
      </c>
    </row>
    <row r="238" spans="1:26">
      <c r="A238" s="4" t="s">
        <v>26</v>
      </c>
      <c r="B238" s="4">
        <v>9963</v>
      </c>
      <c r="C238" s="4" t="s">
        <v>1583</v>
      </c>
      <c r="D238" s="4" t="s">
        <v>1584</v>
      </c>
      <c r="E238" s="4" t="s">
        <v>1305</v>
      </c>
      <c r="F238" s="4" t="s">
        <v>1585</v>
      </c>
      <c r="G238" s="4" t="s">
        <v>1586</v>
      </c>
      <c r="H238" s="4" t="s">
        <v>319</v>
      </c>
      <c r="I238" s="4" t="s">
        <v>931</v>
      </c>
      <c r="J238" s="4" t="s">
        <v>31</v>
      </c>
      <c r="K238" s="4" t="s">
        <v>31</v>
      </c>
      <c r="L238" s="2" t="s">
        <v>325</v>
      </c>
      <c r="M238" s="2" t="s">
        <v>40</v>
      </c>
      <c r="N238" s="4" t="s">
        <v>437</v>
      </c>
      <c r="O238" s="4" t="s">
        <v>136</v>
      </c>
      <c r="P238" s="4" t="s">
        <v>35</v>
      </c>
      <c r="Q238" s="154">
        <v>19650</v>
      </c>
      <c r="R238" s="154">
        <v>1</v>
      </c>
      <c r="S238" s="154">
        <v>8896</v>
      </c>
      <c r="U238" s="154">
        <v>1748.0640000000001</v>
      </c>
      <c r="V238" s="169">
        <v>1.573E-3</v>
      </c>
      <c r="W238" s="169">
        <v>1.0922113184318301E-2</v>
      </c>
      <c r="X238" s="169">
        <v>1.70134538885063E-3</v>
      </c>
      <c r="Y238" s="154">
        <v>8896</v>
      </c>
      <c r="Z238" s="193">
        <f t="shared" si="3"/>
        <v>8896</v>
      </c>
    </row>
    <row r="239" spans="1:26">
      <c r="A239" s="4" t="s">
        <v>26</v>
      </c>
      <c r="B239" s="4">
        <v>9963</v>
      </c>
      <c r="C239" s="4" t="s">
        <v>1587</v>
      </c>
      <c r="D239" s="4" t="s">
        <v>1588</v>
      </c>
      <c r="E239" s="4" t="s">
        <v>1305</v>
      </c>
      <c r="F239" s="4" t="s">
        <v>1589</v>
      </c>
      <c r="G239" s="4" t="s">
        <v>1590</v>
      </c>
      <c r="H239" s="4" t="s">
        <v>319</v>
      </c>
      <c r="I239" s="4" t="s">
        <v>931</v>
      </c>
      <c r="J239" s="4" t="s">
        <v>31</v>
      </c>
      <c r="K239" s="4" t="s">
        <v>31</v>
      </c>
      <c r="L239" s="2" t="s">
        <v>325</v>
      </c>
      <c r="M239" s="2" t="s">
        <v>40</v>
      </c>
      <c r="N239" s="4" t="s">
        <v>458</v>
      </c>
      <c r="O239" s="4" t="s">
        <v>136</v>
      </c>
      <c r="P239" s="4" t="s">
        <v>35</v>
      </c>
      <c r="Q239" s="154">
        <v>3825</v>
      </c>
      <c r="R239" s="154">
        <v>1</v>
      </c>
      <c r="S239" s="154">
        <v>48200.000000000007</v>
      </c>
      <c r="U239" s="154">
        <v>1843.65</v>
      </c>
      <c r="V239" s="169">
        <v>2.33E-4</v>
      </c>
      <c r="W239" s="169">
        <v>1.1519345957738601E-2</v>
      </c>
      <c r="X239" s="169">
        <v>1.7943767654699501E-3</v>
      </c>
      <c r="Y239" s="154">
        <v>48200</v>
      </c>
      <c r="Z239" s="193">
        <f t="shared" si="3"/>
        <v>48200.000000000007</v>
      </c>
    </row>
    <row r="240" spans="1:26">
      <c r="A240" s="4" t="s">
        <v>26</v>
      </c>
      <c r="B240" s="4">
        <v>9963</v>
      </c>
      <c r="C240" s="4" t="s">
        <v>1591</v>
      </c>
      <c r="D240" s="4" t="s">
        <v>1592</v>
      </c>
      <c r="E240" s="4" t="s">
        <v>1305</v>
      </c>
      <c r="F240" s="4" t="s">
        <v>1593</v>
      </c>
      <c r="G240" s="4" t="s">
        <v>1594</v>
      </c>
      <c r="H240" s="4" t="s">
        <v>319</v>
      </c>
      <c r="I240" s="4" t="s">
        <v>931</v>
      </c>
      <c r="J240" s="4" t="s">
        <v>31</v>
      </c>
      <c r="K240" s="4" t="s">
        <v>31</v>
      </c>
      <c r="L240" s="2" t="s">
        <v>325</v>
      </c>
      <c r="M240" s="2" t="s">
        <v>40</v>
      </c>
      <c r="N240" s="4" t="s">
        <v>455</v>
      </c>
      <c r="O240" s="4" t="s">
        <v>136</v>
      </c>
      <c r="P240" s="4" t="s">
        <v>35</v>
      </c>
      <c r="Q240" s="154">
        <v>15094</v>
      </c>
      <c r="R240" s="154">
        <v>1</v>
      </c>
      <c r="S240" s="154">
        <v>30800</v>
      </c>
      <c r="U240" s="154">
        <v>4648.9520000000002</v>
      </c>
      <c r="V240" s="169">
        <v>3.4099999999999999E-4</v>
      </c>
      <c r="W240" s="169">
        <v>2.9047208759211799E-2</v>
      </c>
      <c r="X240" s="169">
        <v>4.5247045006292204E-3</v>
      </c>
      <c r="Y240" s="154">
        <v>30800</v>
      </c>
      <c r="Z240" s="193">
        <f t="shared" si="3"/>
        <v>30800</v>
      </c>
    </row>
    <row r="241" spans="1:26">
      <c r="A241" s="4" t="s">
        <v>26</v>
      </c>
      <c r="B241" s="4">
        <v>9963</v>
      </c>
      <c r="C241" s="4" t="s">
        <v>1595</v>
      </c>
      <c r="D241" s="4" t="s">
        <v>1596</v>
      </c>
      <c r="E241" s="4" t="s">
        <v>1305</v>
      </c>
      <c r="F241" s="4" t="s">
        <v>1597</v>
      </c>
      <c r="G241" s="4" t="s">
        <v>1598</v>
      </c>
      <c r="H241" s="4" t="s">
        <v>319</v>
      </c>
      <c r="I241" s="4" t="s">
        <v>931</v>
      </c>
      <c r="J241" s="4" t="s">
        <v>31</v>
      </c>
      <c r="K241" s="4" t="s">
        <v>31</v>
      </c>
      <c r="L241" s="2" t="s">
        <v>325</v>
      </c>
      <c r="M241" s="2" t="s">
        <v>40</v>
      </c>
      <c r="N241" s="4" t="s">
        <v>459</v>
      </c>
      <c r="O241" s="4" t="s">
        <v>136</v>
      </c>
      <c r="P241" s="4" t="s">
        <v>35</v>
      </c>
      <c r="Q241" s="154">
        <v>13318</v>
      </c>
      <c r="R241" s="154">
        <v>1</v>
      </c>
      <c r="S241" s="154">
        <v>1753.0034539720677</v>
      </c>
      <c r="U241" s="154">
        <v>233.465</v>
      </c>
      <c r="V241" s="169">
        <v>1.46E-4</v>
      </c>
      <c r="W241" s="169">
        <v>1.4587144008484799E-3</v>
      </c>
      <c r="X241" s="169">
        <v>2.2722498637872199E-4</v>
      </c>
      <c r="Y241" s="154">
        <v>1753</v>
      </c>
      <c r="Z241" s="193">
        <f t="shared" si="3"/>
        <v>1753.0034539720677</v>
      </c>
    </row>
    <row r="242" spans="1:26">
      <c r="A242" s="4" t="s">
        <v>26</v>
      </c>
      <c r="B242" s="4">
        <v>9963</v>
      </c>
      <c r="C242" s="4" t="s">
        <v>1599</v>
      </c>
      <c r="D242" s="4" t="s">
        <v>1600</v>
      </c>
      <c r="E242" s="4" t="s">
        <v>1305</v>
      </c>
      <c r="F242" s="4" t="s">
        <v>1601</v>
      </c>
      <c r="G242" s="4" t="s">
        <v>1602</v>
      </c>
      <c r="H242" s="4" t="s">
        <v>319</v>
      </c>
      <c r="I242" s="4" t="s">
        <v>931</v>
      </c>
      <c r="J242" s="4" t="s">
        <v>31</v>
      </c>
      <c r="K242" s="4" t="s">
        <v>31</v>
      </c>
      <c r="L242" s="2" t="s">
        <v>325</v>
      </c>
      <c r="M242" s="2" t="s">
        <v>40</v>
      </c>
      <c r="N242" s="4" t="s">
        <v>461</v>
      </c>
      <c r="O242" s="4" t="s">
        <v>136</v>
      </c>
      <c r="P242" s="4" t="s">
        <v>35</v>
      </c>
      <c r="Q242" s="154">
        <v>161834</v>
      </c>
      <c r="R242" s="154">
        <v>1</v>
      </c>
      <c r="S242" s="154">
        <v>1565.9997281164653</v>
      </c>
      <c r="U242" s="154">
        <v>2534.3200000000002</v>
      </c>
      <c r="V242" s="169">
        <v>8.3299999999999997E-4</v>
      </c>
      <c r="W242" s="169">
        <v>1.5834737567395299E-2</v>
      </c>
      <c r="X242" s="169">
        <v>2.4665884054953999E-3</v>
      </c>
      <c r="Y242" s="154">
        <v>1566</v>
      </c>
      <c r="Z242" s="193">
        <f t="shared" si="3"/>
        <v>1565.9997281164653</v>
      </c>
    </row>
    <row r="243" spans="1:26">
      <c r="A243" s="4" t="s">
        <v>26</v>
      </c>
      <c r="B243" s="4">
        <v>9963</v>
      </c>
      <c r="C243" s="4" t="s">
        <v>1603</v>
      </c>
      <c r="D243" s="4" t="s">
        <v>1604</v>
      </c>
      <c r="E243" s="4" t="s">
        <v>1305</v>
      </c>
      <c r="F243" s="4" t="s">
        <v>1605</v>
      </c>
      <c r="G243" s="4" t="s">
        <v>1606</v>
      </c>
      <c r="H243" s="4" t="s">
        <v>319</v>
      </c>
      <c r="I243" s="4" t="s">
        <v>931</v>
      </c>
      <c r="J243" s="4" t="s">
        <v>31</v>
      </c>
      <c r="K243" s="4" t="s">
        <v>31</v>
      </c>
      <c r="L243" s="2" t="s">
        <v>325</v>
      </c>
      <c r="M243" s="2" t="s">
        <v>40</v>
      </c>
      <c r="N243" s="4" t="s">
        <v>473</v>
      </c>
      <c r="O243" s="4" t="s">
        <v>136</v>
      </c>
      <c r="P243" s="4" t="s">
        <v>35</v>
      </c>
      <c r="Q243" s="154">
        <v>7542</v>
      </c>
      <c r="R243" s="154">
        <v>1</v>
      </c>
      <c r="S243" s="154">
        <v>9247.0034473614414</v>
      </c>
      <c r="U243" s="154">
        <v>697.40899999999999</v>
      </c>
      <c r="V243" s="169">
        <v>1.56E-4</v>
      </c>
      <c r="W243" s="169">
        <v>4.3574933148973899E-3</v>
      </c>
      <c r="X243" s="169">
        <v>6.7876985278749998E-4</v>
      </c>
      <c r="Y243" s="154">
        <v>9247</v>
      </c>
      <c r="Z243" s="193">
        <f t="shared" si="3"/>
        <v>9247.0034473614414</v>
      </c>
    </row>
    <row r="244" spans="1:26">
      <c r="A244" s="4" t="s">
        <v>26</v>
      </c>
      <c r="B244" s="4">
        <v>9963</v>
      </c>
      <c r="C244" s="4" t="s">
        <v>1379</v>
      </c>
      <c r="D244" s="4" t="s">
        <v>1380</v>
      </c>
      <c r="E244" s="4" t="s">
        <v>1305</v>
      </c>
      <c r="F244" s="4" t="s">
        <v>1381</v>
      </c>
      <c r="G244" s="4" t="s">
        <v>1382</v>
      </c>
      <c r="H244" s="4" t="s">
        <v>319</v>
      </c>
      <c r="I244" s="4" t="s">
        <v>931</v>
      </c>
      <c r="J244" s="4" t="s">
        <v>31</v>
      </c>
      <c r="K244" s="4" t="s">
        <v>31</v>
      </c>
      <c r="L244" s="2" t="s">
        <v>325</v>
      </c>
      <c r="M244" s="2" t="s">
        <v>40</v>
      </c>
      <c r="N244" s="4" t="s">
        <v>473</v>
      </c>
      <c r="O244" s="4" t="s">
        <v>136</v>
      </c>
      <c r="P244" s="4" t="s">
        <v>35</v>
      </c>
      <c r="Q244" s="154">
        <v>4516</v>
      </c>
      <c r="R244" s="154">
        <v>1</v>
      </c>
      <c r="S244" s="154">
        <v>22050</v>
      </c>
      <c r="U244" s="154">
        <v>995.77800000000002</v>
      </c>
      <c r="V244" s="169">
        <v>3.28E-4</v>
      </c>
      <c r="W244" s="169">
        <v>6.2217401779649196E-3</v>
      </c>
      <c r="X244" s="169">
        <v>9.6916492108921901E-4</v>
      </c>
      <c r="Y244" s="154">
        <v>22050</v>
      </c>
      <c r="Z244" s="193">
        <f t="shared" si="3"/>
        <v>22050</v>
      </c>
    </row>
    <row r="245" spans="1:26">
      <c r="A245" s="4" t="s">
        <v>26</v>
      </c>
      <c r="B245" s="4">
        <v>9963</v>
      </c>
      <c r="C245" s="4" t="s">
        <v>1383</v>
      </c>
      <c r="D245" s="4" t="s">
        <v>1384</v>
      </c>
      <c r="E245" s="4" t="s">
        <v>1305</v>
      </c>
      <c r="F245" s="4" t="s">
        <v>1385</v>
      </c>
      <c r="G245" s="4" t="s">
        <v>1386</v>
      </c>
      <c r="H245" s="4" t="s">
        <v>319</v>
      </c>
      <c r="I245" s="4" t="s">
        <v>931</v>
      </c>
      <c r="J245" s="4" t="s">
        <v>31</v>
      </c>
      <c r="K245" s="4" t="s">
        <v>31</v>
      </c>
      <c r="L245" s="2" t="s">
        <v>325</v>
      </c>
      <c r="M245" s="2" t="s">
        <v>40</v>
      </c>
      <c r="N245" s="4" t="s">
        <v>461</v>
      </c>
      <c r="O245" s="4" t="s">
        <v>136</v>
      </c>
      <c r="P245" s="4" t="s">
        <v>35</v>
      </c>
      <c r="Q245" s="154">
        <v>266764</v>
      </c>
      <c r="R245" s="154">
        <v>1</v>
      </c>
      <c r="S245" s="154">
        <v>266.20008696825658</v>
      </c>
      <c r="U245" s="154">
        <v>710.12599999999998</v>
      </c>
      <c r="V245" s="169">
        <v>1.835E-3</v>
      </c>
      <c r="W245" s="169">
        <v>4.4369508285720298E-3</v>
      </c>
      <c r="X245" s="169">
        <v>6.9114700656887503E-4</v>
      </c>
      <c r="Y245" s="154">
        <v>266.2</v>
      </c>
      <c r="Z245" s="193">
        <f t="shared" si="3"/>
        <v>266.20008696825658</v>
      </c>
    </row>
    <row r="246" spans="1:26">
      <c r="A246" s="4" t="s">
        <v>26</v>
      </c>
      <c r="B246" s="4">
        <v>9963</v>
      </c>
      <c r="C246" s="4" t="s">
        <v>1607</v>
      </c>
      <c r="D246" s="4" t="s">
        <v>1608</v>
      </c>
      <c r="E246" s="4" t="s">
        <v>1305</v>
      </c>
      <c r="F246" s="4" t="s">
        <v>1609</v>
      </c>
      <c r="G246" s="4" t="s">
        <v>1610</v>
      </c>
      <c r="H246" s="4" t="s">
        <v>319</v>
      </c>
      <c r="I246" s="4" t="s">
        <v>931</v>
      </c>
      <c r="J246" s="4" t="s">
        <v>31</v>
      </c>
      <c r="K246" s="4" t="s">
        <v>31</v>
      </c>
      <c r="L246" s="2" t="s">
        <v>325</v>
      </c>
      <c r="M246" s="2" t="s">
        <v>40</v>
      </c>
      <c r="N246" s="4" t="s">
        <v>451</v>
      </c>
      <c r="O246" s="4" t="s">
        <v>136</v>
      </c>
      <c r="P246" s="4" t="s">
        <v>35</v>
      </c>
      <c r="Q246" s="154">
        <v>507135</v>
      </c>
      <c r="R246" s="154">
        <v>1</v>
      </c>
      <c r="S246" s="154">
        <v>302.80004338095381</v>
      </c>
      <c r="U246" s="154">
        <v>1535.605</v>
      </c>
      <c r="V246" s="169">
        <v>4.5100000000000001E-4</v>
      </c>
      <c r="W246" s="169">
        <v>9.5946425379963996E-3</v>
      </c>
      <c r="X246" s="169">
        <v>1.4945643360597699E-3</v>
      </c>
      <c r="Y246" s="154">
        <v>302.8</v>
      </c>
      <c r="Z246" s="193">
        <f t="shared" si="3"/>
        <v>302.80004338095381</v>
      </c>
    </row>
    <row r="247" spans="1:26">
      <c r="A247" s="4" t="s">
        <v>26</v>
      </c>
      <c r="B247" s="4">
        <v>9963</v>
      </c>
      <c r="C247" s="4" t="s">
        <v>1611</v>
      </c>
      <c r="D247" s="4" t="s">
        <v>1612</v>
      </c>
      <c r="E247" s="4" t="s">
        <v>1305</v>
      </c>
      <c r="F247" s="4" t="s">
        <v>1613</v>
      </c>
      <c r="G247" s="4" t="s">
        <v>1614</v>
      </c>
      <c r="H247" s="4" t="s">
        <v>319</v>
      </c>
      <c r="I247" s="4" t="s">
        <v>931</v>
      </c>
      <c r="J247" s="4" t="s">
        <v>31</v>
      </c>
      <c r="K247" s="4" t="s">
        <v>31</v>
      </c>
      <c r="L247" s="2" t="s">
        <v>325</v>
      </c>
      <c r="M247" s="2" t="s">
        <v>40</v>
      </c>
      <c r="N247" s="4" t="s">
        <v>473</v>
      </c>
      <c r="O247" s="4" t="s">
        <v>136</v>
      </c>
      <c r="P247" s="4" t="s">
        <v>35</v>
      </c>
      <c r="Q247" s="154">
        <v>83105</v>
      </c>
      <c r="R247" s="154">
        <v>1</v>
      </c>
      <c r="S247" s="154">
        <v>2584.9996991757416</v>
      </c>
      <c r="U247" s="154">
        <v>2148.2640000000001</v>
      </c>
      <c r="V247" s="169">
        <v>3.0299999999999999E-4</v>
      </c>
      <c r="W247" s="169">
        <v>1.3422612266098101E-2</v>
      </c>
      <c r="X247" s="169">
        <v>2.0908499206952198E-3</v>
      </c>
      <c r="Y247" s="154">
        <v>2585</v>
      </c>
      <c r="Z247" s="193">
        <f t="shared" si="3"/>
        <v>2584.9996991757416</v>
      </c>
    </row>
    <row r="248" spans="1:26">
      <c r="A248" s="4" t="s">
        <v>26</v>
      </c>
      <c r="B248" s="4">
        <v>9963</v>
      </c>
      <c r="C248" s="4" t="s">
        <v>1387</v>
      </c>
      <c r="D248" s="4" t="s">
        <v>1388</v>
      </c>
      <c r="E248" s="4" t="s">
        <v>1305</v>
      </c>
      <c r="F248" s="4" t="s">
        <v>1389</v>
      </c>
      <c r="G248" s="4" t="s">
        <v>1390</v>
      </c>
      <c r="H248" s="4" t="s">
        <v>319</v>
      </c>
      <c r="I248" s="4" t="s">
        <v>931</v>
      </c>
      <c r="J248" s="4" t="s">
        <v>31</v>
      </c>
      <c r="K248" s="4" t="s">
        <v>31</v>
      </c>
      <c r="L248" s="2" t="s">
        <v>325</v>
      </c>
      <c r="M248" s="2" t="s">
        <v>40</v>
      </c>
      <c r="N248" s="4" t="s">
        <v>459</v>
      </c>
      <c r="O248" s="4" t="s">
        <v>136</v>
      </c>
      <c r="P248" s="4" t="s">
        <v>35</v>
      </c>
      <c r="Q248" s="154">
        <v>3393</v>
      </c>
      <c r="R248" s="154">
        <v>1</v>
      </c>
      <c r="S248" s="154">
        <v>30039.994105511349</v>
      </c>
      <c r="T248" s="161">
        <v>8.9710000000000001</v>
      </c>
      <c r="U248" s="154">
        <v>1028.2280000000001</v>
      </c>
      <c r="V248" s="169">
        <v>3.9500000000000001E-4</v>
      </c>
      <c r="W248" s="169">
        <v>6.4244900390007303E-3</v>
      </c>
      <c r="X248" s="169">
        <v>1.0007474120726199E-3</v>
      </c>
      <c r="Y248" s="154">
        <v>30040</v>
      </c>
      <c r="Z248" s="193">
        <f t="shared" si="3"/>
        <v>30039.994105511349</v>
      </c>
    </row>
    <row r="249" spans="1:26">
      <c r="A249" s="4" t="s">
        <v>26</v>
      </c>
      <c r="B249" s="4">
        <v>9963</v>
      </c>
      <c r="C249" s="4" t="s">
        <v>1619</v>
      </c>
      <c r="D249" s="4" t="s">
        <v>1620</v>
      </c>
      <c r="E249" s="4" t="s">
        <v>312</v>
      </c>
      <c r="F249" s="4" t="s">
        <v>1621</v>
      </c>
      <c r="G249" s="4" t="s">
        <v>1622</v>
      </c>
      <c r="H249" s="4" t="s">
        <v>319</v>
      </c>
      <c r="I249" s="4" t="s">
        <v>931</v>
      </c>
      <c r="J249" s="4" t="s">
        <v>73</v>
      </c>
      <c r="K249" s="4" t="s">
        <v>74</v>
      </c>
      <c r="L249" s="2" t="s">
        <v>325</v>
      </c>
      <c r="M249" s="2" t="s">
        <v>344</v>
      </c>
      <c r="N249" s="4" t="s">
        <v>544</v>
      </c>
      <c r="O249" s="4" t="s">
        <v>136</v>
      </c>
      <c r="P249" s="4" t="s">
        <v>78</v>
      </c>
      <c r="Q249" s="154">
        <v>1697</v>
      </c>
      <c r="R249" s="154">
        <v>3.681</v>
      </c>
      <c r="S249" s="154">
        <v>17148.004124446081</v>
      </c>
      <c r="U249" s="154">
        <v>1071.1769999999999</v>
      </c>
      <c r="V249" s="169">
        <v>0</v>
      </c>
      <c r="W249" s="169">
        <v>6.6928405484383002E-3</v>
      </c>
      <c r="X249" s="169">
        <v>1.04254856301499E-3</v>
      </c>
      <c r="Y249" s="154">
        <v>171.48</v>
      </c>
      <c r="Z249" s="193">
        <f t="shared" si="3"/>
        <v>17148.004124446081</v>
      </c>
    </row>
    <row r="250" spans="1:26">
      <c r="A250" s="4" t="s">
        <v>26</v>
      </c>
      <c r="B250" s="4">
        <v>9963</v>
      </c>
      <c r="C250" s="4" t="s">
        <v>1623</v>
      </c>
      <c r="D250" s="4" t="s">
        <v>1624</v>
      </c>
      <c r="E250" s="4" t="s">
        <v>312</v>
      </c>
      <c r="F250" s="4" t="s">
        <v>1625</v>
      </c>
      <c r="G250" s="4" t="s">
        <v>1626</v>
      </c>
      <c r="H250" s="4" t="s">
        <v>319</v>
      </c>
      <c r="I250" s="4" t="s">
        <v>931</v>
      </c>
      <c r="J250" s="4" t="s">
        <v>73</v>
      </c>
      <c r="K250" s="4" t="s">
        <v>74</v>
      </c>
      <c r="L250" s="2" t="s">
        <v>325</v>
      </c>
      <c r="M250" s="2" t="s">
        <v>342</v>
      </c>
      <c r="N250" s="4" t="s">
        <v>534</v>
      </c>
      <c r="O250" s="4" t="s">
        <v>136</v>
      </c>
      <c r="P250" s="4" t="s">
        <v>78</v>
      </c>
      <c r="Q250" s="154">
        <v>8774</v>
      </c>
      <c r="R250" s="154">
        <v>3.681</v>
      </c>
      <c r="S250" s="154">
        <v>3792.0006053795419</v>
      </c>
      <c r="U250" s="154">
        <v>1224.7059999999999</v>
      </c>
      <c r="V250" s="169">
        <v>9.9999999999999995E-7</v>
      </c>
      <c r="W250" s="169">
        <v>7.6521085120579702E-3</v>
      </c>
      <c r="X250" s="169">
        <v>1.1919744203591201E-3</v>
      </c>
      <c r="Y250" s="154">
        <v>3792</v>
      </c>
      <c r="Z250" s="193">
        <f t="shared" si="3"/>
        <v>3792.0006053795419</v>
      </c>
    </row>
    <row r="251" spans="1:26">
      <c r="A251" s="4" t="s">
        <v>26</v>
      </c>
      <c r="B251" s="4">
        <v>9963</v>
      </c>
      <c r="C251" s="4" t="s">
        <v>1627</v>
      </c>
      <c r="D251" s="4" t="s">
        <v>1628</v>
      </c>
      <c r="E251" s="4" t="s">
        <v>312</v>
      </c>
      <c r="F251" s="4" t="s">
        <v>1629</v>
      </c>
      <c r="G251" s="4" t="s">
        <v>1630</v>
      </c>
      <c r="H251" s="4" t="s">
        <v>319</v>
      </c>
      <c r="I251" s="4" t="s">
        <v>931</v>
      </c>
      <c r="J251" s="4" t="s">
        <v>73</v>
      </c>
      <c r="L251" s="2" t="s">
        <v>325</v>
      </c>
      <c r="M251" s="2" t="s">
        <v>164</v>
      </c>
      <c r="N251" s="4" t="s">
        <v>1631</v>
      </c>
      <c r="O251" s="4" t="s">
        <v>136</v>
      </c>
      <c r="P251" s="4" t="s">
        <v>78</v>
      </c>
      <c r="Q251" s="154">
        <v>785</v>
      </c>
      <c r="R251" s="154">
        <v>3.681</v>
      </c>
      <c r="S251" s="154">
        <v>36643.012750965965</v>
      </c>
      <c r="U251" s="154">
        <v>1058.8309999999999</v>
      </c>
      <c r="V251" s="169">
        <v>1.9999999999999999E-6</v>
      </c>
      <c r="W251" s="169">
        <v>6.6157005697802199E-3</v>
      </c>
      <c r="X251" s="169">
        <v>1.03053241332205E-3</v>
      </c>
      <c r="Y251" s="154">
        <v>36643</v>
      </c>
      <c r="Z251" s="193">
        <f t="shared" si="3"/>
        <v>36643.012750965965</v>
      </c>
    </row>
    <row r="252" spans="1:26">
      <c r="A252" s="4" t="s">
        <v>26</v>
      </c>
      <c r="B252" s="4">
        <v>9963</v>
      </c>
      <c r="C252" s="4" t="s">
        <v>1632</v>
      </c>
      <c r="D252" s="4" t="s">
        <v>1633</v>
      </c>
      <c r="E252" s="4" t="s">
        <v>312</v>
      </c>
      <c r="F252" s="4" t="s">
        <v>1634</v>
      </c>
      <c r="G252" s="4" t="s">
        <v>1635</v>
      </c>
      <c r="H252" s="4" t="s">
        <v>319</v>
      </c>
      <c r="I252" s="4" t="s">
        <v>931</v>
      </c>
      <c r="J252" s="4" t="s">
        <v>73</v>
      </c>
      <c r="K252" s="4" t="s">
        <v>74</v>
      </c>
      <c r="L252" s="2" t="s">
        <v>325</v>
      </c>
      <c r="M252" s="2" t="s">
        <v>344</v>
      </c>
      <c r="N252" s="4" t="s">
        <v>547</v>
      </c>
      <c r="O252" s="4" t="s">
        <v>136</v>
      </c>
      <c r="P252" s="4" t="s">
        <v>78</v>
      </c>
      <c r="Q252" s="154">
        <v>1137</v>
      </c>
      <c r="R252" s="154">
        <v>3.681</v>
      </c>
      <c r="S252" s="154">
        <v>48558.011534187426</v>
      </c>
      <c r="U252" s="154">
        <v>2032.297</v>
      </c>
      <c r="V252" s="169">
        <v>9.9999999999999995E-7</v>
      </c>
      <c r="W252" s="169">
        <v>1.26980319860197E-2</v>
      </c>
      <c r="X252" s="169">
        <v>1.9779815318074702E-3</v>
      </c>
      <c r="Y252" s="154">
        <v>48558</v>
      </c>
      <c r="Z252" s="193">
        <f t="shared" si="3"/>
        <v>48558.011534187426</v>
      </c>
    </row>
    <row r="253" spans="1:26">
      <c r="A253" s="4" t="s">
        <v>26</v>
      </c>
      <c r="B253" s="4">
        <v>9963</v>
      </c>
      <c r="C253" s="4" t="s">
        <v>1636</v>
      </c>
      <c r="D253" s="4" t="s">
        <v>1637</v>
      </c>
      <c r="E253" s="4" t="s">
        <v>312</v>
      </c>
      <c r="F253" s="4" t="s">
        <v>1638</v>
      </c>
      <c r="G253" s="4" t="s">
        <v>1639</v>
      </c>
      <c r="H253" s="4" t="s">
        <v>319</v>
      </c>
      <c r="I253" s="4" t="s">
        <v>931</v>
      </c>
      <c r="J253" s="4" t="s">
        <v>73</v>
      </c>
      <c r="K253" s="4" t="s">
        <v>74</v>
      </c>
      <c r="L253" s="2" t="s">
        <v>325</v>
      </c>
      <c r="M253" s="2" t="s">
        <v>344</v>
      </c>
      <c r="N253" s="4" t="s">
        <v>547</v>
      </c>
      <c r="O253" s="4" t="s">
        <v>136</v>
      </c>
      <c r="P253" s="4" t="s">
        <v>78</v>
      </c>
      <c r="Q253" s="154">
        <v>6413</v>
      </c>
      <c r="R253" s="154">
        <v>3.681</v>
      </c>
      <c r="S253" s="154">
        <v>15225.999653566367</v>
      </c>
      <c r="U253" s="154">
        <v>3594.288</v>
      </c>
      <c r="V253" s="169">
        <v>9.9999999999999995E-7</v>
      </c>
      <c r="W253" s="169">
        <v>2.24575423132376E-2</v>
      </c>
      <c r="X253" s="169">
        <v>3.4982274414078599E-3</v>
      </c>
      <c r="Y253" s="154">
        <v>15226</v>
      </c>
      <c r="Z253" s="193">
        <f t="shared" si="3"/>
        <v>15225.999653566367</v>
      </c>
    </row>
    <row r="254" spans="1:26">
      <c r="A254" s="4" t="s">
        <v>26</v>
      </c>
      <c r="B254" s="4">
        <v>9963</v>
      </c>
      <c r="C254" s="4" t="s">
        <v>1640</v>
      </c>
      <c r="D254" s="4" t="s">
        <v>1641</v>
      </c>
      <c r="E254" s="4" t="s">
        <v>1305</v>
      </c>
      <c r="F254" s="4" t="s">
        <v>1642</v>
      </c>
      <c r="G254" s="4" t="s">
        <v>1643</v>
      </c>
      <c r="H254" s="4" t="s">
        <v>319</v>
      </c>
      <c r="I254" s="4" t="s">
        <v>931</v>
      </c>
      <c r="J254" s="4" t="s">
        <v>2764</v>
      </c>
      <c r="K254" s="4" t="s">
        <v>31</v>
      </c>
      <c r="L254" s="2" t="s">
        <v>325</v>
      </c>
      <c r="M254" s="2" t="s">
        <v>344</v>
      </c>
      <c r="N254" s="4" t="s">
        <v>544</v>
      </c>
      <c r="O254" s="4" t="s">
        <v>136</v>
      </c>
      <c r="P254" s="4" t="s">
        <v>78</v>
      </c>
      <c r="Q254" s="154">
        <v>8892</v>
      </c>
      <c r="R254" s="154">
        <v>3.681</v>
      </c>
      <c r="S254" s="154">
        <v>2795.9996763968797</v>
      </c>
      <c r="T254" s="161">
        <v>3.468</v>
      </c>
      <c r="U254" s="154">
        <v>927.93700000000001</v>
      </c>
      <c r="V254" s="169">
        <v>6.9499999999999998E-4</v>
      </c>
      <c r="W254" s="169">
        <v>5.7978593885985403E-3</v>
      </c>
      <c r="X254" s="169">
        <v>9.0313670711261599E-4</v>
      </c>
      <c r="Y254" s="154">
        <v>27.96</v>
      </c>
      <c r="Z254" s="193">
        <f t="shared" si="3"/>
        <v>2795.9996763968797</v>
      </c>
    </row>
    <row r="255" spans="1:26">
      <c r="A255" s="4" t="s">
        <v>26</v>
      </c>
      <c r="B255" s="4">
        <v>9963</v>
      </c>
      <c r="C255" s="4" t="s">
        <v>1644</v>
      </c>
      <c r="D255" s="4" t="s">
        <v>1645</v>
      </c>
      <c r="E255" s="4" t="s">
        <v>312</v>
      </c>
      <c r="F255" s="4" t="s">
        <v>1646</v>
      </c>
      <c r="G255" s="4" t="s">
        <v>1647</v>
      </c>
      <c r="H255" s="4" t="s">
        <v>319</v>
      </c>
      <c r="I255" s="4" t="s">
        <v>931</v>
      </c>
      <c r="J255" s="4" t="s">
        <v>73</v>
      </c>
      <c r="K255" s="4" t="s">
        <v>74</v>
      </c>
      <c r="L255" s="2" t="s">
        <v>325</v>
      </c>
      <c r="M255" s="2" t="s">
        <v>342</v>
      </c>
      <c r="N255" s="4" t="s">
        <v>498</v>
      </c>
      <c r="O255" s="4" t="s">
        <v>136</v>
      </c>
      <c r="P255" s="4" t="s">
        <v>78</v>
      </c>
      <c r="Q255" s="154">
        <v>2150</v>
      </c>
      <c r="R255" s="154">
        <v>3.681</v>
      </c>
      <c r="S255" s="154">
        <v>15372.996468350993</v>
      </c>
      <c r="U255" s="154">
        <v>1216.6420000000001</v>
      </c>
      <c r="V255" s="169">
        <v>1.7E-5</v>
      </c>
      <c r="W255" s="169">
        <v>7.6017266424604404E-3</v>
      </c>
      <c r="X255" s="169">
        <v>1.1841264004682E-3</v>
      </c>
      <c r="Y255" s="154">
        <v>15373</v>
      </c>
      <c r="Z255" s="193">
        <f t="shared" si="3"/>
        <v>15372.996468350993</v>
      </c>
    </row>
    <row r="256" spans="1:26">
      <c r="A256" s="4" t="s">
        <v>26</v>
      </c>
      <c r="B256" s="4">
        <v>9963</v>
      </c>
      <c r="C256" s="4" t="s">
        <v>1648</v>
      </c>
      <c r="D256" s="4" t="s">
        <v>1649</v>
      </c>
      <c r="E256" s="4" t="s">
        <v>312</v>
      </c>
      <c r="F256" s="4" t="s">
        <v>1650</v>
      </c>
      <c r="G256" s="4" t="s">
        <v>1651</v>
      </c>
      <c r="H256" s="4" t="s">
        <v>319</v>
      </c>
      <c r="I256" s="4" t="s">
        <v>931</v>
      </c>
      <c r="J256" s="4" t="s">
        <v>73</v>
      </c>
      <c r="K256" s="4" t="s">
        <v>74</v>
      </c>
      <c r="L256" s="2" t="s">
        <v>325</v>
      </c>
      <c r="M256" s="2" t="s">
        <v>342</v>
      </c>
      <c r="N256" s="4" t="s">
        <v>534</v>
      </c>
      <c r="O256" s="4" t="s">
        <v>136</v>
      </c>
      <c r="P256" s="4" t="s">
        <v>78</v>
      </c>
      <c r="Q256" s="154">
        <v>1867</v>
      </c>
      <c r="R256" s="154">
        <v>3.681</v>
      </c>
      <c r="S256" s="154">
        <v>20029.998136029673</v>
      </c>
      <c r="U256" s="154">
        <v>1376.547</v>
      </c>
      <c r="V256" s="169">
        <v>9.9999999999999995E-7</v>
      </c>
      <c r="W256" s="169">
        <v>8.6008312834406804E-3</v>
      </c>
      <c r="X256" s="169">
        <v>1.33975764556018E-3</v>
      </c>
      <c r="Y256" s="154">
        <v>200.3</v>
      </c>
      <c r="Z256" s="193">
        <f t="shared" si="3"/>
        <v>20029.998136029673</v>
      </c>
    </row>
    <row r="257" spans="1:26">
      <c r="A257" s="4" t="s">
        <v>26</v>
      </c>
      <c r="B257" s="4">
        <v>9963</v>
      </c>
      <c r="C257" s="4" t="s">
        <v>1652</v>
      </c>
      <c r="D257" s="4" t="s">
        <v>1653</v>
      </c>
      <c r="E257" s="4" t="s">
        <v>312</v>
      </c>
      <c r="F257" s="4" t="s">
        <v>1654</v>
      </c>
      <c r="G257" s="4" t="s">
        <v>1655</v>
      </c>
      <c r="H257" s="4" t="s">
        <v>319</v>
      </c>
      <c r="I257" s="4" t="s">
        <v>931</v>
      </c>
      <c r="J257" s="4" t="s">
        <v>73</v>
      </c>
      <c r="K257" s="4" t="s">
        <v>74</v>
      </c>
      <c r="L257" s="2" t="s">
        <v>325</v>
      </c>
      <c r="M257" s="2" t="s">
        <v>344</v>
      </c>
      <c r="N257" s="4" t="s">
        <v>542</v>
      </c>
      <c r="O257" s="4" t="s">
        <v>136</v>
      </c>
      <c r="P257" s="4" t="s">
        <v>78</v>
      </c>
      <c r="Q257" s="154">
        <v>980</v>
      </c>
      <c r="R257" s="154">
        <v>3.681</v>
      </c>
      <c r="S257" s="154">
        <v>42072.002395090065</v>
      </c>
      <c r="U257" s="154">
        <v>1517.6969999999999</v>
      </c>
      <c r="V257" s="169">
        <v>0</v>
      </c>
      <c r="W257" s="169">
        <v>9.4827520444501403E-3</v>
      </c>
      <c r="X257" s="169">
        <v>1.47713507378803E-3</v>
      </c>
      <c r="Y257" s="154">
        <v>420.72</v>
      </c>
      <c r="Z257" s="193">
        <f t="shared" si="3"/>
        <v>42072.002395090065</v>
      </c>
    </row>
    <row r="258" spans="1:26">
      <c r="A258" s="4" t="s">
        <v>26</v>
      </c>
      <c r="B258" s="4">
        <v>9963</v>
      </c>
      <c r="C258" s="4" t="s">
        <v>1656</v>
      </c>
      <c r="D258" s="4" t="s">
        <v>1657</v>
      </c>
      <c r="E258" s="4" t="s">
        <v>312</v>
      </c>
      <c r="F258" s="4" t="s">
        <v>1658</v>
      </c>
      <c r="G258" s="4" t="s">
        <v>1659</v>
      </c>
      <c r="H258" s="4" t="s">
        <v>319</v>
      </c>
      <c r="I258" s="4" t="s">
        <v>931</v>
      </c>
      <c r="J258" s="4" t="s">
        <v>73</v>
      </c>
      <c r="K258" s="4" t="s">
        <v>74</v>
      </c>
      <c r="L258" s="2" t="s">
        <v>325</v>
      </c>
      <c r="M258" s="2" t="s">
        <v>344</v>
      </c>
      <c r="N258" s="4" t="s">
        <v>523</v>
      </c>
      <c r="O258" s="4" t="s">
        <v>136</v>
      </c>
      <c r="P258" s="4" t="s">
        <v>78</v>
      </c>
      <c r="Q258" s="154">
        <v>3671</v>
      </c>
      <c r="R258" s="154">
        <v>3.681</v>
      </c>
      <c r="S258" s="154">
        <v>7000.0100570186341</v>
      </c>
      <c r="T258" s="161">
        <v>1.1910000000000001</v>
      </c>
      <c r="U258" s="154">
        <v>950.29200000000003</v>
      </c>
      <c r="V258" s="169">
        <v>3.0000000000000001E-6</v>
      </c>
      <c r="W258" s="169">
        <v>5.9375395780801301E-3</v>
      </c>
      <c r="X258" s="169">
        <v>9.2489479021227495E-4</v>
      </c>
      <c r="Y258" s="154">
        <v>7000</v>
      </c>
      <c r="Z258" s="193">
        <f t="shared" si="3"/>
        <v>7000.0100570186341</v>
      </c>
    </row>
    <row r="259" spans="1:26">
      <c r="A259" s="4" t="s">
        <v>26</v>
      </c>
      <c r="B259" s="4">
        <v>9963</v>
      </c>
      <c r="C259" s="4" t="s">
        <v>1660</v>
      </c>
      <c r="D259" s="4" t="s">
        <v>1661</v>
      </c>
      <c r="E259" s="4" t="s">
        <v>312</v>
      </c>
      <c r="F259" s="4" t="s">
        <v>1662</v>
      </c>
      <c r="G259" s="4" t="s">
        <v>1663</v>
      </c>
      <c r="H259" s="4" t="s">
        <v>319</v>
      </c>
      <c r="I259" s="4" t="s">
        <v>931</v>
      </c>
      <c r="J259" s="4" t="s">
        <v>73</v>
      </c>
      <c r="K259" s="4" t="s">
        <v>31</v>
      </c>
      <c r="L259" s="2" t="s">
        <v>325</v>
      </c>
      <c r="M259" s="2" t="s">
        <v>344</v>
      </c>
      <c r="N259" s="4" t="s">
        <v>548</v>
      </c>
      <c r="O259" s="4" t="s">
        <v>136</v>
      </c>
      <c r="P259" s="4" t="s">
        <v>78</v>
      </c>
      <c r="Q259" s="154">
        <v>2499</v>
      </c>
      <c r="R259" s="154">
        <v>3.681</v>
      </c>
      <c r="S259" s="154">
        <v>26061.997741231786</v>
      </c>
      <c r="U259" s="154">
        <v>2397.3960000000002</v>
      </c>
      <c r="V259" s="169">
        <v>4.1999999999999998E-5</v>
      </c>
      <c r="W259" s="169">
        <v>1.49792185692449E-2</v>
      </c>
      <c r="X259" s="169">
        <v>2.3333235987666899E-3</v>
      </c>
      <c r="Y259" s="154">
        <v>26062</v>
      </c>
      <c r="Z259" s="193">
        <f t="shared" ref="Z259:Z322" si="4">(U259-T259*R259)/R259/Q259*100000</f>
        <v>26061.997741231786</v>
      </c>
    </row>
    <row r="260" spans="1:26">
      <c r="A260" s="4" t="s">
        <v>26</v>
      </c>
      <c r="B260" s="4">
        <v>9963</v>
      </c>
      <c r="C260" s="4" t="s">
        <v>1664</v>
      </c>
      <c r="D260" s="4" t="s">
        <v>1665</v>
      </c>
      <c r="E260" s="4" t="s">
        <v>312</v>
      </c>
      <c r="F260" s="4" t="s">
        <v>1666</v>
      </c>
      <c r="G260" s="4" t="s">
        <v>1667</v>
      </c>
      <c r="H260" s="4" t="s">
        <v>319</v>
      </c>
      <c r="I260" s="4" t="s">
        <v>931</v>
      </c>
      <c r="J260" s="4" t="s">
        <v>73</v>
      </c>
      <c r="K260" s="4" t="s">
        <v>74</v>
      </c>
      <c r="L260" s="2" t="s">
        <v>325</v>
      </c>
      <c r="M260" s="2" t="s">
        <v>342</v>
      </c>
      <c r="N260" s="4" t="s">
        <v>555</v>
      </c>
      <c r="O260" s="4" t="s">
        <v>136</v>
      </c>
      <c r="P260" s="4" t="s">
        <v>78</v>
      </c>
      <c r="Q260" s="154">
        <v>3123</v>
      </c>
      <c r="R260" s="154">
        <v>3.681</v>
      </c>
      <c r="S260" s="154">
        <v>6619.0038886501043</v>
      </c>
      <c r="U260" s="154">
        <v>760.90499999999997</v>
      </c>
      <c r="V260" s="169">
        <v>6.0999999999999999E-5</v>
      </c>
      <c r="W260" s="169">
        <v>4.7542227572911697E-3</v>
      </c>
      <c r="X260" s="169">
        <v>7.4056868201104805E-4</v>
      </c>
      <c r="Y260" s="154">
        <v>66.19</v>
      </c>
      <c r="Z260" s="193">
        <f t="shared" si="4"/>
        <v>6619.0038886501043</v>
      </c>
    </row>
    <row r="261" spans="1:26">
      <c r="A261" s="4" t="s">
        <v>26</v>
      </c>
      <c r="B261" s="4">
        <v>9963</v>
      </c>
      <c r="C261" s="4" t="s">
        <v>1668</v>
      </c>
      <c r="D261" s="4" t="s">
        <v>1669</v>
      </c>
      <c r="E261" s="4" t="s">
        <v>312</v>
      </c>
      <c r="F261" s="4" t="s">
        <v>1670</v>
      </c>
      <c r="G261" s="4" t="s">
        <v>1671</v>
      </c>
      <c r="H261" s="4" t="s">
        <v>319</v>
      </c>
      <c r="I261" s="4" t="s">
        <v>931</v>
      </c>
      <c r="J261" s="4" t="s">
        <v>73</v>
      </c>
      <c r="K261" s="4" t="s">
        <v>74</v>
      </c>
      <c r="L261" s="2" t="s">
        <v>325</v>
      </c>
      <c r="M261" s="2" t="s">
        <v>344</v>
      </c>
      <c r="N261" s="4" t="s">
        <v>542</v>
      </c>
      <c r="O261" s="4" t="s">
        <v>136</v>
      </c>
      <c r="P261" s="4" t="s">
        <v>78</v>
      </c>
      <c r="Q261" s="154">
        <v>1520</v>
      </c>
      <c r="R261" s="154">
        <v>3.681</v>
      </c>
      <c r="S261" s="154">
        <v>28412.99203591701</v>
      </c>
      <c r="U261" s="154">
        <v>1589.741</v>
      </c>
      <c r="V261" s="169">
        <v>5.0000000000000004E-6</v>
      </c>
      <c r="W261" s="169">
        <v>9.9328949069627508E-3</v>
      </c>
      <c r="X261" s="169">
        <v>1.54725414969721E-3</v>
      </c>
      <c r="Y261" s="154">
        <v>28413</v>
      </c>
      <c r="Z261" s="193">
        <f t="shared" si="4"/>
        <v>28412.99203591701</v>
      </c>
    </row>
    <row r="262" spans="1:26">
      <c r="A262" s="4" t="s">
        <v>26</v>
      </c>
      <c r="B262" s="4">
        <v>9963</v>
      </c>
      <c r="C262" s="4" t="s">
        <v>1672</v>
      </c>
      <c r="D262" s="4" t="s">
        <v>1673</v>
      </c>
      <c r="E262" s="4" t="s">
        <v>1305</v>
      </c>
      <c r="F262" s="4" t="s">
        <v>1674</v>
      </c>
      <c r="G262" s="4" t="s">
        <v>1675</v>
      </c>
      <c r="H262" s="4" t="s">
        <v>319</v>
      </c>
      <c r="I262" s="4" t="s">
        <v>931</v>
      </c>
      <c r="J262" s="4" t="s">
        <v>73</v>
      </c>
      <c r="K262" s="4" t="s">
        <v>31</v>
      </c>
      <c r="L262" s="2" t="s">
        <v>325</v>
      </c>
      <c r="M262" s="2" t="s">
        <v>344</v>
      </c>
      <c r="N262" s="4" t="s">
        <v>478</v>
      </c>
      <c r="O262" s="4" t="s">
        <v>136</v>
      </c>
      <c r="P262" s="4" t="s">
        <v>78</v>
      </c>
      <c r="Q262" s="154">
        <v>15220</v>
      </c>
      <c r="R262" s="154">
        <v>3.681</v>
      </c>
      <c r="S262" s="154">
        <v>2248.0000828204361</v>
      </c>
      <c r="U262" s="154">
        <v>1259.4380000000001</v>
      </c>
      <c r="V262" s="169">
        <v>3.48E-4</v>
      </c>
      <c r="W262" s="169">
        <v>7.8691191385700798E-3</v>
      </c>
      <c r="X262" s="169">
        <v>1.22577832098873E-3</v>
      </c>
      <c r="Y262" s="154">
        <v>2248</v>
      </c>
      <c r="Z262" s="193">
        <f t="shared" si="4"/>
        <v>2248.0000828204361</v>
      </c>
    </row>
    <row r="263" spans="1:26">
      <c r="A263" s="4" t="s">
        <v>26</v>
      </c>
      <c r="B263" s="4">
        <v>9963</v>
      </c>
      <c r="C263" s="4" t="s">
        <v>1676</v>
      </c>
      <c r="D263" s="4" t="s">
        <v>1677</v>
      </c>
      <c r="E263" s="4" t="s">
        <v>312</v>
      </c>
      <c r="F263" s="4" t="s">
        <v>1678</v>
      </c>
      <c r="G263" s="4" t="s">
        <v>1679</v>
      </c>
      <c r="H263" s="4" t="s">
        <v>319</v>
      </c>
      <c r="I263" s="4" t="s">
        <v>931</v>
      </c>
      <c r="J263" s="4" t="s">
        <v>73</v>
      </c>
      <c r="K263" s="4" t="s">
        <v>233</v>
      </c>
      <c r="L263" s="2" t="s">
        <v>325</v>
      </c>
      <c r="M263" s="2" t="s">
        <v>378</v>
      </c>
      <c r="N263" s="4" t="s">
        <v>515</v>
      </c>
      <c r="O263" s="4" t="s">
        <v>136</v>
      </c>
      <c r="P263" s="4" t="s">
        <v>1182</v>
      </c>
      <c r="Q263" s="154">
        <v>26250</v>
      </c>
      <c r="R263" s="154">
        <v>4.6539999999999999</v>
      </c>
      <c r="S263" s="154">
        <v>1414.8476476968096</v>
      </c>
      <c r="U263" s="154">
        <v>1728.4839999999999</v>
      </c>
      <c r="V263" s="169">
        <v>1.289E-3</v>
      </c>
      <c r="W263" s="169">
        <v>1.07997775381174E-2</v>
      </c>
      <c r="X263" s="169">
        <v>1.68228907767316E-3</v>
      </c>
      <c r="Y263" s="154">
        <v>1415</v>
      </c>
      <c r="Z263" s="193">
        <f t="shared" si="4"/>
        <v>1414.8476476968096</v>
      </c>
    </row>
    <row r="264" spans="1:26">
      <c r="A264" s="4" t="s">
        <v>26</v>
      </c>
      <c r="B264" s="4">
        <v>9963</v>
      </c>
      <c r="C264" s="4" t="s">
        <v>1680</v>
      </c>
      <c r="D264" s="4" t="s">
        <v>1681</v>
      </c>
      <c r="E264" s="4" t="s">
        <v>312</v>
      </c>
      <c r="F264" s="4" t="s">
        <v>1680</v>
      </c>
      <c r="G264" s="4" t="s">
        <v>1682</v>
      </c>
      <c r="H264" s="4" t="s">
        <v>319</v>
      </c>
      <c r="I264" s="4" t="s">
        <v>931</v>
      </c>
      <c r="J264" s="4" t="s">
        <v>73</v>
      </c>
      <c r="K264" s="4" t="s">
        <v>238</v>
      </c>
      <c r="L264" s="2" t="s">
        <v>325</v>
      </c>
      <c r="M264" s="2" t="s">
        <v>366</v>
      </c>
      <c r="N264" s="4" t="s">
        <v>555</v>
      </c>
      <c r="O264" s="4" t="s">
        <v>136</v>
      </c>
      <c r="P264" s="4" t="s">
        <v>1178</v>
      </c>
      <c r="Q264" s="154">
        <v>18815</v>
      </c>
      <c r="R264" s="154">
        <v>3.9790000000000001</v>
      </c>
      <c r="S264" s="154">
        <v>3146.0784318308911</v>
      </c>
      <c r="U264" s="154">
        <v>2355.308</v>
      </c>
      <c r="V264" s="169">
        <v>2.8E-5</v>
      </c>
      <c r="W264" s="169">
        <v>1.4716249369585399E-2</v>
      </c>
      <c r="X264" s="169">
        <v>2.2923606983004299E-3</v>
      </c>
      <c r="Y264" s="154">
        <v>3146</v>
      </c>
      <c r="Z264" s="193">
        <f t="shared" si="4"/>
        <v>3146.0784318308911</v>
      </c>
    </row>
    <row r="265" spans="1:26">
      <c r="A265" s="4" t="s">
        <v>26</v>
      </c>
      <c r="B265" s="4">
        <v>9963</v>
      </c>
      <c r="C265" s="4" t="s">
        <v>1706</v>
      </c>
      <c r="D265" s="4" t="s">
        <v>1707</v>
      </c>
      <c r="E265" s="4" t="s">
        <v>312</v>
      </c>
      <c r="F265" s="4" t="s">
        <v>1708</v>
      </c>
      <c r="G265" s="4" t="s">
        <v>1709</v>
      </c>
      <c r="H265" s="4" t="s">
        <v>319</v>
      </c>
      <c r="I265" s="4" t="s">
        <v>931</v>
      </c>
      <c r="J265" s="4" t="s">
        <v>73</v>
      </c>
      <c r="K265" s="4" t="s">
        <v>74</v>
      </c>
      <c r="L265" s="2" t="s">
        <v>325</v>
      </c>
      <c r="M265" s="2" t="s">
        <v>344</v>
      </c>
      <c r="N265" s="4" t="s">
        <v>515</v>
      </c>
      <c r="O265" s="4" t="s">
        <v>136</v>
      </c>
      <c r="P265" s="4" t="s">
        <v>78</v>
      </c>
      <c r="Q265" s="154">
        <v>118346</v>
      </c>
      <c r="R265" s="154">
        <v>3.681</v>
      </c>
      <c r="S265" s="154">
        <v>14.899974227307363</v>
      </c>
      <c r="U265" s="154">
        <v>64.909000000000006</v>
      </c>
      <c r="V265" s="169">
        <v>2.6870000000000002E-3</v>
      </c>
      <c r="W265" s="169">
        <v>4.0555990567293302E-4</v>
      </c>
      <c r="X265" s="169">
        <v>6.3174356809451995E-5</v>
      </c>
      <c r="Y265" s="154">
        <v>0.14899999999999999</v>
      </c>
      <c r="Z265" s="193">
        <f t="shared" si="4"/>
        <v>14.899974227307363</v>
      </c>
    </row>
    <row r="266" spans="1:26">
      <c r="A266" s="4" t="s">
        <v>26</v>
      </c>
      <c r="B266" s="4">
        <v>9963</v>
      </c>
      <c r="C266" s="4" t="s">
        <v>1687</v>
      </c>
      <c r="D266" s="4" t="s">
        <v>1688</v>
      </c>
      <c r="E266" s="4" t="s">
        <v>1305</v>
      </c>
      <c r="F266" s="4" t="s">
        <v>1687</v>
      </c>
      <c r="G266" s="4" t="s">
        <v>1689</v>
      </c>
      <c r="H266" s="4" t="s">
        <v>319</v>
      </c>
      <c r="I266" s="4" t="s">
        <v>931</v>
      </c>
      <c r="J266" s="4" t="s">
        <v>31</v>
      </c>
      <c r="K266" s="4" t="s">
        <v>31</v>
      </c>
      <c r="L266" s="2" t="s">
        <v>325</v>
      </c>
      <c r="M266" s="2" t="s">
        <v>394</v>
      </c>
      <c r="N266" s="4" t="s">
        <v>528</v>
      </c>
      <c r="O266" s="4" t="s">
        <v>136</v>
      </c>
      <c r="P266" s="4" t="s">
        <v>1179</v>
      </c>
      <c r="Q266" s="154">
        <v>36827</v>
      </c>
      <c r="R266" s="154">
        <v>4.0739999999999998</v>
      </c>
      <c r="S266" s="154">
        <v>545.00004725620795</v>
      </c>
      <c r="U266" s="154">
        <v>817.68100000000004</v>
      </c>
      <c r="V266" s="169">
        <v>5.3579999999999999E-3</v>
      </c>
      <c r="W266" s="169">
        <v>5.1089683537265899E-3</v>
      </c>
      <c r="X266" s="169">
        <v>7.9582765749731401E-4</v>
      </c>
      <c r="Y266" s="154">
        <v>545</v>
      </c>
      <c r="Z266" s="193">
        <f t="shared" si="4"/>
        <v>545.00004725620795</v>
      </c>
    </row>
    <row r="267" spans="1:26">
      <c r="A267" s="4" t="s">
        <v>26</v>
      </c>
      <c r="B267" s="4">
        <v>9963</v>
      </c>
      <c r="C267" s="4" t="s">
        <v>1690</v>
      </c>
      <c r="D267" s="4" t="s">
        <v>1691</v>
      </c>
      <c r="E267" s="4" t="s">
        <v>312</v>
      </c>
      <c r="F267" s="4" t="s">
        <v>1692</v>
      </c>
      <c r="G267" s="4" t="s">
        <v>1693</v>
      </c>
      <c r="H267" s="4" t="s">
        <v>319</v>
      </c>
      <c r="I267" s="4" t="s">
        <v>931</v>
      </c>
      <c r="J267" s="4" t="s">
        <v>73</v>
      </c>
      <c r="K267" s="4" t="s">
        <v>268</v>
      </c>
      <c r="L267" s="2" t="s">
        <v>325</v>
      </c>
      <c r="M267" s="2" t="s">
        <v>342</v>
      </c>
      <c r="N267" s="4" t="s">
        <v>546</v>
      </c>
      <c r="O267" s="4" t="s">
        <v>136</v>
      </c>
      <c r="P267" s="4" t="s">
        <v>78</v>
      </c>
      <c r="Q267" s="154">
        <v>4900</v>
      </c>
      <c r="R267" s="154">
        <v>3.681</v>
      </c>
      <c r="S267" s="154">
        <v>13605.008898424894</v>
      </c>
      <c r="T267" s="161">
        <v>2.15</v>
      </c>
      <c r="U267" s="154">
        <v>2461.8359999999998</v>
      </c>
      <c r="V267" s="169">
        <v>9.9999999999999995E-7</v>
      </c>
      <c r="W267" s="169">
        <v>1.5381846450670899E-2</v>
      </c>
      <c r="X267" s="169">
        <v>2.3960412320604301E-3</v>
      </c>
      <c r="Y267" s="154">
        <v>13605</v>
      </c>
      <c r="Z267" s="193">
        <f t="shared" si="4"/>
        <v>13605.008898424894</v>
      </c>
    </row>
    <row r="268" spans="1:26">
      <c r="A268" s="4" t="s">
        <v>26</v>
      </c>
      <c r="B268" s="4">
        <v>9964</v>
      </c>
      <c r="C268" s="4" t="s">
        <v>1391</v>
      </c>
      <c r="D268" s="4" t="s">
        <v>1392</v>
      </c>
      <c r="E268" s="4" t="s">
        <v>1305</v>
      </c>
      <c r="F268" s="4" t="s">
        <v>1393</v>
      </c>
      <c r="G268" s="4" t="s">
        <v>1394</v>
      </c>
      <c r="H268" s="4" t="s">
        <v>319</v>
      </c>
      <c r="I268" s="4" t="s">
        <v>931</v>
      </c>
      <c r="J268" s="4" t="s">
        <v>31</v>
      </c>
      <c r="K268" s="4" t="s">
        <v>31</v>
      </c>
      <c r="L268" s="2" t="s">
        <v>325</v>
      </c>
      <c r="M268" s="2" t="s">
        <v>40</v>
      </c>
      <c r="N268" s="4" t="s">
        <v>437</v>
      </c>
      <c r="O268" s="4" t="s">
        <v>136</v>
      </c>
      <c r="P268" s="4" t="s">
        <v>35</v>
      </c>
      <c r="Q268" s="154">
        <v>1401</v>
      </c>
      <c r="R268" s="154">
        <v>1</v>
      </c>
      <c r="S268" s="154">
        <v>2615.9885795860096</v>
      </c>
      <c r="U268" s="154">
        <v>36.65</v>
      </c>
      <c r="V268" s="169">
        <v>6.0000000000000002E-6</v>
      </c>
      <c r="W268" s="169">
        <v>8.8669591093135294E-3</v>
      </c>
      <c r="X268" s="169">
        <v>1.05651593951747E-3</v>
      </c>
      <c r="Y268" s="154">
        <v>2616</v>
      </c>
      <c r="Z268" s="193">
        <f t="shared" si="4"/>
        <v>2615.9885795860096</v>
      </c>
    </row>
    <row r="269" spans="1:26">
      <c r="A269" s="4" t="s">
        <v>26</v>
      </c>
      <c r="B269" s="4">
        <v>9964</v>
      </c>
      <c r="C269" s="4" t="s">
        <v>1395</v>
      </c>
      <c r="D269" s="4" t="s">
        <v>1396</v>
      </c>
      <c r="E269" s="4" t="s">
        <v>1305</v>
      </c>
      <c r="F269" s="4" t="s">
        <v>1397</v>
      </c>
      <c r="G269" s="4" t="s">
        <v>1398</v>
      </c>
      <c r="H269" s="4" t="s">
        <v>319</v>
      </c>
      <c r="I269" s="4" t="s">
        <v>931</v>
      </c>
      <c r="J269" s="4" t="s">
        <v>31</v>
      </c>
      <c r="K269" s="4" t="s">
        <v>31</v>
      </c>
      <c r="L269" s="2" t="s">
        <v>325</v>
      </c>
      <c r="M269" s="2" t="s">
        <v>40</v>
      </c>
      <c r="N269" s="4" t="s">
        <v>476</v>
      </c>
      <c r="O269" s="4" t="s">
        <v>136</v>
      </c>
      <c r="P269" s="4" t="s">
        <v>35</v>
      </c>
      <c r="Q269" s="154">
        <v>571</v>
      </c>
      <c r="R269" s="154">
        <v>1</v>
      </c>
      <c r="S269" s="154">
        <v>5664.9737302977228</v>
      </c>
      <c r="U269" s="154">
        <v>32.347000000000001</v>
      </c>
      <c r="V269" s="169">
        <v>3.8000000000000002E-5</v>
      </c>
      <c r="W269" s="169">
        <v>7.8259100738668295E-3</v>
      </c>
      <c r="X269" s="169">
        <v>9.3247286159085297E-4</v>
      </c>
      <c r="Y269" s="154">
        <v>5665</v>
      </c>
      <c r="Z269" s="193">
        <f t="shared" si="4"/>
        <v>5664.9737302977228</v>
      </c>
    </row>
    <row r="270" spans="1:26">
      <c r="A270" s="4" t="s">
        <v>26</v>
      </c>
      <c r="B270" s="4">
        <v>9964</v>
      </c>
      <c r="C270" s="4" t="s">
        <v>1399</v>
      </c>
      <c r="D270" s="4" t="s">
        <v>1400</v>
      </c>
      <c r="E270" s="4" t="s">
        <v>1305</v>
      </c>
      <c r="F270" s="4" t="s">
        <v>1401</v>
      </c>
      <c r="G270" s="4" t="s">
        <v>1402</v>
      </c>
      <c r="H270" s="4" t="s">
        <v>319</v>
      </c>
      <c r="I270" s="4" t="s">
        <v>931</v>
      </c>
      <c r="J270" s="4" t="s">
        <v>31</v>
      </c>
      <c r="K270" s="4" t="s">
        <v>31</v>
      </c>
      <c r="L270" s="2" t="s">
        <v>325</v>
      </c>
      <c r="M270" s="2" t="s">
        <v>40</v>
      </c>
      <c r="N270" s="4" t="s">
        <v>475</v>
      </c>
      <c r="O270" s="4" t="s">
        <v>136</v>
      </c>
      <c r="P270" s="4" t="s">
        <v>35</v>
      </c>
      <c r="Q270" s="154">
        <v>832</v>
      </c>
      <c r="R270" s="154">
        <v>1</v>
      </c>
      <c r="S270" s="154">
        <v>1050</v>
      </c>
      <c r="T270" s="161">
        <v>0.13100000000000001</v>
      </c>
      <c r="U270" s="154">
        <v>8.8670000000000009</v>
      </c>
      <c r="V270" s="169">
        <v>3.6999999999999998E-5</v>
      </c>
      <c r="W270" s="169">
        <v>2.1453568342470202E-3</v>
      </c>
      <c r="X270" s="169">
        <v>2.5562356422214201E-4</v>
      </c>
      <c r="Y270" s="154">
        <v>1050</v>
      </c>
      <c r="Z270" s="193">
        <f t="shared" si="4"/>
        <v>1050</v>
      </c>
    </row>
    <row r="271" spans="1:26">
      <c r="A271" s="4" t="s">
        <v>26</v>
      </c>
      <c r="B271" s="4">
        <v>9964</v>
      </c>
      <c r="C271" s="4" t="s">
        <v>1403</v>
      </c>
      <c r="D271" s="4" t="s">
        <v>1404</v>
      </c>
      <c r="E271" s="4" t="s">
        <v>1305</v>
      </c>
      <c r="F271" s="4" t="s">
        <v>1405</v>
      </c>
      <c r="G271" s="4" t="s">
        <v>1406</v>
      </c>
      <c r="H271" s="4" t="s">
        <v>319</v>
      </c>
      <c r="I271" s="4" t="s">
        <v>931</v>
      </c>
      <c r="J271" s="4" t="s">
        <v>31</v>
      </c>
      <c r="K271" s="4" t="s">
        <v>31</v>
      </c>
      <c r="L271" s="2" t="s">
        <v>325</v>
      </c>
      <c r="M271" s="2" t="s">
        <v>40</v>
      </c>
      <c r="N271" s="4" t="s">
        <v>453</v>
      </c>
      <c r="O271" s="4" t="s">
        <v>136</v>
      </c>
      <c r="P271" s="4" t="s">
        <v>35</v>
      </c>
      <c r="Q271" s="154">
        <v>2422</v>
      </c>
      <c r="R271" s="154">
        <v>1</v>
      </c>
      <c r="S271" s="154">
        <v>1950.9909165978531</v>
      </c>
      <c r="U271" s="154">
        <v>47.253</v>
      </c>
      <c r="V271" s="169">
        <v>1.9999999999999999E-6</v>
      </c>
      <c r="W271" s="169">
        <v>1.14322111969878E-2</v>
      </c>
      <c r="X271" s="169">
        <v>1.3621708642888801E-3</v>
      </c>
      <c r="Y271" s="154">
        <v>1951</v>
      </c>
      <c r="Z271" s="193">
        <f t="shared" si="4"/>
        <v>1950.9909165978531</v>
      </c>
    </row>
    <row r="272" spans="1:26">
      <c r="A272" s="4" t="s">
        <v>26</v>
      </c>
      <c r="B272" s="4">
        <v>9964</v>
      </c>
      <c r="C272" s="4" t="s">
        <v>1407</v>
      </c>
      <c r="D272" s="4" t="s">
        <v>1408</v>
      </c>
      <c r="E272" s="4" t="s">
        <v>1305</v>
      </c>
      <c r="F272" s="4" t="s">
        <v>1409</v>
      </c>
      <c r="G272" s="4" t="s">
        <v>1410</v>
      </c>
      <c r="H272" s="4" t="s">
        <v>319</v>
      </c>
      <c r="I272" s="4" t="s">
        <v>931</v>
      </c>
      <c r="J272" s="4" t="s">
        <v>31</v>
      </c>
      <c r="K272" s="4" t="s">
        <v>31</v>
      </c>
      <c r="L272" s="2" t="s">
        <v>327</v>
      </c>
      <c r="M272" s="2" t="s">
        <v>40</v>
      </c>
      <c r="N272" s="4" t="s">
        <v>460</v>
      </c>
      <c r="O272" s="4" t="s">
        <v>136</v>
      </c>
      <c r="P272" s="4" t="s">
        <v>35</v>
      </c>
      <c r="Q272" s="154">
        <v>3000</v>
      </c>
      <c r="R272" s="154">
        <v>1</v>
      </c>
      <c r="S272" s="154">
        <v>1172.2666666666667</v>
      </c>
      <c r="U272" s="154">
        <v>35.167999999999999</v>
      </c>
      <c r="V272" s="169">
        <v>2.0999999999999999E-5</v>
      </c>
      <c r="W272" s="169">
        <v>8.5083510903356807E-3</v>
      </c>
      <c r="X272" s="169">
        <v>1.0137870757189599E-3</v>
      </c>
      <c r="Y272" s="154">
        <v>1172.2639999999999</v>
      </c>
      <c r="Z272" s="193">
        <f t="shared" si="4"/>
        <v>1172.2666666666667</v>
      </c>
    </row>
    <row r="273" spans="1:26">
      <c r="A273" s="4" t="s">
        <v>26</v>
      </c>
      <c r="B273" s="4">
        <v>9964</v>
      </c>
      <c r="C273" s="4" t="s">
        <v>1411</v>
      </c>
      <c r="D273" s="4" t="s">
        <v>1412</v>
      </c>
      <c r="E273" s="4" t="s">
        <v>1305</v>
      </c>
      <c r="F273" s="4" t="s">
        <v>1413</v>
      </c>
      <c r="G273" s="4" t="s">
        <v>1414</v>
      </c>
      <c r="H273" s="4" t="s">
        <v>319</v>
      </c>
      <c r="I273" s="4" t="s">
        <v>931</v>
      </c>
      <c r="J273" s="4" t="s">
        <v>31</v>
      </c>
      <c r="K273" s="4" t="s">
        <v>31</v>
      </c>
      <c r="L273" s="2" t="s">
        <v>325</v>
      </c>
      <c r="M273" s="2" t="s">
        <v>40</v>
      </c>
      <c r="N273" s="4" t="s">
        <v>458</v>
      </c>
      <c r="O273" s="4" t="s">
        <v>136</v>
      </c>
      <c r="P273" s="4" t="s">
        <v>35</v>
      </c>
      <c r="Q273" s="154">
        <v>203</v>
      </c>
      <c r="R273" s="154">
        <v>1</v>
      </c>
      <c r="S273" s="154">
        <v>8311.8226600985217</v>
      </c>
      <c r="U273" s="154">
        <v>16.873000000000001</v>
      </c>
      <c r="V273" s="169">
        <v>1.2999999999999999E-5</v>
      </c>
      <c r="W273" s="169">
        <v>4.0822575715010901E-3</v>
      </c>
      <c r="X273" s="169">
        <v>4.86409166923597E-4</v>
      </c>
      <c r="Y273" s="154">
        <v>8312</v>
      </c>
      <c r="Z273" s="193">
        <f t="shared" si="4"/>
        <v>8311.8226600985217</v>
      </c>
    </row>
    <row r="274" spans="1:26">
      <c r="A274" s="4" t="s">
        <v>26</v>
      </c>
      <c r="B274" s="4">
        <v>9964</v>
      </c>
      <c r="C274" s="4" t="s">
        <v>1356</v>
      </c>
      <c r="D274" s="4" t="s">
        <v>1357</v>
      </c>
      <c r="E274" s="4" t="s">
        <v>1305</v>
      </c>
      <c r="F274" s="4" t="s">
        <v>1358</v>
      </c>
      <c r="G274" s="4" t="s">
        <v>1359</v>
      </c>
      <c r="H274" s="4" t="s">
        <v>319</v>
      </c>
      <c r="I274" s="4" t="s">
        <v>931</v>
      </c>
      <c r="J274" s="4" t="s">
        <v>31</v>
      </c>
      <c r="K274" s="4" t="s">
        <v>31</v>
      </c>
      <c r="L274" s="2" t="s">
        <v>325</v>
      </c>
      <c r="M274" s="2" t="s">
        <v>40</v>
      </c>
      <c r="N274" s="4" t="s">
        <v>443</v>
      </c>
      <c r="O274" s="4" t="s">
        <v>136</v>
      </c>
      <c r="P274" s="4" t="s">
        <v>35</v>
      </c>
      <c r="Q274" s="154">
        <v>180</v>
      </c>
      <c r="R274" s="154">
        <v>1</v>
      </c>
      <c r="S274" s="154">
        <v>77500</v>
      </c>
      <c r="U274" s="154">
        <v>139.5</v>
      </c>
      <c r="V274" s="169">
        <v>3.9999999999999998E-6</v>
      </c>
      <c r="W274" s="169">
        <v>3.3749942585495803E-2</v>
      </c>
      <c r="X274" s="169">
        <v>4.02137326447381E-3</v>
      </c>
      <c r="Y274" s="154">
        <v>77500</v>
      </c>
      <c r="Z274" s="193">
        <f t="shared" si="4"/>
        <v>77500</v>
      </c>
    </row>
    <row r="275" spans="1:26">
      <c r="A275" s="4" t="s">
        <v>26</v>
      </c>
      <c r="B275" s="4">
        <v>9964</v>
      </c>
      <c r="C275" s="4" t="s">
        <v>1415</v>
      </c>
      <c r="D275" s="4" t="s">
        <v>1416</v>
      </c>
      <c r="E275" s="4" t="s">
        <v>1305</v>
      </c>
      <c r="F275" s="4" t="s">
        <v>1417</v>
      </c>
      <c r="G275" s="4" t="s">
        <v>1418</v>
      </c>
      <c r="H275" s="4" t="s">
        <v>319</v>
      </c>
      <c r="I275" s="4" t="s">
        <v>931</v>
      </c>
      <c r="J275" s="4" t="s">
        <v>31</v>
      </c>
      <c r="K275" s="4" t="s">
        <v>31</v>
      </c>
      <c r="L275" s="2" t="s">
        <v>325</v>
      </c>
      <c r="M275" s="2" t="s">
        <v>40</v>
      </c>
      <c r="N275" s="4" t="s">
        <v>462</v>
      </c>
      <c r="O275" s="4" t="s">
        <v>136</v>
      </c>
      <c r="P275" s="4" t="s">
        <v>35</v>
      </c>
      <c r="Q275" s="154">
        <v>792</v>
      </c>
      <c r="R275" s="154">
        <v>1</v>
      </c>
      <c r="S275" s="154">
        <v>3879.9242424242425</v>
      </c>
      <c r="T275" s="161">
        <v>0.26400000000000001</v>
      </c>
      <c r="U275" s="154">
        <v>30.992999999999999</v>
      </c>
      <c r="V275" s="169">
        <v>1.4E-5</v>
      </c>
      <c r="W275" s="169">
        <v>7.4983493407818503E-3</v>
      </c>
      <c r="X275" s="169">
        <v>8.9344334409811898E-4</v>
      </c>
      <c r="Y275" s="154">
        <v>3880</v>
      </c>
      <c r="Z275" s="193">
        <f t="shared" si="4"/>
        <v>3879.9242424242425</v>
      </c>
    </row>
    <row r="276" spans="1:26">
      <c r="A276" s="4" t="s">
        <v>26</v>
      </c>
      <c r="B276" s="4">
        <v>9964</v>
      </c>
      <c r="C276" s="4" t="s">
        <v>1419</v>
      </c>
      <c r="D276" s="4" t="s">
        <v>1420</v>
      </c>
      <c r="E276" s="4" t="s">
        <v>1305</v>
      </c>
      <c r="F276" s="4" t="s">
        <v>1421</v>
      </c>
      <c r="G276" s="4" t="s">
        <v>1422</v>
      </c>
      <c r="H276" s="4" t="s">
        <v>319</v>
      </c>
      <c r="I276" s="4" t="s">
        <v>931</v>
      </c>
      <c r="J276" s="4" t="s">
        <v>31</v>
      </c>
      <c r="K276" s="4" t="s">
        <v>31</v>
      </c>
      <c r="L276" s="2" t="s">
        <v>325</v>
      </c>
      <c r="M276" s="2" t="s">
        <v>40</v>
      </c>
      <c r="N276" s="4" t="s">
        <v>461</v>
      </c>
      <c r="O276" s="4" t="s">
        <v>136</v>
      </c>
      <c r="P276" s="4" t="s">
        <v>35</v>
      </c>
      <c r="Q276" s="154">
        <v>1487</v>
      </c>
      <c r="R276" s="154">
        <v>1</v>
      </c>
      <c r="S276" s="154">
        <v>1749.0248823133825</v>
      </c>
      <c r="U276" s="154">
        <v>26.007999999999999</v>
      </c>
      <c r="V276" s="169">
        <v>3.0000000000000001E-6</v>
      </c>
      <c r="W276" s="169">
        <v>6.2921578443356201E-3</v>
      </c>
      <c r="X276" s="169">
        <v>7.4972321114212905E-4</v>
      </c>
      <c r="Y276" s="154">
        <v>1749</v>
      </c>
      <c r="Z276" s="193">
        <f t="shared" si="4"/>
        <v>1749.0248823133825</v>
      </c>
    </row>
    <row r="277" spans="1:26">
      <c r="A277" s="4" t="s">
        <v>26</v>
      </c>
      <c r="B277" s="4">
        <v>9964</v>
      </c>
      <c r="C277" s="4" t="s">
        <v>1423</v>
      </c>
      <c r="D277" s="4" t="s">
        <v>1424</v>
      </c>
      <c r="E277" s="4" t="s">
        <v>1305</v>
      </c>
      <c r="F277" s="4" t="s">
        <v>1425</v>
      </c>
      <c r="G277" s="4" t="s">
        <v>1426</v>
      </c>
      <c r="H277" s="4" t="s">
        <v>319</v>
      </c>
      <c r="I277" s="4" t="s">
        <v>931</v>
      </c>
      <c r="J277" s="4" t="s">
        <v>31</v>
      </c>
      <c r="K277" s="4" t="s">
        <v>31</v>
      </c>
      <c r="L277" s="2" t="s">
        <v>325</v>
      </c>
      <c r="M277" s="2" t="s">
        <v>40</v>
      </c>
      <c r="N277" s="4" t="s">
        <v>438</v>
      </c>
      <c r="O277" s="4" t="s">
        <v>136</v>
      </c>
      <c r="P277" s="4" t="s">
        <v>35</v>
      </c>
      <c r="Q277" s="154">
        <v>623.20000000000005</v>
      </c>
      <c r="R277" s="154">
        <v>1</v>
      </c>
      <c r="S277" s="154">
        <v>6298.9409499358144</v>
      </c>
      <c r="U277" s="154">
        <v>39.255000000000003</v>
      </c>
      <c r="V277" s="169">
        <v>5.0000000000000004E-6</v>
      </c>
      <c r="W277" s="169">
        <v>9.4972502951434501E-3</v>
      </c>
      <c r="X277" s="169">
        <v>1.1316163968622299E-3</v>
      </c>
      <c r="Y277" s="154">
        <v>6299</v>
      </c>
      <c r="Z277" s="193">
        <f t="shared" si="4"/>
        <v>6298.9409499358144</v>
      </c>
    </row>
    <row r="278" spans="1:26">
      <c r="A278" s="4" t="s">
        <v>26</v>
      </c>
      <c r="B278" s="4">
        <v>9964</v>
      </c>
      <c r="C278" s="4" t="s">
        <v>1427</v>
      </c>
      <c r="D278" s="4" t="s">
        <v>1428</v>
      </c>
      <c r="E278" s="4" t="s">
        <v>1305</v>
      </c>
      <c r="F278" s="4" t="s">
        <v>1429</v>
      </c>
      <c r="G278" s="4" t="s">
        <v>1430</v>
      </c>
      <c r="H278" s="4" t="s">
        <v>319</v>
      </c>
      <c r="I278" s="4" t="s">
        <v>931</v>
      </c>
      <c r="J278" s="4" t="s">
        <v>31</v>
      </c>
      <c r="K278" s="4" t="s">
        <v>31</v>
      </c>
      <c r="L278" s="2" t="s">
        <v>325</v>
      </c>
      <c r="M278" s="2" t="s">
        <v>40</v>
      </c>
      <c r="N278" s="4" t="s">
        <v>438</v>
      </c>
      <c r="O278" s="4" t="s">
        <v>136</v>
      </c>
      <c r="P278" s="4" t="s">
        <v>35</v>
      </c>
      <c r="Q278" s="154">
        <v>4150</v>
      </c>
      <c r="R278" s="154">
        <v>1</v>
      </c>
      <c r="S278" s="154">
        <v>1352</v>
      </c>
      <c r="U278" s="154">
        <v>56.107999999999997</v>
      </c>
      <c r="V278" s="169">
        <v>7.9999999999999996E-6</v>
      </c>
      <c r="W278" s="169">
        <v>1.3574493036466E-2</v>
      </c>
      <c r="X278" s="169">
        <v>1.61742803672471E-3</v>
      </c>
      <c r="Y278" s="154">
        <v>1352</v>
      </c>
      <c r="Z278" s="193">
        <f t="shared" si="4"/>
        <v>1352</v>
      </c>
    </row>
    <row r="279" spans="1:26">
      <c r="A279" s="4" t="s">
        <v>26</v>
      </c>
      <c r="B279" s="4">
        <v>9964</v>
      </c>
      <c r="C279" s="4" t="s">
        <v>1431</v>
      </c>
      <c r="D279" s="4" t="s">
        <v>1432</v>
      </c>
      <c r="E279" s="4" t="s">
        <v>312</v>
      </c>
      <c r="F279" s="4" t="s">
        <v>1431</v>
      </c>
      <c r="G279" s="4" t="s">
        <v>1433</v>
      </c>
      <c r="H279" s="4" t="s">
        <v>319</v>
      </c>
      <c r="I279" s="4" t="s">
        <v>931</v>
      </c>
      <c r="J279" s="4" t="s">
        <v>73</v>
      </c>
      <c r="K279" s="4" t="s">
        <v>238</v>
      </c>
      <c r="L279" s="2" t="s">
        <v>325</v>
      </c>
      <c r="M279" s="2" t="s">
        <v>40</v>
      </c>
      <c r="N279" s="4" t="s">
        <v>462</v>
      </c>
      <c r="O279" s="4" t="s">
        <v>136</v>
      </c>
      <c r="P279" s="4" t="s">
        <v>35</v>
      </c>
      <c r="Q279" s="154">
        <v>402</v>
      </c>
      <c r="R279" s="154">
        <v>1</v>
      </c>
      <c r="S279" s="154">
        <v>7562.9353233830843</v>
      </c>
      <c r="U279" s="154">
        <v>30.402999999999999</v>
      </c>
      <c r="V279" s="169">
        <v>2.1999999999999999E-5</v>
      </c>
      <c r="W279" s="169">
        <v>7.3556149061785097E-3</v>
      </c>
      <c r="X279" s="169">
        <v>8.7643625029997104E-4</v>
      </c>
      <c r="Y279" s="154">
        <v>7563</v>
      </c>
      <c r="Z279" s="193">
        <f t="shared" si="4"/>
        <v>7562.9353233830843</v>
      </c>
    </row>
    <row r="280" spans="1:26">
      <c r="A280" s="4" t="s">
        <v>26</v>
      </c>
      <c r="B280" s="4">
        <v>9964</v>
      </c>
      <c r="C280" s="4" t="s">
        <v>1434</v>
      </c>
      <c r="D280" s="4" t="s">
        <v>1435</v>
      </c>
      <c r="E280" s="4" t="s">
        <v>1305</v>
      </c>
      <c r="F280" s="4" t="s">
        <v>1436</v>
      </c>
      <c r="G280" s="4" t="s">
        <v>1437</v>
      </c>
      <c r="H280" s="4" t="s">
        <v>319</v>
      </c>
      <c r="I280" s="4" t="s">
        <v>931</v>
      </c>
      <c r="J280" s="4" t="s">
        <v>31</v>
      </c>
      <c r="K280" s="4" t="s">
        <v>31</v>
      </c>
      <c r="L280" s="2" t="s">
        <v>325</v>
      </c>
      <c r="M280" s="2" t="s">
        <v>40</v>
      </c>
      <c r="N280" s="4" t="s">
        <v>436</v>
      </c>
      <c r="O280" s="4" t="s">
        <v>136</v>
      </c>
      <c r="P280" s="4" t="s">
        <v>35</v>
      </c>
      <c r="Q280" s="154">
        <v>212</v>
      </c>
      <c r="R280" s="154">
        <v>1</v>
      </c>
      <c r="S280" s="154">
        <v>5100</v>
      </c>
      <c r="U280" s="154">
        <v>10.811999999999999</v>
      </c>
      <c r="V280" s="169">
        <v>9.0000000000000002E-6</v>
      </c>
      <c r="W280" s="169">
        <v>2.6158020016801499E-3</v>
      </c>
      <c r="X280" s="169">
        <v>3.11678048283088E-4</v>
      </c>
      <c r="Y280" s="154">
        <v>5100</v>
      </c>
      <c r="Z280" s="193">
        <f t="shared" si="4"/>
        <v>5100</v>
      </c>
    </row>
    <row r="281" spans="1:26">
      <c r="A281" s="4" t="s">
        <v>26</v>
      </c>
      <c r="B281" s="4">
        <v>9964</v>
      </c>
      <c r="C281" s="4" t="s">
        <v>1438</v>
      </c>
      <c r="D281" s="4" t="s">
        <v>1439</v>
      </c>
      <c r="E281" s="4" t="s">
        <v>1305</v>
      </c>
      <c r="F281" s="4" t="s">
        <v>1440</v>
      </c>
      <c r="G281" s="4" t="s">
        <v>1441</v>
      </c>
      <c r="H281" s="4" t="s">
        <v>319</v>
      </c>
      <c r="I281" s="4" t="s">
        <v>931</v>
      </c>
      <c r="J281" s="4" t="s">
        <v>31</v>
      </c>
      <c r="K281" s="4" t="s">
        <v>31</v>
      </c>
      <c r="L281" s="2" t="s">
        <v>325</v>
      </c>
      <c r="M281" s="2" t="s">
        <v>40</v>
      </c>
      <c r="N281" s="4" t="s">
        <v>482</v>
      </c>
      <c r="O281" s="4" t="s">
        <v>136</v>
      </c>
      <c r="P281" s="4" t="s">
        <v>35</v>
      </c>
      <c r="Q281" s="154">
        <v>17935</v>
      </c>
      <c r="R281" s="154">
        <v>1</v>
      </c>
      <c r="S281" s="154">
        <v>473.00250906049627</v>
      </c>
      <c r="U281" s="154">
        <v>84.832999999999998</v>
      </c>
      <c r="V281" s="169">
        <v>6.0000000000000002E-6</v>
      </c>
      <c r="W281" s="169">
        <v>2.0523969117428001E-2</v>
      </c>
      <c r="X281" s="169">
        <v>2.4454720324525998E-3</v>
      </c>
      <c r="Y281" s="154">
        <v>473</v>
      </c>
      <c r="Z281" s="193">
        <f t="shared" si="4"/>
        <v>473.00250906049627</v>
      </c>
    </row>
    <row r="282" spans="1:26">
      <c r="A282" s="4" t="s">
        <v>26</v>
      </c>
      <c r="B282" s="4">
        <v>9964</v>
      </c>
      <c r="C282" s="4" t="s">
        <v>1442</v>
      </c>
      <c r="D282" s="4" t="s">
        <v>1443</v>
      </c>
      <c r="E282" s="4" t="s">
        <v>1305</v>
      </c>
      <c r="F282" s="4" t="s">
        <v>1444</v>
      </c>
      <c r="G282" s="4" t="s">
        <v>1445</v>
      </c>
      <c r="H282" s="4" t="s">
        <v>319</v>
      </c>
      <c r="I282" s="4" t="s">
        <v>931</v>
      </c>
      <c r="J282" s="4" t="s">
        <v>31</v>
      </c>
      <c r="K282" s="4" t="s">
        <v>31</v>
      </c>
      <c r="L282" s="2" t="s">
        <v>325</v>
      </c>
      <c r="M282" s="2" t="s">
        <v>40</v>
      </c>
      <c r="N282" s="4" t="s">
        <v>461</v>
      </c>
      <c r="O282" s="4" t="s">
        <v>136</v>
      </c>
      <c r="P282" s="4" t="s">
        <v>35</v>
      </c>
      <c r="Q282" s="154">
        <v>89</v>
      </c>
      <c r="R282" s="154">
        <v>1</v>
      </c>
      <c r="S282" s="154">
        <v>41030.33707865169</v>
      </c>
      <c r="U282" s="154">
        <v>36.517000000000003</v>
      </c>
      <c r="V282" s="169">
        <v>3.9999999999999998E-6</v>
      </c>
      <c r="W282" s="169">
        <v>8.8346704545646994E-3</v>
      </c>
      <c r="X282" s="169">
        <v>1.05266868162588E-3</v>
      </c>
      <c r="Y282" s="154">
        <v>41030</v>
      </c>
      <c r="Z282" s="193">
        <f t="shared" si="4"/>
        <v>41030.33707865169</v>
      </c>
    </row>
    <row r="283" spans="1:26">
      <c r="A283" s="4" t="s">
        <v>26</v>
      </c>
      <c r="B283" s="4">
        <v>9964</v>
      </c>
      <c r="C283" s="4" t="s">
        <v>1446</v>
      </c>
      <c r="D283" s="4" t="s">
        <v>1447</v>
      </c>
      <c r="E283" s="4" t="s">
        <v>1305</v>
      </c>
      <c r="F283" s="4" t="s">
        <v>1448</v>
      </c>
      <c r="G283" s="4" t="s">
        <v>1449</v>
      </c>
      <c r="H283" s="4" t="s">
        <v>319</v>
      </c>
      <c r="I283" s="4" t="s">
        <v>931</v>
      </c>
      <c r="J283" s="4" t="s">
        <v>31</v>
      </c>
      <c r="K283" s="4" t="s">
        <v>31</v>
      </c>
      <c r="L283" s="2" t="s">
        <v>325</v>
      </c>
      <c r="M283" s="2" t="s">
        <v>40</v>
      </c>
      <c r="N283" s="4" t="s">
        <v>445</v>
      </c>
      <c r="O283" s="4" t="s">
        <v>136</v>
      </c>
      <c r="P283" s="4" t="s">
        <v>35</v>
      </c>
      <c r="Q283" s="154">
        <v>575</v>
      </c>
      <c r="R283" s="154">
        <v>1</v>
      </c>
      <c r="S283" s="154">
        <v>15440.000000000002</v>
      </c>
      <c r="U283" s="154">
        <v>88.78</v>
      </c>
      <c r="V283" s="169">
        <v>6.0000000000000002E-6</v>
      </c>
      <c r="W283" s="169">
        <v>2.1478995718568601E-2</v>
      </c>
      <c r="X283" s="169">
        <v>2.5592653650178101E-3</v>
      </c>
      <c r="Y283" s="154">
        <v>15440</v>
      </c>
      <c r="Z283" s="193">
        <f t="shared" si="4"/>
        <v>15440.000000000002</v>
      </c>
    </row>
    <row r="284" spans="1:26">
      <c r="A284" s="4" t="s">
        <v>26</v>
      </c>
      <c r="B284" s="4">
        <v>9964</v>
      </c>
      <c r="C284" s="4" t="s">
        <v>1450</v>
      </c>
      <c r="D284" s="4" t="s">
        <v>1451</v>
      </c>
      <c r="E284" s="4" t="s">
        <v>1305</v>
      </c>
      <c r="F284" s="4" t="s">
        <v>1452</v>
      </c>
      <c r="G284" s="4" t="s">
        <v>1453</v>
      </c>
      <c r="H284" s="4" t="s">
        <v>319</v>
      </c>
      <c r="I284" s="4" t="s">
        <v>931</v>
      </c>
      <c r="J284" s="4" t="s">
        <v>31</v>
      </c>
      <c r="K284" s="4" t="s">
        <v>31</v>
      </c>
      <c r="L284" s="2" t="s">
        <v>325</v>
      </c>
      <c r="M284" s="2" t="s">
        <v>40</v>
      </c>
      <c r="N284" s="4" t="s">
        <v>461</v>
      </c>
      <c r="O284" s="4" t="s">
        <v>136</v>
      </c>
      <c r="P284" s="4" t="s">
        <v>35</v>
      </c>
      <c r="Q284" s="154">
        <v>2185</v>
      </c>
      <c r="R284" s="154">
        <v>1</v>
      </c>
      <c r="S284" s="154">
        <v>1161.0068649885582</v>
      </c>
      <c r="U284" s="154">
        <v>25.367999999999999</v>
      </c>
      <c r="V284" s="169">
        <v>3.1000000000000001E-5</v>
      </c>
      <c r="W284" s="169">
        <v>6.1373726237811503E-3</v>
      </c>
      <c r="X284" s="169">
        <v>7.3128024205865204E-4</v>
      </c>
      <c r="Y284" s="154">
        <v>1161</v>
      </c>
      <c r="Z284" s="193">
        <f t="shared" si="4"/>
        <v>1161.0068649885582</v>
      </c>
    </row>
    <row r="285" spans="1:26">
      <c r="A285" s="4" t="s">
        <v>26</v>
      </c>
      <c r="B285" s="4">
        <v>9964</v>
      </c>
      <c r="C285" s="4" t="s">
        <v>1454</v>
      </c>
      <c r="D285" s="4" t="s">
        <v>1455</v>
      </c>
      <c r="E285" s="4" t="s">
        <v>1305</v>
      </c>
      <c r="F285" s="4" t="s">
        <v>1456</v>
      </c>
      <c r="G285" s="4" t="s">
        <v>1457</v>
      </c>
      <c r="H285" s="4" t="s">
        <v>319</v>
      </c>
      <c r="I285" s="4" t="s">
        <v>931</v>
      </c>
      <c r="J285" s="4" t="s">
        <v>31</v>
      </c>
      <c r="K285" s="4" t="s">
        <v>31</v>
      </c>
      <c r="L285" s="2" t="s">
        <v>325</v>
      </c>
      <c r="M285" s="2" t="s">
        <v>40</v>
      </c>
      <c r="N285" s="4" t="s">
        <v>460</v>
      </c>
      <c r="O285" s="4" t="s">
        <v>136</v>
      </c>
      <c r="P285" s="4" t="s">
        <v>35</v>
      </c>
      <c r="Q285" s="154">
        <v>400</v>
      </c>
      <c r="R285" s="154">
        <v>1</v>
      </c>
      <c r="S285" s="154">
        <v>14790</v>
      </c>
      <c r="U285" s="154">
        <v>59.16</v>
      </c>
      <c r="V285" s="169">
        <v>4.5000000000000003E-5</v>
      </c>
      <c r="W285" s="169">
        <v>1.43128788771178E-2</v>
      </c>
      <c r="X285" s="169">
        <v>1.70540818871879E-3</v>
      </c>
      <c r="Y285" s="154">
        <v>14790</v>
      </c>
      <c r="Z285" s="193">
        <f t="shared" si="4"/>
        <v>14790</v>
      </c>
    </row>
    <row r="286" spans="1:26">
      <c r="A286" s="4" t="s">
        <v>26</v>
      </c>
      <c r="B286" s="4">
        <v>9964</v>
      </c>
      <c r="C286" s="4" t="s">
        <v>1458</v>
      </c>
      <c r="D286" s="4" t="s">
        <v>1459</v>
      </c>
      <c r="E286" s="4" t="s">
        <v>1305</v>
      </c>
      <c r="F286" s="4" t="s">
        <v>1460</v>
      </c>
      <c r="G286" s="4" t="s">
        <v>1461</v>
      </c>
      <c r="H286" s="4" t="s">
        <v>319</v>
      </c>
      <c r="I286" s="4" t="s">
        <v>931</v>
      </c>
      <c r="J286" s="4" t="s">
        <v>31</v>
      </c>
      <c r="K286" s="4" t="s">
        <v>31</v>
      </c>
      <c r="L286" s="2" t="s">
        <v>325</v>
      </c>
      <c r="M286" s="2" t="s">
        <v>40</v>
      </c>
      <c r="N286" s="4" t="s">
        <v>461</v>
      </c>
      <c r="O286" s="4" t="s">
        <v>136</v>
      </c>
      <c r="P286" s="4" t="s">
        <v>35</v>
      </c>
      <c r="Q286" s="154">
        <v>1393</v>
      </c>
      <c r="R286" s="154">
        <v>1</v>
      </c>
      <c r="S286" s="154">
        <v>2779.9712849964108</v>
      </c>
      <c r="U286" s="154">
        <v>38.725000000000001</v>
      </c>
      <c r="V286" s="169">
        <v>6.9399999999999996E-4</v>
      </c>
      <c r="W286" s="169">
        <v>9.3690324487481092E-3</v>
      </c>
      <c r="X286" s="169">
        <v>1.11633898362763E-3</v>
      </c>
      <c r="Y286" s="154">
        <v>2780</v>
      </c>
      <c r="Z286" s="193">
        <f t="shared" si="4"/>
        <v>2779.9712849964108</v>
      </c>
    </row>
    <row r="287" spans="1:26">
      <c r="A287" s="4" t="s">
        <v>26</v>
      </c>
      <c r="B287" s="4">
        <v>9964</v>
      </c>
      <c r="C287" s="4" t="s">
        <v>1462</v>
      </c>
      <c r="D287" s="4" t="s">
        <v>1463</v>
      </c>
      <c r="E287" s="4" t="s">
        <v>1305</v>
      </c>
      <c r="F287" s="4" t="s">
        <v>1464</v>
      </c>
      <c r="G287" s="4" t="s">
        <v>1465</v>
      </c>
      <c r="H287" s="4" t="s">
        <v>319</v>
      </c>
      <c r="I287" s="4" t="s">
        <v>931</v>
      </c>
      <c r="J287" s="4" t="s">
        <v>31</v>
      </c>
      <c r="K287" s="4" t="s">
        <v>31</v>
      </c>
      <c r="L287" s="2" t="s">
        <v>325</v>
      </c>
      <c r="M287" s="2" t="s">
        <v>40</v>
      </c>
      <c r="N287" s="4" t="s">
        <v>445</v>
      </c>
      <c r="O287" s="4" t="s">
        <v>136</v>
      </c>
      <c r="P287" s="4" t="s">
        <v>35</v>
      </c>
      <c r="Q287" s="154">
        <v>5275</v>
      </c>
      <c r="R287" s="154">
        <v>1</v>
      </c>
      <c r="S287" s="154">
        <v>1945.990521327014</v>
      </c>
      <c r="T287" s="161">
        <v>0.78400000000000003</v>
      </c>
      <c r="U287" s="154">
        <v>103.435</v>
      </c>
      <c r="V287" s="169">
        <v>3.9999999999999998E-6</v>
      </c>
      <c r="W287" s="169">
        <v>2.5024621944908201E-2</v>
      </c>
      <c r="X287" s="169">
        <v>2.9817338322248202E-3</v>
      </c>
      <c r="Y287" s="154">
        <v>1946</v>
      </c>
      <c r="Z287" s="193">
        <f t="shared" si="4"/>
        <v>1945.990521327014</v>
      </c>
    </row>
    <row r="288" spans="1:26">
      <c r="A288" s="4" t="s">
        <v>26</v>
      </c>
      <c r="B288" s="4">
        <v>9964</v>
      </c>
      <c r="C288" s="4" t="s">
        <v>1466</v>
      </c>
      <c r="D288" s="4" t="s">
        <v>1467</v>
      </c>
      <c r="E288" s="4" t="s">
        <v>1305</v>
      </c>
      <c r="F288" s="4" t="s">
        <v>1468</v>
      </c>
      <c r="G288" s="4" t="s">
        <v>1469</v>
      </c>
      <c r="H288" s="4" t="s">
        <v>319</v>
      </c>
      <c r="I288" s="4" t="s">
        <v>931</v>
      </c>
      <c r="J288" s="4" t="s">
        <v>31</v>
      </c>
      <c r="K288" s="4" t="s">
        <v>31</v>
      </c>
      <c r="L288" s="2" t="s">
        <v>325</v>
      </c>
      <c r="M288" s="2" t="s">
        <v>40</v>
      </c>
      <c r="N288" s="4" t="s">
        <v>459</v>
      </c>
      <c r="O288" s="4" t="s">
        <v>136</v>
      </c>
      <c r="P288" s="4" t="s">
        <v>35</v>
      </c>
      <c r="Q288" s="154">
        <v>775</v>
      </c>
      <c r="R288" s="154">
        <v>1</v>
      </c>
      <c r="S288" s="154">
        <v>3409.0322580645161</v>
      </c>
      <c r="U288" s="154">
        <v>26.42</v>
      </c>
      <c r="V288" s="169">
        <v>2.8E-5</v>
      </c>
      <c r="W288" s="169">
        <v>6.39186412633085E-3</v>
      </c>
      <c r="X288" s="169">
        <v>7.6160341436617898E-4</v>
      </c>
      <c r="Y288" s="154">
        <v>3409</v>
      </c>
      <c r="Z288" s="193">
        <f t="shared" si="4"/>
        <v>3409.0322580645161</v>
      </c>
    </row>
    <row r="289" spans="1:26">
      <c r="A289" s="4" t="s">
        <v>26</v>
      </c>
      <c r="B289" s="4">
        <v>9964</v>
      </c>
      <c r="C289" s="4" t="s">
        <v>1470</v>
      </c>
      <c r="D289" s="4" t="s">
        <v>1471</v>
      </c>
      <c r="E289" s="4" t="s">
        <v>1305</v>
      </c>
      <c r="F289" s="4" t="s">
        <v>1472</v>
      </c>
      <c r="G289" s="4" t="s">
        <v>1473</v>
      </c>
      <c r="H289" s="4" t="s">
        <v>319</v>
      </c>
      <c r="I289" s="4" t="s">
        <v>931</v>
      </c>
      <c r="J289" s="4" t="s">
        <v>31</v>
      </c>
      <c r="K289" s="4" t="s">
        <v>31</v>
      </c>
      <c r="L289" s="2" t="s">
        <v>325</v>
      </c>
      <c r="M289" s="2" t="s">
        <v>40</v>
      </c>
      <c r="N289" s="4" t="s">
        <v>475</v>
      </c>
      <c r="O289" s="4" t="s">
        <v>136</v>
      </c>
      <c r="P289" s="4" t="s">
        <v>35</v>
      </c>
      <c r="Q289" s="154">
        <v>53</v>
      </c>
      <c r="R289" s="154">
        <v>1</v>
      </c>
      <c r="S289" s="154">
        <v>33190.566037735851</v>
      </c>
      <c r="U289" s="154">
        <v>17.591000000000001</v>
      </c>
      <c r="V289" s="169">
        <v>9.0000000000000002E-6</v>
      </c>
      <c r="W289" s="169">
        <v>4.2558072762629504E-3</v>
      </c>
      <c r="X289" s="169">
        <v>5.0708796188802499E-4</v>
      </c>
      <c r="Y289" s="154">
        <v>33190</v>
      </c>
      <c r="Z289" s="193">
        <f t="shared" si="4"/>
        <v>33190.566037735851</v>
      </c>
    </row>
    <row r="290" spans="1:26">
      <c r="A290" s="4" t="s">
        <v>26</v>
      </c>
      <c r="B290" s="4">
        <v>9964</v>
      </c>
      <c r="C290" s="4" t="s">
        <v>1360</v>
      </c>
      <c r="D290" s="4" t="s">
        <v>1361</v>
      </c>
      <c r="E290" s="4" t="s">
        <v>1305</v>
      </c>
      <c r="F290" s="4" t="s">
        <v>1362</v>
      </c>
      <c r="G290" s="4" t="s">
        <v>1363</v>
      </c>
      <c r="H290" s="4" t="s">
        <v>319</v>
      </c>
      <c r="I290" s="4" t="s">
        <v>931</v>
      </c>
      <c r="J290" s="4" t="s">
        <v>31</v>
      </c>
      <c r="K290" s="4" t="s">
        <v>31</v>
      </c>
      <c r="L290" s="2" t="s">
        <v>325</v>
      </c>
      <c r="M290" s="2" t="s">
        <v>40</v>
      </c>
      <c r="N290" s="4" t="s">
        <v>442</v>
      </c>
      <c r="O290" s="4" t="s">
        <v>136</v>
      </c>
      <c r="P290" s="4" t="s">
        <v>35</v>
      </c>
      <c r="Q290" s="154">
        <v>1700</v>
      </c>
      <c r="R290" s="154">
        <v>1</v>
      </c>
      <c r="S290" s="154">
        <v>3809.9999999999995</v>
      </c>
      <c r="U290" s="154">
        <v>64.77</v>
      </c>
      <c r="V290" s="169">
        <v>6.9999999999999999E-6</v>
      </c>
      <c r="W290" s="169">
        <v>1.5670134632706601E-2</v>
      </c>
      <c r="X290" s="169">
        <v>1.86712793075246E-3</v>
      </c>
      <c r="Y290" s="154">
        <v>3810</v>
      </c>
      <c r="Z290" s="193">
        <f t="shared" si="4"/>
        <v>3809.9999999999995</v>
      </c>
    </row>
    <row r="291" spans="1:26">
      <c r="A291" s="4" t="s">
        <v>26</v>
      </c>
      <c r="B291" s="4">
        <v>9964</v>
      </c>
      <c r="C291" s="4" t="s">
        <v>1474</v>
      </c>
      <c r="D291" s="4" t="s">
        <v>1475</v>
      </c>
      <c r="E291" s="4" t="s">
        <v>1305</v>
      </c>
      <c r="F291" s="4" t="s">
        <v>1476</v>
      </c>
      <c r="G291" s="4" t="s">
        <v>1477</v>
      </c>
      <c r="H291" s="4" t="s">
        <v>319</v>
      </c>
      <c r="I291" s="4" t="s">
        <v>931</v>
      </c>
      <c r="J291" s="4" t="s">
        <v>31</v>
      </c>
      <c r="K291" s="4" t="s">
        <v>31</v>
      </c>
      <c r="L291" s="2" t="s">
        <v>325</v>
      </c>
      <c r="M291" s="2" t="s">
        <v>40</v>
      </c>
      <c r="N291" s="4" t="s">
        <v>474</v>
      </c>
      <c r="O291" s="4" t="s">
        <v>136</v>
      </c>
      <c r="P291" s="4" t="s">
        <v>35</v>
      </c>
      <c r="Q291" s="154">
        <v>627</v>
      </c>
      <c r="R291" s="154">
        <v>1</v>
      </c>
      <c r="S291" s="154">
        <v>5625.0398724082943</v>
      </c>
      <c r="T291" s="161">
        <v>0.28499999999999998</v>
      </c>
      <c r="U291" s="154">
        <v>35.554000000000002</v>
      </c>
      <c r="V291" s="169">
        <v>9.0000000000000002E-6</v>
      </c>
      <c r="W291" s="169">
        <v>8.6016797218900799E-3</v>
      </c>
      <c r="X291" s="169">
        <v>1.0249073691177401E-3</v>
      </c>
      <c r="Y291" s="154">
        <v>5625</v>
      </c>
      <c r="Z291" s="193">
        <f t="shared" si="4"/>
        <v>5625.0398724082943</v>
      </c>
    </row>
    <row r="292" spans="1:26">
      <c r="A292" s="4" t="s">
        <v>26</v>
      </c>
      <c r="B292" s="4">
        <v>9964</v>
      </c>
      <c r="C292" s="4" t="s">
        <v>1478</v>
      </c>
      <c r="D292" s="4" t="s">
        <v>1479</v>
      </c>
      <c r="E292" s="4" t="s">
        <v>1305</v>
      </c>
      <c r="F292" s="4" t="s">
        <v>1480</v>
      </c>
      <c r="G292" s="4" t="s">
        <v>1481</v>
      </c>
      <c r="H292" s="4" t="s">
        <v>319</v>
      </c>
      <c r="I292" s="4" t="s">
        <v>931</v>
      </c>
      <c r="J292" s="4" t="s">
        <v>31</v>
      </c>
      <c r="K292" s="4" t="s">
        <v>293</v>
      </c>
      <c r="L292" s="2" t="s">
        <v>325</v>
      </c>
      <c r="M292" s="2" t="s">
        <v>40</v>
      </c>
      <c r="N292" s="4" t="s">
        <v>444</v>
      </c>
      <c r="O292" s="4" t="s">
        <v>136</v>
      </c>
      <c r="P292" s="4" t="s">
        <v>35</v>
      </c>
      <c r="Q292" s="154">
        <v>1300</v>
      </c>
      <c r="R292" s="154">
        <v>1</v>
      </c>
      <c r="S292" s="154">
        <v>546.38461538461536</v>
      </c>
      <c r="U292" s="154">
        <v>7.1029999999999998</v>
      </c>
      <c r="V292" s="169">
        <v>3.1000000000000001E-5</v>
      </c>
      <c r="W292" s="169">
        <v>1.71851320554333E-3</v>
      </c>
      <c r="X292" s="169">
        <v>2.04764290840218E-4</v>
      </c>
      <c r="Y292" s="154">
        <v>546.4</v>
      </c>
      <c r="Z292" s="193">
        <f t="shared" si="4"/>
        <v>546.38461538461536</v>
      </c>
    </row>
    <row r="293" spans="1:26">
      <c r="A293" s="4" t="s">
        <v>26</v>
      </c>
      <c r="B293" s="4">
        <v>9964</v>
      </c>
      <c r="C293" s="4" t="s">
        <v>1482</v>
      </c>
      <c r="D293" s="4" t="s">
        <v>1483</v>
      </c>
      <c r="E293" s="4" t="s">
        <v>1305</v>
      </c>
      <c r="F293" s="4" t="s">
        <v>1484</v>
      </c>
      <c r="G293" s="4" t="s">
        <v>1485</v>
      </c>
      <c r="H293" s="4" t="s">
        <v>319</v>
      </c>
      <c r="I293" s="4" t="s">
        <v>931</v>
      </c>
      <c r="J293" s="4" t="s">
        <v>31</v>
      </c>
      <c r="K293" s="4" t="s">
        <v>31</v>
      </c>
      <c r="L293" s="2" t="s">
        <v>325</v>
      </c>
      <c r="M293" s="2" t="s">
        <v>40</v>
      </c>
      <c r="N293" s="4" t="s">
        <v>444</v>
      </c>
      <c r="O293" s="4" t="s">
        <v>136</v>
      </c>
      <c r="P293" s="4" t="s">
        <v>35</v>
      </c>
      <c r="Q293" s="154">
        <v>2784</v>
      </c>
      <c r="R293" s="154">
        <v>1</v>
      </c>
      <c r="S293" s="154">
        <v>1596.0129310344826</v>
      </c>
      <c r="U293" s="154">
        <v>44.433</v>
      </c>
      <c r="V293" s="169">
        <v>4.6E-5</v>
      </c>
      <c r="W293" s="169">
        <v>1.0749813970767101E-2</v>
      </c>
      <c r="X293" s="169">
        <v>1.2808618678565599E-3</v>
      </c>
      <c r="Y293" s="154">
        <v>1596</v>
      </c>
      <c r="Z293" s="193">
        <f t="shared" si="4"/>
        <v>1596.0129310344826</v>
      </c>
    </row>
    <row r="294" spans="1:26">
      <c r="A294" s="4" t="s">
        <v>26</v>
      </c>
      <c r="B294" s="4">
        <v>9964</v>
      </c>
      <c r="C294" s="4" t="s">
        <v>1486</v>
      </c>
      <c r="D294" s="4" t="s">
        <v>1487</v>
      </c>
      <c r="E294" s="4" t="s">
        <v>1305</v>
      </c>
      <c r="F294" s="4" t="s">
        <v>1488</v>
      </c>
      <c r="G294" s="4" t="s">
        <v>1489</v>
      </c>
      <c r="H294" s="4" t="s">
        <v>319</v>
      </c>
      <c r="I294" s="4" t="s">
        <v>931</v>
      </c>
      <c r="J294" s="4" t="s">
        <v>31</v>
      </c>
      <c r="K294" s="4" t="s">
        <v>31</v>
      </c>
      <c r="L294" s="2" t="s">
        <v>325</v>
      </c>
      <c r="M294" s="2" t="s">
        <v>40</v>
      </c>
      <c r="N294" s="4" t="s">
        <v>474</v>
      </c>
      <c r="O294" s="4" t="s">
        <v>136</v>
      </c>
      <c r="P294" s="4" t="s">
        <v>35</v>
      </c>
      <c r="Q294" s="154">
        <v>168</v>
      </c>
      <c r="R294" s="154">
        <v>1</v>
      </c>
      <c r="S294" s="154">
        <v>23460.119047619046</v>
      </c>
      <c r="U294" s="154">
        <v>39.412999999999997</v>
      </c>
      <c r="V294" s="169">
        <v>6.9999999999999999E-6</v>
      </c>
      <c r="W294" s="169">
        <v>9.5353386174453804E-3</v>
      </c>
      <c r="X294" s="169">
        <v>1.1361546967602399E-3</v>
      </c>
      <c r="Y294" s="154">
        <v>23460</v>
      </c>
      <c r="Z294" s="193">
        <f t="shared" si="4"/>
        <v>23460.119047619046</v>
      </c>
    </row>
    <row r="295" spans="1:26">
      <c r="A295" s="4" t="s">
        <v>26</v>
      </c>
      <c r="B295" s="4">
        <v>9964</v>
      </c>
      <c r="C295" s="4" t="s">
        <v>1490</v>
      </c>
      <c r="D295" s="4" t="s">
        <v>1491</v>
      </c>
      <c r="E295" s="4" t="s">
        <v>1305</v>
      </c>
      <c r="F295" s="4" t="s">
        <v>1492</v>
      </c>
      <c r="G295" s="4" t="s">
        <v>1493</v>
      </c>
      <c r="H295" s="4" t="s">
        <v>319</v>
      </c>
      <c r="I295" s="4" t="s">
        <v>931</v>
      </c>
      <c r="J295" s="4" t="s">
        <v>31</v>
      </c>
      <c r="K295" s="4" t="s">
        <v>31</v>
      </c>
      <c r="L295" s="2" t="s">
        <v>325</v>
      </c>
      <c r="M295" s="2" t="s">
        <v>40</v>
      </c>
      <c r="N295" s="4" t="s">
        <v>460</v>
      </c>
      <c r="O295" s="4" t="s">
        <v>136</v>
      </c>
      <c r="P295" s="4" t="s">
        <v>35</v>
      </c>
      <c r="Q295" s="154">
        <v>2680</v>
      </c>
      <c r="R295" s="154">
        <v>1</v>
      </c>
      <c r="S295" s="154">
        <v>1255</v>
      </c>
      <c r="U295" s="154">
        <v>33.634</v>
      </c>
      <c r="V295" s="169">
        <v>7.2999999999999999E-5</v>
      </c>
      <c r="W295" s="169">
        <v>8.1372442216528108E-3</v>
      </c>
      <c r="X295" s="169">
        <v>9.6956894894130495E-4</v>
      </c>
      <c r="Y295" s="154">
        <v>1255</v>
      </c>
      <c r="Z295" s="193">
        <f t="shared" si="4"/>
        <v>1255</v>
      </c>
    </row>
    <row r="296" spans="1:26">
      <c r="A296" s="4" t="s">
        <v>26</v>
      </c>
      <c r="B296" s="4">
        <v>9964</v>
      </c>
      <c r="C296" s="4" t="s">
        <v>1494</v>
      </c>
      <c r="D296" s="4" t="s">
        <v>1495</v>
      </c>
      <c r="E296" s="4" t="s">
        <v>1305</v>
      </c>
      <c r="F296" s="4" t="s">
        <v>1496</v>
      </c>
      <c r="G296" s="4" t="s">
        <v>1497</v>
      </c>
      <c r="H296" s="4" t="s">
        <v>319</v>
      </c>
      <c r="I296" s="4" t="s">
        <v>931</v>
      </c>
      <c r="J296" s="4" t="s">
        <v>31</v>
      </c>
      <c r="K296" s="4" t="s">
        <v>31</v>
      </c>
      <c r="L296" s="2" t="s">
        <v>325</v>
      </c>
      <c r="M296" s="2" t="s">
        <v>40</v>
      </c>
      <c r="N296" s="4" t="s">
        <v>455</v>
      </c>
      <c r="O296" s="4" t="s">
        <v>136</v>
      </c>
      <c r="P296" s="4" t="s">
        <v>35</v>
      </c>
      <c r="Q296" s="154">
        <v>571</v>
      </c>
      <c r="R296" s="154">
        <v>1</v>
      </c>
      <c r="S296" s="154">
        <v>12309.98248686515</v>
      </c>
      <c r="U296" s="154">
        <v>70.290000000000006</v>
      </c>
      <c r="V296" s="169">
        <v>5.0000000000000004E-6</v>
      </c>
      <c r="W296" s="169">
        <v>1.7005640425295801E-2</v>
      </c>
      <c r="X296" s="169">
        <v>2.0262561211268101E-3</v>
      </c>
      <c r="Y296" s="154">
        <v>12310</v>
      </c>
      <c r="Z296" s="193">
        <f t="shared" si="4"/>
        <v>12309.98248686515</v>
      </c>
    </row>
    <row r="297" spans="1:26">
      <c r="A297" s="4" t="s">
        <v>26</v>
      </c>
      <c r="B297" s="4">
        <v>9964</v>
      </c>
      <c r="C297" s="4" t="s">
        <v>1498</v>
      </c>
      <c r="D297" s="4" t="s">
        <v>1499</v>
      </c>
      <c r="E297" s="4" t="s">
        <v>1305</v>
      </c>
      <c r="F297" s="4" t="s">
        <v>1500</v>
      </c>
      <c r="G297" s="4" t="s">
        <v>1501</v>
      </c>
      <c r="H297" s="4" t="s">
        <v>319</v>
      </c>
      <c r="I297" s="4" t="s">
        <v>931</v>
      </c>
      <c r="J297" s="4" t="s">
        <v>31</v>
      </c>
      <c r="K297" s="4" t="s">
        <v>31</v>
      </c>
      <c r="L297" s="2" t="s">
        <v>325</v>
      </c>
      <c r="M297" s="2" t="s">
        <v>40</v>
      </c>
      <c r="N297" s="4" t="s">
        <v>464</v>
      </c>
      <c r="O297" s="4" t="s">
        <v>136</v>
      </c>
      <c r="P297" s="4" t="s">
        <v>35</v>
      </c>
      <c r="Q297" s="154">
        <v>2925</v>
      </c>
      <c r="R297" s="154">
        <v>1</v>
      </c>
      <c r="S297" s="154">
        <v>5172.9914529914531</v>
      </c>
      <c r="U297" s="154">
        <v>151.31</v>
      </c>
      <c r="V297" s="169">
        <v>3.0000000000000001E-6</v>
      </c>
      <c r="W297" s="169">
        <v>3.6607256273096897E-2</v>
      </c>
      <c r="X297" s="169">
        <v>4.3618279139128902E-3</v>
      </c>
      <c r="Y297" s="154">
        <v>5173</v>
      </c>
      <c r="Z297" s="193">
        <f t="shared" si="4"/>
        <v>5172.9914529914531</v>
      </c>
    </row>
    <row r="298" spans="1:26">
      <c r="A298" s="4" t="s">
        <v>26</v>
      </c>
      <c r="B298" s="4">
        <v>9964</v>
      </c>
      <c r="C298" s="4" t="s">
        <v>1502</v>
      </c>
      <c r="D298" s="4" t="s">
        <v>1503</v>
      </c>
      <c r="E298" s="4" t="s">
        <v>1305</v>
      </c>
      <c r="F298" s="4" t="s">
        <v>1504</v>
      </c>
      <c r="G298" s="4" t="s">
        <v>1505</v>
      </c>
      <c r="H298" s="4" t="s">
        <v>319</v>
      </c>
      <c r="I298" s="4" t="s">
        <v>931</v>
      </c>
      <c r="J298" s="4" t="s">
        <v>31</v>
      </c>
      <c r="K298" s="4" t="s">
        <v>31</v>
      </c>
      <c r="L298" s="2" t="s">
        <v>325</v>
      </c>
      <c r="M298" s="2" t="s">
        <v>40</v>
      </c>
      <c r="N298" s="4" t="s">
        <v>473</v>
      </c>
      <c r="O298" s="4" t="s">
        <v>136</v>
      </c>
      <c r="P298" s="4" t="s">
        <v>35</v>
      </c>
      <c r="Q298" s="154">
        <v>5515</v>
      </c>
      <c r="R298" s="154">
        <v>1</v>
      </c>
      <c r="S298" s="154">
        <v>511.00634632819578</v>
      </c>
      <c r="U298" s="154">
        <v>28.181999999999999</v>
      </c>
      <c r="V298" s="169">
        <v>5.1999999999999997E-5</v>
      </c>
      <c r="W298" s="169">
        <v>6.8181295302117504E-3</v>
      </c>
      <c r="X298" s="169">
        <v>8.1239379110221001E-4</v>
      </c>
      <c r="Y298" s="154">
        <v>511</v>
      </c>
      <c r="Z298" s="193">
        <f t="shared" si="4"/>
        <v>511.00634632819578</v>
      </c>
    </row>
    <row r="299" spans="1:26">
      <c r="A299" s="4" t="s">
        <v>26</v>
      </c>
      <c r="B299" s="4">
        <v>9964</v>
      </c>
      <c r="C299" s="4" t="s">
        <v>1506</v>
      </c>
      <c r="D299" s="4" t="s">
        <v>1507</v>
      </c>
      <c r="E299" s="4" t="s">
        <v>1305</v>
      </c>
      <c r="F299" s="4" t="s">
        <v>1508</v>
      </c>
      <c r="G299" s="4" t="s">
        <v>1509</v>
      </c>
      <c r="H299" s="4" t="s">
        <v>319</v>
      </c>
      <c r="I299" s="4" t="s">
        <v>931</v>
      </c>
      <c r="J299" s="4" t="s">
        <v>31</v>
      </c>
      <c r="K299" s="4" t="s">
        <v>31</v>
      </c>
      <c r="L299" s="2" t="s">
        <v>325</v>
      </c>
      <c r="M299" s="2" t="s">
        <v>40</v>
      </c>
      <c r="N299" s="4" t="s">
        <v>451</v>
      </c>
      <c r="O299" s="4" t="s">
        <v>136</v>
      </c>
      <c r="P299" s="4" t="s">
        <v>35</v>
      </c>
      <c r="Q299" s="154">
        <v>24600</v>
      </c>
      <c r="R299" s="154">
        <v>1</v>
      </c>
      <c r="S299" s="154">
        <v>179</v>
      </c>
      <c r="U299" s="154">
        <v>44.033999999999999</v>
      </c>
      <c r="V299" s="169">
        <v>9.0000000000000002E-6</v>
      </c>
      <c r="W299" s="169">
        <v>1.06533689735464E-2</v>
      </c>
      <c r="X299" s="169">
        <v>1.2693702532461601E-3</v>
      </c>
      <c r="Y299" s="154">
        <v>179</v>
      </c>
      <c r="Z299" s="193">
        <f t="shared" si="4"/>
        <v>179</v>
      </c>
    </row>
    <row r="300" spans="1:26">
      <c r="A300" s="4" t="s">
        <v>26</v>
      </c>
      <c r="B300" s="4">
        <v>9964</v>
      </c>
      <c r="C300" s="4" t="s">
        <v>1510</v>
      </c>
      <c r="D300" s="4" t="s">
        <v>1511</v>
      </c>
      <c r="E300" s="4" t="s">
        <v>1305</v>
      </c>
      <c r="F300" s="4" t="s">
        <v>1512</v>
      </c>
      <c r="G300" s="4" t="s">
        <v>1513</v>
      </c>
      <c r="H300" s="4" t="s">
        <v>319</v>
      </c>
      <c r="I300" s="4" t="s">
        <v>931</v>
      </c>
      <c r="J300" s="4" t="s">
        <v>31</v>
      </c>
      <c r="K300" s="4" t="s">
        <v>31</v>
      </c>
      <c r="L300" s="2" t="s">
        <v>325</v>
      </c>
      <c r="M300" s="2" t="s">
        <v>40</v>
      </c>
      <c r="N300" s="4" t="s">
        <v>458</v>
      </c>
      <c r="O300" s="4" t="s">
        <v>136</v>
      </c>
      <c r="P300" s="4" t="s">
        <v>35</v>
      </c>
      <c r="Q300" s="154">
        <v>272</v>
      </c>
      <c r="R300" s="154">
        <v>1</v>
      </c>
      <c r="S300" s="154">
        <v>8848.1617647058829</v>
      </c>
      <c r="U300" s="154">
        <v>24.067</v>
      </c>
      <c r="V300" s="169">
        <v>5.0000000000000004E-6</v>
      </c>
      <c r="W300" s="169">
        <v>5.8225449335511902E-3</v>
      </c>
      <c r="X300" s="169">
        <v>6.93767892127992E-4</v>
      </c>
      <c r="Y300" s="154">
        <v>8848</v>
      </c>
      <c r="Z300" s="193">
        <f t="shared" si="4"/>
        <v>8848.1617647058829</v>
      </c>
    </row>
    <row r="301" spans="1:26">
      <c r="A301" s="4" t="s">
        <v>26</v>
      </c>
      <c r="B301" s="4">
        <v>9964</v>
      </c>
      <c r="C301" s="4" t="s">
        <v>1176</v>
      </c>
      <c r="D301" s="4" t="s">
        <v>1364</v>
      </c>
      <c r="E301" s="4" t="s">
        <v>1305</v>
      </c>
      <c r="F301" s="4" t="s">
        <v>1365</v>
      </c>
      <c r="G301" s="4" t="s">
        <v>1366</v>
      </c>
      <c r="H301" s="4" t="s">
        <v>319</v>
      </c>
      <c r="I301" s="4" t="s">
        <v>931</v>
      </c>
      <c r="J301" s="4" t="s">
        <v>31</v>
      </c>
      <c r="K301" s="4" t="s">
        <v>31</v>
      </c>
      <c r="L301" s="2" t="s">
        <v>325</v>
      </c>
      <c r="M301" s="2" t="s">
        <v>40</v>
      </c>
      <c r="N301" s="4" t="s">
        <v>445</v>
      </c>
      <c r="O301" s="4" t="s">
        <v>136</v>
      </c>
      <c r="P301" s="4" t="s">
        <v>35</v>
      </c>
      <c r="Q301" s="154">
        <v>3145</v>
      </c>
      <c r="R301" s="154">
        <v>1</v>
      </c>
      <c r="S301" s="154">
        <v>3099.9999999999995</v>
      </c>
      <c r="T301" s="161">
        <v>0.754</v>
      </c>
      <c r="U301" s="154">
        <v>98.248999999999995</v>
      </c>
      <c r="V301" s="169">
        <v>1.9999999999999999E-6</v>
      </c>
      <c r="W301" s="169">
        <v>2.3769849885944602E-2</v>
      </c>
      <c r="X301" s="169">
        <v>2.8322252279318698E-3</v>
      </c>
      <c r="Y301" s="154">
        <v>3100</v>
      </c>
      <c r="Z301" s="193">
        <f t="shared" si="4"/>
        <v>3099.9999999999995</v>
      </c>
    </row>
    <row r="302" spans="1:26">
      <c r="A302" s="4" t="s">
        <v>26</v>
      </c>
      <c r="B302" s="4">
        <v>9964</v>
      </c>
      <c r="C302" s="4" t="s">
        <v>1514</v>
      </c>
      <c r="D302" s="4" t="s">
        <v>1515</v>
      </c>
      <c r="E302" s="4" t="s">
        <v>1305</v>
      </c>
      <c r="F302" s="4" t="s">
        <v>1516</v>
      </c>
      <c r="G302" s="4" t="s">
        <v>1517</v>
      </c>
      <c r="H302" s="4" t="s">
        <v>319</v>
      </c>
      <c r="I302" s="4" t="s">
        <v>931</v>
      </c>
      <c r="J302" s="4" t="s">
        <v>31</v>
      </c>
      <c r="K302" s="4" t="s">
        <v>31</v>
      </c>
      <c r="L302" s="2" t="s">
        <v>325</v>
      </c>
      <c r="M302" s="2" t="s">
        <v>40</v>
      </c>
      <c r="N302" s="4" t="s">
        <v>473</v>
      </c>
      <c r="O302" s="4" t="s">
        <v>136</v>
      </c>
      <c r="P302" s="4" t="s">
        <v>35</v>
      </c>
      <c r="Q302" s="154">
        <v>170</v>
      </c>
      <c r="R302" s="154">
        <v>1</v>
      </c>
      <c r="S302" s="154">
        <v>18180</v>
      </c>
      <c r="U302" s="154">
        <v>30.905999999999999</v>
      </c>
      <c r="V302" s="169">
        <v>1.2E-5</v>
      </c>
      <c r="W302" s="169">
        <v>7.4772453444253402E-3</v>
      </c>
      <c r="X302" s="169">
        <v>8.90928760658262E-4</v>
      </c>
      <c r="Y302" s="154">
        <v>18180</v>
      </c>
      <c r="Z302" s="193">
        <f t="shared" si="4"/>
        <v>18180</v>
      </c>
    </row>
    <row r="303" spans="1:26">
      <c r="A303" s="4" t="s">
        <v>26</v>
      </c>
      <c r="B303" s="4">
        <v>9964</v>
      </c>
      <c r="C303" s="4" t="s">
        <v>1367</v>
      </c>
      <c r="D303" s="4" t="s">
        <v>1368</v>
      </c>
      <c r="E303" s="4" t="s">
        <v>1305</v>
      </c>
      <c r="F303" s="4" t="s">
        <v>1369</v>
      </c>
      <c r="G303" s="4" t="s">
        <v>1370</v>
      </c>
      <c r="H303" s="4" t="s">
        <v>319</v>
      </c>
      <c r="I303" s="4" t="s">
        <v>931</v>
      </c>
      <c r="J303" s="4" t="s">
        <v>31</v>
      </c>
      <c r="K303" s="4" t="s">
        <v>31</v>
      </c>
      <c r="L303" s="2" t="s">
        <v>325</v>
      </c>
      <c r="M303" s="2" t="s">
        <v>40</v>
      </c>
      <c r="N303" s="4" t="s">
        <v>461</v>
      </c>
      <c r="O303" s="4" t="s">
        <v>136</v>
      </c>
      <c r="P303" s="4" t="s">
        <v>35</v>
      </c>
      <c r="Q303" s="154">
        <v>3474</v>
      </c>
      <c r="R303" s="154">
        <v>1</v>
      </c>
      <c r="S303" s="154">
        <v>907.10995970063323</v>
      </c>
      <c r="U303" s="154">
        <v>31.513000000000002</v>
      </c>
      <c r="V303" s="169">
        <v>5.0000000000000004E-6</v>
      </c>
      <c r="W303" s="169">
        <v>7.6240162237748797E-3</v>
      </c>
      <c r="X303" s="169">
        <v>9.08416804933431E-4</v>
      </c>
      <c r="Y303" s="154">
        <v>907.1</v>
      </c>
      <c r="Z303" s="193">
        <f t="shared" si="4"/>
        <v>907.10995970063323</v>
      </c>
    </row>
    <row r="304" spans="1:26">
      <c r="A304" s="4" t="s">
        <v>26</v>
      </c>
      <c r="B304" s="4">
        <v>9964</v>
      </c>
      <c r="C304" s="4" t="s">
        <v>1518</v>
      </c>
      <c r="D304" s="4" t="s">
        <v>1519</v>
      </c>
      <c r="E304" s="4" t="s">
        <v>1305</v>
      </c>
      <c r="F304" s="4" t="s">
        <v>1520</v>
      </c>
      <c r="G304" s="4" t="s">
        <v>1521</v>
      </c>
      <c r="H304" s="4" t="s">
        <v>319</v>
      </c>
      <c r="I304" s="4" t="s">
        <v>931</v>
      </c>
      <c r="J304" s="4" t="s">
        <v>31</v>
      </c>
      <c r="K304" s="4" t="s">
        <v>31</v>
      </c>
      <c r="L304" s="2" t="s">
        <v>325</v>
      </c>
      <c r="M304" s="2" t="s">
        <v>40</v>
      </c>
      <c r="N304" s="4" t="s">
        <v>445</v>
      </c>
      <c r="O304" s="4" t="s">
        <v>136</v>
      </c>
      <c r="P304" s="4" t="s">
        <v>35</v>
      </c>
      <c r="Q304" s="154">
        <v>564</v>
      </c>
      <c r="R304" s="154">
        <v>1</v>
      </c>
      <c r="S304" s="154">
        <v>13999.999999999998</v>
      </c>
      <c r="U304" s="154">
        <v>78.959999999999994</v>
      </c>
      <c r="V304" s="169">
        <v>1.9999999999999999E-6</v>
      </c>
      <c r="W304" s="169">
        <v>1.9103193308607502E-2</v>
      </c>
      <c r="X304" s="169">
        <v>2.2761837488376501E-3</v>
      </c>
      <c r="Y304" s="154">
        <v>14000</v>
      </c>
      <c r="Z304" s="193">
        <f t="shared" si="4"/>
        <v>13999.999999999998</v>
      </c>
    </row>
    <row r="305" spans="1:26">
      <c r="A305" s="4" t="s">
        <v>26</v>
      </c>
      <c r="B305" s="4">
        <v>9964</v>
      </c>
      <c r="C305" s="4" t="s">
        <v>1522</v>
      </c>
      <c r="D305" s="4" t="s">
        <v>1523</v>
      </c>
      <c r="E305" s="4" t="s">
        <v>1305</v>
      </c>
      <c r="F305" s="4" t="s">
        <v>1524</v>
      </c>
      <c r="G305" s="4" t="s">
        <v>1525</v>
      </c>
      <c r="H305" s="4" t="s">
        <v>319</v>
      </c>
      <c r="I305" s="4" t="s">
        <v>931</v>
      </c>
      <c r="J305" s="4" t="s">
        <v>31</v>
      </c>
      <c r="K305" s="4" t="s">
        <v>31</v>
      </c>
      <c r="L305" s="2" t="s">
        <v>325</v>
      </c>
      <c r="M305" s="2" t="s">
        <v>40</v>
      </c>
      <c r="N305" s="4" t="s">
        <v>474</v>
      </c>
      <c r="O305" s="4" t="s">
        <v>136</v>
      </c>
      <c r="P305" s="4" t="s">
        <v>35</v>
      </c>
      <c r="Q305" s="154">
        <v>453</v>
      </c>
      <c r="R305" s="154">
        <v>1</v>
      </c>
      <c r="S305" s="154">
        <v>8160.0441501103751</v>
      </c>
      <c r="T305" s="161">
        <v>0.57499999999999996</v>
      </c>
      <c r="U305" s="154">
        <v>37.54</v>
      </c>
      <c r="V305" s="169">
        <v>6.9999999999999999E-6</v>
      </c>
      <c r="W305" s="169">
        <v>9.08226922690465E-3</v>
      </c>
      <c r="X305" s="169">
        <v>1.0821705713219101E-3</v>
      </c>
      <c r="Y305" s="154">
        <v>8160</v>
      </c>
      <c r="Z305" s="193">
        <f t="shared" si="4"/>
        <v>8160.0441501103751</v>
      </c>
    </row>
    <row r="306" spans="1:26">
      <c r="A306" s="4" t="s">
        <v>26</v>
      </c>
      <c r="B306" s="4">
        <v>9964</v>
      </c>
      <c r="C306" s="4" t="s">
        <v>1526</v>
      </c>
      <c r="D306" s="4" t="s">
        <v>1527</v>
      </c>
      <c r="E306" s="4" t="s">
        <v>1305</v>
      </c>
      <c r="F306" s="4" t="s">
        <v>1528</v>
      </c>
      <c r="G306" s="4" t="s">
        <v>1529</v>
      </c>
      <c r="H306" s="4" t="s">
        <v>319</v>
      </c>
      <c r="I306" s="4" t="s">
        <v>931</v>
      </c>
      <c r="J306" s="4" t="s">
        <v>31</v>
      </c>
      <c r="K306" s="4" t="s">
        <v>31</v>
      </c>
      <c r="L306" s="2" t="s">
        <v>325</v>
      </c>
      <c r="M306" s="2" t="s">
        <v>40</v>
      </c>
      <c r="N306" s="4" t="s">
        <v>461</v>
      </c>
      <c r="O306" s="4" t="s">
        <v>136</v>
      </c>
      <c r="P306" s="4" t="s">
        <v>35</v>
      </c>
      <c r="Q306" s="154">
        <v>183</v>
      </c>
      <c r="R306" s="154">
        <v>1</v>
      </c>
      <c r="S306" s="154">
        <v>26899.999999999996</v>
      </c>
      <c r="T306" s="161">
        <v>0.46200000000000002</v>
      </c>
      <c r="U306" s="154">
        <v>49.689</v>
      </c>
      <c r="V306" s="169">
        <v>3.9999999999999998E-6</v>
      </c>
      <c r="W306" s="169">
        <v>1.2021538420246501E-2</v>
      </c>
      <c r="X306" s="169">
        <v>1.43239038343726E-3</v>
      </c>
      <c r="Y306" s="154">
        <v>26900</v>
      </c>
      <c r="Z306" s="193">
        <f t="shared" si="4"/>
        <v>26899.999999999996</v>
      </c>
    </row>
    <row r="307" spans="1:26">
      <c r="A307" s="4" t="s">
        <v>26</v>
      </c>
      <c r="B307" s="4">
        <v>9964</v>
      </c>
      <c r="C307" s="4" t="s">
        <v>1530</v>
      </c>
      <c r="D307" s="4" t="s">
        <v>1531</v>
      </c>
      <c r="E307" s="4" t="s">
        <v>1305</v>
      </c>
      <c r="F307" s="4" t="s">
        <v>1532</v>
      </c>
      <c r="G307" s="4" t="s">
        <v>1533</v>
      </c>
      <c r="H307" s="4" t="s">
        <v>319</v>
      </c>
      <c r="I307" s="4" t="s">
        <v>931</v>
      </c>
      <c r="J307" s="4" t="s">
        <v>31</v>
      </c>
      <c r="K307" s="4" t="s">
        <v>31</v>
      </c>
      <c r="L307" s="2" t="s">
        <v>325</v>
      </c>
      <c r="M307" s="2" t="s">
        <v>40</v>
      </c>
      <c r="N307" s="4" t="s">
        <v>442</v>
      </c>
      <c r="O307" s="4" t="s">
        <v>136</v>
      </c>
      <c r="P307" s="4" t="s">
        <v>35</v>
      </c>
      <c r="Q307" s="154">
        <v>693</v>
      </c>
      <c r="R307" s="154">
        <v>1</v>
      </c>
      <c r="S307" s="154">
        <v>9800</v>
      </c>
      <c r="U307" s="154">
        <v>67.914000000000001</v>
      </c>
      <c r="V307" s="169">
        <v>1.1E-5</v>
      </c>
      <c r="W307" s="169">
        <v>1.6430778500009801E-2</v>
      </c>
      <c r="X307" s="169">
        <v>1.9577601712077002E-3</v>
      </c>
      <c r="Y307" s="154">
        <v>9800</v>
      </c>
      <c r="Z307" s="193">
        <f t="shared" si="4"/>
        <v>9800</v>
      </c>
    </row>
    <row r="308" spans="1:26">
      <c r="A308" s="4" t="s">
        <v>26</v>
      </c>
      <c r="B308" s="4">
        <v>9964</v>
      </c>
      <c r="C308" s="4" t="s">
        <v>1534</v>
      </c>
      <c r="D308" s="4" t="s">
        <v>1535</v>
      </c>
      <c r="E308" s="4" t="s">
        <v>1305</v>
      </c>
      <c r="F308" s="4" t="s">
        <v>1536</v>
      </c>
      <c r="G308" s="4" t="s">
        <v>1537</v>
      </c>
      <c r="H308" s="4" t="s">
        <v>319</v>
      </c>
      <c r="I308" s="4" t="s">
        <v>931</v>
      </c>
      <c r="J308" s="4" t="s">
        <v>73</v>
      </c>
      <c r="K308" s="4" t="s">
        <v>74</v>
      </c>
      <c r="L308" s="2" t="s">
        <v>325</v>
      </c>
      <c r="M308" s="2" t="s">
        <v>40</v>
      </c>
      <c r="N308" s="4" t="s">
        <v>451</v>
      </c>
      <c r="O308" s="4" t="s">
        <v>136</v>
      </c>
      <c r="P308" s="4" t="s">
        <v>35</v>
      </c>
      <c r="Q308" s="154">
        <v>2242</v>
      </c>
      <c r="R308" s="154">
        <v>1</v>
      </c>
      <c r="S308" s="154">
        <v>4169.9821587867973</v>
      </c>
      <c r="U308" s="154">
        <v>93.491</v>
      </c>
      <c r="V308" s="169">
        <v>2.4000000000000001E-5</v>
      </c>
      <c r="W308" s="169">
        <v>2.2618848618190902E-2</v>
      </c>
      <c r="X308" s="169">
        <v>2.6950811212776101E-3</v>
      </c>
      <c r="Y308" s="154">
        <v>4170</v>
      </c>
      <c r="Z308" s="193">
        <f t="shared" si="4"/>
        <v>4169.9821587867973</v>
      </c>
    </row>
    <row r="309" spans="1:26">
      <c r="A309" s="4" t="s">
        <v>26</v>
      </c>
      <c r="B309" s="4">
        <v>9964</v>
      </c>
      <c r="C309" s="4" t="s">
        <v>1318</v>
      </c>
      <c r="D309" s="4" t="s">
        <v>1319</v>
      </c>
      <c r="E309" s="4" t="s">
        <v>1305</v>
      </c>
      <c r="F309" s="4" t="s">
        <v>1542</v>
      </c>
      <c r="G309" s="4" t="s">
        <v>1543</v>
      </c>
      <c r="H309" s="4" t="s">
        <v>319</v>
      </c>
      <c r="I309" s="4" t="s">
        <v>931</v>
      </c>
      <c r="J309" s="4" t="s">
        <v>31</v>
      </c>
      <c r="K309" s="4" t="s">
        <v>31</v>
      </c>
      <c r="L309" s="2" t="s">
        <v>325</v>
      </c>
      <c r="M309" s="2" t="s">
        <v>40</v>
      </c>
      <c r="N309" s="4" t="s">
        <v>438</v>
      </c>
      <c r="O309" s="4" t="s">
        <v>136</v>
      </c>
      <c r="P309" s="4" t="s">
        <v>35</v>
      </c>
      <c r="Q309" s="154">
        <v>721</v>
      </c>
      <c r="R309" s="154">
        <v>1</v>
      </c>
      <c r="S309" s="154">
        <v>8908.0443828016651</v>
      </c>
      <c r="U309" s="154">
        <v>64.227000000000004</v>
      </c>
      <c r="V309" s="169">
        <v>2.0000000000000002E-5</v>
      </c>
      <c r="W309" s="169">
        <v>1.5538686469225901E-2</v>
      </c>
      <c r="X309" s="169">
        <v>1.8514656187664099E-3</v>
      </c>
      <c r="Y309" s="154">
        <v>8908</v>
      </c>
      <c r="Z309" s="193">
        <f t="shared" si="4"/>
        <v>8908.0443828016651</v>
      </c>
    </row>
    <row r="310" spans="1:26">
      <c r="A310" s="4" t="s">
        <v>26</v>
      </c>
      <c r="B310" s="4">
        <v>9964</v>
      </c>
      <c r="C310" s="4" t="s">
        <v>1544</v>
      </c>
      <c r="D310" s="4" t="s">
        <v>1545</v>
      </c>
      <c r="E310" s="4" t="s">
        <v>1305</v>
      </c>
      <c r="F310" s="4" t="s">
        <v>1546</v>
      </c>
      <c r="G310" s="4" t="s">
        <v>1547</v>
      </c>
      <c r="H310" s="4" t="s">
        <v>319</v>
      </c>
      <c r="I310" s="4" t="s">
        <v>931</v>
      </c>
      <c r="J310" s="4" t="s">
        <v>31</v>
      </c>
      <c r="K310" s="4" t="s">
        <v>31</v>
      </c>
      <c r="L310" s="2" t="s">
        <v>325</v>
      </c>
      <c r="M310" s="2" t="s">
        <v>40</v>
      </c>
      <c r="N310" s="4" t="s">
        <v>451</v>
      </c>
      <c r="O310" s="4" t="s">
        <v>136</v>
      </c>
      <c r="P310" s="4" t="s">
        <v>35</v>
      </c>
      <c r="Q310" s="154">
        <v>7556</v>
      </c>
      <c r="R310" s="154">
        <v>1</v>
      </c>
      <c r="S310" s="154">
        <v>935.29645314981474</v>
      </c>
      <c r="T310" s="161">
        <v>1.448</v>
      </c>
      <c r="U310" s="154">
        <v>72.119</v>
      </c>
      <c r="V310" s="169">
        <v>6.0000000000000002E-6</v>
      </c>
      <c r="W310" s="169">
        <v>1.74481077370983E-2</v>
      </c>
      <c r="X310" s="169">
        <v>2.0789769876461799E-3</v>
      </c>
      <c r="Y310" s="154">
        <v>935.3</v>
      </c>
      <c r="Z310" s="193">
        <f t="shared" si="4"/>
        <v>935.29645314981474</v>
      </c>
    </row>
    <row r="311" spans="1:26">
      <c r="A311" s="4" t="s">
        <v>26</v>
      </c>
      <c r="B311" s="4">
        <v>9964</v>
      </c>
      <c r="C311" s="4" t="s">
        <v>1548</v>
      </c>
      <c r="D311" s="4" t="s">
        <v>1549</v>
      </c>
      <c r="E311" s="4" t="s">
        <v>1305</v>
      </c>
      <c r="F311" s="4" t="s">
        <v>1550</v>
      </c>
      <c r="G311" s="4" t="s">
        <v>1551</v>
      </c>
      <c r="H311" s="4" t="s">
        <v>319</v>
      </c>
      <c r="I311" s="4" t="s">
        <v>931</v>
      </c>
      <c r="J311" s="4" t="s">
        <v>31</v>
      </c>
      <c r="K311" s="4" t="s">
        <v>31</v>
      </c>
      <c r="L311" s="2" t="s">
        <v>325</v>
      </c>
      <c r="M311" s="2" t="s">
        <v>40</v>
      </c>
      <c r="N311" s="4" t="s">
        <v>478</v>
      </c>
      <c r="O311" s="4" t="s">
        <v>136</v>
      </c>
      <c r="P311" s="4" t="s">
        <v>35</v>
      </c>
      <c r="Q311" s="154">
        <v>78</v>
      </c>
      <c r="R311" s="154">
        <v>1</v>
      </c>
      <c r="S311" s="154">
        <v>95150</v>
      </c>
      <c r="U311" s="154">
        <v>74.216999999999999</v>
      </c>
      <c r="V311" s="169">
        <v>9.9999999999999995E-7</v>
      </c>
      <c r="W311" s="169">
        <v>1.7955695260700701E-2</v>
      </c>
      <c r="X311" s="169">
        <v>2.13945705784554E-3</v>
      </c>
      <c r="Y311" s="154">
        <v>95150</v>
      </c>
      <c r="Z311" s="193">
        <f t="shared" si="4"/>
        <v>95150</v>
      </c>
    </row>
    <row r="312" spans="1:26">
      <c r="A312" s="4" t="s">
        <v>26</v>
      </c>
      <c r="B312" s="4">
        <v>9964</v>
      </c>
      <c r="C312" s="4" t="s">
        <v>1552</v>
      </c>
      <c r="D312" s="4" t="s">
        <v>1553</v>
      </c>
      <c r="E312" s="4" t="s">
        <v>1305</v>
      </c>
      <c r="F312" s="4" t="s">
        <v>1554</v>
      </c>
      <c r="G312" s="4" t="s">
        <v>1555</v>
      </c>
      <c r="H312" s="4" t="s">
        <v>319</v>
      </c>
      <c r="I312" s="4" t="s">
        <v>931</v>
      </c>
      <c r="J312" s="4" t="s">
        <v>31</v>
      </c>
      <c r="K312" s="4" t="s">
        <v>31</v>
      </c>
      <c r="L312" s="2" t="s">
        <v>325</v>
      </c>
      <c r="M312" s="2" t="s">
        <v>40</v>
      </c>
      <c r="N312" s="4" t="s">
        <v>461</v>
      </c>
      <c r="O312" s="4" t="s">
        <v>136</v>
      </c>
      <c r="P312" s="4" t="s">
        <v>35</v>
      </c>
      <c r="Q312" s="154">
        <v>323</v>
      </c>
      <c r="R312" s="154">
        <v>1</v>
      </c>
      <c r="S312" s="154">
        <v>22539.938080495354</v>
      </c>
      <c r="U312" s="154">
        <v>72.804000000000002</v>
      </c>
      <c r="V312" s="169">
        <v>4.3999999999999999E-5</v>
      </c>
      <c r="W312" s="169">
        <v>1.7613889390558801E-2</v>
      </c>
      <c r="X312" s="169">
        <v>2.09873020373766E-3</v>
      </c>
      <c r="Y312" s="154">
        <v>22540</v>
      </c>
      <c r="Z312" s="193">
        <f t="shared" si="4"/>
        <v>22539.938080495354</v>
      </c>
    </row>
    <row r="313" spans="1:26">
      <c r="A313" s="4" t="s">
        <v>26</v>
      </c>
      <c r="B313" s="4">
        <v>9964</v>
      </c>
      <c r="C313" s="4" t="s">
        <v>1556</v>
      </c>
      <c r="D313" s="4" t="s">
        <v>1557</v>
      </c>
      <c r="E313" s="4" t="s">
        <v>1305</v>
      </c>
      <c r="F313" s="4" t="s">
        <v>1556</v>
      </c>
      <c r="G313" s="4" t="s">
        <v>1558</v>
      </c>
      <c r="H313" s="4" t="s">
        <v>319</v>
      </c>
      <c r="I313" s="4" t="s">
        <v>931</v>
      </c>
      <c r="J313" s="4" t="s">
        <v>31</v>
      </c>
      <c r="K313" s="4" t="s">
        <v>31</v>
      </c>
      <c r="L313" s="2" t="s">
        <v>325</v>
      </c>
      <c r="M313" s="2" t="s">
        <v>40</v>
      </c>
      <c r="N313" s="4" t="s">
        <v>436</v>
      </c>
      <c r="O313" s="4" t="s">
        <v>136</v>
      </c>
      <c r="P313" s="4" t="s">
        <v>35</v>
      </c>
      <c r="Q313" s="154">
        <v>3900</v>
      </c>
      <c r="R313" s="154">
        <v>1</v>
      </c>
      <c r="S313" s="154">
        <v>4273</v>
      </c>
      <c r="U313" s="154">
        <v>166.64699999999999</v>
      </c>
      <c r="V313" s="169">
        <v>4.8999999999999998E-5</v>
      </c>
      <c r="W313" s="169">
        <v>4.0317753993155001E-2</v>
      </c>
      <c r="X313" s="169">
        <v>4.80394114985496E-3</v>
      </c>
      <c r="Y313" s="154">
        <v>4273</v>
      </c>
      <c r="Z313" s="193">
        <f t="shared" si="4"/>
        <v>4273</v>
      </c>
    </row>
    <row r="314" spans="1:26">
      <c r="A314" s="4" t="s">
        <v>26</v>
      </c>
      <c r="B314" s="4">
        <v>9964</v>
      </c>
      <c r="C314" s="4" t="s">
        <v>1559</v>
      </c>
      <c r="D314" s="4" t="s">
        <v>1560</v>
      </c>
      <c r="E314" s="4" t="s">
        <v>1305</v>
      </c>
      <c r="F314" s="4" t="s">
        <v>1561</v>
      </c>
      <c r="G314" s="4" t="s">
        <v>1562</v>
      </c>
      <c r="H314" s="4" t="s">
        <v>319</v>
      </c>
      <c r="I314" s="4" t="s">
        <v>931</v>
      </c>
      <c r="J314" s="4" t="s">
        <v>31</v>
      </c>
      <c r="K314" s="4" t="s">
        <v>31</v>
      </c>
      <c r="L314" s="2" t="s">
        <v>325</v>
      </c>
      <c r="M314" s="2" t="s">
        <v>40</v>
      </c>
      <c r="N314" s="4" t="s">
        <v>438</v>
      </c>
      <c r="O314" s="4" t="s">
        <v>136</v>
      </c>
      <c r="P314" s="4" t="s">
        <v>35</v>
      </c>
      <c r="Q314" s="154">
        <v>951</v>
      </c>
      <c r="R314" s="154">
        <v>1</v>
      </c>
      <c r="S314" s="154">
        <v>3478.0231335436383</v>
      </c>
      <c r="U314" s="154">
        <v>33.076000000000001</v>
      </c>
      <c r="V314" s="169">
        <v>6.7999999999999999E-5</v>
      </c>
      <c r="W314" s="169">
        <v>8.00219122559492E-3</v>
      </c>
      <c r="X314" s="169">
        <v>9.5347711393274203E-4</v>
      </c>
      <c r="Y314" s="154">
        <v>3478</v>
      </c>
      <c r="Z314" s="193">
        <f t="shared" si="4"/>
        <v>3478.0231335436383</v>
      </c>
    </row>
    <row r="315" spans="1:26">
      <c r="A315" s="4" t="s">
        <v>26</v>
      </c>
      <c r="B315" s="4">
        <v>9964</v>
      </c>
      <c r="C315" s="4" t="s">
        <v>1567</v>
      </c>
      <c r="D315" s="4" t="s">
        <v>1568</v>
      </c>
      <c r="E315" s="4" t="s">
        <v>1305</v>
      </c>
      <c r="F315" s="4" t="s">
        <v>1569</v>
      </c>
      <c r="G315" s="4" t="s">
        <v>1570</v>
      </c>
      <c r="H315" s="4" t="s">
        <v>319</v>
      </c>
      <c r="I315" s="4" t="s">
        <v>931</v>
      </c>
      <c r="J315" s="4" t="s">
        <v>31</v>
      </c>
      <c r="K315" s="4" t="s">
        <v>31</v>
      </c>
      <c r="L315" s="2" t="s">
        <v>325</v>
      </c>
      <c r="M315" s="2" t="s">
        <v>40</v>
      </c>
      <c r="N315" s="4" t="s">
        <v>459</v>
      </c>
      <c r="O315" s="4" t="s">
        <v>136</v>
      </c>
      <c r="P315" s="4" t="s">
        <v>35</v>
      </c>
      <c r="Q315" s="154">
        <v>291</v>
      </c>
      <c r="R315" s="154">
        <v>1</v>
      </c>
      <c r="S315" s="154">
        <v>13100</v>
      </c>
      <c r="U315" s="154">
        <v>38.121000000000002</v>
      </c>
      <c r="V315" s="169">
        <v>2.4000000000000001E-5</v>
      </c>
      <c r="W315" s="169">
        <v>9.2228068910515208E-3</v>
      </c>
      <c r="X315" s="169">
        <v>1.0989159155197601E-3</v>
      </c>
      <c r="Y315" s="154">
        <v>13100</v>
      </c>
      <c r="Z315" s="193">
        <f t="shared" si="4"/>
        <v>13100</v>
      </c>
    </row>
    <row r="316" spans="1:26">
      <c r="A316" s="4" t="s">
        <v>26</v>
      </c>
      <c r="B316" s="4">
        <v>9964</v>
      </c>
      <c r="C316" s="4" t="s">
        <v>1371</v>
      </c>
      <c r="D316" s="4" t="s">
        <v>1372</v>
      </c>
      <c r="E316" s="4" t="s">
        <v>1305</v>
      </c>
      <c r="F316" s="4" t="s">
        <v>1373</v>
      </c>
      <c r="G316" s="4" t="s">
        <v>1374</v>
      </c>
      <c r="H316" s="4" t="s">
        <v>319</v>
      </c>
      <c r="I316" s="4" t="s">
        <v>931</v>
      </c>
      <c r="J316" s="4" t="s">
        <v>31</v>
      </c>
      <c r="K316" s="4" t="s">
        <v>31</v>
      </c>
      <c r="L316" s="2" t="s">
        <v>325</v>
      </c>
      <c r="M316" s="2" t="s">
        <v>40</v>
      </c>
      <c r="N316" s="4" t="s">
        <v>461</v>
      </c>
      <c r="O316" s="4" t="s">
        <v>136</v>
      </c>
      <c r="P316" s="4" t="s">
        <v>35</v>
      </c>
      <c r="Q316" s="154">
        <v>126</v>
      </c>
      <c r="R316" s="154">
        <v>1</v>
      </c>
      <c r="S316" s="154">
        <v>26610.317460317463</v>
      </c>
      <c r="U316" s="154">
        <v>33.529000000000003</v>
      </c>
      <c r="V316" s="169">
        <v>9.9999999999999995E-7</v>
      </c>
      <c r="W316" s="169">
        <v>8.1117442650326596E-3</v>
      </c>
      <c r="X316" s="169">
        <v>9.6653057803037005E-4</v>
      </c>
      <c r="Y316" s="154">
        <v>26610</v>
      </c>
      <c r="Z316" s="193">
        <f t="shared" si="4"/>
        <v>26610.317460317463</v>
      </c>
    </row>
    <row r="317" spans="1:26">
      <c r="A317" s="4" t="s">
        <v>26</v>
      </c>
      <c r="B317" s="4">
        <v>9964</v>
      </c>
      <c r="C317" s="4" t="s">
        <v>1571</v>
      </c>
      <c r="D317" s="4" t="s">
        <v>1572</v>
      </c>
      <c r="E317" s="4" t="s">
        <v>1305</v>
      </c>
      <c r="F317" s="4" t="s">
        <v>1573</v>
      </c>
      <c r="G317" s="4" t="s">
        <v>1574</v>
      </c>
      <c r="H317" s="4" t="s">
        <v>319</v>
      </c>
      <c r="I317" s="4" t="s">
        <v>931</v>
      </c>
      <c r="J317" s="4" t="s">
        <v>31</v>
      </c>
      <c r="K317" s="4" t="s">
        <v>31</v>
      </c>
      <c r="L317" s="2" t="s">
        <v>325</v>
      </c>
      <c r="M317" s="2" t="s">
        <v>40</v>
      </c>
      <c r="N317" s="4" t="s">
        <v>478</v>
      </c>
      <c r="O317" s="4" t="s">
        <v>136</v>
      </c>
      <c r="P317" s="4" t="s">
        <v>35</v>
      </c>
      <c r="Q317" s="154">
        <v>2079</v>
      </c>
      <c r="R317" s="154">
        <v>1</v>
      </c>
      <c r="S317" s="154">
        <v>522.89562289562286</v>
      </c>
      <c r="U317" s="154">
        <v>10.871</v>
      </c>
      <c r="V317" s="169">
        <v>1.47E-4</v>
      </c>
      <c r="W317" s="169">
        <v>2.6300981870372802E-3</v>
      </c>
      <c r="X317" s="169">
        <v>3.1338146740546102E-4</v>
      </c>
      <c r="Y317" s="154">
        <v>522.9</v>
      </c>
      <c r="Z317" s="193">
        <f t="shared" si="4"/>
        <v>522.89562289562286</v>
      </c>
    </row>
    <row r="318" spans="1:26">
      <c r="A318" s="4" t="s">
        <v>26</v>
      </c>
      <c r="B318" s="4">
        <v>9964</v>
      </c>
      <c r="C318" s="4" t="s">
        <v>1575</v>
      </c>
      <c r="D318" s="4" t="s">
        <v>1576</v>
      </c>
      <c r="E318" s="4" t="s">
        <v>1305</v>
      </c>
      <c r="F318" s="4" t="s">
        <v>1577</v>
      </c>
      <c r="G318" s="4" t="s">
        <v>1578</v>
      </c>
      <c r="H318" s="4" t="s">
        <v>319</v>
      </c>
      <c r="I318" s="4" t="s">
        <v>931</v>
      </c>
      <c r="J318" s="4" t="s">
        <v>31</v>
      </c>
      <c r="K318" s="4" t="s">
        <v>31</v>
      </c>
      <c r="L318" s="2" t="s">
        <v>325</v>
      </c>
      <c r="M318" s="2" t="s">
        <v>40</v>
      </c>
      <c r="N318" s="4" t="s">
        <v>445</v>
      </c>
      <c r="O318" s="4" t="s">
        <v>136</v>
      </c>
      <c r="P318" s="4" t="s">
        <v>35</v>
      </c>
      <c r="Q318" s="154">
        <v>2002</v>
      </c>
      <c r="R318" s="154">
        <v>1</v>
      </c>
      <c r="S318" s="154">
        <v>3499.9999999999995</v>
      </c>
      <c r="T318" s="161">
        <v>0.52700000000000002</v>
      </c>
      <c r="U318" s="154">
        <v>70.596999999999994</v>
      </c>
      <c r="V318" s="169">
        <v>9.9999999999999995E-7</v>
      </c>
      <c r="W318" s="169">
        <v>1.70798830409317E-2</v>
      </c>
      <c r="X318" s="169">
        <v>2.0351022774972001E-3</v>
      </c>
      <c r="Y318" s="154">
        <v>3500</v>
      </c>
      <c r="Z318" s="193">
        <f t="shared" si="4"/>
        <v>3499.9999999999995</v>
      </c>
    </row>
    <row r="319" spans="1:26">
      <c r="A319" s="4" t="s">
        <v>26</v>
      </c>
      <c r="B319" s="4">
        <v>9964</v>
      </c>
      <c r="C319" s="4" t="s">
        <v>1579</v>
      </c>
      <c r="D319" s="4" t="s">
        <v>1580</v>
      </c>
      <c r="E319" s="4" t="s">
        <v>1305</v>
      </c>
      <c r="F319" s="4" t="s">
        <v>1581</v>
      </c>
      <c r="G319" s="4" t="s">
        <v>1582</v>
      </c>
      <c r="H319" s="4" t="s">
        <v>319</v>
      </c>
      <c r="I319" s="4" t="s">
        <v>931</v>
      </c>
      <c r="J319" s="4" t="s">
        <v>31</v>
      </c>
      <c r="K319" s="4" t="s">
        <v>31</v>
      </c>
      <c r="L319" s="2" t="s">
        <v>325</v>
      </c>
      <c r="M319" s="2" t="s">
        <v>40</v>
      </c>
      <c r="N319" s="4" t="s">
        <v>474</v>
      </c>
      <c r="O319" s="4" t="s">
        <v>136</v>
      </c>
      <c r="P319" s="4" t="s">
        <v>35</v>
      </c>
      <c r="Q319" s="154">
        <v>121</v>
      </c>
      <c r="R319" s="154">
        <v>1</v>
      </c>
      <c r="S319" s="154">
        <v>30029.7520661157</v>
      </c>
      <c r="U319" s="154">
        <v>36.335999999999999</v>
      </c>
      <c r="V319" s="169">
        <v>7.9999999999999996E-6</v>
      </c>
      <c r="W319" s="169">
        <v>8.7910253675222393E-3</v>
      </c>
      <c r="X319" s="169">
        <v>1.0474682820781299E-3</v>
      </c>
      <c r="Y319" s="154">
        <v>30030</v>
      </c>
      <c r="Z319" s="193">
        <f t="shared" si="4"/>
        <v>30029.7520661157</v>
      </c>
    </row>
    <row r="320" spans="1:26">
      <c r="A320" s="4" t="s">
        <v>26</v>
      </c>
      <c r="B320" s="4">
        <v>9964</v>
      </c>
      <c r="C320" s="4" t="s">
        <v>1583</v>
      </c>
      <c r="D320" s="4" t="s">
        <v>1584</v>
      </c>
      <c r="E320" s="4" t="s">
        <v>1305</v>
      </c>
      <c r="F320" s="4" t="s">
        <v>1585</v>
      </c>
      <c r="G320" s="4" t="s">
        <v>1586</v>
      </c>
      <c r="H320" s="4" t="s">
        <v>319</v>
      </c>
      <c r="I320" s="4" t="s">
        <v>931</v>
      </c>
      <c r="J320" s="4" t="s">
        <v>31</v>
      </c>
      <c r="K320" s="4" t="s">
        <v>31</v>
      </c>
      <c r="L320" s="2" t="s">
        <v>325</v>
      </c>
      <c r="M320" s="2" t="s">
        <v>40</v>
      </c>
      <c r="N320" s="4" t="s">
        <v>437</v>
      </c>
      <c r="O320" s="4" t="s">
        <v>136</v>
      </c>
      <c r="P320" s="4" t="s">
        <v>35</v>
      </c>
      <c r="Q320" s="154">
        <v>645</v>
      </c>
      <c r="R320" s="154">
        <v>1</v>
      </c>
      <c r="S320" s="154">
        <v>8895.9689922480611</v>
      </c>
      <c r="U320" s="154">
        <v>57.378999999999998</v>
      </c>
      <c r="V320" s="169">
        <v>5.1999999999999997E-5</v>
      </c>
      <c r="W320" s="169">
        <v>1.38820409003705E-2</v>
      </c>
      <c r="X320" s="169">
        <v>1.65407298076628E-3</v>
      </c>
      <c r="Y320" s="154">
        <v>8896</v>
      </c>
      <c r="Z320" s="193">
        <f t="shared" si="4"/>
        <v>8895.9689922480611</v>
      </c>
    </row>
    <row r="321" spans="1:26">
      <c r="A321" s="4" t="s">
        <v>26</v>
      </c>
      <c r="B321" s="4">
        <v>9964</v>
      </c>
      <c r="C321" s="4" t="s">
        <v>1587</v>
      </c>
      <c r="D321" s="4" t="s">
        <v>1588</v>
      </c>
      <c r="E321" s="4" t="s">
        <v>1305</v>
      </c>
      <c r="F321" s="4" t="s">
        <v>1589</v>
      </c>
      <c r="G321" s="4" t="s">
        <v>1590</v>
      </c>
      <c r="H321" s="4" t="s">
        <v>319</v>
      </c>
      <c r="I321" s="4" t="s">
        <v>931</v>
      </c>
      <c r="J321" s="4" t="s">
        <v>31</v>
      </c>
      <c r="K321" s="4" t="s">
        <v>31</v>
      </c>
      <c r="L321" s="2" t="s">
        <v>325</v>
      </c>
      <c r="M321" s="2" t="s">
        <v>40</v>
      </c>
      <c r="N321" s="4" t="s">
        <v>458</v>
      </c>
      <c r="O321" s="4" t="s">
        <v>136</v>
      </c>
      <c r="P321" s="4" t="s">
        <v>35</v>
      </c>
      <c r="Q321" s="154">
        <v>119</v>
      </c>
      <c r="R321" s="154">
        <v>1</v>
      </c>
      <c r="S321" s="154">
        <v>48200</v>
      </c>
      <c r="U321" s="154">
        <v>57.357999999999997</v>
      </c>
      <c r="V321" s="169">
        <v>6.9999999999999999E-6</v>
      </c>
      <c r="W321" s="169">
        <v>1.3876911876837801E-2</v>
      </c>
      <c r="X321" s="169">
        <v>1.65346184733827E-3</v>
      </c>
      <c r="Y321" s="154">
        <v>48200</v>
      </c>
      <c r="Z321" s="193">
        <f t="shared" si="4"/>
        <v>48200</v>
      </c>
    </row>
    <row r="322" spans="1:26">
      <c r="A322" s="4" t="s">
        <v>26</v>
      </c>
      <c r="B322" s="4">
        <v>9964</v>
      </c>
      <c r="C322" s="4" t="s">
        <v>1591</v>
      </c>
      <c r="D322" s="4" t="s">
        <v>1592</v>
      </c>
      <c r="E322" s="4" t="s">
        <v>1305</v>
      </c>
      <c r="F322" s="4" t="s">
        <v>1593</v>
      </c>
      <c r="G322" s="4" t="s">
        <v>1594</v>
      </c>
      <c r="H322" s="4" t="s">
        <v>319</v>
      </c>
      <c r="I322" s="4" t="s">
        <v>931</v>
      </c>
      <c r="J322" s="4" t="s">
        <v>31</v>
      </c>
      <c r="K322" s="4" t="s">
        <v>31</v>
      </c>
      <c r="L322" s="2" t="s">
        <v>325</v>
      </c>
      <c r="M322" s="2" t="s">
        <v>40</v>
      </c>
      <c r="N322" s="4" t="s">
        <v>455</v>
      </c>
      <c r="O322" s="4" t="s">
        <v>136</v>
      </c>
      <c r="P322" s="4" t="s">
        <v>35</v>
      </c>
      <c r="Q322" s="154">
        <v>400</v>
      </c>
      <c r="R322" s="154">
        <v>1</v>
      </c>
      <c r="S322" s="154">
        <v>30800</v>
      </c>
      <c r="U322" s="154">
        <v>123.2</v>
      </c>
      <c r="V322" s="169">
        <v>9.0000000000000002E-6</v>
      </c>
      <c r="W322" s="169">
        <v>2.9806400907047201E-2</v>
      </c>
      <c r="X322" s="169">
        <v>3.55149237407293E-3</v>
      </c>
      <c r="Y322" s="154">
        <v>30800</v>
      </c>
      <c r="Z322" s="193">
        <f t="shared" si="4"/>
        <v>30800</v>
      </c>
    </row>
    <row r="323" spans="1:26">
      <c r="A323" s="4" t="s">
        <v>26</v>
      </c>
      <c r="B323" s="4">
        <v>9964</v>
      </c>
      <c r="C323" s="4" t="s">
        <v>1595</v>
      </c>
      <c r="D323" s="4" t="s">
        <v>1596</v>
      </c>
      <c r="E323" s="4" t="s">
        <v>1305</v>
      </c>
      <c r="F323" s="4" t="s">
        <v>1597</v>
      </c>
      <c r="G323" s="4" t="s">
        <v>1598</v>
      </c>
      <c r="H323" s="4" t="s">
        <v>319</v>
      </c>
      <c r="I323" s="4" t="s">
        <v>931</v>
      </c>
      <c r="J323" s="4" t="s">
        <v>31</v>
      </c>
      <c r="K323" s="4" t="s">
        <v>31</v>
      </c>
      <c r="L323" s="2" t="s">
        <v>325</v>
      </c>
      <c r="M323" s="2" t="s">
        <v>40</v>
      </c>
      <c r="N323" s="4" t="s">
        <v>459</v>
      </c>
      <c r="O323" s="4" t="s">
        <v>136</v>
      </c>
      <c r="P323" s="4" t="s">
        <v>35</v>
      </c>
      <c r="Q323" s="154">
        <v>1998</v>
      </c>
      <c r="R323" s="154">
        <v>1</v>
      </c>
      <c r="S323" s="154">
        <v>1753.003003003003</v>
      </c>
      <c r="U323" s="154">
        <v>35.024999999999999</v>
      </c>
      <c r="V323" s="169">
        <v>2.1999999999999999E-5</v>
      </c>
      <c r="W323" s="169">
        <v>8.4737613911142397E-3</v>
      </c>
      <c r="X323" s="169">
        <v>1.00966564376917E-3</v>
      </c>
      <c r="Y323" s="154">
        <v>1753</v>
      </c>
      <c r="Z323" s="193">
        <f t="shared" ref="Z323:Z348" si="5">(U323-T323*R323)/R323/Q323*100000</f>
        <v>1753.003003003003</v>
      </c>
    </row>
    <row r="324" spans="1:26">
      <c r="A324" s="4" t="s">
        <v>26</v>
      </c>
      <c r="B324" s="4">
        <v>9964</v>
      </c>
      <c r="C324" s="4" t="s">
        <v>1599</v>
      </c>
      <c r="D324" s="4" t="s">
        <v>1600</v>
      </c>
      <c r="E324" s="4" t="s">
        <v>1305</v>
      </c>
      <c r="F324" s="4" t="s">
        <v>1601</v>
      </c>
      <c r="G324" s="4" t="s">
        <v>1602</v>
      </c>
      <c r="H324" s="4" t="s">
        <v>319</v>
      </c>
      <c r="I324" s="4" t="s">
        <v>931</v>
      </c>
      <c r="J324" s="4" t="s">
        <v>31</v>
      </c>
      <c r="K324" s="4" t="s">
        <v>31</v>
      </c>
      <c r="L324" s="2" t="s">
        <v>325</v>
      </c>
      <c r="M324" s="2" t="s">
        <v>40</v>
      </c>
      <c r="N324" s="4" t="s">
        <v>461</v>
      </c>
      <c r="O324" s="4" t="s">
        <v>136</v>
      </c>
      <c r="P324" s="4" t="s">
        <v>35</v>
      </c>
      <c r="Q324" s="154">
        <v>3974</v>
      </c>
      <c r="R324" s="154">
        <v>1</v>
      </c>
      <c r="S324" s="154">
        <v>1566.0040261701056</v>
      </c>
      <c r="U324" s="154">
        <v>62.232999999999997</v>
      </c>
      <c r="V324" s="169">
        <v>2.0000000000000002E-5</v>
      </c>
      <c r="W324" s="169">
        <v>1.50563066446763E-2</v>
      </c>
      <c r="X324" s="169">
        <v>1.79398909640341E-3</v>
      </c>
      <c r="Y324" s="154">
        <v>1566</v>
      </c>
      <c r="Z324" s="193">
        <f t="shared" si="5"/>
        <v>1566.0040261701056</v>
      </c>
    </row>
    <row r="325" spans="1:26">
      <c r="A325" s="4" t="s">
        <v>26</v>
      </c>
      <c r="B325" s="4">
        <v>9964</v>
      </c>
      <c r="C325" s="4" t="s">
        <v>1603</v>
      </c>
      <c r="D325" s="4" t="s">
        <v>1604</v>
      </c>
      <c r="E325" s="4" t="s">
        <v>1305</v>
      </c>
      <c r="F325" s="4" t="s">
        <v>1605</v>
      </c>
      <c r="G325" s="4" t="s">
        <v>1606</v>
      </c>
      <c r="H325" s="4" t="s">
        <v>319</v>
      </c>
      <c r="I325" s="4" t="s">
        <v>931</v>
      </c>
      <c r="J325" s="4" t="s">
        <v>31</v>
      </c>
      <c r="K325" s="4" t="s">
        <v>31</v>
      </c>
      <c r="L325" s="2" t="s">
        <v>325</v>
      </c>
      <c r="M325" s="2" t="s">
        <v>40</v>
      </c>
      <c r="N325" s="4" t="s">
        <v>473</v>
      </c>
      <c r="O325" s="4" t="s">
        <v>136</v>
      </c>
      <c r="P325" s="4" t="s">
        <v>35</v>
      </c>
      <c r="Q325" s="154">
        <v>238</v>
      </c>
      <c r="R325" s="154">
        <v>1</v>
      </c>
      <c r="S325" s="154">
        <v>9247.0588235294108</v>
      </c>
      <c r="U325" s="154">
        <v>22.007999999999999</v>
      </c>
      <c r="V325" s="169">
        <v>5.0000000000000004E-6</v>
      </c>
      <c r="W325" s="169">
        <v>5.3244732002124097E-3</v>
      </c>
      <c r="X325" s="169">
        <v>6.3442164739987495E-4</v>
      </c>
      <c r="Y325" s="154">
        <v>9247</v>
      </c>
      <c r="Z325" s="193">
        <f t="shared" si="5"/>
        <v>9247.0588235294108</v>
      </c>
    </row>
    <row r="326" spans="1:26">
      <c r="A326" s="4" t="s">
        <v>26</v>
      </c>
      <c r="B326" s="4">
        <v>9964</v>
      </c>
      <c r="C326" s="4" t="s">
        <v>1379</v>
      </c>
      <c r="D326" s="4" t="s">
        <v>1380</v>
      </c>
      <c r="E326" s="4" t="s">
        <v>1305</v>
      </c>
      <c r="F326" s="4" t="s">
        <v>1381</v>
      </c>
      <c r="G326" s="4" t="s">
        <v>1382</v>
      </c>
      <c r="H326" s="4" t="s">
        <v>319</v>
      </c>
      <c r="I326" s="4" t="s">
        <v>931</v>
      </c>
      <c r="J326" s="4" t="s">
        <v>31</v>
      </c>
      <c r="K326" s="4" t="s">
        <v>31</v>
      </c>
      <c r="L326" s="2" t="s">
        <v>325</v>
      </c>
      <c r="M326" s="2" t="s">
        <v>40</v>
      </c>
      <c r="N326" s="4" t="s">
        <v>473</v>
      </c>
      <c r="O326" s="4" t="s">
        <v>136</v>
      </c>
      <c r="P326" s="4" t="s">
        <v>35</v>
      </c>
      <c r="Q326" s="154">
        <v>145</v>
      </c>
      <c r="R326" s="154">
        <v>1</v>
      </c>
      <c r="S326" s="154">
        <v>22050.344827586207</v>
      </c>
      <c r="U326" s="154">
        <v>31.972999999999999</v>
      </c>
      <c r="V326" s="169">
        <v>1.1E-5</v>
      </c>
      <c r="W326" s="169">
        <v>7.7352690990305801E-3</v>
      </c>
      <c r="X326" s="169">
        <v>9.2167280787375499E-4</v>
      </c>
      <c r="Y326" s="154">
        <v>22050</v>
      </c>
      <c r="Z326" s="193">
        <f t="shared" si="5"/>
        <v>22050.344827586207</v>
      </c>
    </row>
    <row r="327" spans="1:26">
      <c r="A327" s="4" t="s">
        <v>26</v>
      </c>
      <c r="B327" s="4">
        <v>9964</v>
      </c>
      <c r="C327" s="4" t="s">
        <v>1383</v>
      </c>
      <c r="D327" s="4" t="s">
        <v>1384</v>
      </c>
      <c r="E327" s="4" t="s">
        <v>1305</v>
      </c>
      <c r="F327" s="4" t="s">
        <v>1385</v>
      </c>
      <c r="G327" s="4" t="s">
        <v>1386</v>
      </c>
      <c r="H327" s="4" t="s">
        <v>319</v>
      </c>
      <c r="I327" s="4" t="s">
        <v>931</v>
      </c>
      <c r="J327" s="4" t="s">
        <v>31</v>
      </c>
      <c r="K327" s="4" t="s">
        <v>31</v>
      </c>
      <c r="L327" s="2" t="s">
        <v>325</v>
      </c>
      <c r="M327" s="2" t="s">
        <v>40</v>
      </c>
      <c r="N327" s="4" t="s">
        <v>461</v>
      </c>
      <c r="O327" s="4" t="s">
        <v>136</v>
      </c>
      <c r="P327" s="4" t="s">
        <v>35</v>
      </c>
      <c r="Q327" s="154">
        <v>8912</v>
      </c>
      <c r="R327" s="154">
        <v>1</v>
      </c>
      <c r="S327" s="154">
        <v>266.20287253141834</v>
      </c>
      <c r="U327" s="154">
        <v>23.724</v>
      </c>
      <c r="V327" s="169">
        <v>6.0999999999999999E-5</v>
      </c>
      <c r="W327" s="169">
        <v>5.7396057198064602E-3</v>
      </c>
      <c r="X327" s="169">
        <v>6.8388551867255203E-4</v>
      </c>
      <c r="Y327" s="154">
        <v>266.2</v>
      </c>
      <c r="Z327" s="193">
        <f t="shared" si="5"/>
        <v>266.20287253141834</v>
      </c>
    </row>
    <row r="328" spans="1:26">
      <c r="A328" s="4" t="s">
        <v>26</v>
      </c>
      <c r="B328" s="4">
        <v>9964</v>
      </c>
      <c r="C328" s="4" t="s">
        <v>1607</v>
      </c>
      <c r="D328" s="4" t="s">
        <v>1608</v>
      </c>
      <c r="E328" s="4" t="s">
        <v>1305</v>
      </c>
      <c r="F328" s="4" t="s">
        <v>1609</v>
      </c>
      <c r="G328" s="4" t="s">
        <v>1610</v>
      </c>
      <c r="H328" s="4" t="s">
        <v>319</v>
      </c>
      <c r="I328" s="4" t="s">
        <v>931</v>
      </c>
      <c r="J328" s="4" t="s">
        <v>31</v>
      </c>
      <c r="K328" s="4" t="s">
        <v>31</v>
      </c>
      <c r="L328" s="2" t="s">
        <v>325</v>
      </c>
      <c r="M328" s="2" t="s">
        <v>40</v>
      </c>
      <c r="N328" s="4" t="s">
        <v>451</v>
      </c>
      <c r="O328" s="4" t="s">
        <v>136</v>
      </c>
      <c r="P328" s="4" t="s">
        <v>35</v>
      </c>
      <c r="Q328" s="154">
        <v>15116</v>
      </c>
      <c r="R328" s="154">
        <v>1</v>
      </c>
      <c r="S328" s="154">
        <v>302.79835935432652</v>
      </c>
      <c r="U328" s="154">
        <v>45.771000000000001</v>
      </c>
      <c r="V328" s="169">
        <v>1.2999999999999999E-5</v>
      </c>
      <c r="W328" s="169">
        <v>1.1073670194025E-2</v>
      </c>
      <c r="X328" s="169">
        <v>1.3194499855827999E-3</v>
      </c>
      <c r="Y328" s="154">
        <v>302.8</v>
      </c>
      <c r="Z328" s="193">
        <f t="shared" si="5"/>
        <v>302.79835935432652</v>
      </c>
    </row>
    <row r="329" spans="1:26">
      <c r="A329" s="4" t="s">
        <v>26</v>
      </c>
      <c r="B329" s="4">
        <v>9964</v>
      </c>
      <c r="C329" s="4" t="s">
        <v>1611</v>
      </c>
      <c r="D329" s="4" t="s">
        <v>1612</v>
      </c>
      <c r="E329" s="4" t="s">
        <v>1305</v>
      </c>
      <c r="F329" s="4" t="s">
        <v>1613</v>
      </c>
      <c r="G329" s="4" t="s">
        <v>1614</v>
      </c>
      <c r="H329" s="4" t="s">
        <v>319</v>
      </c>
      <c r="I329" s="4" t="s">
        <v>931</v>
      </c>
      <c r="J329" s="4" t="s">
        <v>31</v>
      </c>
      <c r="K329" s="4" t="s">
        <v>31</v>
      </c>
      <c r="L329" s="2" t="s">
        <v>325</v>
      </c>
      <c r="M329" s="2" t="s">
        <v>40</v>
      </c>
      <c r="N329" s="4" t="s">
        <v>473</v>
      </c>
      <c r="O329" s="4" t="s">
        <v>136</v>
      </c>
      <c r="P329" s="4" t="s">
        <v>35</v>
      </c>
      <c r="Q329" s="154">
        <v>2816</v>
      </c>
      <c r="R329" s="154">
        <v>1</v>
      </c>
      <c r="S329" s="154">
        <v>2585.0142045454545</v>
      </c>
      <c r="U329" s="154">
        <v>72.793999999999997</v>
      </c>
      <c r="V329" s="169">
        <v>1.0000000000000001E-5</v>
      </c>
      <c r="W329" s="169">
        <v>1.7611324878792502E-2</v>
      </c>
      <c r="X329" s="169">
        <v>2.0984246370236602E-3</v>
      </c>
      <c r="Y329" s="154">
        <v>2585</v>
      </c>
      <c r="Z329" s="193">
        <f t="shared" si="5"/>
        <v>2585.0142045454545</v>
      </c>
    </row>
    <row r="330" spans="1:26">
      <c r="A330" s="4" t="s">
        <v>26</v>
      </c>
      <c r="B330" s="4">
        <v>9964</v>
      </c>
      <c r="C330" s="4" t="s">
        <v>1619</v>
      </c>
      <c r="D330" s="4" t="s">
        <v>1620</v>
      </c>
      <c r="E330" s="4" t="s">
        <v>312</v>
      </c>
      <c r="F330" s="4" t="s">
        <v>1621</v>
      </c>
      <c r="G330" s="4" t="s">
        <v>1622</v>
      </c>
      <c r="H330" s="4" t="s">
        <v>319</v>
      </c>
      <c r="I330" s="4" t="s">
        <v>931</v>
      </c>
      <c r="J330" s="4" t="s">
        <v>73</v>
      </c>
      <c r="K330" s="4" t="s">
        <v>74</v>
      </c>
      <c r="L330" s="2" t="s">
        <v>325</v>
      </c>
      <c r="M330" s="2" t="s">
        <v>344</v>
      </c>
      <c r="N330" s="4" t="s">
        <v>544</v>
      </c>
      <c r="O330" s="4" t="s">
        <v>136</v>
      </c>
      <c r="P330" s="4" t="s">
        <v>78</v>
      </c>
      <c r="Q330" s="154">
        <v>53</v>
      </c>
      <c r="R330" s="154">
        <v>3.681</v>
      </c>
      <c r="S330" s="154">
        <v>17148.231868903546</v>
      </c>
      <c r="U330" s="154">
        <v>33.454999999999998</v>
      </c>
      <c r="V330" s="169">
        <v>0</v>
      </c>
      <c r="W330" s="169">
        <v>8.0938284019622594E-3</v>
      </c>
      <c r="X330" s="169">
        <v>9.6439586705778695E-4</v>
      </c>
      <c r="Y330" s="154">
        <v>171.48</v>
      </c>
      <c r="Z330" s="193">
        <f t="shared" si="5"/>
        <v>17148.231868903546</v>
      </c>
    </row>
    <row r="331" spans="1:26">
      <c r="A331" s="4" t="s">
        <v>26</v>
      </c>
      <c r="B331" s="4">
        <v>9964</v>
      </c>
      <c r="C331" s="4" t="s">
        <v>1623</v>
      </c>
      <c r="D331" s="4" t="s">
        <v>1624</v>
      </c>
      <c r="E331" s="4" t="s">
        <v>312</v>
      </c>
      <c r="F331" s="4" t="s">
        <v>1625</v>
      </c>
      <c r="G331" s="4" t="s">
        <v>1626</v>
      </c>
      <c r="H331" s="4" t="s">
        <v>319</v>
      </c>
      <c r="I331" s="4" t="s">
        <v>931</v>
      </c>
      <c r="J331" s="4" t="s">
        <v>73</v>
      </c>
      <c r="K331" s="4" t="s">
        <v>74</v>
      </c>
      <c r="L331" s="2" t="s">
        <v>325</v>
      </c>
      <c r="M331" s="2" t="s">
        <v>342</v>
      </c>
      <c r="N331" s="4" t="s">
        <v>534</v>
      </c>
      <c r="O331" s="4" t="s">
        <v>136</v>
      </c>
      <c r="P331" s="4" t="s">
        <v>78</v>
      </c>
      <c r="Q331" s="154">
        <v>274</v>
      </c>
      <c r="R331" s="154">
        <v>3.681</v>
      </c>
      <c r="S331" s="154">
        <v>3792.0114535680368</v>
      </c>
      <c r="U331" s="154">
        <v>38.246000000000002</v>
      </c>
      <c r="V331" s="169">
        <v>0</v>
      </c>
      <c r="W331" s="169">
        <v>9.2530208267491594E-3</v>
      </c>
      <c r="X331" s="169">
        <v>1.10251596648047E-3</v>
      </c>
      <c r="Y331" s="154">
        <v>3792</v>
      </c>
      <c r="Z331" s="193">
        <f t="shared" si="5"/>
        <v>3792.0114535680368</v>
      </c>
    </row>
    <row r="332" spans="1:26">
      <c r="A332" s="4" t="s">
        <v>26</v>
      </c>
      <c r="B332" s="4">
        <v>9964</v>
      </c>
      <c r="C332" s="4" t="s">
        <v>1627</v>
      </c>
      <c r="D332" s="4" t="s">
        <v>1628</v>
      </c>
      <c r="E332" s="4" t="s">
        <v>312</v>
      </c>
      <c r="F332" s="4" t="s">
        <v>1629</v>
      </c>
      <c r="G332" s="4" t="s">
        <v>1630</v>
      </c>
      <c r="H332" s="4" t="s">
        <v>319</v>
      </c>
      <c r="I332" s="4" t="s">
        <v>931</v>
      </c>
      <c r="J332" s="4" t="s">
        <v>73</v>
      </c>
      <c r="L332" s="2" t="s">
        <v>325</v>
      </c>
      <c r="M332" s="2" t="s">
        <v>164</v>
      </c>
      <c r="N332" s="4" t="s">
        <v>1631</v>
      </c>
      <c r="O332" s="4" t="s">
        <v>136</v>
      </c>
      <c r="P332" s="4" t="s">
        <v>78</v>
      </c>
      <c r="Q332" s="154">
        <v>26</v>
      </c>
      <c r="R332" s="154">
        <v>3.681</v>
      </c>
      <c r="S332" s="154">
        <v>36643.4706288007</v>
      </c>
      <c r="U332" s="154">
        <v>35.07</v>
      </c>
      <c r="V332" s="169">
        <v>0</v>
      </c>
      <c r="W332" s="169">
        <v>8.4845540130766995E-3</v>
      </c>
      <c r="X332" s="169">
        <v>1.0109516062949901E-3</v>
      </c>
      <c r="Y332" s="154">
        <v>36643</v>
      </c>
      <c r="Z332" s="193">
        <f t="shared" si="5"/>
        <v>36643.4706288007</v>
      </c>
    </row>
    <row r="333" spans="1:26">
      <c r="A333" s="4" t="s">
        <v>26</v>
      </c>
      <c r="B333" s="4">
        <v>9964</v>
      </c>
      <c r="C333" s="4" t="s">
        <v>1632</v>
      </c>
      <c r="D333" s="4" t="s">
        <v>1633</v>
      </c>
      <c r="E333" s="4" t="s">
        <v>312</v>
      </c>
      <c r="F333" s="4" t="s">
        <v>1634</v>
      </c>
      <c r="G333" s="4" t="s">
        <v>1635</v>
      </c>
      <c r="H333" s="4" t="s">
        <v>319</v>
      </c>
      <c r="I333" s="4" t="s">
        <v>931</v>
      </c>
      <c r="J333" s="4" t="s">
        <v>73</v>
      </c>
      <c r="K333" s="4" t="s">
        <v>74</v>
      </c>
      <c r="L333" s="2" t="s">
        <v>325</v>
      </c>
      <c r="M333" s="2" t="s">
        <v>344</v>
      </c>
      <c r="N333" s="4" t="s">
        <v>547</v>
      </c>
      <c r="O333" s="4" t="s">
        <v>136</v>
      </c>
      <c r="P333" s="4" t="s">
        <v>78</v>
      </c>
      <c r="Q333" s="154">
        <v>38</v>
      </c>
      <c r="R333" s="154">
        <v>3.681</v>
      </c>
      <c r="S333" s="154">
        <v>48558.02913967886</v>
      </c>
      <c r="U333" s="154">
        <v>67.921999999999997</v>
      </c>
      <c r="V333" s="169">
        <v>0</v>
      </c>
      <c r="W333" s="169">
        <v>1.6432704119314599E-2</v>
      </c>
      <c r="X333" s="169">
        <v>1.9579896126051301E-3</v>
      </c>
      <c r="Y333" s="154">
        <v>48558</v>
      </c>
      <c r="Z333" s="193">
        <f t="shared" si="5"/>
        <v>48558.02913967886</v>
      </c>
    </row>
    <row r="334" spans="1:26">
      <c r="A334" s="4" t="s">
        <v>26</v>
      </c>
      <c r="B334" s="4">
        <v>9964</v>
      </c>
      <c r="C334" s="4" t="s">
        <v>1636</v>
      </c>
      <c r="D334" s="4" t="s">
        <v>1637</v>
      </c>
      <c r="E334" s="4" t="s">
        <v>312</v>
      </c>
      <c r="F334" s="4" t="s">
        <v>1638</v>
      </c>
      <c r="G334" s="4" t="s">
        <v>1639</v>
      </c>
      <c r="H334" s="4" t="s">
        <v>319</v>
      </c>
      <c r="I334" s="4" t="s">
        <v>931</v>
      </c>
      <c r="J334" s="4" t="s">
        <v>73</v>
      </c>
      <c r="K334" s="4" t="s">
        <v>74</v>
      </c>
      <c r="L334" s="2" t="s">
        <v>325</v>
      </c>
      <c r="M334" s="2" t="s">
        <v>344</v>
      </c>
      <c r="N334" s="4" t="s">
        <v>547</v>
      </c>
      <c r="O334" s="4" t="s">
        <v>136</v>
      </c>
      <c r="P334" s="4" t="s">
        <v>78</v>
      </c>
      <c r="Q334" s="154">
        <v>190</v>
      </c>
      <c r="R334" s="154">
        <v>3.681</v>
      </c>
      <c r="S334" s="154">
        <v>15225.982642016614</v>
      </c>
      <c r="U334" s="154">
        <v>106.489</v>
      </c>
      <c r="V334" s="169">
        <v>0</v>
      </c>
      <c r="W334" s="169">
        <v>2.5763453284802101E-2</v>
      </c>
      <c r="X334" s="169">
        <v>3.0697670663459901E-3</v>
      </c>
      <c r="Y334" s="154">
        <v>15226</v>
      </c>
      <c r="Z334" s="193">
        <f t="shared" si="5"/>
        <v>15225.982642016614</v>
      </c>
    </row>
    <row r="335" spans="1:26">
      <c r="A335" s="4" t="s">
        <v>26</v>
      </c>
      <c r="B335" s="4">
        <v>9964</v>
      </c>
      <c r="C335" s="4" t="s">
        <v>1640</v>
      </c>
      <c r="D335" s="4" t="s">
        <v>1641</v>
      </c>
      <c r="E335" s="4" t="s">
        <v>1305</v>
      </c>
      <c r="F335" s="4" t="s">
        <v>1642</v>
      </c>
      <c r="G335" s="4" t="s">
        <v>1643</v>
      </c>
      <c r="H335" s="4" t="s">
        <v>319</v>
      </c>
      <c r="I335" s="4" t="s">
        <v>931</v>
      </c>
      <c r="J335" s="4" t="s">
        <v>2764</v>
      </c>
      <c r="K335" s="4" t="s">
        <v>31</v>
      </c>
      <c r="L335" s="2" t="s">
        <v>325</v>
      </c>
      <c r="M335" s="2" t="s">
        <v>344</v>
      </c>
      <c r="N335" s="4" t="s">
        <v>544</v>
      </c>
      <c r="O335" s="4" t="s">
        <v>136</v>
      </c>
      <c r="P335" s="4" t="s">
        <v>78</v>
      </c>
      <c r="Q335" s="154">
        <v>280</v>
      </c>
      <c r="R335" s="154">
        <v>3.681</v>
      </c>
      <c r="S335" s="154">
        <v>2796.0929677494469</v>
      </c>
      <c r="T335" s="161">
        <v>0.109</v>
      </c>
      <c r="U335" s="154">
        <v>29.22</v>
      </c>
      <c r="V335" s="169">
        <v>2.1999999999999999E-5</v>
      </c>
      <c r="W335" s="169">
        <v>7.0692891029457703E-3</v>
      </c>
      <c r="X335" s="169">
        <v>8.4231995729792096E-4</v>
      </c>
      <c r="Y335" s="154">
        <v>27.96</v>
      </c>
      <c r="Z335" s="193">
        <f t="shared" si="5"/>
        <v>2796.0929677494469</v>
      </c>
    </row>
    <row r="336" spans="1:26">
      <c r="A336" s="4" t="s">
        <v>26</v>
      </c>
      <c r="B336" s="4">
        <v>9964</v>
      </c>
      <c r="C336" s="4" t="s">
        <v>1644</v>
      </c>
      <c r="D336" s="4" t="s">
        <v>1645</v>
      </c>
      <c r="E336" s="4" t="s">
        <v>312</v>
      </c>
      <c r="F336" s="4" t="s">
        <v>1646</v>
      </c>
      <c r="G336" s="4" t="s">
        <v>1647</v>
      </c>
      <c r="H336" s="4" t="s">
        <v>319</v>
      </c>
      <c r="I336" s="4" t="s">
        <v>931</v>
      </c>
      <c r="J336" s="4" t="s">
        <v>73</v>
      </c>
      <c r="K336" s="4" t="s">
        <v>74</v>
      </c>
      <c r="L336" s="2" t="s">
        <v>325</v>
      </c>
      <c r="M336" s="2" t="s">
        <v>342</v>
      </c>
      <c r="N336" s="4" t="s">
        <v>498</v>
      </c>
      <c r="O336" s="4" t="s">
        <v>136</v>
      </c>
      <c r="P336" s="4" t="s">
        <v>78</v>
      </c>
      <c r="Q336" s="154">
        <v>70</v>
      </c>
      <c r="R336" s="154">
        <v>3.681</v>
      </c>
      <c r="S336" s="154">
        <v>15373.151705670043</v>
      </c>
      <c r="U336" s="154">
        <v>39.612000000000002</v>
      </c>
      <c r="V336" s="169">
        <v>9.9999999999999995E-7</v>
      </c>
      <c r="W336" s="169">
        <v>9.5834375114272792E-3</v>
      </c>
      <c r="X336" s="169">
        <v>1.14188577632636E-3</v>
      </c>
      <c r="Y336" s="154">
        <v>15373</v>
      </c>
      <c r="Z336" s="193">
        <f t="shared" si="5"/>
        <v>15373.151705670043</v>
      </c>
    </row>
    <row r="337" spans="1:26">
      <c r="A337" s="4" t="s">
        <v>26</v>
      </c>
      <c r="B337" s="4">
        <v>9964</v>
      </c>
      <c r="C337" s="4" t="s">
        <v>1648</v>
      </c>
      <c r="D337" s="4" t="s">
        <v>1649</v>
      </c>
      <c r="E337" s="4" t="s">
        <v>312</v>
      </c>
      <c r="F337" s="4" t="s">
        <v>1650</v>
      </c>
      <c r="G337" s="4" t="s">
        <v>1651</v>
      </c>
      <c r="H337" s="4" t="s">
        <v>319</v>
      </c>
      <c r="I337" s="4" t="s">
        <v>931</v>
      </c>
      <c r="J337" s="4" t="s">
        <v>73</v>
      </c>
      <c r="K337" s="4" t="s">
        <v>74</v>
      </c>
      <c r="L337" s="2" t="s">
        <v>325</v>
      </c>
      <c r="M337" s="2" t="s">
        <v>342</v>
      </c>
      <c r="N337" s="4" t="s">
        <v>534</v>
      </c>
      <c r="O337" s="4" t="s">
        <v>136</v>
      </c>
      <c r="P337" s="4" t="s">
        <v>78</v>
      </c>
      <c r="Q337" s="154">
        <v>58</v>
      </c>
      <c r="R337" s="154">
        <v>3.681</v>
      </c>
      <c r="S337" s="154">
        <v>20030.16421699501</v>
      </c>
      <c r="U337" s="154">
        <v>42.764000000000003</v>
      </c>
      <c r="V337" s="169">
        <v>0</v>
      </c>
      <c r="W337" s="169">
        <v>1.03460266092923E-2</v>
      </c>
      <c r="X337" s="169">
        <v>1.23274979489958E-3</v>
      </c>
      <c r="Y337" s="154">
        <v>200.3</v>
      </c>
      <c r="Z337" s="193">
        <f t="shared" si="5"/>
        <v>20030.16421699501</v>
      </c>
    </row>
    <row r="338" spans="1:26">
      <c r="A338" s="4" t="s">
        <v>26</v>
      </c>
      <c r="B338" s="4">
        <v>9964</v>
      </c>
      <c r="C338" s="4" t="s">
        <v>1652</v>
      </c>
      <c r="D338" s="4" t="s">
        <v>1653</v>
      </c>
      <c r="E338" s="4" t="s">
        <v>312</v>
      </c>
      <c r="F338" s="4" t="s">
        <v>1654</v>
      </c>
      <c r="G338" s="4" t="s">
        <v>1655</v>
      </c>
      <c r="H338" s="4" t="s">
        <v>319</v>
      </c>
      <c r="I338" s="4" t="s">
        <v>931</v>
      </c>
      <c r="J338" s="4" t="s">
        <v>73</v>
      </c>
      <c r="K338" s="4" t="s">
        <v>74</v>
      </c>
      <c r="L338" s="2" t="s">
        <v>325</v>
      </c>
      <c r="M338" s="2" t="s">
        <v>344</v>
      </c>
      <c r="N338" s="4" t="s">
        <v>542</v>
      </c>
      <c r="O338" s="4" t="s">
        <v>136</v>
      </c>
      <c r="P338" s="4" t="s">
        <v>78</v>
      </c>
      <c r="Q338" s="154">
        <v>31</v>
      </c>
      <c r="R338" s="154">
        <v>3.681</v>
      </c>
      <c r="S338" s="154">
        <v>42072.192864842124</v>
      </c>
      <c r="U338" s="154">
        <v>48.009</v>
      </c>
      <c r="V338" s="169">
        <v>0</v>
      </c>
      <c r="W338" s="169">
        <v>1.1615007640858099E-2</v>
      </c>
      <c r="X338" s="169">
        <v>1.38395142674047E-3</v>
      </c>
      <c r="Y338" s="154">
        <v>420.72</v>
      </c>
      <c r="Z338" s="193">
        <f t="shared" si="5"/>
        <v>42072.192864842124</v>
      </c>
    </row>
    <row r="339" spans="1:26">
      <c r="A339" s="4" t="s">
        <v>26</v>
      </c>
      <c r="B339" s="4">
        <v>9964</v>
      </c>
      <c r="C339" s="4" t="s">
        <v>1656</v>
      </c>
      <c r="D339" s="4" t="s">
        <v>1657</v>
      </c>
      <c r="E339" s="4" t="s">
        <v>312</v>
      </c>
      <c r="F339" s="4" t="s">
        <v>1658</v>
      </c>
      <c r="G339" s="4" t="s">
        <v>1659</v>
      </c>
      <c r="H339" s="4" t="s">
        <v>319</v>
      </c>
      <c r="I339" s="4" t="s">
        <v>931</v>
      </c>
      <c r="J339" s="4" t="s">
        <v>73</v>
      </c>
      <c r="K339" s="4" t="s">
        <v>74</v>
      </c>
      <c r="L339" s="2" t="s">
        <v>325</v>
      </c>
      <c r="M339" s="2" t="s">
        <v>344</v>
      </c>
      <c r="N339" s="4" t="s">
        <v>523</v>
      </c>
      <c r="O339" s="4" t="s">
        <v>136</v>
      </c>
      <c r="P339" s="4" t="s">
        <v>78</v>
      </c>
      <c r="Q339" s="154">
        <v>115</v>
      </c>
      <c r="R339" s="154">
        <v>3.681</v>
      </c>
      <c r="S339" s="154">
        <v>7000.1778817192871</v>
      </c>
      <c r="T339" s="161">
        <v>3.6999999999999998E-2</v>
      </c>
      <c r="U339" s="154">
        <v>29.768999999999998</v>
      </c>
      <c r="V339" s="169">
        <v>0</v>
      </c>
      <c r="W339" s="169">
        <v>7.2022740380056601E-3</v>
      </c>
      <c r="X339" s="169">
        <v>8.58165378695984E-4</v>
      </c>
      <c r="Y339" s="154">
        <v>7000</v>
      </c>
      <c r="Z339" s="193">
        <f t="shared" si="5"/>
        <v>7000.1778817192871</v>
      </c>
    </row>
    <row r="340" spans="1:26">
      <c r="A340" s="4" t="s">
        <v>26</v>
      </c>
      <c r="B340" s="4">
        <v>9964</v>
      </c>
      <c r="C340" s="4" t="s">
        <v>1660</v>
      </c>
      <c r="D340" s="4" t="s">
        <v>1661</v>
      </c>
      <c r="E340" s="4" t="s">
        <v>312</v>
      </c>
      <c r="F340" s="4" t="s">
        <v>1662</v>
      </c>
      <c r="G340" s="4" t="s">
        <v>1663</v>
      </c>
      <c r="H340" s="4" t="s">
        <v>319</v>
      </c>
      <c r="I340" s="4" t="s">
        <v>931</v>
      </c>
      <c r="J340" s="4" t="s">
        <v>73</v>
      </c>
      <c r="K340" s="4" t="s">
        <v>31</v>
      </c>
      <c r="L340" s="2" t="s">
        <v>325</v>
      </c>
      <c r="M340" s="2" t="s">
        <v>344</v>
      </c>
      <c r="N340" s="4" t="s">
        <v>548</v>
      </c>
      <c r="O340" s="4" t="s">
        <v>136</v>
      </c>
      <c r="P340" s="4" t="s">
        <v>78</v>
      </c>
      <c r="Q340" s="154">
        <v>77</v>
      </c>
      <c r="R340" s="154">
        <v>3.681</v>
      </c>
      <c r="S340" s="154">
        <v>26061.876184125569</v>
      </c>
      <c r="U340" s="154">
        <v>73.869</v>
      </c>
      <c r="V340" s="169">
        <v>9.9999999999999995E-7</v>
      </c>
      <c r="W340" s="169">
        <v>1.7871586760235401E-2</v>
      </c>
      <c r="X340" s="169">
        <v>2.1294353615351198E-3</v>
      </c>
      <c r="Y340" s="154">
        <v>26062</v>
      </c>
      <c r="Z340" s="193">
        <f t="shared" si="5"/>
        <v>26061.876184125569</v>
      </c>
    </row>
    <row r="341" spans="1:26">
      <c r="A341" s="4" t="s">
        <v>26</v>
      </c>
      <c r="B341" s="4">
        <v>9964</v>
      </c>
      <c r="C341" s="4" t="s">
        <v>1664</v>
      </c>
      <c r="D341" s="4" t="s">
        <v>1665</v>
      </c>
      <c r="E341" s="4" t="s">
        <v>312</v>
      </c>
      <c r="F341" s="4" t="s">
        <v>1666</v>
      </c>
      <c r="G341" s="4" t="s">
        <v>1667</v>
      </c>
      <c r="H341" s="4" t="s">
        <v>319</v>
      </c>
      <c r="I341" s="4" t="s">
        <v>931</v>
      </c>
      <c r="J341" s="4" t="s">
        <v>73</v>
      </c>
      <c r="K341" s="4" t="s">
        <v>74</v>
      </c>
      <c r="L341" s="2" t="s">
        <v>325</v>
      </c>
      <c r="M341" s="2" t="s">
        <v>342</v>
      </c>
      <c r="N341" s="4" t="s">
        <v>555</v>
      </c>
      <c r="O341" s="4" t="s">
        <v>136</v>
      </c>
      <c r="P341" s="4" t="s">
        <v>78</v>
      </c>
      <c r="Q341" s="154">
        <v>98</v>
      </c>
      <c r="R341" s="154">
        <v>3.681</v>
      </c>
      <c r="S341" s="154">
        <v>6618.9311910583301</v>
      </c>
      <c r="U341" s="154">
        <v>23.876999999999999</v>
      </c>
      <c r="V341" s="169">
        <v>1.9999999999999999E-6</v>
      </c>
      <c r="W341" s="169">
        <v>5.7767437743701296E-3</v>
      </c>
      <c r="X341" s="169">
        <v>6.8831059226604201E-4</v>
      </c>
      <c r="Y341" s="154">
        <v>66.19</v>
      </c>
      <c r="Z341" s="193">
        <f t="shared" si="5"/>
        <v>6618.9311910583301</v>
      </c>
    </row>
    <row r="342" spans="1:26">
      <c r="A342" s="4" t="s">
        <v>26</v>
      </c>
      <c r="B342" s="4">
        <v>9964</v>
      </c>
      <c r="C342" s="4" t="s">
        <v>1668</v>
      </c>
      <c r="D342" s="4" t="s">
        <v>1669</v>
      </c>
      <c r="E342" s="4" t="s">
        <v>312</v>
      </c>
      <c r="F342" s="4" t="s">
        <v>1670</v>
      </c>
      <c r="G342" s="4" t="s">
        <v>1671</v>
      </c>
      <c r="H342" s="4" t="s">
        <v>319</v>
      </c>
      <c r="I342" s="4" t="s">
        <v>931</v>
      </c>
      <c r="J342" s="4" t="s">
        <v>73</v>
      </c>
      <c r="K342" s="4" t="s">
        <v>74</v>
      </c>
      <c r="L342" s="2" t="s">
        <v>325</v>
      </c>
      <c r="M342" s="2" t="s">
        <v>344</v>
      </c>
      <c r="N342" s="4" t="s">
        <v>542</v>
      </c>
      <c r="O342" s="4" t="s">
        <v>136</v>
      </c>
      <c r="P342" s="4" t="s">
        <v>78</v>
      </c>
      <c r="Q342" s="154">
        <v>50</v>
      </c>
      <c r="R342" s="154">
        <v>3.681</v>
      </c>
      <c r="S342" s="154">
        <v>28412.931268676988</v>
      </c>
      <c r="U342" s="154">
        <v>52.293999999999997</v>
      </c>
      <c r="V342" s="169">
        <v>0</v>
      </c>
      <c r="W342" s="169">
        <v>1.2651783275510101E-2</v>
      </c>
      <c r="X342" s="169">
        <v>1.50748532040223E-3</v>
      </c>
      <c r="Y342" s="154">
        <v>28413</v>
      </c>
      <c r="Z342" s="193">
        <f t="shared" si="5"/>
        <v>28412.931268676988</v>
      </c>
    </row>
    <row r="343" spans="1:26">
      <c r="A343" s="4" t="s">
        <v>26</v>
      </c>
      <c r="B343" s="4">
        <v>9964</v>
      </c>
      <c r="C343" s="4" t="s">
        <v>1672</v>
      </c>
      <c r="D343" s="4" t="s">
        <v>1673</v>
      </c>
      <c r="E343" s="4" t="s">
        <v>1305</v>
      </c>
      <c r="F343" s="4" t="s">
        <v>1674</v>
      </c>
      <c r="G343" s="4" t="s">
        <v>1675</v>
      </c>
      <c r="H343" s="4" t="s">
        <v>319</v>
      </c>
      <c r="I343" s="4" t="s">
        <v>931</v>
      </c>
      <c r="J343" s="4" t="s">
        <v>73</v>
      </c>
      <c r="K343" s="4" t="s">
        <v>31</v>
      </c>
      <c r="L343" s="2" t="s">
        <v>325</v>
      </c>
      <c r="M343" s="2" t="s">
        <v>344</v>
      </c>
      <c r="N343" s="4" t="s">
        <v>478</v>
      </c>
      <c r="O343" s="4" t="s">
        <v>136</v>
      </c>
      <c r="P343" s="4" t="s">
        <v>78</v>
      </c>
      <c r="Q343" s="154">
        <v>236</v>
      </c>
      <c r="R343" s="154">
        <v>3.681</v>
      </c>
      <c r="S343" s="154">
        <v>2248.0304265145342</v>
      </c>
      <c r="U343" s="154">
        <v>19.529</v>
      </c>
      <c r="V343" s="169">
        <v>5.0000000000000004E-6</v>
      </c>
      <c r="W343" s="169">
        <v>4.7246860786188099E-3</v>
      </c>
      <c r="X343" s="169">
        <v>5.6295581041238495E-4</v>
      </c>
      <c r="Y343" s="154">
        <v>2248</v>
      </c>
      <c r="Z343" s="193">
        <f t="shared" si="5"/>
        <v>2248.0304265145342</v>
      </c>
    </row>
    <row r="344" spans="1:26">
      <c r="A344" s="4" t="s">
        <v>26</v>
      </c>
      <c r="B344" s="4">
        <v>9964</v>
      </c>
      <c r="C344" s="4" t="s">
        <v>1676</v>
      </c>
      <c r="D344" s="4" t="s">
        <v>1677</v>
      </c>
      <c r="E344" s="4" t="s">
        <v>312</v>
      </c>
      <c r="F344" s="4" t="s">
        <v>1678</v>
      </c>
      <c r="G344" s="4" t="s">
        <v>1679</v>
      </c>
      <c r="H344" s="4" t="s">
        <v>319</v>
      </c>
      <c r="I344" s="4" t="s">
        <v>931</v>
      </c>
      <c r="J344" s="4" t="s">
        <v>73</v>
      </c>
      <c r="K344" s="4" t="s">
        <v>233</v>
      </c>
      <c r="L344" s="2" t="s">
        <v>325</v>
      </c>
      <c r="M344" s="2" t="s">
        <v>378</v>
      </c>
      <c r="N344" s="4" t="s">
        <v>515</v>
      </c>
      <c r="O344" s="4" t="s">
        <v>136</v>
      </c>
      <c r="P344" s="4" t="s">
        <v>1182</v>
      </c>
      <c r="Q344" s="154">
        <v>570</v>
      </c>
      <c r="R344" s="154">
        <v>4.6539999999999999</v>
      </c>
      <c r="S344" s="154">
        <v>1414.8553592834689</v>
      </c>
      <c r="U344" s="154">
        <v>37.533000000000001</v>
      </c>
      <c r="V344" s="169">
        <v>2.8E-5</v>
      </c>
      <c r="W344" s="169">
        <v>9.0805017097502095E-3</v>
      </c>
      <c r="X344" s="169">
        <v>1.0819599681123899E-3</v>
      </c>
      <c r="Y344" s="154">
        <v>1415</v>
      </c>
      <c r="Z344" s="193">
        <f t="shared" si="5"/>
        <v>1414.8553592834689</v>
      </c>
    </row>
    <row r="345" spans="1:26">
      <c r="A345" s="4" t="s">
        <v>26</v>
      </c>
      <c r="B345" s="4">
        <v>9964</v>
      </c>
      <c r="C345" s="4" t="s">
        <v>1680</v>
      </c>
      <c r="D345" s="4" t="s">
        <v>1681</v>
      </c>
      <c r="E345" s="4" t="s">
        <v>312</v>
      </c>
      <c r="F345" s="4" t="s">
        <v>1680</v>
      </c>
      <c r="G345" s="4" t="s">
        <v>1682</v>
      </c>
      <c r="H345" s="4" t="s">
        <v>319</v>
      </c>
      <c r="I345" s="4" t="s">
        <v>931</v>
      </c>
      <c r="J345" s="4" t="s">
        <v>73</v>
      </c>
      <c r="K345" s="4" t="s">
        <v>238</v>
      </c>
      <c r="L345" s="2" t="s">
        <v>325</v>
      </c>
      <c r="M345" s="2" t="s">
        <v>366</v>
      </c>
      <c r="N345" s="4" t="s">
        <v>555</v>
      </c>
      <c r="O345" s="4" t="s">
        <v>136</v>
      </c>
      <c r="P345" s="4" t="s">
        <v>1178</v>
      </c>
      <c r="Q345" s="154">
        <v>300</v>
      </c>
      <c r="R345" s="154">
        <v>3.9790000000000001</v>
      </c>
      <c r="S345" s="154">
        <v>3146.1003602245123</v>
      </c>
      <c r="U345" s="154">
        <v>37.555</v>
      </c>
      <c r="V345" s="169">
        <v>0</v>
      </c>
      <c r="W345" s="169">
        <v>9.0858101402357793E-3</v>
      </c>
      <c r="X345" s="169">
        <v>1.0825924782382099E-3</v>
      </c>
      <c r="Y345" s="154">
        <v>3146</v>
      </c>
      <c r="Z345" s="193">
        <f t="shared" si="5"/>
        <v>3146.1003602245123</v>
      </c>
    </row>
    <row r="346" spans="1:26">
      <c r="A346" s="4" t="s">
        <v>26</v>
      </c>
      <c r="B346" s="4">
        <v>9964</v>
      </c>
      <c r="C346" s="4" t="s">
        <v>1683</v>
      </c>
      <c r="D346" s="4" t="s">
        <v>1684</v>
      </c>
      <c r="E346" s="4" t="s">
        <v>312</v>
      </c>
      <c r="F346" s="4" t="s">
        <v>1685</v>
      </c>
      <c r="G346" s="4" t="s">
        <v>1686</v>
      </c>
      <c r="H346" s="4" t="s">
        <v>319</v>
      </c>
      <c r="I346" s="4" t="s">
        <v>931</v>
      </c>
      <c r="J346" s="4" t="s">
        <v>73</v>
      </c>
      <c r="K346" s="4" t="s">
        <v>74</v>
      </c>
      <c r="L346" s="2" t="s">
        <v>325</v>
      </c>
      <c r="M346" s="2" t="s">
        <v>344</v>
      </c>
      <c r="N346" s="4" t="s">
        <v>542</v>
      </c>
      <c r="O346" s="4" t="s">
        <v>136</v>
      </c>
      <c r="P346" s="4" t="s">
        <v>78</v>
      </c>
      <c r="Q346" s="154">
        <v>60</v>
      </c>
      <c r="R346" s="154">
        <v>3.681</v>
      </c>
      <c r="S346" s="154">
        <v>30118.510368559266</v>
      </c>
      <c r="T346" s="161">
        <v>1.7999999999999999E-2</v>
      </c>
      <c r="U346" s="154">
        <v>66.585999999999999</v>
      </c>
      <c r="V346" s="169">
        <v>0</v>
      </c>
      <c r="W346" s="169">
        <v>1.6109506820742199E-2</v>
      </c>
      <c r="X346" s="169">
        <v>1.91948000707508E-3</v>
      </c>
      <c r="Y346" s="154">
        <v>30118</v>
      </c>
      <c r="Z346" s="193">
        <f t="shared" si="5"/>
        <v>30118.510368559266</v>
      </c>
    </row>
    <row r="347" spans="1:26">
      <c r="A347" s="4" t="s">
        <v>26</v>
      </c>
      <c r="B347" s="4">
        <v>9964</v>
      </c>
      <c r="C347" s="4" t="s">
        <v>1687</v>
      </c>
      <c r="D347" s="4" t="s">
        <v>1688</v>
      </c>
      <c r="E347" s="4" t="s">
        <v>1305</v>
      </c>
      <c r="F347" s="4" t="s">
        <v>1687</v>
      </c>
      <c r="G347" s="4" t="s">
        <v>1689</v>
      </c>
      <c r="H347" s="4" t="s">
        <v>319</v>
      </c>
      <c r="I347" s="4" t="s">
        <v>931</v>
      </c>
      <c r="J347" s="4" t="s">
        <v>31</v>
      </c>
      <c r="K347" s="4" t="s">
        <v>31</v>
      </c>
      <c r="L347" s="2" t="s">
        <v>325</v>
      </c>
      <c r="M347" s="2" t="s">
        <v>394</v>
      </c>
      <c r="N347" s="4" t="s">
        <v>528</v>
      </c>
      <c r="O347" s="4" t="s">
        <v>136</v>
      </c>
      <c r="P347" s="4" t="s">
        <v>1179</v>
      </c>
      <c r="Q347" s="154">
        <v>1123</v>
      </c>
      <c r="R347" s="154">
        <v>4.0739999999999998</v>
      </c>
      <c r="S347" s="154">
        <v>544.99331381027139</v>
      </c>
      <c r="U347" s="154">
        <v>24.934000000000001</v>
      </c>
      <c r="V347" s="169">
        <v>1.63E-4</v>
      </c>
      <c r="W347" s="169">
        <v>6.0324831006035202E-3</v>
      </c>
      <c r="X347" s="169">
        <v>7.1878244526502901E-4</v>
      </c>
      <c r="Y347" s="154">
        <v>545</v>
      </c>
      <c r="Z347" s="193">
        <f t="shared" si="5"/>
        <v>544.99331381027139</v>
      </c>
    </row>
    <row r="348" spans="1:26">
      <c r="A348" s="4" t="s">
        <v>26</v>
      </c>
      <c r="B348" s="4">
        <v>9964</v>
      </c>
      <c r="C348" s="4" t="s">
        <v>1690</v>
      </c>
      <c r="D348" s="4" t="s">
        <v>1691</v>
      </c>
      <c r="E348" s="4" t="s">
        <v>312</v>
      </c>
      <c r="F348" s="4" t="s">
        <v>1692</v>
      </c>
      <c r="G348" s="4" t="s">
        <v>1693</v>
      </c>
      <c r="H348" s="4" t="s">
        <v>319</v>
      </c>
      <c r="I348" s="4" t="s">
        <v>931</v>
      </c>
      <c r="J348" s="4" t="s">
        <v>73</v>
      </c>
      <c r="K348" s="4" t="s">
        <v>268</v>
      </c>
      <c r="L348" s="2" t="s">
        <v>325</v>
      </c>
      <c r="M348" s="2" t="s">
        <v>342</v>
      </c>
      <c r="N348" s="4" t="s">
        <v>546</v>
      </c>
      <c r="O348" s="4" t="s">
        <v>136</v>
      </c>
      <c r="P348" s="4" t="s">
        <v>78</v>
      </c>
      <c r="Q348" s="154">
        <v>200</v>
      </c>
      <c r="R348" s="154">
        <v>3.681</v>
      </c>
      <c r="S348" s="154">
        <v>13604.872588970391</v>
      </c>
      <c r="T348" s="161">
        <v>8.7999999999999995E-2</v>
      </c>
      <c r="U348" s="154">
        <v>100.483</v>
      </c>
      <c r="V348" s="169">
        <v>0</v>
      </c>
      <c r="W348" s="169">
        <v>2.4310383643822299E-2</v>
      </c>
      <c r="X348" s="169">
        <v>2.8966309079406101E-3</v>
      </c>
      <c r="Y348" s="154">
        <v>13605</v>
      </c>
      <c r="Z348" s="193">
        <f t="shared" si="5"/>
        <v>13604.872588970391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6"/>
  <sheetViews>
    <sheetView rightToLeft="1" topLeftCell="J1" zoomScale="70" zoomScaleNormal="70" workbookViewId="0">
      <selection activeCell="R7" sqref="R7"/>
    </sheetView>
  </sheetViews>
  <sheetFormatPr defaultColWidth="9" defaultRowHeight="14.25"/>
  <cols>
    <col min="1" max="2" width="11.625" style="2" customWidth="1"/>
    <col min="3" max="3" width="35.375" style="2" customWidth="1"/>
    <col min="4" max="4" width="23.375" style="2" customWidth="1"/>
    <col min="5" max="5" width="11.625" style="4" customWidth="1"/>
    <col min="6" max="6" width="18" style="2" customWidth="1"/>
    <col min="7" max="7" width="22.375" style="2" customWidth="1"/>
    <col min="8" max="12" width="11.625" style="2" customWidth="1"/>
    <col min="13" max="13" width="35.75" style="2" customWidth="1"/>
    <col min="14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141</v>
      </c>
      <c r="E1" s="22" t="s">
        <v>142</v>
      </c>
      <c r="F1" s="22" t="s">
        <v>3</v>
      </c>
      <c r="G1" s="22" t="s">
        <v>4</v>
      </c>
      <c r="H1" s="22" t="s">
        <v>143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568</v>
      </c>
      <c r="N1" s="22" t="s">
        <v>123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3" t="s">
        <v>26</v>
      </c>
      <c r="B2" s="23">
        <v>1477</v>
      </c>
      <c r="C2" s="23" t="s">
        <v>1334</v>
      </c>
      <c r="D2" s="23" t="s">
        <v>1335</v>
      </c>
      <c r="E2" s="21" t="s">
        <v>1305</v>
      </c>
      <c r="F2" s="23" t="s">
        <v>1336</v>
      </c>
      <c r="G2" s="23" t="s">
        <v>1337</v>
      </c>
      <c r="H2" s="21" t="s">
        <v>319</v>
      </c>
      <c r="I2" s="23" t="s">
        <v>980</v>
      </c>
      <c r="J2" s="21" t="s">
        <v>31</v>
      </c>
      <c r="K2" s="21" t="s">
        <v>31</v>
      </c>
      <c r="L2" s="21" t="s">
        <v>40</v>
      </c>
      <c r="M2" s="23" t="s">
        <v>571</v>
      </c>
      <c r="N2" s="23" t="s">
        <v>136</v>
      </c>
      <c r="O2" s="21" t="s">
        <v>35</v>
      </c>
      <c r="P2" s="155">
        <v>4230</v>
      </c>
      <c r="Q2" s="156">
        <v>1</v>
      </c>
      <c r="R2" s="156">
        <v>2053.0023640661939</v>
      </c>
      <c r="S2" s="135"/>
      <c r="T2" s="156">
        <v>86.841999999999999</v>
      </c>
      <c r="U2" s="173">
        <v>8.7000000000000001E-5</v>
      </c>
      <c r="V2" s="173">
        <v>7.7850721398257799E-2</v>
      </c>
      <c r="W2" s="173">
        <v>8.7068651273563905E-3</v>
      </c>
    </row>
    <row r="3" spans="1:23">
      <c r="A3" s="23" t="s">
        <v>26</v>
      </c>
      <c r="B3" s="23">
        <v>1477</v>
      </c>
      <c r="C3" s="23" t="s">
        <v>1338</v>
      </c>
      <c r="D3" s="23" t="s">
        <v>1339</v>
      </c>
      <c r="E3" s="21" t="s">
        <v>312</v>
      </c>
      <c r="F3" s="23" t="s">
        <v>1340</v>
      </c>
      <c r="G3" s="23" t="s">
        <v>1341</v>
      </c>
      <c r="H3" s="21" t="s">
        <v>319</v>
      </c>
      <c r="I3" s="23" t="s">
        <v>981</v>
      </c>
      <c r="J3" s="21" t="s">
        <v>73</v>
      </c>
      <c r="K3" s="21" t="s">
        <v>74</v>
      </c>
      <c r="L3" s="21" t="s">
        <v>378</v>
      </c>
      <c r="M3" s="23" t="s">
        <v>734</v>
      </c>
      <c r="N3" s="23" t="s">
        <v>136</v>
      </c>
      <c r="O3" s="21" t="s">
        <v>78</v>
      </c>
      <c r="P3" s="155">
        <v>283</v>
      </c>
      <c r="Q3" s="156">
        <v>3.681</v>
      </c>
      <c r="R3" s="156">
        <v>5304.9611077032951</v>
      </c>
      <c r="S3" s="135"/>
      <c r="T3" s="156">
        <v>55.262999999999998</v>
      </c>
      <c r="U3" s="173">
        <v>1.9999999999999999E-6</v>
      </c>
      <c r="V3" s="173">
        <v>4.95417069162662E-2</v>
      </c>
      <c r="W3" s="173">
        <v>5.5407702401663499E-3</v>
      </c>
    </row>
    <row r="4" spans="1:23">
      <c r="A4" s="23" t="s">
        <v>26</v>
      </c>
      <c r="B4" s="23">
        <v>1477</v>
      </c>
      <c r="C4" s="23" t="s">
        <v>1342</v>
      </c>
      <c r="D4" s="23" t="s">
        <v>1343</v>
      </c>
      <c r="E4" s="21" t="s">
        <v>312</v>
      </c>
      <c r="F4" s="23" t="s">
        <v>1344</v>
      </c>
      <c r="G4" s="23" t="s">
        <v>1345</v>
      </c>
      <c r="H4" s="21" t="s">
        <v>319</v>
      </c>
      <c r="I4" s="23" t="s">
        <v>981</v>
      </c>
      <c r="J4" s="21" t="s">
        <v>73</v>
      </c>
      <c r="K4" s="21" t="s">
        <v>74</v>
      </c>
      <c r="L4" s="21" t="s">
        <v>378</v>
      </c>
      <c r="M4" s="23" t="s">
        <v>734</v>
      </c>
      <c r="N4" s="23" t="s">
        <v>136</v>
      </c>
      <c r="O4" s="21" t="s">
        <v>1178</v>
      </c>
      <c r="P4" s="155">
        <v>241</v>
      </c>
      <c r="Q4" s="156">
        <v>3.9790000000000001</v>
      </c>
      <c r="R4" s="156">
        <v>34404.899581725214</v>
      </c>
      <c r="S4" s="135"/>
      <c r="T4" s="156">
        <v>329.92200000000003</v>
      </c>
      <c r="U4" s="173">
        <v>2.6999999999999999E-5</v>
      </c>
      <c r="V4" s="173">
        <v>0.29576321590439297</v>
      </c>
      <c r="W4" s="173">
        <v>3.3078311726092303E-2</v>
      </c>
    </row>
    <row r="5" spans="1:23">
      <c r="A5" s="23" t="s">
        <v>26</v>
      </c>
      <c r="B5" s="23">
        <v>1477</v>
      </c>
      <c r="C5" s="23" t="s">
        <v>1346</v>
      </c>
      <c r="D5" s="23" t="s">
        <v>1347</v>
      </c>
      <c r="E5" s="21" t="s">
        <v>312</v>
      </c>
      <c r="F5" s="23" t="s">
        <v>1348</v>
      </c>
      <c r="G5" s="23" t="s">
        <v>1349</v>
      </c>
      <c r="H5" s="21" t="s">
        <v>319</v>
      </c>
      <c r="I5" s="23" t="s">
        <v>981</v>
      </c>
      <c r="J5" s="21" t="s">
        <v>73</v>
      </c>
      <c r="K5" s="21" t="s">
        <v>74</v>
      </c>
      <c r="L5" s="21" t="s">
        <v>344</v>
      </c>
      <c r="M5" s="23" t="s">
        <v>734</v>
      </c>
      <c r="N5" s="23" t="s">
        <v>136</v>
      </c>
      <c r="O5" s="21" t="s">
        <v>78</v>
      </c>
      <c r="P5" s="155">
        <v>177</v>
      </c>
      <c r="Q5" s="156">
        <v>3.681</v>
      </c>
      <c r="R5" s="156">
        <v>44400.683614284375</v>
      </c>
      <c r="S5" s="157">
        <v>7.8E-2</v>
      </c>
      <c r="T5" s="156">
        <v>289.57400000000001</v>
      </c>
      <c r="U5" s="173">
        <v>0</v>
      </c>
      <c r="V5" s="173">
        <v>0.25959316579564901</v>
      </c>
      <c r="W5" s="173">
        <v>2.9033034530323101E-2</v>
      </c>
    </row>
    <row r="6" spans="1:23">
      <c r="A6" s="23" t="s">
        <v>26</v>
      </c>
      <c r="B6" s="23">
        <v>1477</v>
      </c>
      <c r="C6" s="23" t="s">
        <v>1350</v>
      </c>
      <c r="D6" s="23" t="s">
        <v>1351</v>
      </c>
      <c r="E6" s="21" t="s">
        <v>312</v>
      </c>
      <c r="F6" s="23" t="s">
        <v>1352</v>
      </c>
      <c r="G6" s="23" t="s">
        <v>1353</v>
      </c>
      <c r="H6" s="21" t="s">
        <v>319</v>
      </c>
      <c r="I6" s="23" t="s">
        <v>981</v>
      </c>
      <c r="J6" s="21" t="s">
        <v>73</v>
      </c>
      <c r="K6" s="21" t="s">
        <v>74</v>
      </c>
      <c r="L6" s="21" t="s">
        <v>342</v>
      </c>
      <c r="M6" s="23" t="s">
        <v>734</v>
      </c>
      <c r="N6" s="23" t="s">
        <v>136</v>
      </c>
      <c r="O6" s="21" t="s">
        <v>78</v>
      </c>
      <c r="P6" s="155">
        <v>200</v>
      </c>
      <c r="Q6" s="156">
        <v>3.681</v>
      </c>
      <c r="R6" s="156">
        <v>48069.953816897585</v>
      </c>
      <c r="S6" s="135"/>
      <c r="T6" s="156">
        <v>353.89100000000002</v>
      </c>
      <c r="U6" s="173">
        <v>0</v>
      </c>
      <c r="V6" s="173">
        <v>0.317251189985435</v>
      </c>
      <c r="W6" s="173">
        <v>3.5481537911070803E-2</v>
      </c>
    </row>
    <row r="7" spans="1:23">
      <c r="A7" s="23" t="s">
        <v>26</v>
      </c>
      <c r="B7" s="23">
        <v>9962</v>
      </c>
      <c r="C7" s="23" t="s">
        <v>1334</v>
      </c>
      <c r="D7" s="23" t="s">
        <v>1335</v>
      </c>
      <c r="E7" s="21" t="s">
        <v>1305</v>
      </c>
      <c r="F7" s="23" t="s">
        <v>1336</v>
      </c>
      <c r="G7" s="23" t="s">
        <v>1337</v>
      </c>
      <c r="H7" s="21" t="s">
        <v>319</v>
      </c>
      <c r="I7" s="23" t="s">
        <v>980</v>
      </c>
      <c r="J7" s="21" t="s">
        <v>31</v>
      </c>
      <c r="K7" s="21" t="s">
        <v>31</v>
      </c>
      <c r="L7" s="21" t="s">
        <v>40</v>
      </c>
      <c r="M7" s="23" t="s">
        <v>571</v>
      </c>
      <c r="N7" s="23" t="s">
        <v>136</v>
      </c>
      <c r="O7" s="21" t="s">
        <v>35</v>
      </c>
      <c r="P7" s="155">
        <v>10000</v>
      </c>
      <c r="Q7" s="156">
        <v>1</v>
      </c>
      <c r="R7" s="156">
        <v>2053</v>
      </c>
      <c r="S7" s="135"/>
      <c r="T7" s="156">
        <v>205.3</v>
      </c>
      <c r="U7" s="173">
        <v>2.05E-4</v>
      </c>
      <c r="V7" s="173">
        <v>5.9381987466877402E-2</v>
      </c>
      <c r="W7" s="173">
        <v>6.6510408168029096E-3</v>
      </c>
    </row>
    <row r="8" spans="1:23">
      <c r="A8" s="23" t="s">
        <v>26</v>
      </c>
      <c r="B8" s="23">
        <v>9962</v>
      </c>
      <c r="C8" s="23" t="s">
        <v>1346</v>
      </c>
      <c r="D8" s="23" t="s">
        <v>1347</v>
      </c>
      <c r="E8" s="21" t="s">
        <v>312</v>
      </c>
      <c r="F8" s="23" t="s">
        <v>1348</v>
      </c>
      <c r="G8" s="23" t="s">
        <v>1349</v>
      </c>
      <c r="H8" s="21" t="s">
        <v>319</v>
      </c>
      <c r="I8" s="23" t="s">
        <v>981</v>
      </c>
      <c r="J8" s="21" t="s">
        <v>73</v>
      </c>
      <c r="K8" s="21" t="s">
        <v>74</v>
      </c>
      <c r="L8" s="21" t="s">
        <v>344</v>
      </c>
      <c r="M8" s="23" t="s">
        <v>734</v>
      </c>
      <c r="N8" s="23" t="s">
        <v>136</v>
      </c>
      <c r="O8" s="21" t="s">
        <v>78</v>
      </c>
      <c r="P8" s="155">
        <v>420</v>
      </c>
      <c r="Q8" s="156">
        <v>3.681</v>
      </c>
      <c r="R8" s="156">
        <v>44400.958331716276</v>
      </c>
      <c r="S8" s="157">
        <v>0.184</v>
      </c>
      <c r="T8" s="156">
        <v>687.125</v>
      </c>
      <c r="U8" s="173">
        <v>9.9999999999999995E-7</v>
      </c>
      <c r="V8" s="173">
        <v>0.19874754366882499</v>
      </c>
      <c r="W8" s="173">
        <v>2.2260589137707801E-2</v>
      </c>
    </row>
    <row r="9" spans="1:23">
      <c r="A9" s="23" t="s">
        <v>26</v>
      </c>
      <c r="B9" s="23">
        <v>9962</v>
      </c>
      <c r="C9" s="23" t="s">
        <v>1346</v>
      </c>
      <c r="D9" s="23" t="s">
        <v>1347</v>
      </c>
      <c r="E9" s="21" t="s">
        <v>312</v>
      </c>
      <c r="F9" s="23" t="s">
        <v>1354</v>
      </c>
      <c r="G9" s="23" t="s">
        <v>1355</v>
      </c>
      <c r="H9" s="21" t="s">
        <v>319</v>
      </c>
      <c r="I9" s="23" t="s">
        <v>981</v>
      </c>
      <c r="J9" s="21" t="s">
        <v>73</v>
      </c>
      <c r="K9" s="21" t="s">
        <v>74</v>
      </c>
      <c r="L9" s="21" t="s">
        <v>378</v>
      </c>
      <c r="M9" s="23" t="s">
        <v>734</v>
      </c>
      <c r="N9" s="23" t="s">
        <v>136</v>
      </c>
      <c r="O9" s="21" t="s">
        <v>78</v>
      </c>
      <c r="P9" s="155">
        <v>290</v>
      </c>
      <c r="Q9" s="156">
        <v>3.681</v>
      </c>
      <c r="R9" s="156">
        <v>102523.95806986481</v>
      </c>
      <c r="S9" s="135"/>
      <c r="T9" s="156">
        <v>1094.433</v>
      </c>
      <c r="U9" s="173">
        <v>5.7000000000000003E-5</v>
      </c>
      <c r="V9" s="173">
        <v>0.31655934373460598</v>
      </c>
      <c r="W9" s="173">
        <v>3.54560230456012E-2</v>
      </c>
    </row>
    <row r="10" spans="1:23">
      <c r="A10" s="23" t="s">
        <v>26</v>
      </c>
      <c r="B10" s="23">
        <v>9962</v>
      </c>
      <c r="C10" s="23" t="s">
        <v>1350</v>
      </c>
      <c r="D10" s="23" t="s">
        <v>1351</v>
      </c>
      <c r="E10" s="21" t="s">
        <v>312</v>
      </c>
      <c r="F10" s="23" t="s">
        <v>1352</v>
      </c>
      <c r="G10" s="23" t="s">
        <v>1353</v>
      </c>
      <c r="H10" s="21" t="s">
        <v>319</v>
      </c>
      <c r="I10" s="23" t="s">
        <v>981</v>
      </c>
      <c r="J10" s="21" t="s">
        <v>73</v>
      </c>
      <c r="K10" s="21" t="s">
        <v>74</v>
      </c>
      <c r="L10" s="21" t="s">
        <v>342</v>
      </c>
      <c r="M10" s="23" t="s">
        <v>734</v>
      </c>
      <c r="N10" s="23" t="s">
        <v>136</v>
      </c>
      <c r="O10" s="21" t="s">
        <v>78</v>
      </c>
      <c r="P10" s="155">
        <v>831</v>
      </c>
      <c r="Q10" s="156">
        <v>3.681</v>
      </c>
      <c r="R10" s="156">
        <v>48070.015767049132</v>
      </c>
      <c r="S10" s="135"/>
      <c r="T10" s="156">
        <v>1470.4190000000001</v>
      </c>
      <c r="U10" s="173">
        <v>9.9999999999999995E-7</v>
      </c>
      <c r="V10" s="173">
        <v>0.42531112512969199</v>
      </c>
      <c r="W10" s="173">
        <v>4.7636695465199802E-2</v>
      </c>
    </row>
    <row r="11" spans="1:23">
      <c r="A11" s="23" t="s">
        <v>26</v>
      </c>
      <c r="B11" s="23">
        <v>9964</v>
      </c>
      <c r="C11" s="23" t="s">
        <v>1346</v>
      </c>
      <c r="D11" s="23" t="s">
        <v>1347</v>
      </c>
      <c r="E11" s="21" t="s">
        <v>312</v>
      </c>
      <c r="F11" s="23" t="s">
        <v>1354</v>
      </c>
      <c r="G11" s="23" t="s">
        <v>1355</v>
      </c>
      <c r="H11" s="21" t="s">
        <v>319</v>
      </c>
      <c r="I11" s="23" t="s">
        <v>981</v>
      </c>
      <c r="J11" s="21" t="s">
        <v>73</v>
      </c>
      <c r="K11" s="21" t="s">
        <v>74</v>
      </c>
      <c r="L11" s="21" t="s">
        <v>378</v>
      </c>
      <c r="M11" s="23" t="s">
        <v>734</v>
      </c>
      <c r="N11" s="23" t="s">
        <v>136</v>
      </c>
      <c r="O11" s="21" t="s">
        <v>78</v>
      </c>
      <c r="P11" s="155">
        <v>268</v>
      </c>
      <c r="Q11" s="156">
        <v>3.681</v>
      </c>
      <c r="R11" s="156">
        <v>102523.95317625403</v>
      </c>
      <c r="S11" s="135"/>
      <c r="T11" s="156">
        <v>1011.407</v>
      </c>
      <c r="U11" s="173">
        <v>5.3000000000000001E-5</v>
      </c>
      <c r="V11" s="173">
        <v>0.63187827763305204</v>
      </c>
      <c r="W11" s="173">
        <v>2.9155891948777098E-2</v>
      </c>
    </row>
    <row r="12" spans="1:23">
      <c r="A12" s="23" t="s">
        <v>26</v>
      </c>
      <c r="B12" s="23">
        <v>9964</v>
      </c>
      <c r="C12" s="23" t="s">
        <v>1350</v>
      </c>
      <c r="D12" s="23" t="s">
        <v>1351</v>
      </c>
      <c r="E12" s="21" t="s">
        <v>312</v>
      </c>
      <c r="F12" s="23" t="s">
        <v>1352</v>
      </c>
      <c r="G12" s="23" t="s">
        <v>1353</v>
      </c>
      <c r="H12" s="21" t="s">
        <v>319</v>
      </c>
      <c r="I12" s="23" t="s">
        <v>981</v>
      </c>
      <c r="J12" s="21" t="s">
        <v>73</v>
      </c>
      <c r="K12" s="21" t="s">
        <v>74</v>
      </c>
      <c r="L12" s="21" t="s">
        <v>342</v>
      </c>
      <c r="M12" s="23" t="s">
        <v>734</v>
      </c>
      <c r="N12" s="23" t="s">
        <v>136</v>
      </c>
      <c r="O12" s="21" t="s">
        <v>78</v>
      </c>
      <c r="P12" s="155">
        <v>333</v>
      </c>
      <c r="Q12" s="156">
        <v>3.681</v>
      </c>
      <c r="R12" s="156">
        <v>48069.993383766821</v>
      </c>
      <c r="S12" s="135"/>
      <c r="T12" s="156">
        <v>589.22900000000004</v>
      </c>
      <c r="U12" s="173">
        <v>0</v>
      </c>
      <c r="V12" s="173">
        <v>0.36812172236694801</v>
      </c>
      <c r="W12" s="173">
        <v>1.69857352930897E-2</v>
      </c>
    </row>
    <row r="13" spans="1:23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1"/>
      <c r="P13" s="21"/>
      <c r="Q13" s="23"/>
      <c r="R13" s="23"/>
      <c r="S13" s="135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1"/>
      <c r="P14" s="21"/>
      <c r="Q14" s="23"/>
      <c r="R14" s="23"/>
      <c r="S14" s="135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1"/>
      <c r="P15" s="21"/>
      <c r="Q15" s="23"/>
      <c r="R15" s="23"/>
      <c r="S15" s="135"/>
      <c r="T15" s="23"/>
      <c r="U15" s="23"/>
      <c r="V15" s="23"/>
      <c r="W15" s="23"/>
    </row>
    <row r="16" spans="1:23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1"/>
      <c r="P16" s="21"/>
      <c r="Q16" s="23"/>
      <c r="R16" s="23"/>
      <c r="S16" s="135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1"/>
      <c r="P17" s="21"/>
      <c r="Q17" s="23"/>
      <c r="R17" s="23"/>
      <c r="S17" s="135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1"/>
      <c r="P18" s="21"/>
      <c r="Q18" s="23"/>
      <c r="R18" s="23"/>
      <c r="S18" s="135"/>
      <c r="T18" s="23"/>
      <c r="U18" s="23"/>
      <c r="V18" s="23"/>
      <c r="W18" s="23"/>
    </row>
    <row r="19" spans="1:2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1"/>
      <c r="P19" s="21"/>
      <c r="Q19" s="23"/>
      <c r="R19" s="23"/>
      <c r="S19" s="135"/>
      <c r="T19" s="23"/>
      <c r="U19" s="23"/>
      <c r="V19" s="23"/>
      <c r="W19" s="23"/>
    </row>
    <row r="20" spans="1:23">
      <c r="E20" s="21"/>
      <c r="H20" s="21"/>
      <c r="I20" s="23"/>
      <c r="J20" s="21"/>
      <c r="K20" s="21"/>
      <c r="L20" s="21"/>
      <c r="M20" s="23"/>
      <c r="N20" s="23"/>
      <c r="P20" s="21"/>
    </row>
    <row r="21" spans="1:23">
      <c r="H21" s="4"/>
      <c r="L21" s="4"/>
    </row>
    <row r="22" spans="1:23">
      <c r="L22" s="4"/>
    </row>
    <row r="26" spans="1:23">
      <c r="G2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topLeftCell="I1" zoomScale="70" zoomScaleNormal="70" workbookViewId="0">
      <selection activeCell="X2" sqref="X2:X3"/>
    </sheetView>
  </sheetViews>
  <sheetFormatPr defaultColWidth="9" defaultRowHeight="14.25"/>
  <cols>
    <col min="1" max="12" width="11.625" style="4" customWidth="1"/>
    <col min="13" max="13" width="11.625" style="2" customWidth="1"/>
    <col min="14" max="16" width="11.625" style="4" customWidth="1"/>
    <col min="17" max="17" width="20.5" style="4" customWidth="1"/>
    <col min="18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141</v>
      </c>
      <c r="E1" s="22" t="s">
        <v>142</v>
      </c>
      <c r="F1" s="22" t="s">
        <v>1111</v>
      </c>
      <c r="G1" s="22" t="s">
        <v>4</v>
      </c>
      <c r="H1" s="22" t="s">
        <v>143</v>
      </c>
      <c r="I1" s="22" t="s">
        <v>5</v>
      </c>
      <c r="J1" s="22" t="s">
        <v>6</v>
      </c>
      <c r="K1" s="22" t="s">
        <v>7</v>
      </c>
      <c r="L1" s="22" t="s">
        <v>324</v>
      </c>
      <c r="M1" s="22" t="s">
        <v>8</v>
      </c>
      <c r="N1" s="22" t="s">
        <v>568</v>
      </c>
      <c r="O1" s="22" t="s">
        <v>123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1" t="s">
        <v>26</v>
      </c>
      <c r="B2" s="21">
        <v>9963</v>
      </c>
      <c r="C2" s="21" t="s">
        <v>1325</v>
      </c>
      <c r="D2" s="21" t="s">
        <v>1326</v>
      </c>
      <c r="E2" s="21" t="s">
        <v>1305</v>
      </c>
      <c r="F2" s="21" t="s">
        <v>1327</v>
      </c>
      <c r="G2" s="21" t="s">
        <v>1328</v>
      </c>
      <c r="H2" s="21" t="s">
        <v>319</v>
      </c>
      <c r="I2" s="21" t="s">
        <v>931</v>
      </c>
      <c r="J2" s="21" t="s">
        <v>31</v>
      </c>
      <c r="K2" s="21" t="s">
        <v>31</v>
      </c>
      <c r="L2" s="4" t="s">
        <v>325</v>
      </c>
      <c r="M2" s="21" t="s">
        <v>40</v>
      </c>
      <c r="N2" s="23" t="s">
        <v>1329</v>
      </c>
      <c r="O2" s="23" t="s">
        <v>136</v>
      </c>
      <c r="P2" s="21" t="s">
        <v>35</v>
      </c>
      <c r="Q2" s="155">
        <v>4001213.13</v>
      </c>
      <c r="R2" s="155">
        <v>1</v>
      </c>
      <c r="S2" s="155">
        <v>62.3</v>
      </c>
      <c r="T2" s="155">
        <v>2492.7559999999999</v>
      </c>
      <c r="U2" s="171">
        <v>1.0925000000000001E-2</v>
      </c>
      <c r="V2" s="171">
        <v>1</v>
      </c>
      <c r="W2" s="171">
        <v>2.4261345990860398E-3</v>
      </c>
    </row>
    <row r="3" spans="1:23">
      <c r="A3" s="21" t="s">
        <v>26</v>
      </c>
      <c r="B3" s="21">
        <v>9964</v>
      </c>
      <c r="C3" s="21" t="s">
        <v>1330</v>
      </c>
      <c r="D3" s="21" t="s">
        <v>1331</v>
      </c>
      <c r="E3" s="21" t="s">
        <v>1305</v>
      </c>
      <c r="F3" s="21" t="s">
        <v>1332</v>
      </c>
      <c r="G3" s="21" t="s">
        <v>1333</v>
      </c>
      <c r="H3" s="21" t="s">
        <v>319</v>
      </c>
      <c r="I3" s="21" t="s">
        <v>931</v>
      </c>
      <c r="J3" s="21" t="s">
        <v>31</v>
      </c>
      <c r="K3" s="21"/>
      <c r="L3" s="4" t="s">
        <v>325</v>
      </c>
      <c r="M3" s="21" t="s">
        <v>40</v>
      </c>
      <c r="N3" s="23" t="s">
        <v>1329</v>
      </c>
      <c r="O3" s="23" t="s">
        <v>136</v>
      </c>
      <c r="P3" s="21" t="s">
        <v>35</v>
      </c>
      <c r="Q3" s="155">
        <v>42675</v>
      </c>
      <c r="R3" s="155">
        <v>1</v>
      </c>
      <c r="S3" s="155">
        <v>203.03</v>
      </c>
      <c r="T3" s="155">
        <v>86.643000000000001</v>
      </c>
      <c r="U3" s="171">
        <v>3.6600000000000001E-4</v>
      </c>
      <c r="V3" s="171">
        <v>1</v>
      </c>
      <c r="W3" s="171">
        <v>2.4976634758129101E-3</v>
      </c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7"/>
  <sheetViews>
    <sheetView rightToLeft="1" topLeftCell="K1" zoomScale="70" zoomScaleNormal="70" workbookViewId="0">
      <selection activeCell="Y30" sqref="Y30"/>
    </sheetView>
  </sheetViews>
  <sheetFormatPr defaultColWidth="9" defaultRowHeight="14.25"/>
  <cols>
    <col min="1" max="2" width="11.625" style="2" customWidth="1"/>
    <col min="3" max="3" width="24" style="2" customWidth="1"/>
    <col min="4" max="4" width="11.625" style="2" customWidth="1"/>
    <col min="5" max="5" width="11.625" style="4" customWidth="1"/>
    <col min="6" max="13" width="11.625" style="2" customWidth="1"/>
    <col min="14" max="14" width="20" style="2" customWidth="1"/>
    <col min="15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141</v>
      </c>
      <c r="E1" s="22" t="s">
        <v>142</v>
      </c>
      <c r="F1" s="22" t="s">
        <v>3</v>
      </c>
      <c r="G1" s="22" t="s">
        <v>4</v>
      </c>
      <c r="H1" s="22" t="s">
        <v>143</v>
      </c>
      <c r="I1" s="22" t="s">
        <v>6</v>
      </c>
      <c r="J1" s="22" t="s">
        <v>7</v>
      </c>
      <c r="K1" s="22" t="s">
        <v>324</v>
      </c>
      <c r="L1" s="22" t="s">
        <v>8</v>
      </c>
      <c r="M1" s="22" t="s">
        <v>1117</v>
      </c>
      <c r="N1" s="22" t="s">
        <v>144</v>
      </c>
      <c r="O1" s="22" t="s">
        <v>1118</v>
      </c>
      <c r="P1" s="22" t="s">
        <v>123</v>
      </c>
      <c r="Q1" s="22" t="s">
        <v>11</v>
      </c>
      <c r="R1" s="22" t="s">
        <v>1119</v>
      </c>
      <c r="S1" s="22" t="s">
        <v>1120</v>
      </c>
      <c r="T1" s="22" t="s">
        <v>17</v>
      </c>
      <c r="U1" s="22" t="s">
        <v>18</v>
      </c>
      <c r="V1" s="22" t="s">
        <v>19</v>
      </c>
      <c r="W1" s="22" t="s">
        <v>20</v>
      </c>
      <c r="X1" s="166" t="s">
        <v>24</v>
      </c>
      <c r="Y1" s="166" t="s">
        <v>25</v>
      </c>
    </row>
    <row r="2" spans="1:25">
      <c r="A2" s="30" t="s">
        <v>26</v>
      </c>
      <c r="B2" s="23">
        <v>1477</v>
      </c>
      <c r="C2" s="23" t="s">
        <v>1694</v>
      </c>
      <c r="D2" s="23" t="s">
        <v>1695</v>
      </c>
      <c r="E2" s="21" t="s">
        <v>1305</v>
      </c>
      <c r="F2" s="23" t="s">
        <v>2459</v>
      </c>
      <c r="G2" s="23" t="s">
        <v>2460</v>
      </c>
      <c r="H2" s="21" t="s">
        <v>319</v>
      </c>
      <c r="I2" s="21" t="s">
        <v>31</v>
      </c>
      <c r="J2" s="21" t="s">
        <v>31</v>
      </c>
      <c r="K2" s="23" t="s">
        <v>325</v>
      </c>
      <c r="L2" s="21" t="s">
        <v>40</v>
      </c>
      <c r="M2" s="23" t="s">
        <v>164</v>
      </c>
      <c r="N2" s="23" t="s">
        <v>478</v>
      </c>
      <c r="O2" s="23" t="s">
        <v>2461</v>
      </c>
      <c r="P2" s="23" t="s">
        <v>136</v>
      </c>
      <c r="Q2" s="21" t="s">
        <v>35</v>
      </c>
      <c r="R2" s="155">
        <v>1125</v>
      </c>
      <c r="S2" s="155">
        <v>0</v>
      </c>
      <c r="T2" s="156">
        <v>1398</v>
      </c>
      <c r="U2" s="156">
        <v>1</v>
      </c>
      <c r="V2" s="156">
        <v>95.4</v>
      </c>
      <c r="W2" s="156">
        <v>1.3340000000000001</v>
      </c>
      <c r="X2" s="173">
        <v>0.25460550075649002</v>
      </c>
      <c r="Y2" s="173">
        <v>1.3371743784318599E-4</v>
      </c>
    </row>
    <row r="3" spans="1:25">
      <c r="A3" s="23" t="s">
        <v>26</v>
      </c>
      <c r="B3" s="23">
        <v>1477</v>
      </c>
      <c r="C3" s="23" t="s">
        <v>2317</v>
      </c>
      <c r="D3" s="23" t="s">
        <v>2318</v>
      </c>
      <c r="E3" s="21" t="s">
        <v>1305</v>
      </c>
      <c r="F3" s="23" t="s">
        <v>2462</v>
      </c>
      <c r="G3" s="23" t="s">
        <v>2463</v>
      </c>
      <c r="H3" s="21" t="s">
        <v>319</v>
      </c>
      <c r="I3" s="21" t="s">
        <v>31</v>
      </c>
      <c r="J3" s="21" t="s">
        <v>31</v>
      </c>
      <c r="K3" s="23" t="s">
        <v>325</v>
      </c>
      <c r="L3" s="21" t="s">
        <v>40</v>
      </c>
      <c r="M3" s="23" t="s">
        <v>164</v>
      </c>
      <c r="N3" s="23" t="s">
        <v>438</v>
      </c>
      <c r="O3" s="23" t="s">
        <v>2464</v>
      </c>
      <c r="P3" s="23" t="s">
        <v>136</v>
      </c>
      <c r="Q3" s="21" t="s">
        <v>35</v>
      </c>
      <c r="R3" s="155">
        <v>8000</v>
      </c>
      <c r="S3" s="155">
        <v>0</v>
      </c>
      <c r="T3" s="156">
        <v>102</v>
      </c>
      <c r="U3" s="156">
        <v>1</v>
      </c>
      <c r="V3" s="156">
        <v>827.5</v>
      </c>
      <c r="W3" s="156">
        <v>0.84399999999999997</v>
      </c>
      <c r="X3" s="173">
        <v>0.16113148531558699</v>
      </c>
      <c r="Y3" s="173">
        <v>8.4625388329195403E-5</v>
      </c>
    </row>
    <row r="4" spans="1:25">
      <c r="A4" s="23" t="s">
        <v>26</v>
      </c>
      <c r="B4" s="23">
        <v>1477</v>
      </c>
      <c r="C4" s="23" t="s">
        <v>1450</v>
      </c>
      <c r="D4" s="23" t="s">
        <v>1451</v>
      </c>
      <c r="E4" s="21" t="s">
        <v>1305</v>
      </c>
      <c r="F4" s="23" t="s">
        <v>2465</v>
      </c>
      <c r="G4" s="23" t="s">
        <v>2466</v>
      </c>
      <c r="H4" s="21" t="s">
        <v>319</v>
      </c>
      <c r="I4" s="21" t="s">
        <v>31</v>
      </c>
      <c r="J4" s="21" t="s">
        <v>31</v>
      </c>
      <c r="K4" s="23" t="s">
        <v>325</v>
      </c>
      <c r="L4" s="21" t="s">
        <v>40</v>
      </c>
      <c r="M4" s="23" t="s">
        <v>164</v>
      </c>
      <c r="N4" s="23" t="s">
        <v>461</v>
      </c>
      <c r="O4" s="23" t="s">
        <v>2467</v>
      </c>
      <c r="P4" s="23" t="s">
        <v>136</v>
      </c>
      <c r="Q4" s="21" t="s">
        <v>35</v>
      </c>
      <c r="R4" s="155">
        <v>20</v>
      </c>
      <c r="S4" s="155">
        <v>0</v>
      </c>
      <c r="T4" s="156">
        <v>675</v>
      </c>
      <c r="U4" s="156">
        <v>1</v>
      </c>
      <c r="V4" s="156">
        <v>21.9</v>
      </c>
      <c r="W4" s="156">
        <v>0.14799999999999999</v>
      </c>
      <c r="X4" s="173">
        <v>2.82202023775566E-2</v>
      </c>
      <c r="Y4" s="173">
        <v>1.4821098311431E-5</v>
      </c>
    </row>
    <row r="5" spans="1:25">
      <c r="A5" s="23" t="s">
        <v>26</v>
      </c>
      <c r="B5" s="23">
        <v>1477</v>
      </c>
      <c r="C5" s="23" t="s">
        <v>2468</v>
      </c>
      <c r="D5" s="23" t="s">
        <v>2469</v>
      </c>
      <c r="E5" s="21" t="s">
        <v>1305</v>
      </c>
      <c r="F5" s="23" t="s">
        <v>2470</v>
      </c>
      <c r="G5" s="23" t="s">
        <v>2471</v>
      </c>
      <c r="H5" s="21" t="s">
        <v>319</v>
      </c>
      <c r="I5" s="21" t="s">
        <v>31</v>
      </c>
      <c r="J5" s="21" t="s">
        <v>31</v>
      </c>
      <c r="K5" s="23" t="s">
        <v>325</v>
      </c>
      <c r="L5" s="21" t="s">
        <v>40</v>
      </c>
      <c r="M5" s="23" t="s">
        <v>164</v>
      </c>
      <c r="N5" s="23" t="s">
        <v>478</v>
      </c>
      <c r="O5" s="23" t="s">
        <v>2472</v>
      </c>
      <c r="P5" s="23" t="s">
        <v>136</v>
      </c>
      <c r="Q5" s="21" t="s">
        <v>35</v>
      </c>
      <c r="R5" s="155">
        <v>514</v>
      </c>
      <c r="S5" s="155">
        <v>1</v>
      </c>
      <c r="T5" s="156">
        <v>3540</v>
      </c>
      <c r="U5" s="156">
        <v>1</v>
      </c>
      <c r="V5" s="156">
        <v>1.1000000000000001</v>
      </c>
      <c r="W5" s="156">
        <v>3.9E-2</v>
      </c>
      <c r="X5" s="173">
        <v>7.4337539697754296E-3</v>
      </c>
      <c r="Y5" s="173">
        <v>3.9041675511390002E-6</v>
      </c>
    </row>
    <row r="6" spans="1:25">
      <c r="A6" s="23" t="s">
        <v>26</v>
      </c>
      <c r="B6" s="23">
        <v>1477</v>
      </c>
      <c r="C6" s="23" t="s">
        <v>2473</v>
      </c>
      <c r="D6" s="23" t="s">
        <v>2474</v>
      </c>
      <c r="E6" s="21" t="s">
        <v>1305</v>
      </c>
      <c r="F6" s="23" t="s">
        <v>2475</v>
      </c>
      <c r="G6" s="23" t="s">
        <v>2476</v>
      </c>
      <c r="H6" s="21" t="s">
        <v>319</v>
      </c>
      <c r="I6" s="21" t="s">
        <v>31</v>
      </c>
      <c r="J6" s="21" t="s">
        <v>31</v>
      </c>
      <c r="K6" s="23" t="s">
        <v>325</v>
      </c>
      <c r="L6" s="21" t="s">
        <v>40</v>
      </c>
      <c r="M6" s="23" t="s">
        <v>164</v>
      </c>
      <c r="N6" s="23" t="s">
        <v>468</v>
      </c>
      <c r="O6" s="23" t="s">
        <v>2477</v>
      </c>
      <c r="P6" s="23" t="s">
        <v>136</v>
      </c>
      <c r="Q6" s="21" t="s">
        <v>35</v>
      </c>
      <c r="R6" s="155">
        <v>4117.3940000000002</v>
      </c>
      <c r="S6" s="155">
        <v>1</v>
      </c>
      <c r="T6" s="156">
        <v>858.16</v>
      </c>
      <c r="U6" s="156">
        <v>1</v>
      </c>
      <c r="V6" s="156">
        <v>226</v>
      </c>
      <c r="W6" s="156">
        <v>1.9390000000000001</v>
      </c>
      <c r="X6" s="173">
        <v>0.37024477897143299</v>
      </c>
      <c r="Y6" s="173">
        <v>1.94450563997152E-4</v>
      </c>
    </row>
    <row r="7" spans="1:25">
      <c r="A7" s="23" t="s">
        <v>26</v>
      </c>
      <c r="B7" s="23">
        <v>1477</v>
      </c>
      <c r="C7" s="23" t="s">
        <v>2478</v>
      </c>
      <c r="D7" s="23" t="s">
        <v>2479</v>
      </c>
      <c r="E7" s="21" t="s">
        <v>1305</v>
      </c>
      <c r="F7" s="23" t="s">
        <v>2480</v>
      </c>
      <c r="G7" s="23" t="s">
        <v>2481</v>
      </c>
      <c r="H7" s="21" t="s">
        <v>319</v>
      </c>
      <c r="I7" s="21" t="s">
        <v>31</v>
      </c>
      <c r="J7" s="21" t="s">
        <v>31</v>
      </c>
      <c r="K7" s="23" t="s">
        <v>325</v>
      </c>
      <c r="L7" s="21" t="s">
        <v>40</v>
      </c>
      <c r="M7" s="23" t="s">
        <v>164</v>
      </c>
      <c r="N7" s="23" t="s">
        <v>478</v>
      </c>
      <c r="O7" s="23" t="s">
        <v>2482</v>
      </c>
      <c r="P7" s="23" t="s">
        <v>136</v>
      </c>
      <c r="Q7" s="21" t="s">
        <v>35</v>
      </c>
      <c r="R7" s="155">
        <v>0</v>
      </c>
      <c r="S7" s="155">
        <v>0</v>
      </c>
      <c r="T7" s="156">
        <v>1850</v>
      </c>
      <c r="U7" s="156">
        <v>1</v>
      </c>
      <c r="V7" s="156">
        <v>47.9</v>
      </c>
      <c r="W7" s="156">
        <v>0.88600000000000001</v>
      </c>
      <c r="X7" s="173">
        <v>0.169168492047162</v>
      </c>
      <c r="Y7" s="173">
        <v>8.8846380982070405E-5</v>
      </c>
    </row>
    <row r="8" spans="1:25">
      <c r="A8" s="23" t="s">
        <v>26</v>
      </c>
      <c r="B8" s="23">
        <v>1477</v>
      </c>
      <c r="C8" s="23" t="s">
        <v>2483</v>
      </c>
      <c r="D8" s="23" t="s">
        <v>2484</v>
      </c>
      <c r="E8" s="21" t="s">
        <v>1305</v>
      </c>
      <c r="F8" s="23" t="s">
        <v>2485</v>
      </c>
      <c r="G8" s="23" t="s">
        <v>2486</v>
      </c>
      <c r="H8" s="21" t="s">
        <v>319</v>
      </c>
      <c r="I8" s="21" t="s">
        <v>31</v>
      </c>
      <c r="J8" s="21" t="s">
        <v>31</v>
      </c>
      <c r="K8" s="23" t="s">
        <v>325</v>
      </c>
      <c r="L8" s="21" t="s">
        <v>40</v>
      </c>
      <c r="M8" s="23" t="s">
        <v>164</v>
      </c>
      <c r="N8" s="23" t="s">
        <v>478</v>
      </c>
      <c r="O8" s="23" t="s">
        <v>2487</v>
      </c>
      <c r="P8" s="23" t="s">
        <v>136</v>
      </c>
      <c r="Q8" s="21" t="s">
        <v>35</v>
      </c>
      <c r="R8" s="155">
        <v>1656</v>
      </c>
      <c r="S8" s="155">
        <v>1</v>
      </c>
      <c r="T8" s="156">
        <v>2189</v>
      </c>
      <c r="U8" s="156">
        <v>1</v>
      </c>
      <c r="V8" s="156">
        <v>1</v>
      </c>
      <c r="W8" s="156">
        <v>2.1999999999999999E-2</v>
      </c>
      <c r="X8" s="173">
        <v>4.17886169487376E-3</v>
      </c>
      <c r="Y8" s="173">
        <v>2.1947156572787E-6</v>
      </c>
    </row>
    <row r="9" spans="1:25">
      <c r="A9" s="23" t="s">
        <v>26</v>
      </c>
      <c r="B9" s="23">
        <v>1477</v>
      </c>
      <c r="C9" s="23" t="s">
        <v>2488</v>
      </c>
      <c r="D9" s="23" t="s">
        <v>2489</v>
      </c>
      <c r="E9" s="21" t="s">
        <v>1305</v>
      </c>
      <c r="F9" s="23" t="s">
        <v>2490</v>
      </c>
      <c r="G9" s="23" t="s">
        <v>2491</v>
      </c>
      <c r="H9" s="21" t="s">
        <v>319</v>
      </c>
      <c r="I9" s="21" t="s">
        <v>31</v>
      </c>
      <c r="J9" s="21" t="s">
        <v>31</v>
      </c>
      <c r="K9" s="23" t="s">
        <v>325</v>
      </c>
      <c r="L9" s="21" t="s">
        <v>40</v>
      </c>
      <c r="M9" s="23" t="s">
        <v>164</v>
      </c>
      <c r="N9" s="23" t="s">
        <v>478</v>
      </c>
      <c r="O9" s="23" t="s">
        <v>2492</v>
      </c>
      <c r="P9" s="23" t="s">
        <v>136</v>
      </c>
      <c r="Q9" s="21" t="s">
        <v>35</v>
      </c>
      <c r="R9" s="155">
        <v>0</v>
      </c>
      <c r="S9" s="155">
        <v>0</v>
      </c>
      <c r="T9" s="156">
        <v>73</v>
      </c>
      <c r="U9" s="156">
        <v>1</v>
      </c>
      <c r="V9" s="156">
        <v>36</v>
      </c>
      <c r="W9" s="156">
        <v>2.5999999999999999E-2</v>
      </c>
      <c r="X9" s="173">
        <v>5.0169248671211699E-3</v>
      </c>
      <c r="Y9" s="173">
        <v>2.63486192203217E-6</v>
      </c>
    </row>
    <row r="10" spans="1:25">
      <c r="A10" s="23" t="s">
        <v>26</v>
      </c>
      <c r="B10" s="23">
        <v>9962</v>
      </c>
      <c r="C10" s="23" t="s">
        <v>2317</v>
      </c>
      <c r="D10" s="23" t="s">
        <v>2318</v>
      </c>
      <c r="E10" s="21" t="s">
        <v>1305</v>
      </c>
      <c r="F10" s="23" t="s">
        <v>2462</v>
      </c>
      <c r="G10" s="23" t="s">
        <v>2463</v>
      </c>
      <c r="H10" s="21" t="s">
        <v>319</v>
      </c>
      <c r="I10" s="21" t="s">
        <v>31</v>
      </c>
      <c r="J10" s="21" t="s">
        <v>31</v>
      </c>
      <c r="K10" s="23" t="s">
        <v>325</v>
      </c>
      <c r="L10" s="21" t="s">
        <v>40</v>
      </c>
      <c r="M10" s="23" t="s">
        <v>164</v>
      </c>
      <c r="N10" s="23" t="s">
        <v>438</v>
      </c>
      <c r="O10" s="23" t="s">
        <v>2464</v>
      </c>
      <c r="P10" s="23" t="s">
        <v>136</v>
      </c>
      <c r="Q10" s="21" t="s">
        <v>35</v>
      </c>
      <c r="R10" s="155">
        <v>8000</v>
      </c>
      <c r="S10" s="155">
        <v>0</v>
      </c>
      <c r="T10" s="156">
        <v>156</v>
      </c>
      <c r="U10" s="156">
        <v>1</v>
      </c>
      <c r="V10" s="156">
        <v>827.5</v>
      </c>
      <c r="W10" s="156">
        <v>1.2909999999999999</v>
      </c>
      <c r="X10" s="173">
        <v>0.39240796226123098</v>
      </c>
      <c r="Y10" s="173">
        <v>4.1820889383394401E-5</v>
      </c>
    </row>
    <row r="11" spans="1:25">
      <c r="A11" s="30" t="s">
        <v>26</v>
      </c>
      <c r="B11" s="23">
        <v>9962</v>
      </c>
      <c r="C11" s="23" t="s">
        <v>1450</v>
      </c>
      <c r="D11" s="23" t="s">
        <v>1451</v>
      </c>
      <c r="E11" s="21" t="s">
        <v>1305</v>
      </c>
      <c r="F11" s="23" t="s">
        <v>2465</v>
      </c>
      <c r="G11" s="23" t="s">
        <v>2466</v>
      </c>
      <c r="H11" s="21" t="s">
        <v>319</v>
      </c>
      <c r="I11" s="21" t="s">
        <v>31</v>
      </c>
      <c r="J11" s="21" t="s">
        <v>31</v>
      </c>
      <c r="K11" s="23" t="s">
        <v>325</v>
      </c>
      <c r="L11" s="21" t="s">
        <v>40</v>
      </c>
      <c r="M11" s="23" t="s">
        <v>164</v>
      </c>
      <c r="N11" s="23" t="s">
        <v>461</v>
      </c>
      <c r="O11" s="23" t="s">
        <v>2467</v>
      </c>
      <c r="P11" s="23" t="s">
        <v>136</v>
      </c>
      <c r="Q11" s="21" t="s">
        <v>35</v>
      </c>
      <c r="R11" s="155">
        <v>20</v>
      </c>
      <c r="S11" s="155">
        <v>0</v>
      </c>
      <c r="T11" s="156">
        <v>1575</v>
      </c>
      <c r="U11" s="156">
        <v>1</v>
      </c>
      <c r="V11" s="156">
        <v>21.9</v>
      </c>
      <c r="W11" s="156">
        <v>0.34499999999999997</v>
      </c>
      <c r="X11" s="173">
        <v>0.10485034966531501</v>
      </c>
      <c r="Y11" s="173">
        <v>1.11744289027557E-5</v>
      </c>
    </row>
    <row r="12" spans="1:25">
      <c r="A12" s="23" t="s">
        <v>26</v>
      </c>
      <c r="B12" s="23">
        <v>9962</v>
      </c>
      <c r="C12" s="23" t="s">
        <v>2468</v>
      </c>
      <c r="D12" s="23" t="s">
        <v>2469</v>
      </c>
      <c r="E12" s="21" t="s">
        <v>1305</v>
      </c>
      <c r="F12" s="23" t="s">
        <v>2470</v>
      </c>
      <c r="G12" s="23" t="s">
        <v>2471</v>
      </c>
      <c r="H12" s="21" t="s">
        <v>319</v>
      </c>
      <c r="I12" s="21" t="s">
        <v>31</v>
      </c>
      <c r="J12" s="21" t="s">
        <v>31</v>
      </c>
      <c r="K12" s="23" t="s">
        <v>325</v>
      </c>
      <c r="L12" s="21" t="s">
        <v>40</v>
      </c>
      <c r="M12" s="23" t="s">
        <v>164</v>
      </c>
      <c r="N12" s="23" t="s">
        <v>478</v>
      </c>
      <c r="O12" s="23" t="s">
        <v>2472</v>
      </c>
      <c r="P12" s="23" t="s">
        <v>136</v>
      </c>
      <c r="Q12" s="21" t="s">
        <v>35</v>
      </c>
      <c r="R12" s="155">
        <v>514</v>
      </c>
      <c r="S12" s="155">
        <v>1</v>
      </c>
      <c r="T12" s="156">
        <v>250</v>
      </c>
      <c r="U12" s="156">
        <v>1</v>
      </c>
      <c r="V12" s="156">
        <v>1.1000000000000001</v>
      </c>
      <c r="W12" s="156">
        <v>3.0000000000000001E-3</v>
      </c>
      <c r="X12" s="173">
        <v>8.3594538400990303E-4</v>
      </c>
      <c r="Y12" s="173">
        <v>8.9090902319571306E-8</v>
      </c>
    </row>
    <row r="13" spans="1:25">
      <c r="A13" s="23" t="s">
        <v>26</v>
      </c>
      <c r="B13" s="23">
        <v>9962</v>
      </c>
      <c r="C13" s="23" t="s">
        <v>2473</v>
      </c>
      <c r="D13" s="23" t="s">
        <v>2474</v>
      </c>
      <c r="E13" s="21" t="s">
        <v>1305</v>
      </c>
      <c r="F13" s="23" t="s">
        <v>2475</v>
      </c>
      <c r="G13" s="23" t="s">
        <v>2476</v>
      </c>
      <c r="H13" s="21" t="s">
        <v>319</v>
      </c>
      <c r="I13" s="21" t="s">
        <v>31</v>
      </c>
      <c r="J13" s="21" t="s">
        <v>31</v>
      </c>
      <c r="K13" s="23" t="s">
        <v>325</v>
      </c>
      <c r="L13" s="21" t="s">
        <v>40</v>
      </c>
      <c r="M13" s="23" t="s">
        <v>164</v>
      </c>
      <c r="N13" s="23" t="s">
        <v>468</v>
      </c>
      <c r="O13" s="23" t="s">
        <v>2477</v>
      </c>
      <c r="P13" s="23" t="s">
        <v>136</v>
      </c>
      <c r="Q13" s="21" t="s">
        <v>35</v>
      </c>
      <c r="R13" s="155">
        <v>4117.3940000000002</v>
      </c>
      <c r="S13" s="155">
        <v>1</v>
      </c>
      <c r="T13" s="156">
        <v>181.86</v>
      </c>
      <c r="U13" s="156">
        <v>1</v>
      </c>
      <c r="V13" s="156">
        <v>226</v>
      </c>
      <c r="W13" s="156">
        <v>0.41099999999999998</v>
      </c>
      <c r="X13" s="173">
        <v>0.124936931720528</v>
      </c>
      <c r="Y13" s="173">
        <v>1.3315156938397199E-5</v>
      </c>
    </row>
    <row r="14" spans="1:25">
      <c r="A14" s="23" t="s">
        <v>26</v>
      </c>
      <c r="B14" s="23">
        <v>9962</v>
      </c>
      <c r="C14" s="23" t="s">
        <v>2478</v>
      </c>
      <c r="D14" s="23" t="s">
        <v>2479</v>
      </c>
      <c r="E14" s="21" t="s">
        <v>1305</v>
      </c>
      <c r="F14" s="23" t="s">
        <v>2480</v>
      </c>
      <c r="G14" s="23" t="s">
        <v>2481</v>
      </c>
      <c r="H14" s="21" t="s">
        <v>319</v>
      </c>
      <c r="I14" s="21" t="s">
        <v>31</v>
      </c>
      <c r="J14" s="21" t="s">
        <v>31</v>
      </c>
      <c r="K14" s="23" t="s">
        <v>325</v>
      </c>
      <c r="L14" s="21" t="s">
        <v>40</v>
      </c>
      <c r="M14" s="23" t="s">
        <v>164</v>
      </c>
      <c r="N14" s="23" t="s">
        <v>478</v>
      </c>
      <c r="O14" s="23" t="s">
        <v>2482</v>
      </c>
      <c r="P14" s="23" t="s">
        <v>136</v>
      </c>
      <c r="Q14" s="21" t="s">
        <v>35</v>
      </c>
      <c r="R14" s="155">
        <v>0</v>
      </c>
      <c r="S14" s="155">
        <v>0</v>
      </c>
      <c r="T14" s="156">
        <v>2350</v>
      </c>
      <c r="U14" s="156">
        <v>1</v>
      </c>
      <c r="V14" s="156">
        <v>47.9</v>
      </c>
      <c r="W14" s="156">
        <v>1.1259999999999999</v>
      </c>
      <c r="X14" s="173">
        <v>0.34217524418572598</v>
      </c>
      <c r="Y14" s="173">
        <v>3.6467336071281997E-5</v>
      </c>
    </row>
    <row r="15" spans="1:25">
      <c r="A15" s="23" t="s">
        <v>26</v>
      </c>
      <c r="B15" s="23">
        <v>9962</v>
      </c>
      <c r="C15" s="23" t="s">
        <v>2483</v>
      </c>
      <c r="D15" s="23" t="s">
        <v>2484</v>
      </c>
      <c r="E15" s="21" t="s">
        <v>1305</v>
      </c>
      <c r="F15" s="23" t="s">
        <v>2485</v>
      </c>
      <c r="G15" s="23" t="s">
        <v>2486</v>
      </c>
      <c r="H15" s="21" t="s">
        <v>319</v>
      </c>
      <c r="I15" s="21" t="s">
        <v>31</v>
      </c>
      <c r="J15" s="21" t="s">
        <v>31</v>
      </c>
      <c r="K15" s="23" t="s">
        <v>325</v>
      </c>
      <c r="L15" s="21" t="s">
        <v>40</v>
      </c>
      <c r="M15" s="23" t="s">
        <v>164</v>
      </c>
      <c r="N15" s="23" t="s">
        <v>478</v>
      </c>
      <c r="O15" s="23" t="s">
        <v>2487</v>
      </c>
      <c r="P15" s="23" t="s">
        <v>136</v>
      </c>
      <c r="Q15" s="21" t="s">
        <v>35</v>
      </c>
      <c r="R15" s="155">
        <v>1656</v>
      </c>
      <c r="S15" s="155">
        <v>1</v>
      </c>
      <c r="T15" s="156">
        <v>934</v>
      </c>
      <c r="U15" s="156">
        <v>1</v>
      </c>
      <c r="V15" s="156">
        <v>1</v>
      </c>
      <c r="W15" s="156">
        <v>8.9999999999999993E-3</v>
      </c>
      <c r="X15" s="173">
        <v>2.8391745042372699E-3</v>
      </c>
      <c r="Y15" s="173">
        <v>3.0258510096901699E-7</v>
      </c>
    </row>
    <row r="16" spans="1:25">
      <c r="A16" s="23" t="s">
        <v>26</v>
      </c>
      <c r="B16" s="23">
        <v>9962</v>
      </c>
      <c r="C16" s="23" t="s">
        <v>2488</v>
      </c>
      <c r="D16" s="23" t="s">
        <v>2489</v>
      </c>
      <c r="E16" s="21" t="s">
        <v>1305</v>
      </c>
      <c r="F16" s="23" t="s">
        <v>2490</v>
      </c>
      <c r="G16" s="23" t="s">
        <v>2491</v>
      </c>
      <c r="H16" s="21" t="s">
        <v>319</v>
      </c>
      <c r="I16" s="21" t="s">
        <v>31</v>
      </c>
      <c r="J16" s="21" t="s">
        <v>31</v>
      </c>
      <c r="K16" s="23" t="s">
        <v>325</v>
      </c>
      <c r="L16" s="21" t="s">
        <v>40</v>
      </c>
      <c r="M16" s="23" t="s">
        <v>164</v>
      </c>
      <c r="N16" s="23" t="s">
        <v>478</v>
      </c>
      <c r="O16" s="23" t="s">
        <v>2492</v>
      </c>
      <c r="P16" s="23" t="s">
        <v>136</v>
      </c>
      <c r="Q16" s="21" t="s">
        <v>35</v>
      </c>
      <c r="R16" s="155">
        <v>0</v>
      </c>
      <c r="S16" s="155">
        <v>0</v>
      </c>
      <c r="T16" s="156">
        <v>292</v>
      </c>
      <c r="U16" s="156">
        <v>1</v>
      </c>
      <c r="V16" s="156">
        <v>36</v>
      </c>
      <c r="W16" s="156">
        <v>0.105</v>
      </c>
      <c r="X16" s="173">
        <v>3.1954392278953102E-2</v>
      </c>
      <c r="Y16" s="173">
        <v>3.4055402370303001E-6</v>
      </c>
    </row>
    <row r="17" spans="1:25">
      <c r="A17" s="23" t="s">
        <v>26</v>
      </c>
      <c r="B17" s="23">
        <v>9963</v>
      </c>
      <c r="C17" s="23" t="s">
        <v>1694</v>
      </c>
      <c r="D17" s="23" t="s">
        <v>1695</v>
      </c>
      <c r="E17" s="21" t="s">
        <v>1305</v>
      </c>
      <c r="F17" s="23" t="s">
        <v>2459</v>
      </c>
      <c r="G17" s="23" t="s">
        <v>2460</v>
      </c>
      <c r="H17" s="21" t="s">
        <v>319</v>
      </c>
      <c r="I17" s="21" t="s">
        <v>31</v>
      </c>
      <c r="J17" s="21" t="s">
        <v>31</v>
      </c>
      <c r="K17" s="23" t="s">
        <v>325</v>
      </c>
      <c r="L17" s="21" t="s">
        <v>40</v>
      </c>
      <c r="M17" s="23" t="s">
        <v>164</v>
      </c>
      <c r="N17" s="23" t="s">
        <v>478</v>
      </c>
      <c r="O17" s="23" t="s">
        <v>2461</v>
      </c>
      <c r="P17" s="23" t="s">
        <v>136</v>
      </c>
      <c r="Q17" s="21" t="s">
        <v>35</v>
      </c>
      <c r="R17" s="155">
        <v>1125</v>
      </c>
      <c r="S17" s="155">
        <v>0</v>
      </c>
      <c r="T17" s="156">
        <v>6540</v>
      </c>
      <c r="U17" s="156">
        <v>1</v>
      </c>
      <c r="V17" s="156">
        <v>95.4</v>
      </c>
      <c r="W17" s="156">
        <v>6.2389999999999999</v>
      </c>
      <c r="X17" s="173">
        <v>6.2013033745882101E-2</v>
      </c>
      <c r="Y17" s="173">
        <v>6.0724127356328596E-6</v>
      </c>
    </row>
    <row r="18" spans="1:25">
      <c r="A18" s="23" t="s">
        <v>26</v>
      </c>
      <c r="B18" s="23">
        <v>9963</v>
      </c>
      <c r="C18" s="23" t="s">
        <v>2317</v>
      </c>
      <c r="D18" s="23" t="s">
        <v>2318</v>
      </c>
      <c r="E18" s="21" t="s">
        <v>1305</v>
      </c>
      <c r="F18" s="23" t="s">
        <v>2462</v>
      </c>
      <c r="G18" s="23" t="s">
        <v>2463</v>
      </c>
      <c r="H18" s="21" t="s">
        <v>319</v>
      </c>
      <c r="I18" s="21" t="s">
        <v>31</v>
      </c>
      <c r="J18" s="21" t="s">
        <v>31</v>
      </c>
      <c r="K18" s="23" t="s">
        <v>325</v>
      </c>
      <c r="L18" s="21" t="s">
        <v>40</v>
      </c>
      <c r="M18" s="23" t="s">
        <v>164</v>
      </c>
      <c r="N18" s="23" t="s">
        <v>438</v>
      </c>
      <c r="O18" s="23" t="s">
        <v>2464</v>
      </c>
      <c r="P18" s="23" t="s">
        <v>136</v>
      </c>
      <c r="Q18" s="21" t="s">
        <v>35</v>
      </c>
      <c r="R18" s="155">
        <v>8000</v>
      </c>
      <c r="S18" s="155">
        <v>0</v>
      </c>
      <c r="T18" s="156">
        <v>5766</v>
      </c>
      <c r="U18" s="156">
        <v>1</v>
      </c>
      <c r="V18" s="156">
        <v>827.5</v>
      </c>
      <c r="W18" s="156">
        <v>47.713999999999999</v>
      </c>
      <c r="X18" s="173">
        <v>0.47424143435802402</v>
      </c>
      <c r="Y18" s="173">
        <v>4.6438459011073398E-5</v>
      </c>
    </row>
    <row r="19" spans="1:25">
      <c r="A19" s="23" t="s">
        <v>26</v>
      </c>
      <c r="B19" s="23">
        <v>9963</v>
      </c>
      <c r="C19" s="23" t="s">
        <v>1450</v>
      </c>
      <c r="D19" s="23" t="s">
        <v>1451</v>
      </c>
      <c r="E19" s="21" t="s">
        <v>1305</v>
      </c>
      <c r="F19" s="23" t="s">
        <v>2465</v>
      </c>
      <c r="G19" s="23" t="s">
        <v>2466</v>
      </c>
      <c r="H19" s="21" t="s">
        <v>319</v>
      </c>
      <c r="I19" s="21" t="s">
        <v>31</v>
      </c>
      <c r="J19" s="21" t="s">
        <v>31</v>
      </c>
      <c r="K19" s="23" t="s">
        <v>325</v>
      </c>
      <c r="L19" s="21" t="s">
        <v>40</v>
      </c>
      <c r="M19" s="23" t="s">
        <v>164</v>
      </c>
      <c r="N19" s="23" t="s">
        <v>461</v>
      </c>
      <c r="O19" s="23" t="s">
        <v>2467</v>
      </c>
      <c r="P19" s="23" t="s">
        <v>136</v>
      </c>
      <c r="Q19" s="21" t="s">
        <v>35</v>
      </c>
      <c r="R19" s="155">
        <v>20</v>
      </c>
      <c r="S19" s="155">
        <v>0</v>
      </c>
      <c r="T19" s="156">
        <v>84900</v>
      </c>
      <c r="U19" s="156">
        <v>1</v>
      </c>
      <c r="V19" s="156">
        <v>21.9</v>
      </c>
      <c r="W19" s="156">
        <v>18.593</v>
      </c>
      <c r="X19" s="173">
        <v>0.184802848098231</v>
      </c>
      <c r="Y19" s="173">
        <v>1.80961823762967E-5</v>
      </c>
    </row>
    <row r="20" spans="1:25">
      <c r="A20" s="2" t="s">
        <v>26</v>
      </c>
      <c r="B20" s="2">
        <v>9963</v>
      </c>
      <c r="C20" s="2" t="s">
        <v>2468</v>
      </c>
      <c r="D20" s="2" t="s">
        <v>2469</v>
      </c>
      <c r="E20" s="21" t="s">
        <v>1305</v>
      </c>
      <c r="F20" s="2" t="s">
        <v>2470</v>
      </c>
      <c r="G20" s="2" t="s">
        <v>2471</v>
      </c>
      <c r="H20" s="21" t="s">
        <v>319</v>
      </c>
      <c r="I20" s="21" t="s">
        <v>31</v>
      </c>
      <c r="J20" s="21" t="s">
        <v>31</v>
      </c>
      <c r="K20" s="23" t="s">
        <v>325</v>
      </c>
      <c r="L20" s="21" t="s">
        <v>40</v>
      </c>
      <c r="M20" s="2" t="s">
        <v>164</v>
      </c>
      <c r="N20" s="23" t="s">
        <v>478</v>
      </c>
      <c r="O20" s="2" t="s">
        <v>2472</v>
      </c>
      <c r="P20" s="23" t="s">
        <v>136</v>
      </c>
      <c r="Q20" s="2" t="s">
        <v>35</v>
      </c>
      <c r="R20" s="153">
        <v>514</v>
      </c>
      <c r="S20" s="153">
        <v>1</v>
      </c>
      <c r="T20" s="153">
        <v>14940</v>
      </c>
      <c r="U20" s="153">
        <v>1</v>
      </c>
      <c r="V20" s="153">
        <v>1.1000000000000001</v>
      </c>
      <c r="W20" s="153">
        <v>0.16400000000000001</v>
      </c>
      <c r="X20" s="167">
        <v>1.6334285329753101E-3</v>
      </c>
      <c r="Y20" s="167">
        <v>1.5994786300942801E-7</v>
      </c>
    </row>
    <row r="21" spans="1:25">
      <c r="A21" s="2" t="s">
        <v>26</v>
      </c>
      <c r="B21" s="2">
        <v>9963</v>
      </c>
      <c r="C21" s="2" t="s">
        <v>2473</v>
      </c>
      <c r="D21" s="2" t="s">
        <v>2474</v>
      </c>
      <c r="E21" s="4" t="s">
        <v>1305</v>
      </c>
      <c r="F21" s="2" t="s">
        <v>2475</v>
      </c>
      <c r="G21" s="2" t="s">
        <v>2476</v>
      </c>
      <c r="H21" s="4" t="s">
        <v>319</v>
      </c>
      <c r="I21" s="2" t="s">
        <v>31</v>
      </c>
      <c r="J21" s="2" t="s">
        <v>31</v>
      </c>
      <c r="K21" s="2" t="s">
        <v>325</v>
      </c>
      <c r="L21" s="4" t="s">
        <v>40</v>
      </c>
      <c r="M21" s="2" t="s">
        <v>164</v>
      </c>
      <c r="N21" s="2" t="s">
        <v>468</v>
      </c>
      <c r="O21" s="2" t="s">
        <v>2477</v>
      </c>
      <c r="P21" s="2" t="s">
        <v>136</v>
      </c>
      <c r="Q21" s="2" t="s">
        <v>35</v>
      </c>
      <c r="R21" s="153">
        <v>4117.3940000000002</v>
      </c>
      <c r="S21" s="153">
        <v>1</v>
      </c>
      <c r="T21" s="153">
        <v>9763.74</v>
      </c>
      <c r="U21" s="153">
        <v>1</v>
      </c>
      <c r="V21" s="153">
        <v>226</v>
      </c>
      <c r="W21" s="153">
        <v>22.065999999999999</v>
      </c>
      <c r="X21" s="167">
        <v>0.219321647805089</v>
      </c>
      <c r="Y21" s="167">
        <v>2.1476316943130499E-5</v>
      </c>
    </row>
    <row r="22" spans="1:25">
      <c r="A22" s="2" t="s">
        <v>26</v>
      </c>
      <c r="B22" s="2">
        <v>9963</v>
      </c>
      <c r="C22" s="2" t="s">
        <v>2488</v>
      </c>
      <c r="D22" s="2" t="s">
        <v>2489</v>
      </c>
      <c r="E22" s="4" t="s">
        <v>1305</v>
      </c>
      <c r="F22" s="2" t="s">
        <v>2490</v>
      </c>
      <c r="G22" s="2" t="s">
        <v>2491</v>
      </c>
      <c r="H22" s="2" t="s">
        <v>319</v>
      </c>
      <c r="I22" s="2" t="s">
        <v>31</v>
      </c>
      <c r="J22" s="2" t="s">
        <v>31</v>
      </c>
      <c r="K22" s="2" t="s">
        <v>325</v>
      </c>
      <c r="L22" s="4" t="s">
        <v>40</v>
      </c>
      <c r="M22" s="2" t="s">
        <v>164</v>
      </c>
      <c r="N22" s="2" t="s">
        <v>478</v>
      </c>
      <c r="O22" s="2" t="s">
        <v>2492</v>
      </c>
      <c r="P22" s="2" t="s">
        <v>136</v>
      </c>
      <c r="Q22" s="2" t="s">
        <v>35</v>
      </c>
      <c r="R22" s="153">
        <v>0</v>
      </c>
      <c r="S22" s="153">
        <v>0</v>
      </c>
      <c r="T22" s="153">
        <v>16206</v>
      </c>
      <c r="U22" s="153">
        <v>1</v>
      </c>
      <c r="V22" s="153">
        <v>36</v>
      </c>
      <c r="W22" s="153">
        <v>5.8339999999999996</v>
      </c>
      <c r="X22" s="167">
        <v>5.79876074597983E-2</v>
      </c>
      <c r="Y22" s="167">
        <v>5.67823673150228E-6</v>
      </c>
    </row>
    <row r="23" spans="1:25">
      <c r="A23" s="2" t="s">
        <v>26</v>
      </c>
      <c r="B23" s="2">
        <v>9964</v>
      </c>
      <c r="C23" s="2" t="s">
        <v>2317</v>
      </c>
      <c r="D23" s="2" t="s">
        <v>2318</v>
      </c>
      <c r="E23" s="4" t="s">
        <v>1305</v>
      </c>
      <c r="F23" s="2" t="s">
        <v>2462</v>
      </c>
      <c r="G23" s="2" t="s">
        <v>2463</v>
      </c>
      <c r="H23" s="2" t="s">
        <v>319</v>
      </c>
      <c r="I23" s="2" t="s">
        <v>31</v>
      </c>
      <c r="J23" s="2" t="s">
        <v>31</v>
      </c>
      <c r="K23" s="2" t="s">
        <v>325</v>
      </c>
      <c r="L23" s="2" t="s">
        <v>40</v>
      </c>
      <c r="M23" s="2" t="s">
        <v>164</v>
      </c>
      <c r="N23" s="2" t="s">
        <v>438</v>
      </c>
      <c r="O23" s="2" t="s">
        <v>2464</v>
      </c>
      <c r="P23" s="2" t="s">
        <v>136</v>
      </c>
      <c r="Q23" s="2" t="s">
        <v>35</v>
      </c>
      <c r="R23" s="153">
        <v>8000</v>
      </c>
      <c r="S23" s="153">
        <v>0</v>
      </c>
      <c r="T23" s="153">
        <v>204</v>
      </c>
      <c r="U23" s="153">
        <v>1</v>
      </c>
      <c r="V23" s="153">
        <v>827.5</v>
      </c>
      <c r="W23" s="153">
        <v>1.6879999999999999</v>
      </c>
      <c r="X23" s="167">
        <v>0.54620910946462797</v>
      </c>
      <c r="Y23" s="167">
        <v>4.8662940557406701E-5</v>
      </c>
    </row>
    <row r="24" spans="1:25">
      <c r="A24" s="2" t="s">
        <v>26</v>
      </c>
      <c r="B24" s="2">
        <v>9964</v>
      </c>
      <c r="C24" s="2" t="s">
        <v>1450</v>
      </c>
      <c r="D24" s="2" t="s">
        <v>1451</v>
      </c>
      <c r="E24" s="4" t="s">
        <v>1305</v>
      </c>
      <c r="F24" s="2" t="s">
        <v>2465</v>
      </c>
      <c r="G24" s="2" t="s">
        <v>2466</v>
      </c>
      <c r="H24" s="2" t="s">
        <v>319</v>
      </c>
      <c r="I24" s="2" t="s">
        <v>31</v>
      </c>
      <c r="J24" s="2" t="s">
        <v>31</v>
      </c>
      <c r="K24" s="2" t="s">
        <v>325</v>
      </c>
      <c r="L24" s="2" t="s">
        <v>40</v>
      </c>
      <c r="M24" s="2" t="s">
        <v>164</v>
      </c>
      <c r="N24" s="2" t="s">
        <v>461</v>
      </c>
      <c r="O24" s="2" t="s">
        <v>2467</v>
      </c>
      <c r="P24" s="2" t="s">
        <v>136</v>
      </c>
      <c r="Q24" s="2" t="s">
        <v>35</v>
      </c>
      <c r="R24" s="153">
        <v>20</v>
      </c>
      <c r="S24" s="153">
        <v>0</v>
      </c>
      <c r="T24" s="153">
        <v>2550</v>
      </c>
      <c r="U24" s="153">
        <v>1</v>
      </c>
      <c r="V24" s="153">
        <v>21.9</v>
      </c>
      <c r="W24" s="153">
        <v>0.55800000000000005</v>
      </c>
      <c r="X24" s="167">
        <v>0.18069455433950701</v>
      </c>
      <c r="Y24" s="167">
        <v>1.60984652297161E-5</v>
      </c>
    </row>
    <row r="25" spans="1:25">
      <c r="A25" s="2" t="s">
        <v>26</v>
      </c>
      <c r="B25" s="2">
        <v>9964</v>
      </c>
      <c r="C25" s="2" t="s">
        <v>2468</v>
      </c>
      <c r="D25" s="2" t="s">
        <v>2469</v>
      </c>
      <c r="E25" s="4" t="s">
        <v>1305</v>
      </c>
      <c r="F25" s="2" t="s">
        <v>2470</v>
      </c>
      <c r="G25" s="2" t="s">
        <v>2471</v>
      </c>
      <c r="H25" s="2" t="s">
        <v>319</v>
      </c>
      <c r="I25" s="2" t="s">
        <v>31</v>
      </c>
      <c r="J25" s="2" t="s">
        <v>31</v>
      </c>
      <c r="K25" s="2" t="s">
        <v>325</v>
      </c>
      <c r="L25" s="2" t="s">
        <v>40</v>
      </c>
      <c r="M25" s="2" t="s">
        <v>164</v>
      </c>
      <c r="N25" s="2" t="s">
        <v>478</v>
      </c>
      <c r="O25" s="2" t="s">
        <v>2472</v>
      </c>
      <c r="P25" s="2" t="s">
        <v>136</v>
      </c>
      <c r="Q25" s="2" t="s">
        <v>35</v>
      </c>
      <c r="R25" s="153">
        <v>514</v>
      </c>
      <c r="S25" s="153">
        <v>1</v>
      </c>
      <c r="T25" s="153">
        <v>510</v>
      </c>
      <c r="U25" s="153">
        <v>1</v>
      </c>
      <c r="V25" s="153">
        <v>1.1000000000000001</v>
      </c>
      <c r="W25" s="153">
        <v>6.0000000000000001E-3</v>
      </c>
      <c r="X25" s="167">
        <v>1.81519643628728E-3</v>
      </c>
      <c r="Y25" s="167">
        <v>1.6171974203367799E-7</v>
      </c>
    </row>
    <row r="26" spans="1:25">
      <c r="A26" s="2" t="s">
        <v>26</v>
      </c>
      <c r="B26" s="2">
        <v>9964</v>
      </c>
      <c r="C26" s="2" t="s">
        <v>2473</v>
      </c>
      <c r="D26" s="2" t="s">
        <v>2474</v>
      </c>
      <c r="E26" s="4" t="s">
        <v>1305</v>
      </c>
      <c r="F26" s="2" t="s">
        <v>2475</v>
      </c>
      <c r="G26" s="2" t="s">
        <v>2476</v>
      </c>
      <c r="H26" s="2" t="s">
        <v>319</v>
      </c>
      <c r="I26" s="2" t="s">
        <v>31</v>
      </c>
      <c r="J26" s="2" t="s">
        <v>31</v>
      </c>
      <c r="K26" s="2" t="s">
        <v>325</v>
      </c>
      <c r="L26" s="2" t="s">
        <v>40</v>
      </c>
      <c r="M26" s="2" t="s">
        <v>164</v>
      </c>
      <c r="N26" s="2" t="s">
        <v>468</v>
      </c>
      <c r="O26" s="2" t="s">
        <v>2477</v>
      </c>
      <c r="P26" s="2" t="s">
        <v>136</v>
      </c>
      <c r="Q26" s="2" t="s">
        <v>35</v>
      </c>
      <c r="R26" s="153">
        <v>4117.3940000000002</v>
      </c>
      <c r="S26" s="153">
        <v>1</v>
      </c>
      <c r="T26" s="153">
        <v>301.20999999999998</v>
      </c>
      <c r="U26" s="153">
        <v>1</v>
      </c>
      <c r="V26" s="153">
        <v>226</v>
      </c>
      <c r="W26" s="153">
        <v>0.68100000000000005</v>
      </c>
      <c r="X26" s="167">
        <v>0.220261500887246</v>
      </c>
      <c r="Y26" s="167">
        <v>1.9623569323600499E-5</v>
      </c>
    </row>
    <row r="27" spans="1:25">
      <c r="A27" s="2" t="s">
        <v>26</v>
      </c>
      <c r="B27" s="2">
        <v>9964</v>
      </c>
      <c r="C27" s="2" t="s">
        <v>2488</v>
      </c>
      <c r="D27" s="2" t="s">
        <v>2489</v>
      </c>
      <c r="E27" s="4" t="s">
        <v>1305</v>
      </c>
      <c r="F27" s="2" t="s">
        <v>2490</v>
      </c>
      <c r="G27" s="2" t="s">
        <v>2491</v>
      </c>
      <c r="H27" s="2" t="s">
        <v>319</v>
      </c>
      <c r="I27" s="2" t="s">
        <v>31</v>
      </c>
      <c r="J27" s="2" t="s">
        <v>31</v>
      </c>
      <c r="K27" s="2" t="s">
        <v>325</v>
      </c>
      <c r="L27" s="2" t="s">
        <v>40</v>
      </c>
      <c r="M27" s="2" t="s">
        <v>164</v>
      </c>
      <c r="N27" s="2" t="s">
        <v>478</v>
      </c>
      <c r="O27" s="2" t="s">
        <v>2492</v>
      </c>
      <c r="P27" s="2" t="s">
        <v>136</v>
      </c>
      <c r="Q27" s="2" t="s">
        <v>35</v>
      </c>
      <c r="R27" s="153">
        <v>0</v>
      </c>
      <c r="S27" s="153">
        <v>0</v>
      </c>
      <c r="T27" s="153">
        <v>438</v>
      </c>
      <c r="U27" s="153">
        <v>1</v>
      </c>
      <c r="V27" s="153">
        <v>36</v>
      </c>
      <c r="W27" s="153">
        <v>0.158</v>
      </c>
      <c r="X27" s="167">
        <v>5.1019638872331401E-2</v>
      </c>
      <c r="Y27" s="167">
        <v>4.5454490060374903E-6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141</v>
      </c>
      <c r="E1" s="22" t="s">
        <v>142</v>
      </c>
      <c r="F1" s="22" t="s">
        <v>3</v>
      </c>
      <c r="G1" s="22" t="s">
        <v>4</v>
      </c>
      <c r="H1" s="22" t="s">
        <v>143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144</v>
      </c>
      <c r="N1" s="22" t="s">
        <v>172</v>
      </c>
      <c r="O1" s="22" t="s">
        <v>1118</v>
      </c>
      <c r="P1" s="22" t="s">
        <v>123</v>
      </c>
      <c r="Q1" s="22" t="s">
        <v>11</v>
      </c>
      <c r="R1" s="22" t="s">
        <v>1119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 filterMode="1"/>
  <dimension ref="A1:T25"/>
  <sheetViews>
    <sheetView rightToLeft="1" zoomScale="70" zoomScaleNormal="70" workbookViewId="0">
      <selection activeCell="F48" sqref="F48"/>
    </sheetView>
  </sheetViews>
  <sheetFormatPr defaultColWidth="9" defaultRowHeight="14.25"/>
  <cols>
    <col min="1" max="4" width="11.625" style="2" customWidth="1"/>
    <col min="5" max="5" width="11.625" style="4" customWidth="1"/>
    <col min="6" max="6" width="30.5" style="2" customWidth="1"/>
    <col min="7" max="7" width="16.5" style="2" customWidth="1"/>
    <col min="8" max="11" width="11.625" style="2" customWidth="1"/>
    <col min="12" max="12" width="17.125" style="2" customWidth="1"/>
    <col min="13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141</v>
      </c>
      <c r="E1" s="22" t="s">
        <v>142</v>
      </c>
      <c r="F1" s="22" t="s">
        <v>3</v>
      </c>
      <c r="G1" s="22" t="s">
        <v>4</v>
      </c>
      <c r="H1" s="22" t="s">
        <v>143</v>
      </c>
      <c r="I1" s="22" t="s">
        <v>6</v>
      </c>
      <c r="J1" s="22" t="s">
        <v>7</v>
      </c>
      <c r="K1" s="22" t="s">
        <v>8</v>
      </c>
      <c r="L1" s="22" t="s">
        <v>172</v>
      </c>
      <c r="M1" s="22" t="s">
        <v>123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66" t="s">
        <v>24</v>
      </c>
      <c r="T1" s="166" t="s">
        <v>25</v>
      </c>
    </row>
    <row r="2" spans="1:20" hidden="1">
      <c r="A2" s="23" t="s">
        <v>26</v>
      </c>
      <c r="B2" s="23">
        <v>1405</v>
      </c>
      <c r="C2" s="2" t="s">
        <v>2439</v>
      </c>
      <c r="D2" s="2" t="s">
        <v>2440</v>
      </c>
      <c r="E2" s="21" t="s">
        <v>34</v>
      </c>
      <c r="F2" s="23" t="s">
        <v>2441</v>
      </c>
      <c r="G2" s="23" t="s">
        <v>2442</v>
      </c>
      <c r="H2" s="21" t="s">
        <v>164</v>
      </c>
      <c r="I2" s="21" t="s">
        <v>73</v>
      </c>
      <c r="J2" s="21" t="s">
        <v>74</v>
      </c>
      <c r="K2" s="21" t="s">
        <v>360</v>
      </c>
      <c r="L2" s="23" t="s">
        <v>746</v>
      </c>
      <c r="M2" s="23" t="s">
        <v>136</v>
      </c>
      <c r="N2" s="21" t="s">
        <v>78</v>
      </c>
      <c r="O2" s="156">
        <v>2</v>
      </c>
      <c r="P2" s="156">
        <v>3.681</v>
      </c>
      <c r="Q2" s="156">
        <v>5308.5</v>
      </c>
      <c r="R2" s="156">
        <v>4.5199999999999996</v>
      </c>
      <c r="S2" s="173">
        <v>1</v>
      </c>
      <c r="T2" s="173">
        <v>4.2751800654971698E-4</v>
      </c>
    </row>
    <row r="3" spans="1:20" hidden="1">
      <c r="A3" s="23" t="s">
        <v>26</v>
      </c>
      <c r="B3" s="23">
        <v>1477</v>
      </c>
      <c r="C3" s="2" t="s">
        <v>2439</v>
      </c>
      <c r="D3" s="2" t="s">
        <v>2440</v>
      </c>
      <c r="E3" s="21" t="s">
        <v>34</v>
      </c>
      <c r="F3" s="23" t="s">
        <v>2441</v>
      </c>
      <c r="G3" s="23" t="s">
        <v>2442</v>
      </c>
      <c r="H3" s="21" t="s">
        <v>164</v>
      </c>
      <c r="I3" s="21" t="s">
        <v>73</v>
      </c>
      <c r="J3" s="21" t="s">
        <v>74</v>
      </c>
      <c r="K3" s="21" t="s">
        <v>360</v>
      </c>
      <c r="L3" s="23" t="s">
        <v>746</v>
      </c>
      <c r="M3" s="23" t="s">
        <v>136</v>
      </c>
      <c r="N3" s="21" t="s">
        <v>78</v>
      </c>
      <c r="O3" s="156">
        <v>33</v>
      </c>
      <c r="P3" s="156">
        <v>3.681</v>
      </c>
      <c r="Q3" s="156">
        <v>5308.5</v>
      </c>
      <c r="R3" s="156">
        <v>74.584000000000003</v>
      </c>
      <c r="S3" s="173">
        <v>0.75649254684518596</v>
      </c>
      <c r="T3" s="173">
        <v>7.4779168000220497E-3</v>
      </c>
    </row>
    <row r="4" spans="1:20" hidden="1">
      <c r="A4" s="23" t="s">
        <v>26</v>
      </c>
      <c r="B4" s="23">
        <v>1477</v>
      </c>
      <c r="C4" s="2" t="s">
        <v>2439</v>
      </c>
      <c r="D4" s="2" t="s">
        <v>2440</v>
      </c>
      <c r="E4" s="21" t="s">
        <v>34</v>
      </c>
      <c r="F4" s="23" t="s">
        <v>2443</v>
      </c>
      <c r="G4" s="23" t="s">
        <v>2444</v>
      </c>
      <c r="H4" s="21" t="s">
        <v>164</v>
      </c>
      <c r="I4" s="21" t="s">
        <v>73</v>
      </c>
      <c r="J4" s="21" t="s">
        <v>74</v>
      </c>
      <c r="K4" s="21" t="s">
        <v>360</v>
      </c>
      <c r="L4" s="23" t="s">
        <v>746</v>
      </c>
      <c r="M4" s="23" t="s">
        <v>136</v>
      </c>
      <c r="N4" s="21" t="s">
        <v>78</v>
      </c>
      <c r="O4" s="156">
        <v>5</v>
      </c>
      <c r="P4" s="156">
        <v>3.681</v>
      </c>
      <c r="Q4" s="156">
        <v>18475</v>
      </c>
      <c r="R4" s="156">
        <v>9.4510000000000005</v>
      </c>
      <c r="S4" s="173">
        <v>9.5862263615098503E-2</v>
      </c>
      <c r="T4" s="173">
        <v>9.4759695196598899E-4</v>
      </c>
    </row>
    <row r="5" spans="1:20" hidden="1">
      <c r="A5" s="23" t="s">
        <v>26</v>
      </c>
      <c r="B5" s="23">
        <v>1477</v>
      </c>
      <c r="C5" s="2" t="s">
        <v>2439</v>
      </c>
      <c r="D5" s="2" t="s">
        <v>2440</v>
      </c>
      <c r="E5" s="21" t="s">
        <v>34</v>
      </c>
      <c r="F5" s="23" t="s">
        <v>2445</v>
      </c>
      <c r="G5" s="23" t="s">
        <v>2446</v>
      </c>
      <c r="H5" s="21" t="s">
        <v>164</v>
      </c>
      <c r="I5" s="21" t="s">
        <v>73</v>
      </c>
      <c r="J5" s="21" t="s">
        <v>74</v>
      </c>
      <c r="K5" s="21" t="s">
        <v>360</v>
      </c>
      <c r="L5" s="23" t="s">
        <v>746</v>
      </c>
      <c r="M5" s="23" t="s">
        <v>136</v>
      </c>
      <c r="N5" s="21" t="s">
        <v>78</v>
      </c>
      <c r="O5" s="156">
        <v>4</v>
      </c>
      <c r="P5" s="156">
        <v>3.681</v>
      </c>
      <c r="Q5" s="156">
        <v>40176</v>
      </c>
      <c r="R5" s="156">
        <v>6.9279999999999999</v>
      </c>
      <c r="S5" s="173">
        <v>7.0265470988186501E-2</v>
      </c>
      <c r="T5" s="173">
        <v>6.9457306374698597E-4</v>
      </c>
    </row>
    <row r="6" spans="1:20" hidden="1">
      <c r="A6" s="23" t="s">
        <v>26</v>
      </c>
      <c r="B6" s="23">
        <v>1477</v>
      </c>
      <c r="C6" s="2" t="s">
        <v>2439</v>
      </c>
      <c r="D6" s="2" t="s">
        <v>2440</v>
      </c>
      <c r="E6" s="21" t="s">
        <v>34</v>
      </c>
      <c r="F6" s="23" t="s">
        <v>2447</v>
      </c>
      <c r="G6" s="23" t="s">
        <v>2448</v>
      </c>
      <c r="H6" s="21" t="s">
        <v>164</v>
      </c>
      <c r="I6" s="21" t="s">
        <v>73</v>
      </c>
      <c r="J6" t="s">
        <v>2847</v>
      </c>
      <c r="K6" s="21" t="s">
        <v>360</v>
      </c>
      <c r="L6" s="23" t="s">
        <v>746</v>
      </c>
      <c r="M6" s="23" t="s">
        <v>136</v>
      </c>
      <c r="N6" s="21" t="s">
        <v>78</v>
      </c>
      <c r="O6" s="156">
        <v>3</v>
      </c>
      <c r="P6" s="156">
        <v>3.681</v>
      </c>
      <c r="Q6" s="156">
        <v>1049</v>
      </c>
      <c r="R6" s="156">
        <v>-4.141</v>
      </c>
      <c r="S6" s="173">
        <v>-4.20024733590382E-2</v>
      </c>
      <c r="T6" s="173">
        <v>-4.1519378146405997E-4</v>
      </c>
    </row>
    <row r="7" spans="1:20" hidden="1">
      <c r="A7" s="23" t="s">
        <v>26</v>
      </c>
      <c r="B7" s="23">
        <v>1477</v>
      </c>
      <c r="C7" s="2" t="s">
        <v>2439</v>
      </c>
      <c r="D7" s="2" t="s">
        <v>2440</v>
      </c>
      <c r="E7" s="21" t="s">
        <v>34</v>
      </c>
      <c r="F7" s="23" t="s">
        <v>2449</v>
      </c>
      <c r="G7" s="23" t="s">
        <v>2450</v>
      </c>
      <c r="H7" s="21" t="s">
        <v>164</v>
      </c>
      <c r="I7" s="21" t="s">
        <v>73</v>
      </c>
      <c r="J7" t="s">
        <v>293</v>
      </c>
      <c r="K7" s="21" t="s">
        <v>364</v>
      </c>
      <c r="L7" s="23" t="s">
        <v>746</v>
      </c>
      <c r="M7" s="23" t="s">
        <v>136</v>
      </c>
      <c r="N7" s="21" t="s">
        <v>1178</v>
      </c>
      <c r="O7" s="156">
        <v>6</v>
      </c>
      <c r="P7" s="156">
        <v>3.9790000000000001</v>
      </c>
      <c r="Q7" s="156">
        <v>510.8</v>
      </c>
      <c r="R7" s="156">
        <v>11.77</v>
      </c>
      <c r="S7" s="173">
        <v>0.119382191910567</v>
      </c>
      <c r="T7" s="173">
        <v>1.18009106928343E-3</v>
      </c>
    </row>
    <row r="8" spans="1:20" hidden="1">
      <c r="A8" s="23" t="s">
        <v>26</v>
      </c>
      <c r="B8" s="23">
        <v>9962</v>
      </c>
      <c r="C8" s="2" t="s">
        <v>2439</v>
      </c>
      <c r="D8" s="2" t="s">
        <v>2440</v>
      </c>
      <c r="E8" s="21" t="s">
        <v>34</v>
      </c>
      <c r="F8" s="23" t="s">
        <v>2441</v>
      </c>
      <c r="G8" s="23" t="s">
        <v>2442</v>
      </c>
      <c r="H8" s="21" t="s">
        <v>164</v>
      </c>
      <c r="I8" s="21" t="s">
        <v>73</v>
      </c>
      <c r="J8" s="21" t="s">
        <v>74</v>
      </c>
      <c r="K8" s="21" t="s">
        <v>360</v>
      </c>
      <c r="L8" s="23" t="s">
        <v>746</v>
      </c>
      <c r="M8" s="23" t="s">
        <v>136</v>
      </c>
      <c r="N8" s="21" t="s">
        <v>78</v>
      </c>
      <c r="O8" s="156">
        <v>53</v>
      </c>
      <c r="P8" s="156">
        <v>3.681</v>
      </c>
      <c r="Q8" s="156">
        <v>5308.5</v>
      </c>
      <c r="R8" s="156">
        <v>119.78700000000001</v>
      </c>
      <c r="S8" s="173">
        <v>0.75644564215430998</v>
      </c>
      <c r="T8" s="173">
        <v>3.8807058194278302E-3</v>
      </c>
    </row>
    <row r="9" spans="1:20" hidden="1">
      <c r="A9" s="23" t="s">
        <v>26</v>
      </c>
      <c r="B9" s="23">
        <v>9962</v>
      </c>
      <c r="C9" s="2" t="s">
        <v>2439</v>
      </c>
      <c r="D9" s="2" t="s">
        <v>2440</v>
      </c>
      <c r="E9" s="21" t="s">
        <v>34</v>
      </c>
      <c r="F9" s="23" t="s">
        <v>2443</v>
      </c>
      <c r="G9" s="23" t="s">
        <v>2444</v>
      </c>
      <c r="H9" s="21" t="s">
        <v>164</v>
      </c>
      <c r="I9" s="21" t="s">
        <v>73</v>
      </c>
      <c r="J9" s="21" t="s">
        <v>74</v>
      </c>
      <c r="K9" s="21" t="s">
        <v>360</v>
      </c>
      <c r="L9" s="23" t="s">
        <v>746</v>
      </c>
      <c r="M9" s="23" t="s">
        <v>136</v>
      </c>
      <c r="N9" s="21" t="s">
        <v>78</v>
      </c>
      <c r="O9" s="156">
        <v>8</v>
      </c>
      <c r="P9" s="156">
        <v>3.681</v>
      </c>
      <c r="Q9" s="156">
        <v>18475</v>
      </c>
      <c r="R9" s="156">
        <v>15.122</v>
      </c>
      <c r="S9" s="173">
        <v>9.5494597920112806E-2</v>
      </c>
      <c r="T9" s="173">
        <v>4.8990492009061599E-4</v>
      </c>
    </row>
    <row r="10" spans="1:20" hidden="1">
      <c r="A10" s="23" t="s">
        <v>26</v>
      </c>
      <c r="B10" s="23">
        <v>9962</v>
      </c>
      <c r="C10" s="2" t="s">
        <v>2439</v>
      </c>
      <c r="D10" s="2" t="s">
        <v>2440</v>
      </c>
      <c r="E10" s="21" t="s">
        <v>34</v>
      </c>
      <c r="F10" s="23" t="s">
        <v>2445</v>
      </c>
      <c r="G10" s="23" t="s">
        <v>2446</v>
      </c>
      <c r="H10" s="21" t="s">
        <v>164</v>
      </c>
      <c r="I10" s="21" t="s">
        <v>73</v>
      </c>
      <c r="J10" s="21" t="s">
        <v>74</v>
      </c>
      <c r="K10" s="21" t="s">
        <v>360</v>
      </c>
      <c r="L10" s="23" t="s">
        <v>746</v>
      </c>
      <c r="M10" s="23" t="s">
        <v>136</v>
      </c>
      <c r="N10" s="21" t="s">
        <v>78</v>
      </c>
      <c r="O10" s="156">
        <v>8</v>
      </c>
      <c r="P10" s="156">
        <v>3.681</v>
      </c>
      <c r="Q10" s="156">
        <v>40176</v>
      </c>
      <c r="R10" s="156">
        <v>13.855</v>
      </c>
      <c r="S10" s="173">
        <v>8.7494972560654499E-2</v>
      </c>
      <c r="T10" s="173">
        <v>4.4886536489233402E-4</v>
      </c>
    </row>
    <row r="11" spans="1:20" hidden="1">
      <c r="A11" s="23" t="s">
        <v>26</v>
      </c>
      <c r="B11" s="23">
        <v>9962</v>
      </c>
      <c r="C11" s="2" t="s">
        <v>2439</v>
      </c>
      <c r="D11" s="2" t="s">
        <v>2440</v>
      </c>
      <c r="E11" s="21" t="s">
        <v>34</v>
      </c>
      <c r="F11" s="23" t="s">
        <v>2447</v>
      </c>
      <c r="G11" s="23" t="s">
        <v>2448</v>
      </c>
      <c r="H11" s="21" t="s">
        <v>164</v>
      </c>
      <c r="I11" s="21" t="s">
        <v>73</v>
      </c>
      <c r="J11" t="s">
        <v>2847</v>
      </c>
      <c r="K11" s="21" t="s">
        <v>360</v>
      </c>
      <c r="L11" s="23" t="s">
        <v>746</v>
      </c>
      <c r="M11" s="23" t="s">
        <v>136</v>
      </c>
      <c r="N11" s="21" t="s">
        <v>78</v>
      </c>
      <c r="O11" s="156">
        <v>3</v>
      </c>
      <c r="P11" s="156">
        <v>3.681</v>
      </c>
      <c r="Q11" s="156">
        <v>1049</v>
      </c>
      <c r="R11" s="156">
        <v>-4.141</v>
      </c>
      <c r="S11" s="173">
        <v>-2.61508618838301E-2</v>
      </c>
      <c r="T11" s="173">
        <v>-1.3415875013386699E-4</v>
      </c>
    </row>
    <row r="12" spans="1:20" hidden="1">
      <c r="A12" s="23" t="s">
        <v>26</v>
      </c>
      <c r="B12" s="23">
        <v>9962</v>
      </c>
      <c r="C12" s="2" t="s">
        <v>2439</v>
      </c>
      <c r="D12" s="2" t="s">
        <v>2440</v>
      </c>
      <c r="E12" s="21" t="s">
        <v>34</v>
      </c>
      <c r="F12" s="23" t="s">
        <v>2449</v>
      </c>
      <c r="G12" s="23" t="s">
        <v>2450</v>
      </c>
      <c r="H12" s="21" t="s">
        <v>164</v>
      </c>
      <c r="I12" s="21" t="s">
        <v>73</v>
      </c>
      <c r="J12" t="s">
        <v>293</v>
      </c>
      <c r="K12" s="21" t="s">
        <v>364</v>
      </c>
      <c r="L12" s="23" t="s">
        <v>746</v>
      </c>
      <c r="M12" s="23" t="s">
        <v>136</v>
      </c>
      <c r="N12" s="21" t="s">
        <v>1178</v>
      </c>
      <c r="O12" s="156">
        <v>7</v>
      </c>
      <c r="P12" s="156">
        <v>3.9790000000000001</v>
      </c>
      <c r="Q12" s="156">
        <v>510.8</v>
      </c>
      <c r="R12" s="156">
        <v>13.731999999999999</v>
      </c>
      <c r="S12" s="173">
        <v>8.6715649248753399E-2</v>
      </c>
      <c r="T12" s="173">
        <v>4.4486729240281902E-4</v>
      </c>
    </row>
    <row r="13" spans="1:20">
      <c r="A13" s="23" t="s">
        <v>26</v>
      </c>
      <c r="B13" s="23">
        <v>9963</v>
      </c>
      <c r="C13" s="2" t="s">
        <v>2439</v>
      </c>
      <c r="D13" s="2" t="s">
        <v>2440</v>
      </c>
      <c r="E13" s="21" t="s">
        <v>34</v>
      </c>
      <c r="F13" s="23" t="s">
        <v>2451</v>
      </c>
      <c r="G13" s="23" t="s">
        <v>2452</v>
      </c>
      <c r="H13" s="21" t="s">
        <v>164</v>
      </c>
      <c r="I13" s="21" t="s">
        <v>73</v>
      </c>
      <c r="J13" s="21" t="s">
        <v>74</v>
      </c>
      <c r="K13" s="21" t="s">
        <v>360</v>
      </c>
      <c r="L13" s="23" t="s">
        <v>746</v>
      </c>
      <c r="M13" s="23" t="s">
        <v>136</v>
      </c>
      <c r="N13" s="21" t="s">
        <v>78</v>
      </c>
      <c r="O13" s="156">
        <v>20</v>
      </c>
      <c r="P13" s="156">
        <v>3.681</v>
      </c>
      <c r="Q13" s="156">
        <v>40176</v>
      </c>
      <c r="R13" s="156">
        <v>346.38200000000001</v>
      </c>
      <c r="S13" s="173">
        <v>5.6281059144935801E-2</v>
      </c>
      <c r="T13" s="173">
        <v>3.3712472118606498E-4</v>
      </c>
    </row>
    <row r="14" spans="1:20">
      <c r="A14" s="23" t="s">
        <v>26</v>
      </c>
      <c r="B14" s="23">
        <v>9963</v>
      </c>
      <c r="C14" s="2" t="s">
        <v>2439</v>
      </c>
      <c r="D14" s="2" t="s">
        <v>2440</v>
      </c>
      <c r="E14" s="21" t="s">
        <v>34</v>
      </c>
      <c r="F14" s="23" t="s">
        <v>2453</v>
      </c>
      <c r="G14" s="23" t="s">
        <v>2454</v>
      </c>
      <c r="H14" s="21" t="s">
        <v>164</v>
      </c>
      <c r="I14" s="21" t="s">
        <v>73</v>
      </c>
      <c r="J14" s="21" t="s">
        <v>74</v>
      </c>
      <c r="K14" s="21" t="s">
        <v>360</v>
      </c>
      <c r="L14" s="23" t="s">
        <v>746</v>
      </c>
      <c r="M14" s="23" t="s">
        <v>136</v>
      </c>
      <c r="N14" s="21" t="s">
        <v>78</v>
      </c>
      <c r="O14" s="156">
        <v>221</v>
      </c>
      <c r="P14" s="156">
        <v>3.681</v>
      </c>
      <c r="Q14" s="156">
        <v>5308.5</v>
      </c>
      <c r="R14" s="156">
        <v>4998.9639999999999</v>
      </c>
      <c r="S14" s="173">
        <v>0.81224453736964997</v>
      </c>
      <c r="T14" s="173">
        <v>4.8653617639014702E-3</v>
      </c>
    </row>
    <row r="15" spans="1:20">
      <c r="A15" s="23" t="s">
        <v>26</v>
      </c>
      <c r="B15" s="23">
        <v>9963</v>
      </c>
      <c r="C15" s="2" t="s">
        <v>2439</v>
      </c>
      <c r="D15" s="2" t="s">
        <v>2440</v>
      </c>
      <c r="E15" s="21" t="s">
        <v>34</v>
      </c>
      <c r="F15" s="23" t="s">
        <v>2447</v>
      </c>
      <c r="G15" s="23" t="s">
        <v>2448</v>
      </c>
      <c r="H15" s="21" t="s">
        <v>164</v>
      </c>
      <c r="I15" s="21" t="s">
        <v>73</v>
      </c>
      <c r="J15" t="s">
        <v>2847</v>
      </c>
      <c r="K15" s="21" t="s">
        <v>360</v>
      </c>
      <c r="L15" s="23" t="s">
        <v>746</v>
      </c>
      <c r="M15" s="23" t="s">
        <v>136</v>
      </c>
      <c r="N15" s="21" t="s">
        <v>78</v>
      </c>
      <c r="O15" s="156">
        <v>90</v>
      </c>
      <c r="P15" s="156">
        <v>3.681</v>
      </c>
      <c r="Q15" s="156">
        <v>1049</v>
      </c>
      <c r="R15" s="156">
        <v>-124.23399999999999</v>
      </c>
      <c r="S15" s="173">
        <v>-2.0185820894172E-2</v>
      </c>
      <c r="T15" s="173">
        <v>-1.2091348926705301E-4</v>
      </c>
    </row>
    <row r="16" spans="1:20">
      <c r="A16" s="23" t="s">
        <v>26</v>
      </c>
      <c r="B16" s="23">
        <v>9963</v>
      </c>
      <c r="C16" s="2" t="s">
        <v>2439</v>
      </c>
      <c r="D16" s="2" t="s">
        <v>2440</v>
      </c>
      <c r="E16" s="21" t="s">
        <v>34</v>
      </c>
      <c r="F16" s="23" t="s">
        <v>2455</v>
      </c>
      <c r="G16" s="23" t="s">
        <v>2456</v>
      </c>
      <c r="H16" s="21" t="s">
        <v>164</v>
      </c>
      <c r="I16" s="21" t="s">
        <v>73</v>
      </c>
      <c r="J16" s="21" t="s">
        <v>74</v>
      </c>
      <c r="K16" s="21" t="s">
        <v>360</v>
      </c>
      <c r="L16" s="23" t="s">
        <v>746</v>
      </c>
      <c r="M16" s="23" t="s">
        <v>136</v>
      </c>
      <c r="N16" s="21" t="s">
        <v>78</v>
      </c>
      <c r="O16" s="156">
        <v>26</v>
      </c>
      <c r="P16" s="156">
        <v>3.681</v>
      </c>
      <c r="Q16" s="156">
        <v>18475</v>
      </c>
      <c r="R16" s="156">
        <v>491.065</v>
      </c>
      <c r="S16" s="173">
        <v>7.9789572619803698E-2</v>
      </c>
      <c r="T16" s="173">
        <v>4.7794120849317797E-4</v>
      </c>
    </row>
    <row r="17" spans="1:20">
      <c r="A17" s="23" t="s">
        <v>26</v>
      </c>
      <c r="B17" s="23">
        <v>9963</v>
      </c>
      <c r="C17" s="2" t="s">
        <v>2439</v>
      </c>
      <c r="D17" s="2" t="s">
        <v>2440</v>
      </c>
      <c r="E17" s="21" t="s">
        <v>34</v>
      </c>
      <c r="F17" s="23" t="s">
        <v>2449</v>
      </c>
      <c r="G17" s="23" t="s">
        <v>2450</v>
      </c>
      <c r="H17" s="21" t="s">
        <v>164</v>
      </c>
      <c r="I17" s="21" t="s">
        <v>73</v>
      </c>
      <c r="J17" t="s">
        <v>293</v>
      </c>
      <c r="K17" s="21" t="s">
        <v>364</v>
      </c>
      <c r="L17" s="23" t="s">
        <v>746</v>
      </c>
      <c r="M17" s="23" t="s">
        <v>136</v>
      </c>
      <c r="N17" s="21" t="s">
        <v>1178</v>
      </c>
      <c r="O17" s="156">
        <v>212</v>
      </c>
      <c r="P17" s="156">
        <v>3.9790000000000001</v>
      </c>
      <c r="Q17" s="156">
        <v>510.8</v>
      </c>
      <c r="R17" s="156">
        <v>415.88</v>
      </c>
      <c r="S17" s="173">
        <v>6.7573195158632193E-2</v>
      </c>
      <c r="T17" s="173">
        <v>4.0476485204090599E-4</v>
      </c>
    </row>
    <row r="18" spans="1:20">
      <c r="A18" s="23" t="s">
        <v>26</v>
      </c>
      <c r="B18" s="23">
        <v>9963</v>
      </c>
      <c r="C18" s="2" t="s">
        <v>2439</v>
      </c>
      <c r="D18" s="2" t="s">
        <v>2440</v>
      </c>
      <c r="E18" s="21" t="s">
        <v>34</v>
      </c>
      <c r="F18" s="23" t="s">
        <v>2457</v>
      </c>
      <c r="G18" s="23" t="s">
        <v>2458</v>
      </c>
      <c r="H18" s="21" t="s">
        <v>164</v>
      </c>
      <c r="I18" s="21" t="s">
        <v>73</v>
      </c>
      <c r="J18" s="21" t="s">
        <v>74</v>
      </c>
      <c r="K18" s="21" t="s">
        <v>164</v>
      </c>
      <c r="L18" s="19" t="s">
        <v>164</v>
      </c>
      <c r="M18" s="23" t="s">
        <v>136</v>
      </c>
      <c r="N18" s="21" t="s">
        <v>78</v>
      </c>
      <c r="O18" s="156">
        <v>23</v>
      </c>
      <c r="P18" s="156">
        <v>3.681</v>
      </c>
      <c r="Q18" s="156">
        <v>114.60899999999999</v>
      </c>
      <c r="R18" s="156">
        <v>26.449000000000002</v>
      </c>
      <c r="S18" s="173">
        <v>4.2974566011501503E-3</v>
      </c>
      <c r="T18" s="173">
        <v>2.5741854906124699E-5</v>
      </c>
    </row>
    <row r="19" spans="1:20" hidden="1">
      <c r="A19" s="23" t="s">
        <v>26</v>
      </c>
      <c r="B19" s="23">
        <v>9964</v>
      </c>
      <c r="C19" s="2" t="s">
        <v>2439</v>
      </c>
      <c r="D19" s="2" t="s">
        <v>2440</v>
      </c>
      <c r="E19" s="21" t="s">
        <v>34</v>
      </c>
      <c r="F19" s="23" t="s">
        <v>2441</v>
      </c>
      <c r="G19" s="23" t="s">
        <v>2442</v>
      </c>
      <c r="H19" s="21" t="s">
        <v>164</v>
      </c>
      <c r="I19" s="21" t="s">
        <v>73</v>
      </c>
      <c r="J19" s="21" t="s">
        <v>74</v>
      </c>
      <c r="K19" s="21" t="s">
        <v>360</v>
      </c>
      <c r="L19" s="23" t="s">
        <v>746</v>
      </c>
      <c r="M19" s="23" t="s">
        <v>136</v>
      </c>
      <c r="N19" s="21" t="s">
        <v>78</v>
      </c>
      <c r="O19" s="156">
        <v>22</v>
      </c>
      <c r="P19" s="156">
        <v>3.681</v>
      </c>
      <c r="Q19" s="156">
        <v>5308.5</v>
      </c>
      <c r="R19" s="156">
        <v>49.722999999999999</v>
      </c>
      <c r="S19" s="173">
        <v>0.72846915141268698</v>
      </c>
      <c r="T19" s="173">
        <v>1.4333658331040901E-3</v>
      </c>
    </row>
    <row r="20" spans="1:20" hidden="1">
      <c r="A20" s="2" t="s">
        <v>26</v>
      </c>
      <c r="B20" s="2">
        <v>9964</v>
      </c>
      <c r="C20" s="2" t="s">
        <v>2439</v>
      </c>
      <c r="D20" s="2" t="s">
        <v>2440</v>
      </c>
      <c r="E20" s="21" t="s">
        <v>34</v>
      </c>
      <c r="F20" s="2" t="s">
        <v>2443</v>
      </c>
      <c r="G20" s="2" t="s">
        <v>2444</v>
      </c>
      <c r="H20" s="21" t="s">
        <v>164</v>
      </c>
      <c r="I20" s="2" t="s">
        <v>73</v>
      </c>
      <c r="J20" s="21" t="s">
        <v>74</v>
      </c>
      <c r="K20" s="21" t="s">
        <v>360</v>
      </c>
      <c r="L20" s="23" t="s">
        <v>746</v>
      </c>
      <c r="M20" s="23" t="s">
        <v>136</v>
      </c>
      <c r="N20" s="2" t="s">
        <v>78</v>
      </c>
      <c r="O20" s="153">
        <v>4</v>
      </c>
      <c r="P20" s="153">
        <v>3.681</v>
      </c>
      <c r="Q20" s="153">
        <v>18475</v>
      </c>
      <c r="R20" s="153">
        <v>7.5609999999999999</v>
      </c>
      <c r="S20" s="167">
        <v>0.110773387713201</v>
      </c>
      <c r="T20" s="167">
        <v>2.17962269036901E-4</v>
      </c>
    </row>
    <row r="21" spans="1:20" hidden="1">
      <c r="A21" s="2" t="s">
        <v>26</v>
      </c>
      <c r="B21" s="2">
        <v>9964</v>
      </c>
      <c r="C21" s="2" t="s">
        <v>2439</v>
      </c>
      <c r="D21" s="2" t="s">
        <v>2440</v>
      </c>
      <c r="E21" s="4" t="s">
        <v>34</v>
      </c>
      <c r="F21" s="2" t="s">
        <v>2445</v>
      </c>
      <c r="G21" s="2" t="s">
        <v>2446</v>
      </c>
      <c r="H21" s="4" t="s">
        <v>164</v>
      </c>
      <c r="I21" s="2" t="s">
        <v>73</v>
      </c>
      <c r="J21" s="21" t="s">
        <v>74</v>
      </c>
      <c r="K21" s="21" t="s">
        <v>360</v>
      </c>
      <c r="L21" s="23" t="s">
        <v>746</v>
      </c>
      <c r="M21" s="2" t="s">
        <v>136</v>
      </c>
      <c r="N21" s="2" t="s">
        <v>78</v>
      </c>
      <c r="O21" s="153">
        <v>6</v>
      </c>
      <c r="P21" s="153">
        <v>3.681</v>
      </c>
      <c r="Q21" s="153">
        <v>40176</v>
      </c>
      <c r="R21" s="153">
        <v>10.391</v>
      </c>
      <c r="S21" s="167">
        <v>0.15224077690539201</v>
      </c>
      <c r="T21" s="167">
        <v>2.99555207791892E-4</v>
      </c>
    </row>
    <row r="22" spans="1:20" hidden="1">
      <c r="A22" s="2" t="s">
        <v>26</v>
      </c>
      <c r="B22" s="2">
        <v>9964</v>
      </c>
      <c r="C22" s="2" t="s">
        <v>2439</v>
      </c>
      <c r="D22" s="2" t="s">
        <v>2440</v>
      </c>
      <c r="E22" s="4" t="s">
        <v>34</v>
      </c>
      <c r="F22" s="2" t="s">
        <v>2447</v>
      </c>
      <c r="G22" s="2" t="s">
        <v>2448</v>
      </c>
      <c r="H22" s="2" t="s">
        <v>164</v>
      </c>
      <c r="I22" s="2" t="s">
        <v>73</v>
      </c>
      <c r="J22" t="s">
        <v>2847</v>
      </c>
      <c r="K22" s="21" t="s">
        <v>360</v>
      </c>
      <c r="L22" s="23" t="s">
        <v>746</v>
      </c>
      <c r="M22" s="2" t="s">
        <v>136</v>
      </c>
      <c r="N22" s="2" t="s">
        <v>78</v>
      </c>
      <c r="O22" s="153">
        <v>1</v>
      </c>
      <c r="P22" s="153">
        <v>3.681</v>
      </c>
      <c r="Q22" s="153">
        <v>1049</v>
      </c>
      <c r="R22" s="153">
        <v>-1.38</v>
      </c>
      <c r="S22" s="167">
        <v>-2.0223270045880801E-2</v>
      </c>
      <c r="T22" s="167">
        <v>-3.9792137060559402E-5</v>
      </c>
    </row>
    <row r="23" spans="1:20" hidden="1">
      <c r="A23" s="2" t="s">
        <v>26</v>
      </c>
      <c r="B23" s="2">
        <v>9964</v>
      </c>
      <c r="C23" s="2" t="s">
        <v>2439</v>
      </c>
      <c r="D23" s="2" t="s">
        <v>2440</v>
      </c>
      <c r="E23" s="4" t="s">
        <v>34</v>
      </c>
      <c r="F23" s="2" t="s">
        <v>2449</v>
      </c>
      <c r="G23" s="2" t="s">
        <v>2450</v>
      </c>
      <c r="H23" s="2" t="s">
        <v>164</v>
      </c>
      <c r="I23" s="2" t="s">
        <v>73</v>
      </c>
      <c r="J23" t="s">
        <v>293</v>
      </c>
      <c r="K23" s="21" t="s">
        <v>364</v>
      </c>
      <c r="L23" s="23" t="s">
        <v>746</v>
      </c>
      <c r="M23" s="2" t="s">
        <v>136</v>
      </c>
      <c r="N23" s="2" t="s">
        <v>1178</v>
      </c>
      <c r="O23" s="153">
        <v>1</v>
      </c>
      <c r="P23" s="153">
        <v>3.9790000000000001</v>
      </c>
      <c r="Q23" s="153">
        <v>510.8</v>
      </c>
      <c r="R23" s="153">
        <v>1.962</v>
      </c>
      <c r="S23" s="167">
        <v>2.87399540146012E-2</v>
      </c>
      <c r="T23" s="167">
        <v>5.65499143644242E-5</v>
      </c>
    </row>
    <row r="25" spans="1:20">
      <c r="J25"/>
    </row>
  </sheetData>
  <sheetProtection formatColumns="0"/>
  <autoFilter ref="A1:T23" xr:uid="{A397E02C-C7DA-4C40-8859-40949A49527C}">
    <filterColumn colId="1">
      <filters>
        <filter val="9963"/>
      </filters>
    </filterColumn>
  </autoFilter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3" xr:uid="{00000000-0002-0000-0B00-000002000000}">
      <formula1>Underlying_Asset</formula1>
    </dataValidation>
    <dataValidation type="list" allowBlank="1" showInputMessage="1" showErrorMessage="1" sqref="J18:J21 J2:J5 J8:J10 J13:J14 J16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3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141</v>
      </c>
      <c r="E1" s="22" t="s">
        <v>142</v>
      </c>
      <c r="F1" s="22" t="s">
        <v>3</v>
      </c>
      <c r="G1" s="22" t="s">
        <v>4</v>
      </c>
      <c r="H1" s="22" t="s">
        <v>143</v>
      </c>
      <c r="I1" s="22" t="s">
        <v>5</v>
      </c>
      <c r="J1" s="22" t="s">
        <v>6</v>
      </c>
      <c r="K1" s="22" t="s">
        <v>7</v>
      </c>
      <c r="L1" s="22" t="s">
        <v>324</v>
      </c>
      <c r="M1" s="22" t="s">
        <v>8</v>
      </c>
      <c r="N1" s="22" t="s">
        <v>172</v>
      </c>
      <c r="O1" s="22" t="s">
        <v>123</v>
      </c>
      <c r="P1" s="22" t="s">
        <v>12</v>
      </c>
      <c r="Q1" s="146" t="s">
        <v>14</v>
      </c>
      <c r="R1" s="22" t="s">
        <v>15</v>
      </c>
      <c r="S1" s="22" t="s">
        <v>9</v>
      </c>
      <c r="T1" s="22" t="s">
        <v>10</v>
      </c>
      <c r="U1" s="22" t="s">
        <v>173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1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1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143</v>
      </c>
      <c r="G1" s="22" t="s">
        <v>5</v>
      </c>
      <c r="H1" s="22" t="s">
        <v>6</v>
      </c>
      <c r="I1" s="22" t="s">
        <v>7</v>
      </c>
      <c r="J1" s="22" t="s">
        <v>152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152</v>
      </c>
      <c r="G1" s="22" t="s">
        <v>12</v>
      </c>
      <c r="H1" s="22" t="s">
        <v>752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1122</v>
      </c>
      <c r="B1" s="22" t="s">
        <v>1</v>
      </c>
      <c r="C1" s="22" t="s">
        <v>5</v>
      </c>
      <c r="D1" s="22" t="s">
        <v>1123</v>
      </c>
      <c r="E1" s="22" t="s">
        <v>1124</v>
      </c>
      <c r="F1" s="22" t="s">
        <v>1125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O24"/>
  <sheetViews>
    <sheetView rightToLeft="1" topLeftCell="Y1" zoomScale="70" zoomScaleNormal="70" workbookViewId="0">
      <selection activeCell="AE16" sqref="AE16"/>
    </sheetView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1" ht="66.75" customHeight="1">
      <c r="A1" s="22" t="s">
        <v>0</v>
      </c>
      <c r="B1" s="22" t="s">
        <v>1</v>
      </c>
      <c r="C1" s="22" t="s">
        <v>2</v>
      </c>
      <c r="D1" s="22" t="s">
        <v>141</v>
      </c>
      <c r="E1" s="22" t="s">
        <v>142</v>
      </c>
      <c r="F1" s="22" t="s">
        <v>3</v>
      </c>
      <c r="G1" s="22" t="s">
        <v>4</v>
      </c>
      <c r="H1" s="22" t="s">
        <v>143</v>
      </c>
      <c r="I1" s="22" t="s">
        <v>5</v>
      </c>
      <c r="J1" s="22" t="s">
        <v>6</v>
      </c>
      <c r="K1" s="22" t="s">
        <v>7</v>
      </c>
      <c r="L1" s="22" t="s">
        <v>144</v>
      </c>
      <c r="M1" s="22" t="s">
        <v>123</v>
      </c>
      <c r="N1" s="22" t="s">
        <v>152</v>
      </c>
      <c r="O1" s="22" t="s">
        <v>9</v>
      </c>
      <c r="P1" s="22" t="s">
        <v>10</v>
      </c>
      <c r="Q1" s="22" t="s">
        <v>173</v>
      </c>
      <c r="R1" s="22" t="s">
        <v>11</v>
      </c>
      <c r="S1" s="22" t="s">
        <v>12</v>
      </c>
      <c r="T1" s="22" t="s">
        <v>752</v>
      </c>
      <c r="U1" s="22" t="s">
        <v>909</v>
      </c>
      <c r="V1" s="22" t="s">
        <v>13</v>
      </c>
      <c r="W1" s="166" t="s">
        <v>14</v>
      </c>
      <c r="X1" s="166" t="s">
        <v>15</v>
      </c>
      <c r="Y1" s="22" t="s">
        <v>409</v>
      </c>
      <c r="Z1" s="22" t="s">
        <v>830</v>
      </c>
      <c r="AA1" s="22" t="s">
        <v>145</v>
      </c>
      <c r="AB1" s="22" t="s">
        <v>146</v>
      </c>
      <c r="AC1" s="22" t="s">
        <v>158</v>
      </c>
      <c r="AD1" s="22" t="s">
        <v>132</v>
      </c>
      <c r="AE1" s="22" t="s">
        <v>147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160</v>
      </c>
      <c r="AL1" s="22" t="s">
        <v>22</v>
      </c>
      <c r="AM1" s="166" t="s">
        <v>24</v>
      </c>
      <c r="AN1" s="166" t="s">
        <v>25</v>
      </c>
    </row>
    <row r="2" spans="1:41">
      <c r="A2" s="30" t="s">
        <v>26</v>
      </c>
      <c r="B2" s="23">
        <v>1405</v>
      </c>
      <c r="C2" s="23" t="s">
        <v>1735</v>
      </c>
      <c r="D2" s="23" t="s">
        <v>1736</v>
      </c>
      <c r="E2" s="21" t="s">
        <v>1305</v>
      </c>
      <c r="F2" s="23" t="s">
        <v>2747</v>
      </c>
      <c r="G2" s="19" t="s">
        <v>2748</v>
      </c>
      <c r="H2" s="21" t="s">
        <v>319</v>
      </c>
      <c r="I2" s="23" t="s">
        <v>755</v>
      </c>
      <c r="J2" s="21" t="s">
        <v>31</v>
      </c>
      <c r="K2" s="21" t="s">
        <v>31</v>
      </c>
      <c r="L2" s="23" t="s">
        <v>453</v>
      </c>
      <c r="M2" s="23" t="s">
        <v>136</v>
      </c>
      <c r="N2" s="23" t="s">
        <v>2749</v>
      </c>
      <c r="O2" s="23" t="s">
        <v>1739</v>
      </c>
      <c r="P2" s="23" t="s">
        <v>412</v>
      </c>
      <c r="Q2" s="23" t="s">
        <v>405</v>
      </c>
      <c r="R2" s="21" t="s">
        <v>78</v>
      </c>
      <c r="S2" s="156">
        <v>0.04</v>
      </c>
      <c r="T2" s="23" t="s">
        <v>756</v>
      </c>
      <c r="U2" s="23" t="s">
        <v>912</v>
      </c>
      <c r="V2" s="23" t="s">
        <v>2750</v>
      </c>
      <c r="W2" s="173">
        <v>6.3598000000000002E-2</v>
      </c>
      <c r="X2" s="173">
        <v>6.7400000000000002E-2</v>
      </c>
      <c r="Y2" s="21" t="s">
        <v>411</v>
      </c>
      <c r="Z2" s="23" t="s">
        <v>136</v>
      </c>
      <c r="AA2" s="23" t="s">
        <v>893</v>
      </c>
      <c r="AB2" s="23" t="s">
        <v>2693</v>
      </c>
      <c r="AC2" s="23" t="s">
        <v>2751</v>
      </c>
      <c r="AD2" s="23" t="s">
        <v>1310</v>
      </c>
      <c r="AE2" s="23"/>
      <c r="AF2" s="156">
        <v>5000</v>
      </c>
      <c r="AG2" s="156">
        <v>3.681</v>
      </c>
      <c r="AH2" s="156">
        <v>100.72806302635153</v>
      </c>
      <c r="AI2" s="156">
        <v>18.539000000000001</v>
      </c>
      <c r="AK2" s="30"/>
      <c r="AL2" s="23" t="s">
        <v>37</v>
      </c>
      <c r="AM2" s="174">
        <v>0.35699856108988598</v>
      </c>
      <c r="AN2" s="174">
        <v>1.75341566774238E-3</v>
      </c>
      <c r="AO2" s="179"/>
    </row>
    <row r="3" spans="1:41">
      <c r="A3" s="23" t="s">
        <v>26</v>
      </c>
      <c r="B3" s="23">
        <v>1405</v>
      </c>
      <c r="C3" s="23" t="s">
        <v>1664</v>
      </c>
      <c r="D3" s="23" t="s">
        <v>1665</v>
      </c>
      <c r="E3" s="21" t="s">
        <v>312</v>
      </c>
      <c r="F3" s="23" t="s">
        <v>2752</v>
      </c>
      <c r="G3" s="23" t="s">
        <v>2753</v>
      </c>
      <c r="H3" s="21" t="s">
        <v>319</v>
      </c>
      <c r="I3" s="23" t="s">
        <v>755</v>
      </c>
      <c r="J3" s="21" t="s">
        <v>73</v>
      </c>
      <c r="K3" s="21" t="s">
        <v>74</v>
      </c>
      <c r="L3" s="23" t="s">
        <v>438</v>
      </c>
      <c r="M3" s="23" t="s">
        <v>136</v>
      </c>
      <c r="N3" s="23" t="s">
        <v>2754</v>
      </c>
      <c r="O3" s="23" t="s">
        <v>1739</v>
      </c>
      <c r="P3" s="23" t="s">
        <v>412</v>
      </c>
      <c r="Q3" s="23" t="s">
        <v>405</v>
      </c>
      <c r="R3" s="21" t="s">
        <v>78</v>
      </c>
      <c r="S3" s="156">
        <v>0.02</v>
      </c>
      <c r="T3" s="23" t="s">
        <v>756</v>
      </c>
      <c r="U3" s="23" t="s">
        <v>916</v>
      </c>
      <c r="V3" s="23" t="s">
        <v>2755</v>
      </c>
      <c r="W3" s="173">
        <v>6.3981999999999997E-2</v>
      </c>
      <c r="X3" s="173">
        <v>5.7200000000000001E-2</v>
      </c>
      <c r="Y3" s="21" t="s">
        <v>411</v>
      </c>
      <c r="Z3" s="21" t="s">
        <v>136</v>
      </c>
      <c r="AA3" s="23" t="s">
        <v>893</v>
      </c>
      <c r="AB3" s="23" t="s">
        <v>2693</v>
      </c>
      <c r="AC3" t="s">
        <v>2751</v>
      </c>
      <c r="AD3" t="s">
        <v>1310</v>
      </c>
      <c r="AF3" s="156">
        <v>3000</v>
      </c>
      <c r="AG3" s="156">
        <v>3.681</v>
      </c>
      <c r="AH3" s="156">
        <v>101.24060490808657</v>
      </c>
      <c r="AI3" s="156">
        <v>11.18</v>
      </c>
      <c r="AK3" s="23"/>
      <c r="AL3" s="23" t="s">
        <v>37</v>
      </c>
      <c r="AM3" s="174">
        <v>0.21528363540994799</v>
      </c>
      <c r="AN3" s="174">
        <v>1.0573759686423401E-3</v>
      </c>
      <c r="AO3" s="179"/>
    </row>
    <row r="4" spans="1:41">
      <c r="A4" s="23" t="s">
        <v>26</v>
      </c>
      <c r="B4" s="23">
        <v>1405</v>
      </c>
      <c r="C4" s="23" t="s">
        <v>1356</v>
      </c>
      <c r="D4" s="23" t="s">
        <v>1357</v>
      </c>
      <c r="E4" s="21" t="s">
        <v>1305</v>
      </c>
      <c r="F4" s="23" t="s">
        <v>2756</v>
      </c>
      <c r="G4" s="23" t="s">
        <v>2757</v>
      </c>
      <c r="H4" s="21" t="s">
        <v>319</v>
      </c>
      <c r="I4" s="23" t="s">
        <v>755</v>
      </c>
      <c r="J4" s="21" t="s">
        <v>31</v>
      </c>
      <c r="K4" s="21" t="s">
        <v>31</v>
      </c>
      <c r="L4" s="23" t="s">
        <v>443</v>
      </c>
      <c r="M4" s="23" t="s">
        <v>136</v>
      </c>
      <c r="N4" s="23" t="s">
        <v>2758</v>
      </c>
      <c r="O4" s="23" t="s">
        <v>1748</v>
      </c>
      <c r="P4" s="23" t="s">
        <v>412</v>
      </c>
      <c r="Q4" s="23" t="s">
        <v>405</v>
      </c>
      <c r="R4" s="21" t="s">
        <v>78</v>
      </c>
      <c r="S4" s="156">
        <v>0.05</v>
      </c>
      <c r="T4" s="23" t="s">
        <v>756</v>
      </c>
      <c r="U4" s="23" t="s">
        <v>916</v>
      </c>
      <c r="V4" s="23" t="s">
        <v>2759</v>
      </c>
      <c r="W4" s="173">
        <v>0.119823</v>
      </c>
      <c r="X4" s="173">
        <v>5.62E-2</v>
      </c>
      <c r="Y4" s="21" t="s">
        <v>411</v>
      </c>
      <c r="Z4" s="21" t="s">
        <v>136</v>
      </c>
      <c r="AA4" s="23" t="s">
        <v>893</v>
      </c>
      <c r="AB4" s="23" t="s">
        <v>2693</v>
      </c>
      <c r="AC4" t="s">
        <v>2751</v>
      </c>
      <c r="AD4" s="23" t="s">
        <v>1310</v>
      </c>
      <c r="AE4" s="23"/>
      <c r="AF4" s="156">
        <v>6000</v>
      </c>
      <c r="AG4" s="156">
        <v>3.681</v>
      </c>
      <c r="AH4" s="156">
        <v>100.57049714751426</v>
      </c>
      <c r="AI4" s="156">
        <v>22.212</v>
      </c>
      <c r="AK4" s="23"/>
      <c r="AL4" s="23" t="s">
        <v>37</v>
      </c>
      <c r="AM4" s="174">
        <v>0.42771780350016603</v>
      </c>
      <c r="AN4" s="174">
        <v>2.1007566409790698E-3</v>
      </c>
      <c r="AO4" s="179"/>
    </row>
    <row r="5" spans="1:41">
      <c r="A5" s="23" t="s">
        <v>26</v>
      </c>
      <c r="B5" s="23">
        <v>9962</v>
      </c>
      <c r="C5" s="23" t="s">
        <v>1735</v>
      </c>
      <c r="D5" s="23" t="s">
        <v>1736</v>
      </c>
      <c r="E5" s="21" t="s">
        <v>1305</v>
      </c>
      <c r="F5" s="23" t="s">
        <v>2747</v>
      </c>
      <c r="G5" s="23" t="s">
        <v>2748</v>
      </c>
      <c r="H5" s="21" t="s">
        <v>319</v>
      </c>
      <c r="I5" s="23" t="s">
        <v>755</v>
      </c>
      <c r="J5" s="21" t="s">
        <v>31</v>
      </c>
      <c r="K5" s="21" t="s">
        <v>31</v>
      </c>
      <c r="L5" s="23" t="s">
        <v>453</v>
      </c>
      <c r="M5" s="23" t="s">
        <v>136</v>
      </c>
      <c r="N5" s="23" t="s">
        <v>2749</v>
      </c>
      <c r="O5" s="23" t="s">
        <v>1739</v>
      </c>
      <c r="P5" s="23" t="s">
        <v>412</v>
      </c>
      <c r="Q5" s="23" t="s">
        <v>405</v>
      </c>
      <c r="R5" s="21" t="s">
        <v>78</v>
      </c>
      <c r="S5" s="156">
        <v>0.04</v>
      </c>
      <c r="T5" s="23" t="s">
        <v>756</v>
      </c>
      <c r="U5" s="23" t="s">
        <v>912</v>
      </c>
      <c r="V5" s="23" t="s">
        <v>2750</v>
      </c>
      <c r="W5" s="173">
        <v>6.3598000000000002E-2</v>
      </c>
      <c r="X5" s="173">
        <v>6.7400000000000002E-2</v>
      </c>
      <c r="Y5" s="21" t="s">
        <v>411</v>
      </c>
      <c r="Z5" s="21" t="s">
        <v>136</v>
      </c>
      <c r="AA5" s="23" t="s">
        <v>893</v>
      </c>
      <c r="AB5" s="23" t="s">
        <v>2693</v>
      </c>
      <c r="AC5" t="s">
        <v>2751</v>
      </c>
      <c r="AD5" s="23" t="s">
        <v>1310</v>
      </c>
      <c r="AE5" s="23"/>
      <c r="AF5" s="156">
        <v>14000</v>
      </c>
      <c r="AG5" s="156">
        <v>3.681</v>
      </c>
      <c r="AH5" s="156">
        <v>100.72961539954203</v>
      </c>
      <c r="AI5" s="156">
        <v>51.91</v>
      </c>
      <c r="AK5" s="23"/>
      <c r="AL5" s="23" t="s">
        <v>37</v>
      </c>
      <c r="AM5" s="174">
        <v>0.39984915846300401</v>
      </c>
      <c r="AN5" s="174">
        <v>1.6817186899002899E-3</v>
      </c>
      <c r="AO5" s="179"/>
    </row>
    <row r="6" spans="1:41">
      <c r="A6" s="23" t="s">
        <v>26</v>
      </c>
      <c r="B6" s="23">
        <v>9962</v>
      </c>
      <c r="C6" s="23" t="s">
        <v>1664</v>
      </c>
      <c r="D6" s="23" t="s">
        <v>1665</v>
      </c>
      <c r="E6" s="21" t="s">
        <v>312</v>
      </c>
      <c r="F6" s="23" t="s">
        <v>2752</v>
      </c>
      <c r="G6" s="23" t="s">
        <v>2753</v>
      </c>
      <c r="H6" s="21" t="s">
        <v>319</v>
      </c>
      <c r="I6" s="23" t="s">
        <v>755</v>
      </c>
      <c r="J6" s="21" t="s">
        <v>73</v>
      </c>
      <c r="K6" s="21" t="s">
        <v>74</v>
      </c>
      <c r="L6" s="23" t="s">
        <v>438</v>
      </c>
      <c r="M6" s="23" t="s">
        <v>136</v>
      </c>
      <c r="N6" s="23" t="s">
        <v>2754</v>
      </c>
      <c r="O6" s="23" t="s">
        <v>1739</v>
      </c>
      <c r="P6" s="23" t="s">
        <v>412</v>
      </c>
      <c r="Q6" s="23" t="s">
        <v>405</v>
      </c>
      <c r="R6" s="21" t="s">
        <v>78</v>
      </c>
      <c r="S6" s="156">
        <v>0.02</v>
      </c>
      <c r="T6" s="23" t="s">
        <v>756</v>
      </c>
      <c r="U6" s="23" t="s">
        <v>916</v>
      </c>
      <c r="V6" s="23" t="s">
        <v>2755</v>
      </c>
      <c r="W6" s="173">
        <v>6.3981999999999997E-2</v>
      </c>
      <c r="X6" s="173">
        <v>5.7200000000000001E-2</v>
      </c>
      <c r="Y6" s="21" t="s">
        <v>411</v>
      </c>
      <c r="Z6" s="21" t="s">
        <v>136</v>
      </c>
      <c r="AA6" s="23" t="s">
        <v>893</v>
      </c>
      <c r="AB6" s="23" t="s">
        <v>2693</v>
      </c>
      <c r="AC6" t="s">
        <v>2751</v>
      </c>
      <c r="AD6" s="23" t="s">
        <v>1310</v>
      </c>
      <c r="AE6" s="23"/>
      <c r="AF6" s="156">
        <v>7000</v>
      </c>
      <c r="AG6" s="156">
        <v>3.681</v>
      </c>
      <c r="AH6" s="156">
        <v>101.241898552412</v>
      </c>
      <c r="AI6" s="156">
        <v>26.087</v>
      </c>
      <c r="AK6" s="23"/>
      <c r="AL6" s="23" t="s">
        <v>37</v>
      </c>
      <c r="AM6" s="174">
        <v>0.200936805335027</v>
      </c>
      <c r="AN6" s="174">
        <v>8.4511664928772399E-4</v>
      </c>
      <c r="AO6" s="179"/>
    </row>
    <row r="7" spans="1:41">
      <c r="A7" s="23" t="s">
        <v>26</v>
      </c>
      <c r="B7" s="23">
        <v>9962</v>
      </c>
      <c r="C7" s="23" t="s">
        <v>1356</v>
      </c>
      <c r="D7" s="23" t="s">
        <v>1357</v>
      </c>
      <c r="E7" s="21" t="s">
        <v>1305</v>
      </c>
      <c r="F7" s="23" t="s">
        <v>2756</v>
      </c>
      <c r="G7" s="23" t="s">
        <v>2757</v>
      </c>
      <c r="H7" s="21" t="s">
        <v>319</v>
      </c>
      <c r="I7" s="23" t="s">
        <v>755</v>
      </c>
      <c r="J7" s="21" t="s">
        <v>31</v>
      </c>
      <c r="K7" s="21" t="s">
        <v>31</v>
      </c>
      <c r="L7" s="23" t="s">
        <v>443</v>
      </c>
      <c r="M7" s="23" t="s">
        <v>136</v>
      </c>
      <c r="N7" s="23" t="s">
        <v>2758</v>
      </c>
      <c r="O7" s="23" t="s">
        <v>1748</v>
      </c>
      <c r="P7" s="23" t="s">
        <v>412</v>
      </c>
      <c r="Q7" s="23" t="s">
        <v>405</v>
      </c>
      <c r="R7" s="21" t="s">
        <v>78</v>
      </c>
      <c r="S7" s="156">
        <v>0.05</v>
      </c>
      <c r="T7" s="23" t="s">
        <v>756</v>
      </c>
      <c r="U7" s="23" t="s">
        <v>916</v>
      </c>
      <c r="V7" s="23" t="s">
        <v>2759</v>
      </c>
      <c r="W7" s="173">
        <v>0.119823</v>
      </c>
      <c r="X7" s="173">
        <v>5.62E-2</v>
      </c>
      <c r="Y7" s="21" t="s">
        <v>411</v>
      </c>
      <c r="Z7" s="21" t="s">
        <v>136</v>
      </c>
      <c r="AA7" s="23" t="s">
        <v>893</v>
      </c>
      <c r="AB7" s="23" t="s">
        <v>2693</v>
      </c>
      <c r="AC7" t="s">
        <v>2751</v>
      </c>
      <c r="AD7" s="23" t="s">
        <v>1310</v>
      </c>
      <c r="AE7" s="23"/>
      <c r="AF7" s="156">
        <v>14000</v>
      </c>
      <c r="AG7" s="156">
        <v>3.681</v>
      </c>
      <c r="AH7" s="156">
        <v>100.57049714751427</v>
      </c>
      <c r="AI7" s="156">
        <v>51.828000000000003</v>
      </c>
      <c r="AK7" s="23"/>
      <c r="AL7" s="23" t="s">
        <v>37</v>
      </c>
      <c r="AM7" s="174">
        <v>0.39921403620196899</v>
      </c>
      <c r="AN7" s="174">
        <v>1.67904744011984E-3</v>
      </c>
      <c r="AO7" s="179"/>
    </row>
    <row r="8" spans="1:41">
      <c r="A8" s="23" t="s">
        <v>26</v>
      </c>
      <c r="B8" s="23">
        <v>9963</v>
      </c>
      <c r="C8" s="23" t="s">
        <v>1735</v>
      </c>
      <c r="D8" s="23" t="s">
        <v>1736</v>
      </c>
      <c r="E8" s="21" t="s">
        <v>1305</v>
      </c>
      <c r="F8" s="23" t="s">
        <v>2747</v>
      </c>
      <c r="G8" s="23" t="s">
        <v>2748</v>
      </c>
      <c r="H8" s="21" t="s">
        <v>319</v>
      </c>
      <c r="I8" s="23" t="s">
        <v>755</v>
      </c>
      <c r="J8" s="21" t="s">
        <v>31</v>
      </c>
      <c r="K8" s="21" t="s">
        <v>31</v>
      </c>
      <c r="L8" s="23" t="s">
        <v>453</v>
      </c>
      <c r="M8" s="23" t="s">
        <v>136</v>
      </c>
      <c r="N8" s="23" t="s">
        <v>2749</v>
      </c>
      <c r="O8" s="23" t="s">
        <v>1739</v>
      </c>
      <c r="P8" s="23" t="s">
        <v>412</v>
      </c>
      <c r="Q8" s="23" t="s">
        <v>405</v>
      </c>
      <c r="R8" s="21" t="s">
        <v>78</v>
      </c>
      <c r="S8" s="156">
        <v>0.04</v>
      </c>
      <c r="T8" s="23" t="s">
        <v>756</v>
      </c>
      <c r="U8" s="23" t="s">
        <v>912</v>
      </c>
      <c r="V8" s="23" t="s">
        <v>2750</v>
      </c>
      <c r="W8" s="173">
        <v>6.3598000000000002E-2</v>
      </c>
      <c r="X8" s="173">
        <v>6.7400000000000002E-2</v>
      </c>
      <c r="Y8" s="21" t="s">
        <v>411</v>
      </c>
      <c r="Z8" s="21" t="s">
        <v>136</v>
      </c>
      <c r="AA8" s="23" t="s">
        <v>893</v>
      </c>
      <c r="AB8" s="23" t="s">
        <v>2693</v>
      </c>
      <c r="AC8" t="s">
        <v>2751</v>
      </c>
      <c r="AD8" s="23" t="s">
        <v>1310</v>
      </c>
      <c r="AE8" s="23"/>
      <c r="AF8" s="156">
        <v>557000</v>
      </c>
      <c r="AG8" s="156">
        <v>3.681</v>
      </c>
      <c r="AH8" s="156">
        <v>100.7299846804177</v>
      </c>
      <c r="AI8" s="156">
        <v>2065.2840000000001</v>
      </c>
      <c r="AK8" s="23"/>
      <c r="AL8" s="23" t="s">
        <v>37</v>
      </c>
      <c r="AM8" s="174">
        <v>0.42024741192547099</v>
      </c>
      <c r="AN8" s="174">
        <v>2.0100876995691099E-3</v>
      </c>
      <c r="AO8" s="179"/>
    </row>
    <row r="9" spans="1:41">
      <c r="A9" s="23" t="s">
        <v>26</v>
      </c>
      <c r="B9" s="23">
        <v>9963</v>
      </c>
      <c r="C9" s="23" t="s">
        <v>1664</v>
      </c>
      <c r="D9" s="23" t="s">
        <v>1665</v>
      </c>
      <c r="E9" s="21" t="s">
        <v>312</v>
      </c>
      <c r="F9" s="23" t="s">
        <v>2752</v>
      </c>
      <c r="G9" s="23" t="s">
        <v>2753</v>
      </c>
      <c r="H9" s="21" t="s">
        <v>319</v>
      </c>
      <c r="I9" s="23" t="s">
        <v>755</v>
      </c>
      <c r="J9" s="21" t="s">
        <v>73</v>
      </c>
      <c r="K9" s="21" t="s">
        <v>74</v>
      </c>
      <c r="L9" s="23" t="s">
        <v>438</v>
      </c>
      <c r="M9" s="23" t="s">
        <v>136</v>
      </c>
      <c r="N9" s="23" t="s">
        <v>2754</v>
      </c>
      <c r="O9" s="23" t="s">
        <v>1739</v>
      </c>
      <c r="P9" s="23" t="s">
        <v>412</v>
      </c>
      <c r="Q9" s="23" t="s">
        <v>405</v>
      </c>
      <c r="R9" s="21" t="s">
        <v>78</v>
      </c>
      <c r="S9" s="156">
        <v>0.02</v>
      </c>
      <c r="T9" s="23" t="s">
        <v>756</v>
      </c>
      <c r="U9" s="23" t="s">
        <v>916</v>
      </c>
      <c r="V9" s="23" t="s">
        <v>2755</v>
      </c>
      <c r="W9" s="173">
        <v>6.3981999999999997E-2</v>
      </c>
      <c r="X9" s="173">
        <v>5.7200000000000001E-2</v>
      </c>
      <c r="Y9" s="21" t="s">
        <v>411</v>
      </c>
      <c r="Z9" s="21" t="s">
        <v>136</v>
      </c>
      <c r="AA9" s="23" t="s">
        <v>893</v>
      </c>
      <c r="AB9" s="23" t="s">
        <v>2693</v>
      </c>
      <c r="AC9" t="s">
        <v>2751</v>
      </c>
      <c r="AD9" s="23" t="s">
        <v>1310</v>
      </c>
      <c r="AE9" s="23"/>
      <c r="AF9" s="156">
        <v>245000</v>
      </c>
      <c r="AG9" s="156">
        <v>3.681</v>
      </c>
      <c r="AH9" s="156">
        <v>101.24001352782351</v>
      </c>
      <c r="AI9" s="158">
        <v>913.02800000000002</v>
      </c>
      <c r="AL9" s="23" t="s">
        <v>37</v>
      </c>
      <c r="AM9" s="174">
        <v>0.185784397879626</v>
      </c>
      <c r="AN9" s="174">
        <v>8.8862637187618805E-4</v>
      </c>
      <c r="AO9" s="179"/>
    </row>
    <row r="10" spans="1:41">
      <c r="A10" s="23" t="s">
        <v>26</v>
      </c>
      <c r="B10" s="23">
        <v>9963</v>
      </c>
      <c r="C10" s="23" t="s">
        <v>1356</v>
      </c>
      <c r="D10" s="23" t="s">
        <v>1357</v>
      </c>
      <c r="E10" s="21" t="s">
        <v>1305</v>
      </c>
      <c r="F10" s="23" t="s">
        <v>2756</v>
      </c>
      <c r="G10" s="23" t="s">
        <v>2757</v>
      </c>
      <c r="H10" s="21" t="s">
        <v>319</v>
      </c>
      <c r="I10" s="23" t="s">
        <v>755</v>
      </c>
      <c r="J10" s="21" t="s">
        <v>31</v>
      </c>
      <c r="K10" s="21" t="s">
        <v>31</v>
      </c>
      <c r="L10" s="23" t="s">
        <v>443</v>
      </c>
      <c r="M10" s="23" t="s">
        <v>136</v>
      </c>
      <c r="N10" s="23" t="s">
        <v>2758</v>
      </c>
      <c r="O10" s="23" t="s">
        <v>1748</v>
      </c>
      <c r="P10" s="23" t="s">
        <v>412</v>
      </c>
      <c r="Q10" s="23" t="s">
        <v>405</v>
      </c>
      <c r="R10" s="21" t="s">
        <v>78</v>
      </c>
      <c r="S10" s="156">
        <v>0.05</v>
      </c>
      <c r="T10" s="23" t="s">
        <v>756</v>
      </c>
      <c r="U10" s="23" t="s">
        <v>916</v>
      </c>
      <c r="V10" s="23" t="s">
        <v>2759</v>
      </c>
      <c r="W10" s="173">
        <v>0.119823</v>
      </c>
      <c r="X10" s="173">
        <v>5.62E-2</v>
      </c>
      <c r="Y10" s="21" t="s">
        <v>411</v>
      </c>
      <c r="Z10" s="21" t="s">
        <v>136</v>
      </c>
      <c r="AA10" s="23" t="s">
        <v>893</v>
      </c>
      <c r="AB10" s="23" t="s">
        <v>2693</v>
      </c>
      <c r="AC10" t="s">
        <v>2751</v>
      </c>
      <c r="AD10" s="23" t="s">
        <v>1310</v>
      </c>
      <c r="AE10" s="23"/>
      <c r="AF10" s="156">
        <v>523000</v>
      </c>
      <c r="AG10" s="156">
        <v>3.681</v>
      </c>
      <c r="AH10" s="156">
        <v>100.56997771097822</v>
      </c>
      <c r="AI10" s="158">
        <v>1936.136</v>
      </c>
      <c r="AL10" s="23" t="s">
        <v>37</v>
      </c>
      <c r="AM10" s="174">
        <v>0.39396819019490298</v>
      </c>
      <c r="AN10" s="174">
        <v>1.88439141005994E-3</v>
      </c>
      <c r="AO10" s="179"/>
    </row>
    <row r="11" spans="1:41">
      <c r="A11" s="23" t="s">
        <v>26</v>
      </c>
      <c r="B11" s="23">
        <v>9964</v>
      </c>
      <c r="C11" s="23" t="s">
        <v>1735</v>
      </c>
      <c r="D11" s="23" t="s">
        <v>1736</v>
      </c>
      <c r="E11" s="21" t="s">
        <v>1305</v>
      </c>
      <c r="F11" s="23" t="s">
        <v>2747</v>
      </c>
      <c r="G11" s="23" t="s">
        <v>2748</v>
      </c>
      <c r="H11" s="21" t="s">
        <v>319</v>
      </c>
      <c r="I11" s="23" t="s">
        <v>755</v>
      </c>
      <c r="J11" s="21" t="s">
        <v>31</v>
      </c>
      <c r="K11" s="21" t="s">
        <v>31</v>
      </c>
      <c r="L11" s="23" t="s">
        <v>453</v>
      </c>
      <c r="M11" s="23" t="s">
        <v>136</v>
      </c>
      <c r="N11" s="23" t="s">
        <v>2749</v>
      </c>
      <c r="O11" s="23" t="s">
        <v>1739</v>
      </c>
      <c r="P11" s="23" t="s">
        <v>412</v>
      </c>
      <c r="Q11" s="23" t="s">
        <v>405</v>
      </c>
      <c r="R11" s="21" t="s">
        <v>78</v>
      </c>
      <c r="S11" s="156">
        <v>0.04</v>
      </c>
      <c r="T11" s="23" t="s">
        <v>756</v>
      </c>
      <c r="U11" s="23" t="s">
        <v>912</v>
      </c>
      <c r="V11" s="23" t="s">
        <v>2750</v>
      </c>
      <c r="W11" s="173">
        <v>6.3598000000000002E-2</v>
      </c>
      <c r="X11" s="173">
        <v>6.7400000000000002E-2</v>
      </c>
      <c r="Y11" s="21" t="s">
        <v>411</v>
      </c>
      <c r="Z11" s="21" t="s">
        <v>136</v>
      </c>
      <c r="AA11" s="23" t="s">
        <v>893</v>
      </c>
      <c r="AB11" s="23" t="s">
        <v>2693</v>
      </c>
      <c r="AC11" t="s">
        <v>2751</v>
      </c>
      <c r="AD11" s="23" t="s">
        <v>1310</v>
      </c>
      <c r="AE11" s="23"/>
      <c r="AF11" s="156">
        <v>17000</v>
      </c>
      <c r="AG11" s="156">
        <v>3.681</v>
      </c>
      <c r="AH11" s="156">
        <v>100.73030027006729</v>
      </c>
      <c r="AI11" s="156">
        <v>63.033999999999999</v>
      </c>
      <c r="AK11" s="23"/>
      <c r="AL11" s="23" t="s">
        <v>37</v>
      </c>
      <c r="AM11" s="174">
        <v>0.40463183066242597</v>
      </c>
      <c r="AN11" s="174">
        <v>1.8170787579699301E-3</v>
      </c>
      <c r="AO11" s="179"/>
    </row>
    <row r="12" spans="1:41">
      <c r="A12" s="23" t="s">
        <v>26</v>
      </c>
      <c r="B12" s="23">
        <v>9964</v>
      </c>
      <c r="C12" s="23" t="s">
        <v>1664</v>
      </c>
      <c r="D12" s="23" t="s">
        <v>1665</v>
      </c>
      <c r="E12" s="21" t="s">
        <v>312</v>
      </c>
      <c r="F12" s="23" t="s">
        <v>2752</v>
      </c>
      <c r="G12" s="23" t="s">
        <v>2753</v>
      </c>
      <c r="H12" s="21" t="s">
        <v>319</v>
      </c>
      <c r="I12" s="23" t="s">
        <v>755</v>
      </c>
      <c r="J12" s="21" t="s">
        <v>73</v>
      </c>
      <c r="K12" s="21" t="s">
        <v>74</v>
      </c>
      <c r="L12" s="23" t="s">
        <v>438</v>
      </c>
      <c r="M12" s="23" t="s">
        <v>136</v>
      </c>
      <c r="N12" s="23" t="s">
        <v>2754</v>
      </c>
      <c r="O12" s="23" t="s">
        <v>1739</v>
      </c>
      <c r="P12" s="23" t="s">
        <v>412</v>
      </c>
      <c r="Q12" s="23" t="s">
        <v>405</v>
      </c>
      <c r="R12" s="21" t="s">
        <v>78</v>
      </c>
      <c r="S12" s="156">
        <v>0.02</v>
      </c>
      <c r="T12" s="23" t="s">
        <v>756</v>
      </c>
      <c r="U12" s="23" t="s">
        <v>916</v>
      </c>
      <c r="V12" s="23" t="s">
        <v>2755</v>
      </c>
      <c r="W12" s="173">
        <v>6.3981999999999997E-2</v>
      </c>
      <c r="X12" s="173">
        <v>5.7200000000000001E-2</v>
      </c>
      <c r="Y12" s="21" t="s">
        <v>411</v>
      </c>
      <c r="Z12" s="21" t="s">
        <v>136</v>
      </c>
      <c r="AA12" s="23" t="s">
        <v>893</v>
      </c>
      <c r="AB12" s="23" t="s">
        <v>2693</v>
      </c>
      <c r="AC12" t="s">
        <v>2751</v>
      </c>
      <c r="AD12" s="23" t="s">
        <v>1310</v>
      </c>
      <c r="AE12" s="23"/>
      <c r="AF12" s="156">
        <v>8000</v>
      </c>
      <c r="AG12" s="156">
        <v>3.681</v>
      </c>
      <c r="AH12" s="156">
        <v>101.23947296930183</v>
      </c>
      <c r="AI12" s="156">
        <v>29.812999999999999</v>
      </c>
      <c r="AK12" s="23"/>
      <c r="AL12" s="23" t="s">
        <v>37</v>
      </c>
      <c r="AM12" s="174">
        <v>0.191379057754926</v>
      </c>
      <c r="AN12" s="174">
        <v>8.5942527061568701E-4</v>
      </c>
      <c r="AO12" s="179"/>
    </row>
    <row r="13" spans="1:41">
      <c r="A13" s="23" t="s">
        <v>26</v>
      </c>
      <c r="B13" s="23">
        <v>9964</v>
      </c>
      <c r="C13" s="23" t="s">
        <v>1356</v>
      </c>
      <c r="D13" s="23" t="s">
        <v>1357</v>
      </c>
      <c r="E13" s="21" t="s">
        <v>1305</v>
      </c>
      <c r="F13" s="23" t="s">
        <v>2756</v>
      </c>
      <c r="G13" s="23" t="s">
        <v>2757</v>
      </c>
      <c r="H13" s="21" t="s">
        <v>319</v>
      </c>
      <c r="I13" s="23" t="s">
        <v>755</v>
      </c>
      <c r="J13" s="21" t="s">
        <v>31</v>
      </c>
      <c r="K13" s="21" t="s">
        <v>31</v>
      </c>
      <c r="L13" s="23" t="s">
        <v>443</v>
      </c>
      <c r="M13" s="23" t="s">
        <v>136</v>
      </c>
      <c r="N13" s="23" t="s">
        <v>2758</v>
      </c>
      <c r="O13" s="23" t="s">
        <v>1748</v>
      </c>
      <c r="P13" s="23" t="s">
        <v>412</v>
      </c>
      <c r="Q13" s="23" t="s">
        <v>405</v>
      </c>
      <c r="R13" s="21" t="s">
        <v>78</v>
      </c>
      <c r="S13" s="156">
        <v>0.05</v>
      </c>
      <c r="T13" s="23" t="s">
        <v>756</v>
      </c>
      <c r="U13" s="23" t="s">
        <v>916</v>
      </c>
      <c r="V13" s="23" t="s">
        <v>2759</v>
      </c>
      <c r="W13" s="173">
        <v>0.119823</v>
      </c>
      <c r="X13" s="173">
        <v>5.62E-2</v>
      </c>
      <c r="Y13" s="21" t="s">
        <v>411</v>
      </c>
      <c r="Z13" s="21" t="s">
        <v>136</v>
      </c>
      <c r="AA13" s="23" t="s">
        <v>893</v>
      </c>
      <c r="AB13" s="23" t="s">
        <v>2693</v>
      </c>
      <c r="AC13" t="s">
        <v>2751</v>
      </c>
      <c r="AD13" s="23" t="s">
        <v>1310</v>
      </c>
      <c r="AE13" s="23"/>
      <c r="AF13" s="156">
        <v>17000</v>
      </c>
      <c r="AG13" s="156">
        <v>3.681</v>
      </c>
      <c r="AH13" s="156">
        <v>100.57049714751426</v>
      </c>
      <c r="AI13" s="156">
        <v>62.933999999999997</v>
      </c>
      <c r="AK13" s="23"/>
      <c r="AL13" s="23" t="s">
        <v>37</v>
      </c>
      <c r="AM13" s="174">
        <v>0.403989111582648</v>
      </c>
      <c r="AN13" s="174">
        <v>1.8141925016284699E-3</v>
      </c>
      <c r="AO13" s="179"/>
    </row>
    <row r="14" spans="1:41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1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1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M41"/>
  <sheetViews>
    <sheetView rightToLeft="1" topLeftCell="S1" zoomScale="70" zoomScaleNormal="70" workbookViewId="0">
      <selection sqref="A1:XFD1"/>
    </sheetView>
  </sheetViews>
  <sheetFormatPr defaultColWidth="9" defaultRowHeight="14.25"/>
  <cols>
    <col min="1" max="2" width="11.625" style="2" customWidth="1"/>
    <col min="3" max="3" width="25.875" style="2" customWidth="1"/>
    <col min="4" max="4" width="11.625" style="2" customWidth="1"/>
    <col min="5" max="5" width="11.625" style="4" customWidth="1"/>
    <col min="6" max="6" width="29.125" style="2" customWidth="1"/>
    <col min="7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29" width="11.625" style="2" customWidth="1"/>
    <col min="30" max="30" width="15.875" style="2" customWidth="1"/>
    <col min="31" max="38" width="11.625" style="2" customWidth="1"/>
    <col min="39" max="39" width="9" style="2" customWidth="1"/>
    <col min="40" max="16384" width="9" style="2"/>
  </cols>
  <sheetData>
    <row r="1" spans="1:39" ht="66.75" customHeight="1">
      <c r="A1" s="22" t="s">
        <v>0</v>
      </c>
      <c r="B1" s="22" t="s">
        <v>1</v>
      </c>
      <c r="C1" s="22" t="s">
        <v>2</v>
      </c>
      <c r="D1" s="22" t="s">
        <v>141</v>
      </c>
      <c r="E1" s="22" t="s">
        <v>142</v>
      </c>
      <c r="F1" s="22" t="s">
        <v>3</v>
      </c>
      <c r="G1" s="22" t="s">
        <v>4</v>
      </c>
      <c r="H1" s="22" t="s">
        <v>143</v>
      </c>
      <c r="I1" s="22" t="s">
        <v>5</v>
      </c>
      <c r="J1" s="22" t="s">
        <v>6</v>
      </c>
      <c r="K1" s="22" t="s">
        <v>7</v>
      </c>
      <c r="L1" s="22" t="s">
        <v>324</v>
      </c>
      <c r="M1" s="22" t="s">
        <v>144</v>
      </c>
      <c r="N1" s="22" t="s">
        <v>123</v>
      </c>
      <c r="O1" s="22" t="s">
        <v>152</v>
      </c>
      <c r="P1" s="22" t="s">
        <v>9</v>
      </c>
      <c r="Q1" s="22" t="s">
        <v>10</v>
      </c>
      <c r="R1" s="22" t="s">
        <v>173</v>
      </c>
      <c r="S1" s="22" t="s">
        <v>11</v>
      </c>
      <c r="T1" s="22" t="s">
        <v>12</v>
      </c>
      <c r="U1" s="22" t="s">
        <v>13</v>
      </c>
      <c r="V1" s="166" t="s">
        <v>15</v>
      </c>
      <c r="W1" s="166" t="s">
        <v>14</v>
      </c>
      <c r="X1" s="22" t="s">
        <v>409</v>
      </c>
      <c r="Y1" s="22" t="s">
        <v>830</v>
      </c>
      <c r="Z1" s="22" t="s">
        <v>145</v>
      </c>
      <c r="AA1" s="22" t="s">
        <v>146</v>
      </c>
      <c r="AB1" s="22" t="s">
        <v>132</v>
      </c>
      <c r="AC1" s="22" t="s">
        <v>147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160</v>
      </c>
      <c r="AJ1" s="22" t="s">
        <v>22</v>
      </c>
      <c r="AK1" s="166" t="s">
        <v>24</v>
      </c>
      <c r="AL1" s="166" t="s">
        <v>25</v>
      </c>
    </row>
    <row r="2" spans="1:39">
      <c r="A2" s="2" t="s">
        <v>26</v>
      </c>
      <c r="B2" s="23">
        <v>1405</v>
      </c>
      <c r="C2" s="23" t="s">
        <v>2677</v>
      </c>
      <c r="D2" s="23" t="s">
        <v>2678</v>
      </c>
      <c r="E2" s="21" t="s">
        <v>1305</v>
      </c>
      <c r="F2" s="23" t="s">
        <v>2679</v>
      </c>
      <c r="G2" s="19" t="s">
        <v>2680</v>
      </c>
      <c r="H2" s="23" t="s">
        <v>319</v>
      </c>
      <c r="I2" s="23" t="s">
        <v>966</v>
      </c>
      <c r="J2" s="21" t="s">
        <v>31</v>
      </c>
      <c r="K2" s="21" t="s">
        <v>31</v>
      </c>
      <c r="L2" s="23" t="s">
        <v>164</v>
      </c>
      <c r="M2" s="23" t="s">
        <v>448</v>
      </c>
      <c r="N2" s="23" t="s">
        <v>136</v>
      </c>
      <c r="O2" s="23" t="s">
        <v>2681</v>
      </c>
      <c r="P2" s="23" t="s">
        <v>1758</v>
      </c>
      <c r="Q2" s="23" t="s">
        <v>430</v>
      </c>
      <c r="R2" s="23" t="s">
        <v>405</v>
      </c>
      <c r="S2" s="21" t="s">
        <v>35</v>
      </c>
      <c r="T2" s="156">
        <v>2.59</v>
      </c>
      <c r="U2" s="23" t="s">
        <v>2088</v>
      </c>
      <c r="V2" s="173">
        <v>5.8000000000000003E-2</v>
      </c>
      <c r="W2" s="167">
        <v>2.86E-2</v>
      </c>
      <c r="X2" s="21" t="s">
        <v>411</v>
      </c>
      <c r="Y2" s="21" t="s">
        <v>136</v>
      </c>
      <c r="Z2" s="23" t="s">
        <v>893</v>
      </c>
      <c r="AA2" s="23" t="s">
        <v>2693</v>
      </c>
      <c r="AB2" s="2" t="s">
        <v>1310</v>
      </c>
      <c r="AC2" s="23"/>
      <c r="AD2" s="156">
        <v>9285.7199999999993</v>
      </c>
      <c r="AE2" s="156">
        <v>1</v>
      </c>
      <c r="AF2" s="156">
        <v>93.54148089755023</v>
      </c>
      <c r="AG2" s="156">
        <v>8.6859999999999999</v>
      </c>
      <c r="AH2" s="23"/>
      <c r="AI2" s="30"/>
      <c r="AJ2" s="23" t="s">
        <v>37</v>
      </c>
      <c r="AK2" s="167">
        <v>3.9627368028466101E-2</v>
      </c>
      <c r="AL2" s="167">
        <v>8.2149169386300095E-4</v>
      </c>
      <c r="AM2" s="180"/>
    </row>
    <row r="3" spans="1:39">
      <c r="A3" s="23" t="s">
        <v>26</v>
      </c>
      <c r="B3" s="23">
        <v>1405</v>
      </c>
      <c r="C3" s="23" t="s">
        <v>2682</v>
      </c>
      <c r="D3" s="23" t="s">
        <v>2683</v>
      </c>
      <c r="E3" s="21" t="s">
        <v>1305</v>
      </c>
      <c r="F3" s="23" t="s">
        <v>2684</v>
      </c>
      <c r="G3" s="23" t="s">
        <v>2685</v>
      </c>
      <c r="H3" s="23" t="s">
        <v>319</v>
      </c>
      <c r="I3" s="23" t="s">
        <v>966</v>
      </c>
      <c r="J3" s="21" t="s">
        <v>31</v>
      </c>
      <c r="K3" s="21" t="s">
        <v>31</v>
      </c>
      <c r="L3" s="23" t="s">
        <v>164</v>
      </c>
      <c r="M3" s="23" t="s">
        <v>448</v>
      </c>
      <c r="N3" s="23" t="s">
        <v>136</v>
      </c>
      <c r="O3" s="23" t="s">
        <v>2686</v>
      </c>
      <c r="P3" s="23" t="s">
        <v>1772</v>
      </c>
      <c r="Q3" s="23" t="s">
        <v>412</v>
      </c>
      <c r="R3" s="23" t="s">
        <v>407</v>
      </c>
      <c r="S3" s="21" t="s">
        <v>35</v>
      </c>
      <c r="T3" s="156">
        <v>2.42</v>
      </c>
      <c r="U3" s="23" t="s">
        <v>1822</v>
      </c>
      <c r="V3" s="173">
        <v>6.0299999999999999E-2</v>
      </c>
      <c r="W3" s="167">
        <v>4.4699999999999997E-2</v>
      </c>
      <c r="X3" s="21" t="s">
        <v>411</v>
      </c>
      <c r="Y3" s="21" t="s">
        <v>136</v>
      </c>
      <c r="Z3" s="23" t="s">
        <v>893</v>
      </c>
      <c r="AA3" s="23" t="s">
        <v>2693</v>
      </c>
      <c r="AB3" s="2" t="s">
        <v>1310</v>
      </c>
      <c r="AC3" s="23"/>
      <c r="AD3" s="156">
        <v>37387.99</v>
      </c>
      <c r="AE3" s="156">
        <v>1</v>
      </c>
      <c r="AF3" s="156">
        <v>97.659703022280695</v>
      </c>
      <c r="AG3" s="156">
        <v>36.512999999999998</v>
      </c>
      <c r="AH3" s="23"/>
      <c r="AI3" s="23"/>
      <c r="AJ3" s="23" t="s">
        <v>37</v>
      </c>
      <c r="AK3" s="167">
        <v>0.16658316785553101</v>
      </c>
      <c r="AL3" s="167">
        <v>3.4533378202761698E-3</v>
      </c>
      <c r="AM3" s="180"/>
    </row>
    <row r="4" spans="1:39">
      <c r="A4" s="23" t="s">
        <v>26</v>
      </c>
      <c r="B4" s="23">
        <v>1405</v>
      </c>
      <c r="C4" s="23" t="s">
        <v>2687</v>
      </c>
      <c r="D4" s="23" t="s">
        <v>2688</v>
      </c>
      <c r="E4" s="21" t="s">
        <v>1305</v>
      </c>
      <c r="F4" s="23" t="s">
        <v>2689</v>
      </c>
      <c r="G4" s="19" t="s">
        <v>2690</v>
      </c>
      <c r="H4" s="23" t="s">
        <v>319</v>
      </c>
      <c r="I4" s="23" t="s">
        <v>966</v>
      </c>
      <c r="J4" s="21" t="s">
        <v>31</v>
      </c>
      <c r="K4" s="21" t="s">
        <v>31</v>
      </c>
      <c r="L4" s="23" t="s">
        <v>164</v>
      </c>
      <c r="M4" s="23" t="s">
        <v>448</v>
      </c>
      <c r="N4" s="23" t="s">
        <v>136</v>
      </c>
      <c r="O4" s="2" t="s">
        <v>2691</v>
      </c>
      <c r="P4" s="23" t="s">
        <v>1896</v>
      </c>
      <c r="Q4" s="23" t="s">
        <v>104</v>
      </c>
      <c r="R4" s="23" t="s">
        <v>405</v>
      </c>
      <c r="S4" s="23" t="s">
        <v>35</v>
      </c>
      <c r="T4" s="156">
        <v>2.29</v>
      </c>
      <c r="U4" s="23" t="s">
        <v>2692</v>
      </c>
      <c r="V4" s="173">
        <v>5.0799999999999998E-2</v>
      </c>
      <c r="W4" s="167">
        <v>2.1000000000000001E-2</v>
      </c>
      <c r="X4" s="21" t="s">
        <v>411</v>
      </c>
      <c r="Y4" s="21" t="s">
        <v>136</v>
      </c>
      <c r="Z4" s="23" t="s">
        <v>893</v>
      </c>
      <c r="AA4" s="23" t="s">
        <v>2693</v>
      </c>
      <c r="AB4" s="2" t="s">
        <v>1310</v>
      </c>
      <c r="AD4" s="153">
        <v>30285.74</v>
      </c>
      <c r="AE4" s="156">
        <v>1</v>
      </c>
      <c r="AF4" s="156">
        <v>93.799920358558197</v>
      </c>
      <c r="AG4" s="156">
        <v>28.408000000000001</v>
      </c>
      <c r="AH4" s="23"/>
      <c r="AI4" s="23"/>
      <c r="AJ4" s="23" t="s">
        <v>37</v>
      </c>
      <c r="AK4" s="167">
        <v>0.12960546270678899</v>
      </c>
      <c r="AL4" s="167">
        <v>2.68677473145368E-3</v>
      </c>
      <c r="AM4" s="180"/>
    </row>
    <row r="5" spans="1:39">
      <c r="A5" s="23" t="s">
        <v>26</v>
      </c>
      <c r="B5" s="23">
        <v>1405</v>
      </c>
      <c r="C5" s="23" t="s">
        <v>2694</v>
      </c>
      <c r="D5" s="23" t="s">
        <v>2695</v>
      </c>
      <c r="E5" s="21" t="s">
        <v>1305</v>
      </c>
      <c r="F5" s="23" t="s">
        <v>2696</v>
      </c>
      <c r="G5" s="23" t="s">
        <v>2697</v>
      </c>
      <c r="H5" s="23" t="s">
        <v>319</v>
      </c>
      <c r="I5" s="23" t="s">
        <v>966</v>
      </c>
      <c r="J5" s="21" t="s">
        <v>31</v>
      </c>
      <c r="K5" s="21" t="s">
        <v>31</v>
      </c>
      <c r="L5" s="23" t="s">
        <v>164</v>
      </c>
      <c r="M5" s="23" t="s">
        <v>461</v>
      </c>
      <c r="N5" s="23" t="s">
        <v>136</v>
      </c>
      <c r="O5" s="23" t="s">
        <v>2698</v>
      </c>
      <c r="P5" s="23" t="s">
        <v>1984</v>
      </c>
      <c r="Q5" s="23" t="s">
        <v>104</v>
      </c>
      <c r="R5" s="23" t="s">
        <v>405</v>
      </c>
      <c r="S5" s="21" t="s">
        <v>35</v>
      </c>
      <c r="T5" s="156">
        <v>2.0099999999999998</v>
      </c>
      <c r="U5" s="23" t="s">
        <v>2699</v>
      </c>
      <c r="V5" s="173">
        <v>4.8099999999999997E-2</v>
      </c>
      <c r="W5" s="167">
        <v>3.1E-2</v>
      </c>
      <c r="X5" s="21" t="s">
        <v>411</v>
      </c>
      <c r="Y5" s="21" t="s">
        <v>136</v>
      </c>
      <c r="Z5" s="23" t="s">
        <v>893</v>
      </c>
      <c r="AA5" s="23" t="s">
        <v>2693</v>
      </c>
      <c r="AB5" s="2" t="s">
        <v>1310</v>
      </c>
      <c r="AC5" s="23"/>
      <c r="AD5" s="156">
        <v>11799</v>
      </c>
      <c r="AE5" s="156">
        <v>1</v>
      </c>
      <c r="AF5" s="156">
        <v>96.796338672768883</v>
      </c>
      <c r="AG5" s="153">
        <v>11.420999999999999</v>
      </c>
      <c r="AJ5" s="23" t="s">
        <v>37</v>
      </c>
      <c r="AK5" s="167">
        <v>5.2107811964717698E-2</v>
      </c>
      <c r="AL5" s="167">
        <v>1.08021644747239E-3</v>
      </c>
      <c r="AM5" s="180"/>
    </row>
    <row r="6" spans="1:39">
      <c r="A6" s="23" t="s">
        <v>26</v>
      </c>
      <c r="B6" s="23">
        <v>1405</v>
      </c>
      <c r="C6" s="23" t="s">
        <v>2700</v>
      </c>
      <c r="D6" s="23" t="s">
        <v>2701</v>
      </c>
      <c r="E6" s="21" t="s">
        <v>1305</v>
      </c>
      <c r="F6" s="23" t="s">
        <v>2702</v>
      </c>
      <c r="G6" s="23" t="s">
        <v>2703</v>
      </c>
      <c r="H6" s="23" t="s">
        <v>319</v>
      </c>
      <c r="I6" s="23" t="s">
        <v>966</v>
      </c>
      <c r="J6" s="21" t="s">
        <v>31</v>
      </c>
      <c r="K6" s="21" t="s">
        <v>31</v>
      </c>
      <c r="L6" s="23" t="s">
        <v>164</v>
      </c>
      <c r="M6" s="23" t="s">
        <v>476</v>
      </c>
      <c r="N6" s="23" t="s">
        <v>136</v>
      </c>
      <c r="O6" s="23" t="s">
        <v>2704</v>
      </c>
      <c r="P6" s="23" t="s">
        <v>1867</v>
      </c>
      <c r="Q6" s="23" t="s">
        <v>104</v>
      </c>
      <c r="R6" s="23" t="s">
        <v>405</v>
      </c>
      <c r="S6" s="21" t="s">
        <v>35</v>
      </c>
      <c r="T6" s="156">
        <v>1.06</v>
      </c>
      <c r="U6" s="23" t="s">
        <v>2705</v>
      </c>
      <c r="V6" s="173">
        <v>6.7000000000000004E-2</v>
      </c>
      <c r="W6" s="167">
        <v>6.5000000000000002E-2</v>
      </c>
      <c r="X6" s="21" t="s">
        <v>411</v>
      </c>
      <c r="Y6" s="21" t="s">
        <v>136</v>
      </c>
      <c r="Z6" s="23" t="s">
        <v>893</v>
      </c>
      <c r="AA6" s="23" t="s">
        <v>2693</v>
      </c>
      <c r="AB6" s="2" t="s">
        <v>1310</v>
      </c>
      <c r="AC6" s="23"/>
      <c r="AD6" s="156">
        <v>9683.16</v>
      </c>
      <c r="AE6" s="156">
        <v>1</v>
      </c>
      <c r="AF6" s="156">
        <v>99.791803502162523</v>
      </c>
      <c r="AG6" s="153">
        <v>9.6630000000000003</v>
      </c>
      <c r="AJ6" s="23" t="s">
        <v>37</v>
      </c>
      <c r="AK6" s="167">
        <v>4.4084549740804599E-2</v>
      </c>
      <c r="AL6" s="167">
        <v>9.1389091028569903E-4</v>
      </c>
      <c r="AM6" s="180"/>
    </row>
    <row r="7" spans="1:39">
      <c r="A7" s="23" t="s">
        <v>26</v>
      </c>
      <c r="B7" s="23">
        <v>1405</v>
      </c>
      <c r="C7" s="23" t="s">
        <v>2706</v>
      </c>
      <c r="D7" s="23" t="s">
        <v>2707</v>
      </c>
      <c r="E7" s="21" t="s">
        <v>1305</v>
      </c>
      <c r="F7" s="23" t="s">
        <v>2708</v>
      </c>
      <c r="G7" s="23" t="s">
        <v>2709</v>
      </c>
      <c r="H7" s="23" t="s">
        <v>319</v>
      </c>
      <c r="I7" s="23" t="s">
        <v>754</v>
      </c>
      <c r="J7" s="21" t="s">
        <v>31</v>
      </c>
      <c r="K7" s="21" t="s">
        <v>31</v>
      </c>
      <c r="L7" s="23" t="s">
        <v>164</v>
      </c>
      <c r="M7" s="23" t="s">
        <v>443</v>
      </c>
      <c r="N7" s="23" t="s">
        <v>136</v>
      </c>
      <c r="O7" s="23" t="s">
        <v>2710</v>
      </c>
      <c r="P7" s="23" t="s">
        <v>76</v>
      </c>
      <c r="Q7" s="23" t="s">
        <v>104</v>
      </c>
      <c r="R7" s="23" t="s">
        <v>405</v>
      </c>
      <c r="S7" s="21" t="s">
        <v>35</v>
      </c>
      <c r="T7" s="156">
        <v>5.09</v>
      </c>
      <c r="U7" s="23" t="s">
        <v>2711</v>
      </c>
      <c r="V7" s="173">
        <v>2.1600000000000001E-2</v>
      </c>
      <c r="W7" s="167">
        <v>2.1399999999999999E-2</v>
      </c>
      <c r="X7" s="21" t="s">
        <v>411</v>
      </c>
      <c r="Y7" s="21" t="s">
        <v>136</v>
      </c>
      <c r="Z7" s="23" t="s">
        <v>893</v>
      </c>
      <c r="AA7" s="23" t="s">
        <v>2693</v>
      </c>
      <c r="AB7" s="2" t="s">
        <v>1310</v>
      </c>
      <c r="AC7" s="23"/>
      <c r="AD7" s="156">
        <v>29865.86</v>
      </c>
      <c r="AE7" s="156">
        <v>1</v>
      </c>
      <c r="AF7" s="156">
        <v>113.3501596806521</v>
      </c>
      <c r="AG7" s="156">
        <v>33.853000000000002</v>
      </c>
      <c r="AH7" s="23"/>
      <c r="AI7" s="23"/>
      <c r="AJ7" s="23" t="s">
        <v>37</v>
      </c>
      <c r="AK7" s="167">
        <v>0.15444676932104801</v>
      </c>
      <c r="AL7" s="167">
        <v>3.2017452698366099E-3</v>
      </c>
      <c r="AM7" s="180"/>
    </row>
    <row r="8" spans="1:39">
      <c r="A8" s="23" t="s">
        <v>26</v>
      </c>
      <c r="B8" s="23">
        <v>1405</v>
      </c>
      <c r="C8" s="23" t="s">
        <v>2706</v>
      </c>
      <c r="D8" s="23" t="s">
        <v>2707</v>
      </c>
      <c r="E8" s="21" t="s">
        <v>1305</v>
      </c>
      <c r="F8" s="23" t="s">
        <v>2712</v>
      </c>
      <c r="G8" s="23" t="s">
        <v>2713</v>
      </c>
      <c r="H8" s="23" t="s">
        <v>319</v>
      </c>
      <c r="I8" s="23" t="s">
        <v>966</v>
      </c>
      <c r="J8" s="21" t="s">
        <v>31</v>
      </c>
      <c r="K8" s="21" t="s">
        <v>31</v>
      </c>
      <c r="L8" s="23" t="s">
        <v>164</v>
      </c>
      <c r="M8" s="23" t="s">
        <v>443</v>
      </c>
      <c r="N8" s="23" t="s">
        <v>136</v>
      </c>
      <c r="O8" s="23" t="s">
        <v>2710</v>
      </c>
      <c r="P8" s="23" t="s">
        <v>76</v>
      </c>
      <c r="Q8" s="23" t="s">
        <v>104</v>
      </c>
      <c r="R8" s="23" t="s">
        <v>405</v>
      </c>
      <c r="S8" s="21" t="s">
        <v>35</v>
      </c>
      <c r="T8" s="156">
        <v>1.43</v>
      </c>
      <c r="U8" s="23" t="s">
        <v>2705</v>
      </c>
      <c r="V8" s="173">
        <v>4.5100000000000001E-2</v>
      </c>
      <c r="W8" s="167">
        <v>2.5000000000000001E-2</v>
      </c>
      <c r="X8" s="21" t="s">
        <v>411</v>
      </c>
      <c r="Y8" s="21" t="s">
        <v>338</v>
      </c>
      <c r="Z8" s="23" t="s">
        <v>893</v>
      </c>
      <c r="AA8" s="23" t="s">
        <v>2693</v>
      </c>
      <c r="AB8" s="2" t="s">
        <v>1310</v>
      </c>
      <c r="AC8" s="23"/>
      <c r="AD8" s="156">
        <v>31979.84</v>
      </c>
      <c r="AE8" s="156">
        <v>1</v>
      </c>
      <c r="AF8" s="156">
        <v>97.38948037263475</v>
      </c>
      <c r="AG8" s="156">
        <v>31.145</v>
      </c>
      <c r="AH8" s="23"/>
      <c r="AI8" s="23"/>
      <c r="AJ8" s="23" t="s">
        <v>37</v>
      </c>
      <c r="AK8" s="167">
        <v>0.14209308103475099</v>
      </c>
      <c r="AL8" s="167">
        <v>2.9456482131641698E-3</v>
      </c>
      <c r="AM8" s="180"/>
    </row>
    <row r="9" spans="1:39">
      <c r="A9" s="23" t="s">
        <v>26</v>
      </c>
      <c r="B9" s="23">
        <v>1405</v>
      </c>
      <c r="C9" s="23" t="s">
        <v>2706</v>
      </c>
      <c r="D9" s="23" t="s">
        <v>2707</v>
      </c>
      <c r="E9" s="21" t="s">
        <v>1305</v>
      </c>
      <c r="F9" s="23" t="s">
        <v>2714</v>
      </c>
      <c r="G9" s="23" t="s">
        <v>2715</v>
      </c>
      <c r="H9" s="23" t="s">
        <v>319</v>
      </c>
      <c r="I9" s="23" t="s">
        <v>966</v>
      </c>
      <c r="J9" s="21" t="s">
        <v>31</v>
      </c>
      <c r="K9" s="21" t="s">
        <v>31</v>
      </c>
      <c r="L9" s="23" t="s">
        <v>164</v>
      </c>
      <c r="M9" s="23" t="s">
        <v>443</v>
      </c>
      <c r="N9" s="23" t="s">
        <v>136</v>
      </c>
      <c r="O9" s="23" t="s">
        <v>2710</v>
      </c>
      <c r="P9" s="23" t="s">
        <v>76</v>
      </c>
      <c r="Q9" s="23" t="s">
        <v>104</v>
      </c>
      <c r="R9" s="23" t="s">
        <v>405</v>
      </c>
      <c r="S9" s="21" t="s">
        <v>35</v>
      </c>
      <c r="T9" s="156">
        <v>4.72</v>
      </c>
      <c r="U9" s="23" t="s">
        <v>2716</v>
      </c>
      <c r="V9" s="173">
        <v>5.0099999999999999E-2</v>
      </c>
      <c r="W9" s="167">
        <v>3.7400000000000003E-2</v>
      </c>
      <c r="X9" s="21" t="s">
        <v>411</v>
      </c>
      <c r="Y9" s="21" t="s">
        <v>136</v>
      </c>
      <c r="Z9" s="23" t="s">
        <v>893</v>
      </c>
      <c r="AA9" s="23" t="s">
        <v>2693</v>
      </c>
      <c r="AB9" s="2" t="s">
        <v>1310</v>
      </c>
      <c r="AC9" s="23"/>
      <c r="AD9" s="156">
        <v>62875.519999999997</v>
      </c>
      <c r="AE9" s="156">
        <v>1</v>
      </c>
      <c r="AF9" s="156">
        <v>94.6298336777175</v>
      </c>
      <c r="AG9" s="156">
        <v>59.499000000000002</v>
      </c>
      <c r="AH9" s="23"/>
      <c r="AI9" s="23"/>
      <c r="AJ9" s="23" t="s">
        <v>37</v>
      </c>
      <c r="AK9" s="167">
        <v>0.27145178934789299</v>
      </c>
      <c r="AL9" s="167">
        <v>5.6273076241994098E-3</v>
      </c>
      <c r="AM9" s="180"/>
    </row>
    <row r="10" spans="1:39">
      <c r="A10" s="23" t="s">
        <v>26</v>
      </c>
      <c r="B10" s="23">
        <v>1477</v>
      </c>
      <c r="C10" s="23" t="s">
        <v>2677</v>
      </c>
      <c r="D10" s="23" t="s">
        <v>2678</v>
      </c>
      <c r="E10" s="21" t="s">
        <v>1305</v>
      </c>
      <c r="F10" s="23" t="s">
        <v>2679</v>
      </c>
      <c r="G10" s="23" t="s">
        <v>2680</v>
      </c>
      <c r="H10" s="23" t="s">
        <v>319</v>
      </c>
      <c r="I10" s="23" t="s">
        <v>966</v>
      </c>
      <c r="J10" s="21" t="s">
        <v>31</v>
      </c>
      <c r="K10" s="21" t="s">
        <v>31</v>
      </c>
      <c r="L10" s="23" t="s">
        <v>164</v>
      </c>
      <c r="M10" s="23" t="s">
        <v>448</v>
      </c>
      <c r="N10" s="23" t="s">
        <v>136</v>
      </c>
      <c r="O10" s="23" t="s">
        <v>2681</v>
      </c>
      <c r="P10" s="23" t="s">
        <v>1758</v>
      </c>
      <c r="Q10" s="23" t="s">
        <v>430</v>
      </c>
      <c r="R10" s="23" t="s">
        <v>405</v>
      </c>
      <c r="S10" s="21" t="s">
        <v>35</v>
      </c>
      <c r="T10" s="156">
        <v>2.59</v>
      </c>
      <c r="U10" s="23" t="s">
        <v>2088</v>
      </c>
      <c r="V10" s="173">
        <v>5.8000000000000003E-2</v>
      </c>
      <c r="W10" s="167">
        <v>2.86E-2</v>
      </c>
      <c r="X10" s="21" t="s">
        <v>411</v>
      </c>
      <c r="Y10" s="21" t="s">
        <v>136</v>
      </c>
      <c r="Z10" s="23" t="s">
        <v>893</v>
      </c>
      <c r="AA10" s="23" t="s">
        <v>2693</v>
      </c>
      <c r="AB10" s="2" t="s">
        <v>1310</v>
      </c>
      <c r="AC10" s="23"/>
      <c r="AD10" s="156">
        <v>5714.28</v>
      </c>
      <c r="AE10" s="156">
        <v>1</v>
      </c>
      <c r="AF10" s="156">
        <v>93.537593537593537</v>
      </c>
      <c r="AG10" s="156">
        <v>5.3449999999999998</v>
      </c>
      <c r="AH10" s="23"/>
      <c r="AI10" s="23"/>
      <c r="AJ10" s="23" t="s">
        <v>37</v>
      </c>
      <c r="AK10" s="167">
        <v>0.407049186284695</v>
      </c>
      <c r="AL10" s="167">
        <v>5.3590941013678E-4</v>
      </c>
      <c r="AM10" s="180"/>
    </row>
    <row r="11" spans="1:39">
      <c r="A11" s="23" t="s">
        <v>26</v>
      </c>
      <c r="B11" s="23">
        <v>1477</v>
      </c>
      <c r="C11" s="23" t="s">
        <v>2706</v>
      </c>
      <c r="D11" s="23" t="s">
        <v>2707</v>
      </c>
      <c r="E11" s="21" t="s">
        <v>1305</v>
      </c>
      <c r="F11" s="23" t="s">
        <v>2712</v>
      </c>
      <c r="G11" s="23" t="s">
        <v>2713</v>
      </c>
      <c r="H11" s="23" t="s">
        <v>319</v>
      </c>
      <c r="I11" s="23" t="s">
        <v>966</v>
      </c>
      <c r="J11" s="21" t="s">
        <v>31</v>
      </c>
      <c r="K11" s="21" t="s">
        <v>31</v>
      </c>
      <c r="L11" s="23" t="s">
        <v>164</v>
      </c>
      <c r="M11" s="23" t="s">
        <v>443</v>
      </c>
      <c r="N11" s="23" t="s">
        <v>136</v>
      </c>
      <c r="O11" s="23" t="s">
        <v>2710</v>
      </c>
      <c r="P11" s="23" t="s">
        <v>76</v>
      </c>
      <c r="Q11" s="23" t="s">
        <v>104</v>
      </c>
      <c r="R11" s="23" t="s">
        <v>405</v>
      </c>
      <c r="S11" s="21" t="s">
        <v>35</v>
      </c>
      <c r="T11" s="156">
        <v>1.43</v>
      </c>
      <c r="U11" s="23" t="s">
        <v>2705</v>
      </c>
      <c r="V11" s="173">
        <v>4.5100000000000001E-2</v>
      </c>
      <c r="W11" s="167">
        <v>2.5000000000000001E-2</v>
      </c>
      <c r="X11" s="21" t="s">
        <v>411</v>
      </c>
      <c r="Y11" s="21" t="s">
        <v>338</v>
      </c>
      <c r="Z11" s="23" t="s">
        <v>893</v>
      </c>
      <c r="AA11" s="23" t="s">
        <v>2693</v>
      </c>
      <c r="AB11" s="2" t="s">
        <v>1310</v>
      </c>
      <c r="AC11" s="23"/>
      <c r="AD11" s="156">
        <v>7994.96</v>
      </c>
      <c r="AE11" s="156">
        <v>1</v>
      </c>
      <c r="AF11" s="156">
        <v>97.386353402643664</v>
      </c>
      <c r="AG11" s="156">
        <v>7.7859999999999996</v>
      </c>
      <c r="AH11" s="23"/>
      <c r="AI11" s="23"/>
      <c r="AJ11" s="23" t="s">
        <v>37</v>
      </c>
      <c r="AK11" s="167">
        <v>0.592950813715305</v>
      </c>
      <c r="AL11" s="167">
        <v>7.8066221853602402E-4</v>
      </c>
      <c r="AM11" s="180"/>
    </row>
    <row r="12" spans="1:39">
      <c r="A12" s="23" t="s">
        <v>26</v>
      </c>
      <c r="B12" s="23">
        <v>9962</v>
      </c>
      <c r="C12" s="23" t="s">
        <v>2677</v>
      </c>
      <c r="D12" s="23" t="s">
        <v>2678</v>
      </c>
      <c r="E12" s="21" t="s">
        <v>1305</v>
      </c>
      <c r="F12" s="23" t="s">
        <v>2679</v>
      </c>
      <c r="G12" s="23" t="s">
        <v>2680</v>
      </c>
      <c r="H12" s="23" t="s">
        <v>319</v>
      </c>
      <c r="I12" s="23" t="s">
        <v>966</v>
      </c>
      <c r="J12" s="21" t="s">
        <v>31</v>
      </c>
      <c r="K12" s="21" t="s">
        <v>31</v>
      </c>
      <c r="L12" s="23" t="s">
        <v>164</v>
      </c>
      <c r="M12" s="23" t="s">
        <v>448</v>
      </c>
      <c r="N12" s="23" t="s">
        <v>136</v>
      </c>
      <c r="O12" s="23" t="s">
        <v>2681</v>
      </c>
      <c r="P12" s="23" t="s">
        <v>1758</v>
      </c>
      <c r="Q12" s="23" t="s">
        <v>430</v>
      </c>
      <c r="R12" s="23" t="s">
        <v>405</v>
      </c>
      <c r="S12" s="21" t="s">
        <v>35</v>
      </c>
      <c r="T12" s="156">
        <v>2.59</v>
      </c>
      <c r="U12" s="23" t="s">
        <v>2088</v>
      </c>
      <c r="V12" s="173">
        <v>5.8000000000000003E-2</v>
      </c>
      <c r="W12" s="167">
        <v>2.86E-2</v>
      </c>
      <c r="X12" s="21" t="s">
        <v>411</v>
      </c>
      <c r="Y12" s="21" t="s">
        <v>136</v>
      </c>
      <c r="Z12" s="23" t="s">
        <v>893</v>
      </c>
      <c r="AA12" s="23" t="s">
        <v>2693</v>
      </c>
      <c r="AB12" s="2" t="s">
        <v>1310</v>
      </c>
      <c r="AC12" s="23"/>
      <c r="AD12" s="156">
        <v>13571.43</v>
      </c>
      <c r="AE12" s="156">
        <v>1</v>
      </c>
      <c r="AF12" s="156">
        <v>93.542095416621535</v>
      </c>
      <c r="AG12" s="156">
        <v>12.695</v>
      </c>
      <c r="AH12" s="23"/>
      <c r="AI12" s="23"/>
      <c r="AJ12" s="23" t="s">
        <v>37</v>
      </c>
      <c r="AK12" s="167">
        <v>4.5041275439705902E-2</v>
      </c>
      <c r="AL12" s="167">
        <v>4.1126678889248701E-4</v>
      </c>
      <c r="AM12" s="180"/>
    </row>
    <row r="13" spans="1:39">
      <c r="A13" s="23" t="s">
        <v>26</v>
      </c>
      <c r="B13" s="23">
        <v>9962</v>
      </c>
      <c r="C13" s="23" t="s">
        <v>2682</v>
      </c>
      <c r="D13" s="23" t="s">
        <v>2683</v>
      </c>
      <c r="E13" s="21" t="s">
        <v>1305</v>
      </c>
      <c r="F13" s="23" t="s">
        <v>2684</v>
      </c>
      <c r="G13" s="23" t="s">
        <v>2685</v>
      </c>
      <c r="H13" s="23" t="s">
        <v>319</v>
      </c>
      <c r="I13" s="23" t="s">
        <v>966</v>
      </c>
      <c r="J13" s="21" t="s">
        <v>31</v>
      </c>
      <c r="K13" s="21" t="s">
        <v>31</v>
      </c>
      <c r="L13" s="23" t="s">
        <v>164</v>
      </c>
      <c r="M13" s="23" t="s">
        <v>448</v>
      </c>
      <c r="N13" s="23" t="s">
        <v>136</v>
      </c>
      <c r="O13" s="23" t="s">
        <v>2686</v>
      </c>
      <c r="P13" s="23" t="s">
        <v>1772</v>
      </c>
      <c r="Q13" s="23" t="s">
        <v>412</v>
      </c>
      <c r="R13" s="23" t="s">
        <v>407</v>
      </c>
      <c r="S13" s="21" t="s">
        <v>35</v>
      </c>
      <c r="T13" s="156">
        <v>2.42</v>
      </c>
      <c r="U13" s="23" t="s">
        <v>1822</v>
      </c>
      <c r="V13" s="173">
        <v>6.0299999999999999E-2</v>
      </c>
      <c r="W13" s="167">
        <v>4.4699999999999997E-2</v>
      </c>
      <c r="X13" s="21" t="s">
        <v>411</v>
      </c>
      <c r="Y13" s="21" t="s">
        <v>136</v>
      </c>
      <c r="Z13" s="23" t="s">
        <v>893</v>
      </c>
      <c r="AA13" s="23" t="s">
        <v>2693</v>
      </c>
      <c r="AB13" s="2" t="s">
        <v>1310</v>
      </c>
      <c r="AC13" s="23"/>
      <c r="AD13" s="156">
        <v>84164.79</v>
      </c>
      <c r="AE13" s="156">
        <v>1</v>
      </c>
      <c r="AF13" s="156">
        <v>97.659603261648954</v>
      </c>
      <c r="AG13" s="156">
        <v>82.194999999999993</v>
      </c>
      <c r="AH13" s="23"/>
      <c r="AI13" s="23"/>
      <c r="AJ13" s="23" t="s">
        <v>37</v>
      </c>
      <c r="AK13" s="167">
        <v>0.291631792701458</v>
      </c>
      <c r="AL13" s="167">
        <v>2.6628568963115401E-3</v>
      </c>
      <c r="AM13" s="180"/>
    </row>
    <row r="14" spans="1:39">
      <c r="A14" s="23" t="s">
        <v>26</v>
      </c>
      <c r="B14" s="23">
        <v>9962</v>
      </c>
      <c r="C14" s="23" t="s">
        <v>2687</v>
      </c>
      <c r="D14" s="23" t="s">
        <v>2688</v>
      </c>
      <c r="E14" s="21" t="s">
        <v>1305</v>
      </c>
      <c r="F14" s="23" t="s">
        <v>2689</v>
      </c>
      <c r="G14" s="23" t="s">
        <v>2690</v>
      </c>
      <c r="H14" s="23" t="s">
        <v>319</v>
      </c>
      <c r="I14" s="23" t="s">
        <v>966</v>
      </c>
      <c r="J14" s="21" t="s">
        <v>31</v>
      </c>
      <c r="K14" s="21" t="s">
        <v>31</v>
      </c>
      <c r="L14" s="23" t="s">
        <v>164</v>
      </c>
      <c r="M14" s="23" t="s">
        <v>448</v>
      </c>
      <c r="N14" s="23" t="s">
        <v>136</v>
      </c>
      <c r="O14" s="23" t="s">
        <v>2691</v>
      </c>
      <c r="P14" s="23" t="s">
        <v>1896</v>
      </c>
      <c r="Q14" s="23" t="s">
        <v>104</v>
      </c>
      <c r="R14" s="23" t="s">
        <v>405</v>
      </c>
      <c r="S14" s="21" t="s">
        <v>35</v>
      </c>
      <c r="T14" s="156">
        <v>2.29</v>
      </c>
      <c r="U14" s="23" t="s">
        <v>2692</v>
      </c>
      <c r="V14" s="173">
        <v>5.0799999999999998E-2</v>
      </c>
      <c r="W14" s="167">
        <v>2.1000000000000001E-2</v>
      </c>
      <c r="X14" s="21" t="s">
        <v>411</v>
      </c>
      <c r="Y14" s="21" t="s">
        <v>136</v>
      </c>
      <c r="Z14" s="23" t="s">
        <v>893</v>
      </c>
      <c r="AA14" s="23" t="s">
        <v>2693</v>
      </c>
      <c r="AB14" s="2" t="s">
        <v>1310</v>
      </c>
      <c r="AC14" s="23"/>
      <c r="AD14" s="156">
        <v>11428.58</v>
      </c>
      <c r="AE14" s="156">
        <v>1</v>
      </c>
      <c r="AF14" s="156">
        <v>93.799929650052761</v>
      </c>
      <c r="AG14" s="156">
        <v>10.72</v>
      </c>
      <c r="AH14" s="23"/>
      <c r="AI14" s="23"/>
      <c r="AJ14" s="23" t="s">
        <v>37</v>
      </c>
      <c r="AK14" s="167">
        <v>3.8034946919861097E-2</v>
      </c>
      <c r="AL14" s="167">
        <v>3.47292796056967E-4</v>
      </c>
      <c r="AM14" s="180"/>
    </row>
    <row r="15" spans="1:39">
      <c r="A15" s="23" t="s">
        <v>26</v>
      </c>
      <c r="B15" s="23">
        <v>9962</v>
      </c>
      <c r="C15" s="23" t="s">
        <v>2694</v>
      </c>
      <c r="D15" s="23" t="s">
        <v>2695</v>
      </c>
      <c r="E15" s="21" t="s">
        <v>1305</v>
      </c>
      <c r="F15" s="23" t="s">
        <v>2696</v>
      </c>
      <c r="G15" s="23" t="s">
        <v>2697</v>
      </c>
      <c r="H15" s="23" t="s">
        <v>319</v>
      </c>
      <c r="I15" s="23" t="s">
        <v>966</v>
      </c>
      <c r="J15" s="21" t="s">
        <v>31</v>
      </c>
      <c r="K15" s="21" t="s">
        <v>31</v>
      </c>
      <c r="L15" s="23" t="s">
        <v>164</v>
      </c>
      <c r="M15" s="23" t="s">
        <v>461</v>
      </c>
      <c r="N15" s="23" t="s">
        <v>136</v>
      </c>
      <c r="O15" s="23" t="s">
        <v>2698</v>
      </c>
      <c r="P15" s="23" t="s">
        <v>1984</v>
      </c>
      <c r="Q15" s="23" t="s">
        <v>104</v>
      </c>
      <c r="R15" s="23" t="s">
        <v>405</v>
      </c>
      <c r="S15" s="21" t="s">
        <v>35</v>
      </c>
      <c r="T15" s="156">
        <v>2.0099999999999998</v>
      </c>
      <c r="U15" s="23" t="s">
        <v>2699</v>
      </c>
      <c r="V15" s="173">
        <v>4.8099999999999997E-2</v>
      </c>
      <c r="W15" s="167">
        <v>3.1E-2</v>
      </c>
      <c r="X15" s="21" t="s">
        <v>411</v>
      </c>
      <c r="Y15" s="21" t="s">
        <v>136</v>
      </c>
      <c r="Z15" s="23" t="s">
        <v>893</v>
      </c>
      <c r="AA15" s="23" t="s">
        <v>2693</v>
      </c>
      <c r="AB15" s="2" t="s">
        <v>1310</v>
      </c>
      <c r="AC15" s="23"/>
      <c r="AD15" s="156">
        <v>32717</v>
      </c>
      <c r="AE15" s="156">
        <v>1</v>
      </c>
      <c r="AF15" s="156">
        <v>96.799828835162145</v>
      </c>
      <c r="AG15" s="156">
        <v>31.67</v>
      </c>
      <c r="AH15" s="23"/>
      <c r="AI15" s="23"/>
      <c r="AJ15" s="23" t="s">
        <v>37</v>
      </c>
      <c r="AK15" s="167">
        <v>0.112366417489089</v>
      </c>
      <c r="AL15" s="167">
        <v>1.02600504201867E-3</v>
      </c>
      <c r="AM15" s="180"/>
    </row>
    <row r="16" spans="1:39">
      <c r="A16" s="23" t="s">
        <v>26</v>
      </c>
      <c r="B16" s="23">
        <v>9962</v>
      </c>
      <c r="C16" s="23" t="s">
        <v>2700</v>
      </c>
      <c r="D16" s="23" t="s">
        <v>2701</v>
      </c>
      <c r="E16" s="21" t="s">
        <v>1305</v>
      </c>
      <c r="F16" s="23" t="s">
        <v>2702</v>
      </c>
      <c r="G16" s="23" t="s">
        <v>2703</v>
      </c>
      <c r="H16" s="23" t="s">
        <v>319</v>
      </c>
      <c r="I16" s="23" t="s">
        <v>966</v>
      </c>
      <c r="J16" s="21" t="s">
        <v>31</v>
      </c>
      <c r="K16" s="21" t="s">
        <v>31</v>
      </c>
      <c r="L16" s="23" t="s">
        <v>164</v>
      </c>
      <c r="M16" s="23" t="s">
        <v>476</v>
      </c>
      <c r="N16" s="23" t="s">
        <v>136</v>
      </c>
      <c r="O16" s="23" t="s">
        <v>2704</v>
      </c>
      <c r="P16" s="23" t="s">
        <v>1867</v>
      </c>
      <c r="Q16" s="23" t="s">
        <v>104</v>
      </c>
      <c r="R16" s="23" t="s">
        <v>405</v>
      </c>
      <c r="S16" s="21" t="s">
        <v>35</v>
      </c>
      <c r="T16" s="156">
        <v>1.06</v>
      </c>
      <c r="U16" s="23" t="s">
        <v>2705</v>
      </c>
      <c r="V16" s="173">
        <v>6.7000000000000004E-2</v>
      </c>
      <c r="W16" s="167">
        <v>6.5000000000000002E-2</v>
      </c>
      <c r="X16" s="21" t="s">
        <v>411</v>
      </c>
      <c r="Y16" s="21" t="s">
        <v>136</v>
      </c>
      <c r="Z16" s="23" t="s">
        <v>893</v>
      </c>
      <c r="AA16" s="23" t="s">
        <v>2693</v>
      </c>
      <c r="AB16" s="2" t="s">
        <v>1310</v>
      </c>
      <c r="AC16" s="23"/>
      <c r="AD16" s="156">
        <v>20111.169999999998</v>
      </c>
      <c r="AE16" s="156">
        <v>1</v>
      </c>
      <c r="AF16" s="156">
        <v>99.790315531120271</v>
      </c>
      <c r="AG16" s="156">
        <v>20.068999999999999</v>
      </c>
      <c r="AH16" s="23"/>
      <c r="AI16" s="23"/>
      <c r="AJ16" s="23" t="s">
        <v>37</v>
      </c>
      <c r="AK16" s="167">
        <v>7.1205257804178398E-2</v>
      </c>
      <c r="AL16" s="167">
        <v>6.5016715098548702E-4</v>
      </c>
      <c r="AM16" s="180"/>
    </row>
    <row r="17" spans="1:39">
      <c r="A17" s="23" t="s">
        <v>26</v>
      </c>
      <c r="B17" s="23">
        <v>9962</v>
      </c>
      <c r="C17" s="23" t="s">
        <v>2706</v>
      </c>
      <c r="D17" s="23" t="s">
        <v>2707</v>
      </c>
      <c r="E17" s="21" t="s">
        <v>1305</v>
      </c>
      <c r="F17" s="23" t="s">
        <v>2708</v>
      </c>
      <c r="G17" s="23" t="s">
        <v>2709</v>
      </c>
      <c r="H17" s="23" t="s">
        <v>319</v>
      </c>
      <c r="I17" s="23" t="s">
        <v>754</v>
      </c>
      <c r="J17" s="21" t="s">
        <v>31</v>
      </c>
      <c r="K17" s="21" t="s">
        <v>31</v>
      </c>
      <c r="L17" s="23" t="s">
        <v>164</v>
      </c>
      <c r="M17" s="23" t="s">
        <v>443</v>
      </c>
      <c r="N17" s="23" t="s">
        <v>136</v>
      </c>
      <c r="O17" s="23" t="s">
        <v>2710</v>
      </c>
      <c r="P17" s="23" t="s">
        <v>76</v>
      </c>
      <c r="Q17" s="23" t="s">
        <v>104</v>
      </c>
      <c r="R17" s="23" t="s">
        <v>405</v>
      </c>
      <c r="S17" s="21" t="s">
        <v>35</v>
      </c>
      <c r="T17" s="156">
        <v>5.09</v>
      </c>
      <c r="U17" s="23" t="s">
        <v>2711</v>
      </c>
      <c r="V17" s="173">
        <v>2.1600000000000001E-2</v>
      </c>
      <c r="W17" s="167">
        <v>2.1399999999999999E-2</v>
      </c>
      <c r="X17" s="21" t="s">
        <v>411</v>
      </c>
      <c r="Y17" s="21" t="s">
        <v>136</v>
      </c>
      <c r="Z17" s="23" t="s">
        <v>893</v>
      </c>
      <c r="AA17" s="23" t="s">
        <v>2693</v>
      </c>
      <c r="AB17" s="2" t="s">
        <v>1310</v>
      </c>
      <c r="AC17" s="23"/>
      <c r="AD17" s="156">
        <v>29865.86</v>
      </c>
      <c r="AE17" s="156">
        <v>1</v>
      </c>
      <c r="AF17" s="156">
        <v>113.3501596806521</v>
      </c>
      <c r="AG17" s="156">
        <v>33.853000000000002</v>
      </c>
      <c r="AH17" s="23"/>
      <c r="AI17" s="23"/>
      <c r="AJ17" s="23" t="s">
        <v>37</v>
      </c>
      <c r="AK17" s="167">
        <v>0.120111406576094</v>
      </c>
      <c r="AL17" s="167">
        <v>1.09672366090157E-3</v>
      </c>
      <c r="AM17" s="180"/>
    </row>
    <row r="18" spans="1:39">
      <c r="A18" s="23" t="s">
        <v>26</v>
      </c>
      <c r="B18" s="23">
        <v>9962</v>
      </c>
      <c r="C18" s="23" t="s">
        <v>2706</v>
      </c>
      <c r="D18" s="23" t="s">
        <v>2707</v>
      </c>
      <c r="E18" s="21" t="s">
        <v>1305</v>
      </c>
      <c r="F18" s="23" t="s">
        <v>2712</v>
      </c>
      <c r="G18" s="23" t="s">
        <v>2713</v>
      </c>
      <c r="H18" s="23" t="s">
        <v>319</v>
      </c>
      <c r="I18" s="23" t="s">
        <v>966</v>
      </c>
      <c r="J18" s="21" t="s">
        <v>31</v>
      </c>
      <c r="K18" s="21" t="s">
        <v>31</v>
      </c>
      <c r="L18" s="23" t="s">
        <v>164</v>
      </c>
      <c r="M18" s="23" t="s">
        <v>443</v>
      </c>
      <c r="N18" s="23" t="s">
        <v>136</v>
      </c>
      <c r="O18" s="23" t="s">
        <v>2710</v>
      </c>
      <c r="P18" s="23" t="s">
        <v>76</v>
      </c>
      <c r="Q18" s="23" t="s">
        <v>104</v>
      </c>
      <c r="R18" s="23" t="s">
        <v>405</v>
      </c>
      <c r="S18" s="21" t="s">
        <v>35</v>
      </c>
      <c r="T18" s="156">
        <v>1.43</v>
      </c>
      <c r="U18" s="23" t="s">
        <v>2705</v>
      </c>
      <c r="V18" s="173">
        <v>4.5100000000000001E-2</v>
      </c>
      <c r="W18" s="167">
        <v>2.5000000000000001E-2</v>
      </c>
      <c r="X18" s="21" t="s">
        <v>411</v>
      </c>
      <c r="Y18" s="21" t="s">
        <v>338</v>
      </c>
      <c r="Z18" s="23" t="s">
        <v>893</v>
      </c>
      <c r="AA18" s="23" t="s">
        <v>2693</v>
      </c>
      <c r="AB18" s="2" t="s">
        <v>1310</v>
      </c>
      <c r="AC18" s="23"/>
      <c r="AD18" s="156">
        <v>31979.84</v>
      </c>
      <c r="AE18" s="156">
        <v>1</v>
      </c>
      <c r="AF18" s="156">
        <v>97.38948037263475</v>
      </c>
      <c r="AG18" s="156">
        <v>31.145</v>
      </c>
      <c r="AH18" s="23"/>
      <c r="AI18" s="23"/>
      <c r="AJ18" s="23" t="s">
        <v>37</v>
      </c>
      <c r="AK18" s="167">
        <v>0.110504090845291</v>
      </c>
      <c r="AL18" s="167">
        <v>1.00900034818648E-3</v>
      </c>
      <c r="AM18" s="180"/>
    </row>
    <row r="19" spans="1:39">
      <c r="A19" s="23" t="s">
        <v>26</v>
      </c>
      <c r="B19" s="23">
        <v>9962</v>
      </c>
      <c r="C19" s="23" t="s">
        <v>2706</v>
      </c>
      <c r="D19" s="23" t="s">
        <v>2707</v>
      </c>
      <c r="E19" s="21" t="s">
        <v>1305</v>
      </c>
      <c r="F19" s="23" t="s">
        <v>2714</v>
      </c>
      <c r="G19" s="23" t="s">
        <v>2715</v>
      </c>
      <c r="H19" s="23" t="s">
        <v>319</v>
      </c>
      <c r="I19" s="23" t="s">
        <v>966</v>
      </c>
      <c r="J19" s="21" t="s">
        <v>31</v>
      </c>
      <c r="K19" s="21" t="s">
        <v>31</v>
      </c>
      <c r="L19" s="23" t="s">
        <v>164</v>
      </c>
      <c r="M19" s="23" t="s">
        <v>443</v>
      </c>
      <c r="N19" s="23" t="s">
        <v>136</v>
      </c>
      <c r="O19" s="23" t="s">
        <v>2710</v>
      </c>
      <c r="P19" s="23" t="s">
        <v>76</v>
      </c>
      <c r="Q19" s="23" t="s">
        <v>104</v>
      </c>
      <c r="R19" s="23" t="s">
        <v>405</v>
      </c>
      <c r="S19" s="21" t="s">
        <v>35</v>
      </c>
      <c r="T19" s="156">
        <v>4.72</v>
      </c>
      <c r="U19" s="23" t="s">
        <v>2716</v>
      </c>
      <c r="V19" s="173">
        <v>5.0099999999999999E-2</v>
      </c>
      <c r="W19" s="167">
        <v>3.7400000000000003E-2</v>
      </c>
      <c r="X19" s="21" t="s">
        <v>411</v>
      </c>
      <c r="Y19" s="21" t="s">
        <v>136</v>
      </c>
      <c r="Z19" s="23" t="s">
        <v>893</v>
      </c>
      <c r="AA19" s="23" t="s">
        <v>2693</v>
      </c>
      <c r="AB19" s="2" t="s">
        <v>1310</v>
      </c>
      <c r="AC19" s="23"/>
      <c r="AD19" s="156">
        <v>62875.519999999997</v>
      </c>
      <c r="AE19" s="156">
        <v>1</v>
      </c>
      <c r="AF19" s="156">
        <v>94.6298336777175</v>
      </c>
      <c r="AG19" s="156">
        <v>59.499000000000002</v>
      </c>
      <c r="AH19" s="23"/>
      <c r="AI19" s="23"/>
      <c r="AJ19" s="23" t="s">
        <v>37</v>
      </c>
      <c r="AK19" s="167">
        <v>0.21110481222432201</v>
      </c>
      <c r="AL19" s="167">
        <v>1.92757415050268E-3</v>
      </c>
      <c r="AM19" s="180"/>
    </row>
    <row r="20" spans="1:39">
      <c r="A20" s="2" t="s">
        <v>26</v>
      </c>
      <c r="B20" s="2">
        <v>9963</v>
      </c>
      <c r="C20" s="2" t="s">
        <v>2717</v>
      </c>
      <c r="D20" s="2" t="s">
        <v>2718</v>
      </c>
      <c r="E20" s="21" t="s">
        <v>1305</v>
      </c>
      <c r="F20" s="2" t="s">
        <v>2719</v>
      </c>
      <c r="G20" s="2" t="s">
        <v>2720</v>
      </c>
      <c r="H20" s="23" t="s">
        <v>319</v>
      </c>
      <c r="I20" s="23" t="s">
        <v>754</v>
      </c>
      <c r="J20" s="21" t="s">
        <v>31</v>
      </c>
      <c r="K20" s="21" t="s">
        <v>31</v>
      </c>
      <c r="L20" s="23" t="s">
        <v>164</v>
      </c>
      <c r="M20" s="23" t="s">
        <v>448</v>
      </c>
      <c r="N20" s="23" t="s">
        <v>136</v>
      </c>
      <c r="O20" s="2" t="s">
        <v>2721</v>
      </c>
      <c r="P20" s="2" t="s">
        <v>1752</v>
      </c>
      <c r="Q20" s="23" t="s">
        <v>164</v>
      </c>
      <c r="R20" s="23" t="s">
        <v>405</v>
      </c>
      <c r="S20" s="2" t="s">
        <v>35</v>
      </c>
      <c r="T20" s="153">
        <v>0.01</v>
      </c>
      <c r="U20" s="2" t="s">
        <v>2428</v>
      </c>
      <c r="V20" s="167">
        <v>1E-4</v>
      </c>
      <c r="W20" s="167">
        <v>5.3499999999999999E-2</v>
      </c>
      <c r="X20" s="21" t="s">
        <v>411</v>
      </c>
      <c r="Y20" s="21" t="s">
        <v>136</v>
      </c>
      <c r="Z20" s="2" t="s">
        <v>164</v>
      </c>
      <c r="AA20" s="23" t="s">
        <v>896</v>
      </c>
      <c r="AB20" s="2" t="s">
        <v>1310</v>
      </c>
      <c r="AD20" s="153">
        <v>127573.24</v>
      </c>
      <c r="AE20" s="153">
        <v>1</v>
      </c>
      <c r="AF20" s="153">
        <v>0</v>
      </c>
      <c r="AG20" s="153">
        <v>0</v>
      </c>
      <c r="AJ20" s="23" t="s">
        <v>37</v>
      </c>
      <c r="AK20" s="167">
        <v>7.9780278404493788E-11</v>
      </c>
      <c r="AL20" s="167">
        <v>1.24163728338742E-12</v>
      </c>
      <c r="AM20" s="180"/>
    </row>
    <row r="21" spans="1:39">
      <c r="A21" s="2" t="s">
        <v>26</v>
      </c>
      <c r="B21" s="2">
        <v>9963</v>
      </c>
      <c r="C21" s="2" t="s">
        <v>2722</v>
      </c>
      <c r="D21" s="2" t="s">
        <v>2723</v>
      </c>
      <c r="E21" s="4" t="s">
        <v>1305</v>
      </c>
      <c r="F21" s="2" t="s">
        <v>2724</v>
      </c>
      <c r="G21" s="2" t="s">
        <v>2725</v>
      </c>
      <c r="H21" s="2" t="s">
        <v>34</v>
      </c>
      <c r="I21" s="2" t="s">
        <v>754</v>
      </c>
      <c r="J21" s="2" t="s">
        <v>31</v>
      </c>
      <c r="K21" s="2" t="s">
        <v>31</v>
      </c>
      <c r="L21" s="2" t="s">
        <v>164</v>
      </c>
      <c r="M21" s="2" t="s">
        <v>433</v>
      </c>
      <c r="N21" s="2" t="s">
        <v>136</v>
      </c>
      <c r="O21" s="2" t="s">
        <v>163</v>
      </c>
      <c r="P21" s="2" t="s">
        <v>1752</v>
      </c>
      <c r="Q21" s="2" t="s">
        <v>164</v>
      </c>
      <c r="R21" s="2" t="s">
        <v>407</v>
      </c>
      <c r="S21" s="2" t="s">
        <v>35</v>
      </c>
      <c r="T21" s="153">
        <v>0.01</v>
      </c>
      <c r="U21" s="2" t="s">
        <v>2726</v>
      </c>
      <c r="V21" s="167">
        <v>1E-4</v>
      </c>
      <c r="W21" s="167">
        <v>8.7999999999999995E-2</v>
      </c>
      <c r="X21" s="4" t="s">
        <v>411</v>
      </c>
      <c r="Y21" s="4" t="s">
        <v>136</v>
      </c>
      <c r="Z21" s="2" t="s">
        <v>164</v>
      </c>
      <c r="AB21" s="2" t="s">
        <v>1310</v>
      </c>
      <c r="AD21" s="153">
        <v>187658.1</v>
      </c>
      <c r="AE21" s="153">
        <v>1</v>
      </c>
      <c r="AF21" s="153">
        <v>0</v>
      </c>
      <c r="AG21" s="153">
        <v>0</v>
      </c>
      <c r="AJ21" s="2" t="s">
        <v>37</v>
      </c>
      <c r="AK21" s="167">
        <v>1.17355453721002E-10</v>
      </c>
      <c r="AL21" s="167">
        <v>1.8264276543391498E-12</v>
      </c>
      <c r="AM21" s="180"/>
    </row>
    <row r="22" spans="1:39">
      <c r="A22" s="2" t="s">
        <v>26</v>
      </c>
      <c r="B22" s="2">
        <v>9963</v>
      </c>
      <c r="C22" s="2" t="s">
        <v>2727</v>
      </c>
      <c r="D22" s="2" t="s">
        <v>2728</v>
      </c>
      <c r="E22" s="4" t="s">
        <v>1305</v>
      </c>
      <c r="F22" s="2" t="s">
        <v>2729</v>
      </c>
      <c r="G22" s="2" t="s">
        <v>2730</v>
      </c>
      <c r="H22" s="2" t="s">
        <v>34</v>
      </c>
      <c r="I22" s="2" t="s">
        <v>164</v>
      </c>
      <c r="J22" s="2" t="s">
        <v>31</v>
      </c>
      <c r="K22" s="2" t="s">
        <v>31</v>
      </c>
      <c r="L22" s="2" t="s">
        <v>164</v>
      </c>
      <c r="M22" s="2" t="s">
        <v>164</v>
      </c>
      <c r="N22" s="2" t="s">
        <v>136</v>
      </c>
      <c r="O22" s="2" t="s">
        <v>163</v>
      </c>
      <c r="P22" s="2" t="s">
        <v>1752</v>
      </c>
      <c r="Q22" s="2" t="s">
        <v>164</v>
      </c>
      <c r="R22" s="2" t="s">
        <v>405</v>
      </c>
      <c r="S22" s="2" t="s">
        <v>35</v>
      </c>
      <c r="T22" s="153">
        <v>0.01</v>
      </c>
      <c r="U22" s="2" t="s">
        <v>2731</v>
      </c>
      <c r="V22" s="167">
        <v>1E-4</v>
      </c>
      <c r="W22" s="167">
        <v>4.4999999999999998E-2</v>
      </c>
      <c r="X22" s="4" t="s">
        <v>411</v>
      </c>
      <c r="Y22" s="4" t="s">
        <v>136</v>
      </c>
      <c r="Z22" s="2" t="s">
        <v>164</v>
      </c>
      <c r="AB22" s="2" t="s">
        <v>2594</v>
      </c>
      <c r="AD22" s="153">
        <v>443.07</v>
      </c>
      <c r="AE22" s="153">
        <v>1</v>
      </c>
      <c r="AF22" s="153">
        <v>0</v>
      </c>
      <c r="AG22" s="153">
        <v>0</v>
      </c>
      <c r="AJ22" s="2" t="s">
        <v>37</v>
      </c>
      <c r="AK22" s="167">
        <v>2.77081995822E-13</v>
      </c>
      <c r="AL22" s="167">
        <v>4.3122854851885004E-15</v>
      </c>
      <c r="AM22" s="180"/>
    </row>
    <row r="23" spans="1:39">
      <c r="A23" s="2" t="s">
        <v>26</v>
      </c>
      <c r="B23" s="2">
        <v>9963</v>
      </c>
      <c r="C23" s="2" t="s">
        <v>2732</v>
      </c>
      <c r="D23" s="2" t="s">
        <v>2733</v>
      </c>
      <c r="E23" s="4" t="s">
        <v>1305</v>
      </c>
      <c r="F23" s="2" t="s">
        <v>2734</v>
      </c>
      <c r="G23" s="2" t="s">
        <v>2735</v>
      </c>
      <c r="H23" s="2" t="s">
        <v>319</v>
      </c>
      <c r="I23" s="2" t="s">
        <v>754</v>
      </c>
      <c r="J23" s="2" t="s">
        <v>31</v>
      </c>
      <c r="K23" s="2" t="s">
        <v>31</v>
      </c>
      <c r="L23" s="2" t="s">
        <v>164</v>
      </c>
      <c r="M23" s="2" t="s">
        <v>476</v>
      </c>
      <c r="N23" s="2" t="s">
        <v>136</v>
      </c>
      <c r="O23" s="2" t="s">
        <v>163</v>
      </c>
      <c r="P23" s="2" t="s">
        <v>1748</v>
      </c>
      <c r="Q23" s="2" t="s">
        <v>412</v>
      </c>
      <c r="R23" s="2" t="s">
        <v>405</v>
      </c>
      <c r="S23" s="2" t="s">
        <v>35</v>
      </c>
      <c r="T23" s="153">
        <v>0.79</v>
      </c>
      <c r="U23" s="2" t="s">
        <v>2736</v>
      </c>
      <c r="V23" s="167">
        <v>2.0199999999999999E-2</v>
      </c>
      <c r="W23" s="167">
        <v>7.7499999999999999E-2</v>
      </c>
      <c r="X23" s="4" t="s">
        <v>411</v>
      </c>
      <c r="Y23" s="4" t="s">
        <v>136</v>
      </c>
      <c r="Z23" s="2" t="s">
        <v>893</v>
      </c>
      <c r="AA23" s="23" t="s">
        <v>2693</v>
      </c>
      <c r="AB23" s="2" t="s">
        <v>1310</v>
      </c>
      <c r="AD23" s="153">
        <v>214285.33</v>
      </c>
      <c r="AE23" s="153">
        <v>1</v>
      </c>
      <c r="AF23" s="153">
        <v>145.40986076835031</v>
      </c>
      <c r="AG23" s="153">
        <v>311.59199999999998</v>
      </c>
      <c r="AJ23" s="2" t="s">
        <v>37</v>
      </c>
      <c r="AK23" s="167">
        <v>1.9485999031849E-2</v>
      </c>
      <c r="AL23" s="167">
        <v>3.0326470884604201E-4</v>
      </c>
      <c r="AM23" s="180"/>
    </row>
    <row r="24" spans="1:39">
      <c r="A24" s="2" t="s">
        <v>26</v>
      </c>
      <c r="B24" s="2">
        <v>9963</v>
      </c>
      <c r="C24" s="2" t="s">
        <v>2677</v>
      </c>
      <c r="D24" s="2" t="s">
        <v>2678</v>
      </c>
      <c r="E24" s="4" t="s">
        <v>1305</v>
      </c>
      <c r="F24" s="2" t="s">
        <v>2679</v>
      </c>
      <c r="G24" s="2" t="s">
        <v>2680</v>
      </c>
      <c r="H24" s="2" t="s">
        <v>319</v>
      </c>
      <c r="I24" s="2" t="s">
        <v>966</v>
      </c>
      <c r="J24" s="2" t="s">
        <v>31</v>
      </c>
      <c r="K24" s="2" t="s">
        <v>31</v>
      </c>
      <c r="L24" s="2" t="s">
        <v>164</v>
      </c>
      <c r="M24" s="2" t="s">
        <v>448</v>
      </c>
      <c r="N24" s="2" t="s">
        <v>136</v>
      </c>
      <c r="O24" s="2" t="s">
        <v>2681</v>
      </c>
      <c r="P24" s="2" t="s">
        <v>1758</v>
      </c>
      <c r="Q24" s="2" t="s">
        <v>430</v>
      </c>
      <c r="R24" s="2" t="s">
        <v>405</v>
      </c>
      <c r="S24" s="2" t="s">
        <v>35</v>
      </c>
      <c r="T24" s="153">
        <v>2.59</v>
      </c>
      <c r="U24" s="2" t="s">
        <v>2088</v>
      </c>
      <c r="V24" s="167">
        <v>5.8000000000000003E-2</v>
      </c>
      <c r="W24" s="167">
        <v>2.86E-2</v>
      </c>
      <c r="X24" s="4" t="s">
        <v>411</v>
      </c>
      <c r="Y24" s="4" t="s">
        <v>136</v>
      </c>
      <c r="Z24" s="2" t="s">
        <v>893</v>
      </c>
      <c r="AA24" s="23" t="s">
        <v>2693</v>
      </c>
      <c r="AB24" s="2" t="s">
        <v>1310</v>
      </c>
      <c r="AD24" s="153">
        <v>755714.38</v>
      </c>
      <c r="AE24" s="153">
        <v>1</v>
      </c>
      <c r="AF24" s="153">
        <v>93.539969426015148</v>
      </c>
      <c r="AG24" s="153">
        <v>706.89499999999998</v>
      </c>
      <c r="AJ24" s="2" t="s">
        <v>37</v>
      </c>
      <c r="AK24" s="167">
        <v>4.4206996965929099E-2</v>
      </c>
      <c r="AL24" s="167">
        <v>6.8800280867909998E-4</v>
      </c>
      <c r="AM24" s="180"/>
    </row>
    <row r="25" spans="1:39">
      <c r="A25" s="2" t="s">
        <v>26</v>
      </c>
      <c r="B25" s="2">
        <v>9963</v>
      </c>
      <c r="C25" s="2" t="s">
        <v>2682</v>
      </c>
      <c r="D25" s="2" t="s">
        <v>2683</v>
      </c>
      <c r="E25" s="4" t="s">
        <v>1305</v>
      </c>
      <c r="F25" s="2" t="s">
        <v>2684</v>
      </c>
      <c r="G25" s="2" t="s">
        <v>2685</v>
      </c>
      <c r="H25" s="2" t="s">
        <v>319</v>
      </c>
      <c r="I25" s="2" t="s">
        <v>966</v>
      </c>
      <c r="J25" s="2" t="s">
        <v>31</v>
      </c>
      <c r="K25" s="2" t="s">
        <v>31</v>
      </c>
      <c r="L25" s="2" t="s">
        <v>164</v>
      </c>
      <c r="M25" s="2" t="s">
        <v>448</v>
      </c>
      <c r="N25" s="2" t="s">
        <v>136</v>
      </c>
      <c r="O25" s="2" t="s">
        <v>2686</v>
      </c>
      <c r="P25" s="2" t="s">
        <v>1772</v>
      </c>
      <c r="Q25" s="2" t="s">
        <v>412</v>
      </c>
      <c r="R25" s="2" t="s">
        <v>407</v>
      </c>
      <c r="S25" s="2" t="s">
        <v>35</v>
      </c>
      <c r="T25" s="153">
        <v>2.42</v>
      </c>
      <c r="U25" s="2" t="s">
        <v>1822</v>
      </c>
      <c r="V25" s="167">
        <v>6.0299999999999999E-2</v>
      </c>
      <c r="W25" s="167">
        <v>4.4699999999999997E-2</v>
      </c>
      <c r="X25" s="4" t="s">
        <v>411</v>
      </c>
      <c r="Y25" s="4" t="s">
        <v>136</v>
      </c>
      <c r="Z25" s="2" t="s">
        <v>893</v>
      </c>
      <c r="AA25" s="23" t="s">
        <v>2693</v>
      </c>
      <c r="AB25" s="2" t="s">
        <v>1310</v>
      </c>
      <c r="AD25" s="153">
        <v>3340567.4</v>
      </c>
      <c r="AE25" s="153">
        <v>1</v>
      </c>
      <c r="AF25" s="153">
        <v>97.659996322780387</v>
      </c>
      <c r="AG25" s="153">
        <v>3262.3980000000001</v>
      </c>
      <c r="AJ25" s="2" t="s">
        <v>37</v>
      </c>
      <c r="AK25" s="167">
        <v>0.204020083292133</v>
      </c>
      <c r="AL25" s="167">
        <v>3.1752075455411199E-3</v>
      </c>
      <c r="AM25" s="180"/>
    </row>
    <row r="26" spans="1:39">
      <c r="A26" s="2" t="s">
        <v>26</v>
      </c>
      <c r="B26" s="2">
        <v>9963</v>
      </c>
      <c r="C26" s="2" t="s">
        <v>1176</v>
      </c>
      <c r="D26" s="2" t="s">
        <v>1364</v>
      </c>
      <c r="E26" s="4" t="s">
        <v>1305</v>
      </c>
      <c r="F26" s="2" t="s">
        <v>2737</v>
      </c>
      <c r="G26" s="2" t="s">
        <v>2738</v>
      </c>
      <c r="H26" s="2" t="s">
        <v>34</v>
      </c>
      <c r="I26" s="2" t="s">
        <v>754</v>
      </c>
      <c r="J26" s="2" t="s">
        <v>31</v>
      </c>
      <c r="K26" s="2" t="s">
        <v>31</v>
      </c>
      <c r="L26" s="4" t="s">
        <v>164</v>
      </c>
      <c r="M26" s="2" t="s">
        <v>445</v>
      </c>
      <c r="N26" s="2" t="s">
        <v>136</v>
      </c>
      <c r="O26" s="2" t="s">
        <v>163</v>
      </c>
      <c r="P26" s="2" t="s">
        <v>1308</v>
      </c>
      <c r="Q26" s="2" t="s">
        <v>412</v>
      </c>
      <c r="R26" s="2" t="s">
        <v>407</v>
      </c>
      <c r="S26" s="2" t="s">
        <v>35</v>
      </c>
      <c r="T26" s="153">
        <v>1.77</v>
      </c>
      <c r="U26" s="2" t="s">
        <v>2739</v>
      </c>
      <c r="V26" s="167">
        <v>1.516E-2</v>
      </c>
      <c r="W26" s="167">
        <v>6.6000000000000003E-2</v>
      </c>
      <c r="X26" s="4" t="s">
        <v>411</v>
      </c>
      <c r="Y26" s="4" t="s">
        <v>136</v>
      </c>
      <c r="Z26" t="s">
        <v>893</v>
      </c>
      <c r="AA26" s="2" t="s">
        <v>2693</v>
      </c>
      <c r="AB26" s="2" t="s">
        <v>1310</v>
      </c>
      <c r="AD26" s="153">
        <v>525000</v>
      </c>
      <c r="AE26" s="153">
        <v>1</v>
      </c>
      <c r="AF26" s="153">
        <v>150.70990476190477</v>
      </c>
      <c r="AG26" s="153">
        <v>791.22699999999998</v>
      </c>
      <c r="AJ26" s="2" t="s">
        <v>37</v>
      </c>
      <c r="AK26" s="167">
        <v>4.9480870934446398E-2</v>
      </c>
      <c r="AL26" s="167">
        <v>7.7008122051413098E-4</v>
      </c>
      <c r="AM26" s="180"/>
    </row>
    <row r="27" spans="1:39">
      <c r="A27" s="2" t="s">
        <v>26</v>
      </c>
      <c r="B27" s="2">
        <v>9963</v>
      </c>
      <c r="C27" s="2" t="s">
        <v>2687</v>
      </c>
      <c r="D27" s="2" t="s">
        <v>2688</v>
      </c>
      <c r="E27" s="4" t="s">
        <v>1305</v>
      </c>
      <c r="F27" s="2" t="s">
        <v>2689</v>
      </c>
      <c r="G27" s="2" t="s">
        <v>2690</v>
      </c>
      <c r="H27" s="2" t="s">
        <v>319</v>
      </c>
      <c r="I27" s="2" t="s">
        <v>966</v>
      </c>
      <c r="J27" s="2" t="s">
        <v>31</v>
      </c>
      <c r="K27" s="2" t="s">
        <v>31</v>
      </c>
      <c r="L27" s="4" t="s">
        <v>164</v>
      </c>
      <c r="M27" s="2" t="s">
        <v>448</v>
      </c>
      <c r="N27" s="2" t="s">
        <v>136</v>
      </c>
      <c r="O27" s="2" t="s">
        <v>2691</v>
      </c>
      <c r="P27" s="2" t="s">
        <v>1896</v>
      </c>
      <c r="Q27" s="2" t="s">
        <v>104</v>
      </c>
      <c r="R27" s="2" t="s">
        <v>405</v>
      </c>
      <c r="S27" s="2" t="s">
        <v>35</v>
      </c>
      <c r="T27" s="153">
        <v>2.29</v>
      </c>
      <c r="U27" s="2" t="s">
        <v>2692</v>
      </c>
      <c r="V27" s="167">
        <v>5.0799999999999998E-2</v>
      </c>
      <c r="W27" s="167">
        <v>2.1000000000000001E-2</v>
      </c>
      <c r="X27" s="4" t="s">
        <v>411</v>
      </c>
      <c r="Y27" s="4" t="s">
        <v>136</v>
      </c>
      <c r="Z27" s="23" t="s">
        <v>893</v>
      </c>
      <c r="AA27" s="23" t="s">
        <v>2693</v>
      </c>
      <c r="AB27" s="2" t="s">
        <v>1310</v>
      </c>
      <c r="AD27" s="153">
        <v>1246286.6399999999</v>
      </c>
      <c r="AE27" s="153">
        <v>1</v>
      </c>
      <c r="AF27" s="153">
        <v>93.800010565787673</v>
      </c>
      <c r="AG27" s="153">
        <v>1169.0170000000001</v>
      </c>
      <c r="AJ27" s="2" t="s">
        <v>37</v>
      </c>
      <c r="AK27" s="167">
        <v>7.3106625820680698E-2</v>
      </c>
      <c r="AL27" s="167">
        <v>1.1377738220138601E-3</v>
      </c>
      <c r="AM27" s="180"/>
    </row>
    <row r="28" spans="1:39">
      <c r="A28" s="2" t="s">
        <v>26</v>
      </c>
      <c r="B28" s="2">
        <v>9963</v>
      </c>
      <c r="C28" s="2" t="s">
        <v>2694</v>
      </c>
      <c r="D28" s="2" t="s">
        <v>2695</v>
      </c>
      <c r="E28" s="4" t="s">
        <v>1305</v>
      </c>
      <c r="F28" s="2" t="s">
        <v>2696</v>
      </c>
      <c r="G28" s="2" t="s">
        <v>2697</v>
      </c>
      <c r="H28" s="2" t="s">
        <v>319</v>
      </c>
      <c r="I28" s="2" t="s">
        <v>966</v>
      </c>
      <c r="J28" s="2" t="s">
        <v>31</v>
      </c>
      <c r="K28" s="2" t="s">
        <v>31</v>
      </c>
      <c r="L28" s="4" t="s">
        <v>164</v>
      </c>
      <c r="M28" s="2" t="s">
        <v>461</v>
      </c>
      <c r="N28" s="2" t="s">
        <v>136</v>
      </c>
      <c r="O28" s="2" t="s">
        <v>2698</v>
      </c>
      <c r="P28" s="2" t="s">
        <v>1984</v>
      </c>
      <c r="Q28" s="2" t="s">
        <v>104</v>
      </c>
      <c r="R28" s="2" t="s">
        <v>405</v>
      </c>
      <c r="S28" s="2" t="s">
        <v>35</v>
      </c>
      <c r="T28" s="153">
        <v>2.0099999999999998</v>
      </c>
      <c r="U28" s="2" t="s">
        <v>2699</v>
      </c>
      <c r="V28" s="167">
        <v>4.8099999999999997E-2</v>
      </c>
      <c r="W28" s="167">
        <v>3.1E-2</v>
      </c>
      <c r="X28" s="4" t="s">
        <v>411</v>
      </c>
      <c r="Y28" s="4" t="s">
        <v>136</v>
      </c>
      <c r="Z28" s="2" t="s">
        <v>893</v>
      </c>
      <c r="AA28" s="23" t="s">
        <v>2693</v>
      </c>
      <c r="AB28" s="2" t="s">
        <v>1310</v>
      </c>
      <c r="AD28" s="153">
        <v>1126308</v>
      </c>
      <c r="AE28" s="153">
        <v>1</v>
      </c>
      <c r="AF28" s="153">
        <v>96.799987214864856</v>
      </c>
      <c r="AG28" s="153">
        <v>1090.2660000000001</v>
      </c>
      <c r="AJ28" s="2" t="s">
        <v>37</v>
      </c>
      <c r="AK28" s="167">
        <v>6.8181804039243593E-2</v>
      </c>
      <c r="AL28" s="167">
        <v>1.0611277829154801E-3</v>
      </c>
      <c r="AM28" s="180"/>
    </row>
    <row r="29" spans="1:39">
      <c r="A29" s="2" t="s">
        <v>26</v>
      </c>
      <c r="B29" s="2">
        <v>9963</v>
      </c>
      <c r="C29" s="2" t="s">
        <v>2700</v>
      </c>
      <c r="D29" s="2" t="s">
        <v>2701</v>
      </c>
      <c r="E29" s="4" t="s">
        <v>1305</v>
      </c>
      <c r="F29" s="2" t="s">
        <v>2702</v>
      </c>
      <c r="G29" s="2" t="s">
        <v>2703</v>
      </c>
      <c r="H29" s="2" t="s">
        <v>319</v>
      </c>
      <c r="I29" s="2" t="s">
        <v>966</v>
      </c>
      <c r="J29" s="2" t="s">
        <v>31</v>
      </c>
      <c r="K29" s="2" t="s">
        <v>31</v>
      </c>
      <c r="L29" s="4" t="s">
        <v>164</v>
      </c>
      <c r="M29" s="2" t="s">
        <v>476</v>
      </c>
      <c r="N29" s="2" t="s">
        <v>136</v>
      </c>
      <c r="O29" s="2" t="s">
        <v>2704</v>
      </c>
      <c r="P29" s="2" t="s">
        <v>1867</v>
      </c>
      <c r="Q29" s="2" t="s">
        <v>104</v>
      </c>
      <c r="R29" s="2" t="s">
        <v>405</v>
      </c>
      <c r="S29" s="2" t="s">
        <v>35</v>
      </c>
      <c r="T29" s="153">
        <v>1.06</v>
      </c>
      <c r="U29" s="2" t="s">
        <v>2705</v>
      </c>
      <c r="V29" s="167">
        <v>6.7000000000000004E-2</v>
      </c>
      <c r="W29" s="167">
        <v>6.5000000000000002E-2</v>
      </c>
      <c r="X29" s="4" t="s">
        <v>411</v>
      </c>
      <c r="Y29" s="4" t="s">
        <v>136</v>
      </c>
      <c r="Z29" s="23" t="s">
        <v>893</v>
      </c>
      <c r="AA29" s="23" t="s">
        <v>2693</v>
      </c>
      <c r="AB29" s="2" t="s">
        <v>1310</v>
      </c>
      <c r="AD29" s="153">
        <v>828282.21</v>
      </c>
      <c r="AE29" s="153">
        <v>1</v>
      </c>
      <c r="AF29" s="153">
        <v>99.790022050576212</v>
      </c>
      <c r="AG29" s="153">
        <v>826.54300000000001</v>
      </c>
      <c r="AJ29" s="2" t="s">
        <v>37</v>
      </c>
      <c r="AK29" s="167">
        <v>5.1689379435793603E-2</v>
      </c>
      <c r="AL29" s="167">
        <v>8.0445270367752195E-4</v>
      </c>
      <c r="AM29" s="180"/>
    </row>
    <row r="30" spans="1:39">
      <c r="A30" s="2" t="s">
        <v>26</v>
      </c>
      <c r="B30" s="2">
        <v>9963</v>
      </c>
      <c r="C30" s="2" t="s">
        <v>2740</v>
      </c>
      <c r="D30" s="2" t="s">
        <v>2741</v>
      </c>
      <c r="E30" s="4" t="s">
        <v>1305</v>
      </c>
      <c r="F30" s="2" t="s">
        <v>2742</v>
      </c>
      <c r="G30" s="2" t="s">
        <v>2743</v>
      </c>
      <c r="H30" s="2" t="s">
        <v>319</v>
      </c>
      <c r="I30" s="2" t="s">
        <v>164</v>
      </c>
      <c r="J30" s="2" t="s">
        <v>31</v>
      </c>
      <c r="K30" s="2" t="s">
        <v>31</v>
      </c>
      <c r="L30" s="4" t="s">
        <v>164</v>
      </c>
      <c r="M30" s="2" t="s">
        <v>475</v>
      </c>
      <c r="N30" s="2" t="s">
        <v>136</v>
      </c>
      <c r="O30" s="2" t="s">
        <v>163</v>
      </c>
      <c r="P30" s="2" t="s">
        <v>2744</v>
      </c>
      <c r="Q30" s="2" t="s">
        <v>412</v>
      </c>
      <c r="R30" s="2" t="s">
        <v>405</v>
      </c>
      <c r="S30" s="2" t="s">
        <v>35</v>
      </c>
      <c r="T30" s="153">
        <v>0.01</v>
      </c>
      <c r="U30" s="2" t="s">
        <v>2745</v>
      </c>
      <c r="V30" s="167">
        <v>1E-4</v>
      </c>
      <c r="W30" s="167">
        <v>7.3999999999999996E-2</v>
      </c>
      <c r="X30" s="4" t="s">
        <v>410</v>
      </c>
      <c r="Y30" s="4" t="s">
        <v>338</v>
      </c>
      <c r="Z30" s="2" t="s">
        <v>164</v>
      </c>
      <c r="AA30" s="2" t="s">
        <v>896</v>
      </c>
      <c r="AB30" s="2" t="s">
        <v>2746</v>
      </c>
      <c r="AD30" s="153">
        <v>94232.8</v>
      </c>
      <c r="AE30" s="153">
        <v>1</v>
      </c>
      <c r="AF30" s="153">
        <v>0</v>
      </c>
      <c r="AG30" s="153">
        <v>0</v>
      </c>
      <c r="AJ30" s="2" t="s">
        <v>37</v>
      </c>
      <c r="AK30" s="167">
        <v>5.8930219369163806E-9</v>
      </c>
      <c r="AL30" s="167">
        <v>9.1714342128482589E-11</v>
      </c>
      <c r="AM30" s="180"/>
    </row>
    <row r="31" spans="1:39">
      <c r="A31" s="2" t="s">
        <v>26</v>
      </c>
      <c r="B31" s="2">
        <v>9963</v>
      </c>
      <c r="C31" s="2" t="s">
        <v>2706</v>
      </c>
      <c r="D31" s="2" t="s">
        <v>2707</v>
      </c>
      <c r="E31" s="4" t="s">
        <v>1305</v>
      </c>
      <c r="F31" s="2" t="s">
        <v>2708</v>
      </c>
      <c r="G31" s="2" t="s">
        <v>2709</v>
      </c>
      <c r="H31" s="2" t="s">
        <v>319</v>
      </c>
      <c r="I31" s="2" t="s">
        <v>754</v>
      </c>
      <c r="J31" s="2" t="s">
        <v>31</v>
      </c>
      <c r="K31" s="2" t="s">
        <v>31</v>
      </c>
      <c r="L31" s="4" t="s">
        <v>164</v>
      </c>
      <c r="M31" s="2" t="s">
        <v>443</v>
      </c>
      <c r="N31" s="2" t="s">
        <v>136</v>
      </c>
      <c r="O31" s="2" t="s">
        <v>2710</v>
      </c>
      <c r="P31" s="2" t="s">
        <v>76</v>
      </c>
      <c r="Q31" s="2" t="s">
        <v>104</v>
      </c>
      <c r="R31" s="2" t="s">
        <v>405</v>
      </c>
      <c r="S31" s="2" t="s">
        <v>35</v>
      </c>
      <c r="T31" s="153">
        <v>5.09</v>
      </c>
      <c r="U31" s="2" t="s">
        <v>2711</v>
      </c>
      <c r="V31" s="167">
        <v>2.1600000000000001E-2</v>
      </c>
      <c r="W31" s="167">
        <v>2.1399999999999999E-2</v>
      </c>
      <c r="X31" s="4" t="s">
        <v>411</v>
      </c>
      <c r="Y31" s="4" t="s">
        <v>136</v>
      </c>
      <c r="Z31" s="2" t="s">
        <v>893</v>
      </c>
      <c r="AA31" s="23" t="s">
        <v>2693</v>
      </c>
      <c r="AB31" s="2" t="s">
        <v>1310</v>
      </c>
      <c r="AD31" s="153">
        <v>1872118.29</v>
      </c>
      <c r="AE31" s="153">
        <v>1</v>
      </c>
      <c r="AF31" s="153">
        <v>113.34999563515828</v>
      </c>
      <c r="AG31" s="153">
        <v>2122.0459999999998</v>
      </c>
      <c r="AJ31" s="2" t="s">
        <v>37</v>
      </c>
      <c r="AK31" s="167">
        <v>0.132706065305222</v>
      </c>
      <c r="AL31" s="167">
        <v>2.0653324569663198E-3</v>
      </c>
      <c r="AM31" s="180"/>
    </row>
    <row r="32" spans="1:39">
      <c r="A32" s="2" t="s">
        <v>26</v>
      </c>
      <c r="B32" s="2">
        <v>9963</v>
      </c>
      <c r="C32" s="2" t="s">
        <v>2706</v>
      </c>
      <c r="D32" s="2" t="s">
        <v>2707</v>
      </c>
      <c r="E32" s="4" t="s">
        <v>1305</v>
      </c>
      <c r="F32" s="2" t="s">
        <v>2712</v>
      </c>
      <c r="G32" s="2" t="s">
        <v>2713</v>
      </c>
      <c r="H32" s="2" t="s">
        <v>319</v>
      </c>
      <c r="I32" s="2" t="s">
        <v>966</v>
      </c>
      <c r="J32" s="2" t="s">
        <v>31</v>
      </c>
      <c r="K32" s="2" t="s">
        <v>31</v>
      </c>
      <c r="L32" s="4" t="s">
        <v>164</v>
      </c>
      <c r="M32" s="2" t="s">
        <v>443</v>
      </c>
      <c r="N32" s="2" t="s">
        <v>136</v>
      </c>
      <c r="O32" s="2" t="s">
        <v>2710</v>
      </c>
      <c r="P32" s="2" t="s">
        <v>76</v>
      </c>
      <c r="Q32" s="2" t="s">
        <v>104</v>
      </c>
      <c r="R32" s="2" t="s">
        <v>405</v>
      </c>
      <c r="S32" s="2" t="s">
        <v>35</v>
      </c>
      <c r="T32" s="153">
        <v>1.43</v>
      </c>
      <c r="U32" s="2" t="s">
        <v>2705</v>
      </c>
      <c r="V32" s="167">
        <v>4.5100000000000001E-2</v>
      </c>
      <c r="W32" s="167">
        <v>2.5000000000000001E-2</v>
      </c>
      <c r="X32" s="4" t="s">
        <v>411</v>
      </c>
      <c r="Y32" s="4" t="s">
        <v>338</v>
      </c>
      <c r="Z32" s="2" t="s">
        <v>893</v>
      </c>
      <c r="AA32" s="23" t="s">
        <v>2693</v>
      </c>
      <c r="AB32" s="2" t="s">
        <v>1310</v>
      </c>
      <c r="AD32" s="153">
        <v>2014729.77</v>
      </c>
      <c r="AE32" s="153">
        <v>1</v>
      </c>
      <c r="AF32" s="153">
        <v>97.389983967924394</v>
      </c>
      <c r="AG32" s="153">
        <v>1962.145</v>
      </c>
      <c r="AJ32" s="2" t="s">
        <v>37</v>
      </c>
      <c r="AK32" s="167">
        <v>0.122706376462066</v>
      </c>
      <c r="AL32" s="167">
        <v>1.90970519245633E-3</v>
      </c>
      <c r="AM32" s="180"/>
    </row>
    <row r="33" spans="1:39">
      <c r="A33" s="2" t="s">
        <v>26</v>
      </c>
      <c r="B33" s="2">
        <v>9963</v>
      </c>
      <c r="C33" s="2" t="s">
        <v>2706</v>
      </c>
      <c r="D33" s="2" t="s">
        <v>2707</v>
      </c>
      <c r="E33" s="4" t="s">
        <v>1305</v>
      </c>
      <c r="F33" s="2" t="s">
        <v>2714</v>
      </c>
      <c r="G33" s="2" t="s">
        <v>2715</v>
      </c>
      <c r="H33" s="2" t="s">
        <v>319</v>
      </c>
      <c r="I33" s="2" t="s">
        <v>966</v>
      </c>
      <c r="J33" s="2" t="s">
        <v>31</v>
      </c>
      <c r="K33" s="2" t="s">
        <v>31</v>
      </c>
      <c r="L33" s="4" t="s">
        <v>164</v>
      </c>
      <c r="M33" s="2" t="s">
        <v>443</v>
      </c>
      <c r="N33" s="2" t="s">
        <v>136</v>
      </c>
      <c r="O33" s="2" t="s">
        <v>2710</v>
      </c>
      <c r="P33" s="2" t="s">
        <v>76</v>
      </c>
      <c r="Q33" s="2" t="s">
        <v>104</v>
      </c>
      <c r="R33" s="2" t="s">
        <v>405</v>
      </c>
      <c r="S33" s="2" t="s">
        <v>35</v>
      </c>
      <c r="T33" s="153">
        <v>4.72</v>
      </c>
      <c r="U33" s="2" t="s">
        <v>2716</v>
      </c>
      <c r="V33" s="167">
        <v>5.0099999999999999E-2</v>
      </c>
      <c r="W33" s="167">
        <v>3.7400000000000003E-2</v>
      </c>
      <c r="X33" s="4" t="s">
        <v>411</v>
      </c>
      <c r="Y33" s="4" t="s">
        <v>136</v>
      </c>
      <c r="Z33" s="2" t="s">
        <v>893</v>
      </c>
      <c r="AA33" s="23" t="s">
        <v>2693</v>
      </c>
      <c r="AB33" s="2" t="s">
        <v>1310</v>
      </c>
      <c r="AD33" s="153">
        <v>3961157.08</v>
      </c>
      <c r="AE33" s="153">
        <v>1</v>
      </c>
      <c r="AF33" s="153">
        <v>94.630001393431243</v>
      </c>
      <c r="AG33" s="153">
        <v>3748.4430000000002</v>
      </c>
      <c r="AJ33" s="2" t="s">
        <v>37</v>
      </c>
      <c r="AK33" s="167">
        <v>0.234415792622202</v>
      </c>
      <c r="AL33" s="167">
        <v>3.6482623745537702E-3</v>
      </c>
      <c r="AM33" s="180"/>
    </row>
    <row r="34" spans="1:39">
      <c r="A34" s="2" t="s">
        <v>26</v>
      </c>
      <c r="B34" s="2">
        <v>9964</v>
      </c>
      <c r="C34" s="2" t="s">
        <v>2677</v>
      </c>
      <c r="D34" s="2" t="s">
        <v>2678</v>
      </c>
      <c r="E34" s="4" t="s">
        <v>1305</v>
      </c>
      <c r="F34" s="2" t="s">
        <v>2679</v>
      </c>
      <c r="G34" s="2" t="s">
        <v>2680</v>
      </c>
      <c r="H34" s="2" t="s">
        <v>319</v>
      </c>
      <c r="I34" s="2" t="s">
        <v>966</v>
      </c>
      <c r="J34" s="2" t="s">
        <v>31</v>
      </c>
      <c r="K34" s="2" t="s">
        <v>31</v>
      </c>
      <c r="L34" s="4" t="s">
        <v>164</v>
      </c>
      <c r="M34" s="2" t="s">
        <v>448</v>
      </c>
      <c r="N34" s="2" t="s">
        <v>136</v>
      </c>
      <c r="O34" s="2" t="s">
        <v>2681</v>
      </c>
      <c r="P34" s="2" t="s">
        <v>1758</v>
      </c>
      <c r="Q34" s="2" t="s">
        <v>430</v>
      </c>
      <c r="R34" s="2" t="s">
        <v>405</v>
      </c>
      <c r="S34" s="2" t="s">
        <v>35</v>
      </c>
      <c r="T34" s="153">
        <v>2.59</v>
      </c>
      <c r="U34" s="2" t="s">
        <v>2088</v>
      </c>
      <c r="V34" s="167">
        <v>5.8000000000000003E-2</v>
      </c>
      <c r="W34" s="167">
        <v>2.86E-2</v>
      </c>
      <c r="X34" s="4" t="s">
        <v>411</v>
      </c>
      <c r="Y34" s="4" t="s">
        <v>136</v>
      </c>
      <c r="Z34" s="2" t="s">
        <v>893</v>
      </c>
      <c r="AA34" s="23" t="s">
        <v>2693</v>
      </c>
      <c r="AB34" s="2" t="s">
        <v>1310</v>
      </c>
      <c r="AD34" s="153">
        <v>22857.14</v>
      </c>
      <c r="AE34" s="153">
        <v>1</v>
      </c>
      <c r="AF34" s="153">
        <v>93.541886692735829</v>
      </c>
      <c r="AG34" s="153">
        <v>21.381</v>
      </c>
      <c r="AJ34" s="2" t="s">
        <v>37</v>
      </c>
      <c r="AK34" s="167">
        <v>4.5901359533417001E-2</v>
      </c>
      <c r="AL34" s="167">
        <v>6.1633869229119997E-4</v>
      </c>
      <c r="AM34" s="180"/>
    </row>
    <row r="35" spans="1:39">
      <c r="A35" s="2" t="s">
        <v>26</v>
      </c>
      <c r="B35" s="2">
        <v>9964</v>
      </c>
      <c r="C35" s="2" t="s">
        <v>2682</v>
      </c>
      <c r="D35" s="2" t="s">
        <v>2683</v>
      </c>
      <c r="E35" s="4" t="s">
        <v>1305</v>
      </c>
      <c r="F35" s="2" t="s">
        <v>2684</v>
      </c>
      <c r="G35" s="2" t="s">
        <v>2685</v>
      </c>
      <c r="H35" s="2" t="s">
        <v>319</v>
      </c>
      <c r="I35" s="2" t="s">
        <v>966</v>
      </c>
      <c r="J35" s="2" t="s">
        <v>31</v>
      </c>
      <c r="K35" s="2" t="s">
        <v>31</v>
      </c>
      <c r="L35" s="4" t="s">
        <v>164</v>
      </c>
      <c r="M35" s="2" t="s">
        <v>448</v>
      </c>
      <c r="N35" s="2" t="s">
        <v>136</v>
      </c>
      <c r="O35" s="2" t="s">
        <v>2686</v>
      </c>
      <c r="P35" s="2" t="s">
        <v>1772</v>
      </c>
      <c r="Q35" s="2" t="s">
        <v>412</v>
      </c>
      <c r="R35" s="2" t="s">
        <v>407</v>
      </c>
      <c r="S35" s="2" t="s">
        <v>35</v>
      </c>
      <c r="T35" s="153">
        <v>2.42</v>
      </c>
      <c r="U35" s="2" t="s">
        <v>1822</v>
      </c>
      <c r="V35" s="167">
        <v>6.0299999999999999E-2</v>
      </c>
      <c r="W35" s="167">
        <v>4.4699999999999997E-2</v>
      </c>
      <c r="X35" s="4" t="s">
        <v>411</v>
      </c>
      <c r="Y35" s="4" t="s">
        <v>136</v>
      </c>
      <c r="Z35" s="2" t="s">
        <v>893</v>
      </c>
      <c r="AA35" s="23" t="s">
        <v>2693</v>
      </c>
      <c r="AB35" s="2" t="s">
        <v>1310</v>
      </c>
      <c r="AD35" s="153">
        <v>108504.78</v>
      </c>
      <c r="AE35" s="153">
        <v>1</v>
      </c>
      <c r="AF35" s="153">
        <v>97.660213679065563</v>
      </c>
      <c r="AG35" s="153">
        <v>105.96599999999999</v>
      </c>
      <c r="AJ35" s="2" t="s">
        <v>37</v>
      </c>
      <c r="AK35" s="167">
        <v>0.227495015567866</v>
      </c>
      <c r="AL35" s="167">
        <v>3.0546803367727401E-3</v>
      </c>
      <c r="AM35" s="180"/>
    </row>
    <row r="36" spans="1:39">
      <c r="A36" s="2" t="s">
        <v>26</v>
      </c>
      <c r="B36" s="2">
        <v>9964</v>
      </c>
      <c r="C36" s="2" t="s">
        <v>2687</v>
      </c>
      <c r="D36" s="2" t="s">
        <v>2688</v>
      </c>
      <c r="E36" s="4" t="s">
        <v>1305</v>
      </c>
      <c r="F36" s="2" t="s">
        <v>2689</v>
      </c>
      <c r="G36" s="2" t="s">
        <v>2690</v>
      </c>
      <c r="H36" s="2" t="s">
        <v>319</v>
      </c>
      <c r="I36" s="2" t="s">
        <v>966</v>
      </c>
      <c r="J36" s="2" t="s">
        <v>31</v>
      </c>
      <c r="K36" s="2" t="s">
        <v>31</v>
      </c>
      <c r="L36" s="4" t="s">
        <v>164</v>
      </c>
      <c r="M36" s="2" t="s">
        <v>448</v>
      </c>
      <c r="N36" s="2" t="s">
        <v>136</v>
      </c>
      <c r="O36" s="2" t="s">
        <v>2691</v>
      </c>
      <c r="P36" s="2" t="s">
        <v>1896</v>
      </c>
      <c r="Q36" s="2" t="s">
        <v>104</v>
      </c>
      <c r="R36" s="2" t="s">
        <v>405</v>
      </c>
      <c r="S36" s="2" t="s">
        <v>35</v>
      </c>
      <c r="T36" s="153">
        <v>2.29</v>
      </c>
      <c r="U36" s="2" t="s">
        <v>2692</v>
      </c>
      <c r="V36" s="167">
        <v>5.0799999999999998E-2</v>
      </c>
      <c r="W36" s="167">
        <v>2.1000000000000001E-2</v>
      </c>
      <c r="X36" s="4" t="s">
        <v>411</v>
      </c>
      <c r="Y36" s="4" t="s">
        <v>136</v>
      </c>
      <c r="Z36" s="23" t="s">
        <v>893</v>
      </c>
      <c r="AA36" s="23" t="s">
        <v>2693</v>
      </c>
      <c r="AB36" s="2" t="s">
        <v>1310</v>
      </c>
      <c r="AD36" s="153">
        <v>45714.32</v>
      </c>
      <c r="AE36" s="153">
        <v>1</v>
      </c>
      <c r="AF36" s="153">
        <v>93.799929650052761</v>
      </c>
      <c r="AG36" s="153">
        <v>42.88</v>
      </c>
      <c r="AJ36" s="2" t="s">
        <v>37</v>
      </c>
      <c r="AK36" s="167">
        <v>9.2057970741694806E-2</v>
      </c>
      <c r="AL36" s="167">
        <v>1.2361047663655999E-3</v>
      </c>
      <c r="AM36" s="180"/>
    </row>
    <row r="37" spans="1:39">
      <c r="A37" s="2" t="s">
        <v>26</v>
      </c>
      <c r="B37" s="2">
        <v>9964</v>
      </c>
      <c r="C37" s="2" t="s">
        <v>2694</v>
      </c>
      <c r="D37" s="2" t="s">
        <v>2695</v>
      </c>
      <c r="E37" s="4" t="s">
        <v>1305</v>
      </c>
      <c r="F37" s="2" t="s">
        <v>2696</v>
      </c>
      <c r="G37" s="2" t="s">
        <v>2697</v>
      </c>
      <c r="H37" s="2" t="s">
        <v>319</v>
      </c>
      <c r="I37" s="2" t="s">
        <v>966</v>
      </c>
      <c r="J37" s="2" t="s">
        <v>31</v>
      </c>
      <c r="K37" s="2" t="s">
        <v>31</v>
      </c>
      <c r="L37" s="4" t="s">
        <v>164</v>
      </c>
      <c r="M37" s="2" t="s">
        <v>461</v>
      </c>
      <c r="N37" s="2" t="s">
        <v>136</v>
      </c>
      <c r="O37" s="2" t="s">
        <v>2698</v>
      </c>
      <c r="P37" s="2" t="s">
        <v>1984</v>
      </c>
      <c r="Q37" s="2" t="s">
        <v>104</v>
      </c>
      <c r="R37" s="2" t="s">
        <v>405</v>
      </c>
      <c r="S37" s="2" t="s">
        <v>35</v>
      </c>
      <c r="T37" s="153">
        <v>2.0099999999999998</v>
      </c>
      <c r="U37" s="2" t="s">
        <v>2699</v>
      </c>
      <c r="V37" s="167">
        <v>4.8099999999999997E-2</v>
      </c>
      <c r="W37" s="167">
        <v>3.1E-2</v>
      </c>
      <c r="X37" s="4" t="s">
        <v>411</v>
      </c>
      <c r="Y37" s="4" t="s">
        <v>136</v>
      </c>
      <c r="Z37" s="2" t="s">
        <v>893</v>
      </c>
      <c r="AA37" s="23" t="s">
        <v>2693</v>
      </c>
      <c r="AB37" s="2" t="s">
        <v>1310</v>
      </c>
      <c r="AD37" s="153">
        <v>37544</v>
      </c>
      <c r="AE37" s="153">
        <v>1</v>
      </c>
      <c r="AF37" s="153">
        <v>96.801086724909453</v>
      </c>
      <c r="AG37" s="153">
        <v>36.343000000000004</v>
      </c>
      <c r="AJ37" s="2" t="s">
        <v>37</v>
      </c>
      <c r="AK37" s="167">
        <v>7.8022918885174403E-2</v>
      </c>
      <c r="AL37" s="167">
        <v>1.0476496618672399E-3</v>
      </c>
      <c r="AM37" s="180"/>
    </row>
    <row r="38" spans="1:39">
      <c r="A38" s="2" t="s">
        <v>26</v>
      </c>
      <c r="B38" s="2">
        <v>9964</v>
      </c>
      <c r="C38" s="2" t="s">
        <v>2700</v>
      </c>
      <c r="D38" s="2" t="s">
        <v>2701</v>
      </c>
      <c r="E38" s="4" t="s">
        <v>1305</v>
      </c>
      <c r="F38" s="2" t="s">
        <v>2702</v>
      </c>
      <c r="G38" s="2" t="s">
        <v>2703</v>
      </c>
      <c r="H38" s="2" t="s">
        <v>319</v>
      </c>
      <c r="I38" s="2" t="s">
        <v>966</v>
      </c>
      <c r="J38" s="2" t="s">
        <v>31</v>
      </c>
      <c r="K38" s="2" t="s">
        <v>31</v>
      </c>
      <c r="L38" s="4" t="s">
        <v>164</v>
      </c>
      <c r="M38" s="2" t="s">
        <v>476</v>
      </c>
      <c r="N38" s="2" t="s">
        <v>136</v>
      </c>
      <c r="O38" s="2" t="s">
        <v>2704</v>
      </c>
      <c r="P38" s="2" t="s">
        <v>1867</v>
      </c>
      <c r="Q38" s="2" t="s">
        <v>104</v>
      </c>
      <c r="R38" s="2" t="s">
        <v>405</v>
      </c>
      <c r="S38" s="2" t="s">
        <v>35</v>
      </c>
      <c r="T38" s="153">
        <v>1.06</v>
      </c>
      <c r="U38" s="2" t="s">
        <v>2705</v>
      </c>
      <c r="V38" s="167">
        <v>6.7000000000000004E-2</v>
      </c>
      <c r="W38" s="167">
        <v>6.5000000000000002E-2</v>
      </c>
      <c r="X38" s="4" t="s">
        <v>411</v>
      </c>
      <c r="Y38" s="4" t="s">
        <v>136</v>
      </c>
      <c r="Z38" s="23" t="s">
        <v>893</v>
      </c>
      <c r="AA38" s="23" t="s">
        <v>2693</v>
      </c>
      <c r="AB38" s="2" t="s">
        <v>1310</v>
      </c>
      <c r="AD38" s="153">
        <v>26070.03</v>
      </c>
      <c r="AE38" s="153">
        <v>1</v>
      </c>
      <c r="AF38" s="153">
        <v>99.788914703972353</v>
      </c>
      <c r="AG38" s="153">
        <v>26.015000000000001</v>
      </c>
      <c r="AJ38" s="2" t="s">
        <v>37</v>
      </c>
      <c r="AK38" s="167">
        <v>5.5851500915741301E-2</v>
      </c>
      <c r="AL38" s="167">
        <v>7.4994382272812498E-4</v>
      </c>
      <c r="AM38" s="180"/>
    </row>
    <row r="39" spans="1:39">
      <c r="A39" s="2" t="s">
        <v>26</v>
      </c>
      <c r="B39" s="2">
        <v>9964</v>
      </c>
      <c r="C39" s="2" t="s">
        <v>2706</v>
      </c>
      <c r="D39" s="2" t="s">
        <v>2707</v>
      </c>
      <c r="E39" s="4" t="s">
        <v>1305</v>
      </c>
      <c r="F39" s="2" t="s">
        <v>2708</v>
      </c>
      <c r="G39" s="2" t="s">
        <v>2709</v>
      </c>
      <c r="H39" s="2" t="s">
        <v>319</v>
      </c>
      <c r="I39" s="2" t="s">
        <v>754</v>
      </c>
      <c r="J39" s="2" t="s">
        <v>31</v>
      </c>
      <c r="K39" s="2" t="s">
        <v>31</v>
      </c>
      <c r="L39" s="4" t="s">
        <v>164</v>
      </c>
      <c r="M39" s="2" t="s">
        <v>443</v>
      </c>
      <c r="N39" s="2" t="s">
        <v>136</v>
      </c>
      <c r="O39" s="2" t="s">
        <v>2710</v>
      </c>
      <c r="P39" s="2" t="s">
        <v>76</v>
      </c>
      <c r="Q39" s="2" t="s">
        <v>104</v>
      </c>
      <c r="R39" s="2" t="s">
        <v>405</v>
      </c>
      <c r="S39" s="2" t="s">
        <v>35</v>
      </c>
      <c r="T39" s="153">
        <v>5.09</v>
      </c>
      <c r="U39" s="2" t="s">
        <v>2711</v>
      </c>
      <c r="V39" s="167">
        <v>2.1600000000000001E-2</v>
      </c>
      <c r="W39" s="167">
        <v>2.1399999999999999E-2</v>
      </c>
      <c r="X39" s="4" t="s">
        <v>411</v>
      </c>
      <c r="Y39" s="4" t="s">
        <v>136</v>
      </c>
      <c r="Z39" s="2" t="s">
        <v>893</v>
      </c>
      <c r="AA39" s="23" t="s">
        <v>2693</v>
      </c>
      <c r="AB39" s="2" t="s">
        <v>1310</v>
      </c>
      <c r="AD39" s="153">
        <v>55802.01</v>
      </c>
      <c r="AE39" s="153">
        <v>1</v>
      </c>
      <c r="AF39" s="153">
        <v>113.35075564482355</v>
      </c>
      <c r="AG39" s="153">
        <v>63.252000000000002</v>
      </c>
      <c r="AJ39" s="2" t="s">
        <v>37</v>
      </c>
      <c r="AK39" s="167">
        <v>0.13579308723469599</v>
      </c>
      <c r="AL39" s="167">
        <v>1.8233563157859501E-3</v>
      </c>
      <c r="AM39" s="180"/>
    </row>
    <row r="40" spans="1:39">
      <c r="A40" s="2" t="s">
        <v>26</v>
      </c>
      <c r="B40" s="2">
        <v>9964</v>
      </c>
      <c r="C40" s="2" t="s">
        <v>2706</v>
      </c>
      <c r="D40" s="2" t="s">
        <v>2707</v>
      </c>
      <c r="E40" s="4" t="s">
        <v>1305</v>
      </c>
      <c r="F40" s="2" t="s">
        <v>2712</v>
      </c>
      <c r="G40" s="2" t="s">
        <v>2713</v>
      </c>
      <c r="H40" s="2" t="s">
        <v>319</v>
      </c>
      <c r="I40" s="2" t="s">
        <v>966</v>
      </c>
      <c r="J40" s="2" t="s">
        <v>31</v>
      </c>
      <c r="K40" s="2" t="s">
        <v>31</v>
      </c>
      <c r="L40" s="4" t="s">
        <v>164</v>
      </c>
      <c r="M40" s="2" t="s">
        <v>443</v>
      </c>
      <c r="N40" s="2" t="s">
        <v>136</v>
      </c>
      <c r="O40" s="2" t="s">
        <v>2710</v>
      </c>
      <c r="P40" s="2" t="s">
        <v>76</v>
      </c>
      <c r="Q40" s="2" t="s">
        <v>104</v>
      </c>
      <c r="R40" s="2" t="s">
        <v>405</v>
      </c>
      <c r="S40" s="2" t="s">
        <v>35</v>
      </c>
      <c r="T40" s="153">
        <v>1.43</v>
      </c>
      <c r="U40" s="2" t="s">
        <v>2705</v>
      </c>
      <c r="V40" s="167">
        <v>4.5100000000000001E-2</v>
      </c>
      <c r="W40" s="167">
        <v>2.5000000000000001E-2</v>
      </c>
      <c r="X40" s="4" t="s">
        <v>411</v>
      </c>
      <c r="Y40" s="4" t="s">
        <v>338</v>
      </c>
      <c r="Z40" s="2" t="s">
        <v>893</v>
      </c>
      <c r="AA40" s="23" t="s">
        <v>2693</v>
      </c>
      <c r="AB40" s="2" t="s">
        <v>1310</v>
      </c>
      <c r="AD40" s="153">
        <v>59962.2</v>
      </c>
      <c r="AE40" s="153">
        <v>1</v>
      </c>
      <c r="AF40" s="153">
        <v>97.389688837300824</v>
      </c>
      <c r="AG40" s="153">
        <v>58.396999999999998</v>
      </c>
      <c r="AJ40" s="2" t="s">
        <v>37</v>
      </c>
      <c r="AK40" s="167">
        <v>0.12537132606429799</v>
      </c>
      <c r="AL40" s="167">
        <v>1.68341852927097E-3</v>
      </c>
      <c r="AM40" s="180"/>
    </row>
    <row r="41" spans="1:39">
      <c r="A41" s="2" t="s">
        <v>26</v>
      </c>
      <c r="B41" s="2">
        <v>9964</v>
      </c>
      <c r="C41" s="2" t="s">
        <v>2706</v>
      </c>
      <c r="D41" s="2" t="s">
        <v>2707</v>
      </c>
      <c r="E41" s="4" t="s">
        <v>1305</v>
      </c>
      <c r="F41" s="2" t="s">
        <v>2714</v>
      </c>
      <c r="G41" s="2" t="s">
        <v>2715</v>
      </c>
      <c r="H41" s="2" t="s">
        <v>319</v>
      </c>
      <c r="I41" s="2" t="s">
        <v>966</v>
      </c>
      <c r="J41" s="2" t="s">
        <v>31</v>
      </c>
      <c r="K41" s="2" t="s">
        <v>31</v>
      </c>
      <c r="L41" s="4" t="s">
        <v>164</v>
      </c>
      <c r="M41" s="2" t="s">
        <v>443</v>
      </c>
      <c r="N41" s="2" t="s">
        <v>136</v>
      </c>
      <c r="O41" s="2" t="s">
        <v>2710</v>
      </c>
      <c r="P41" s="2" t="s">
        <v>76</v>
      </c>
      <c r="Q41" s="2" t="s">
        <v>104</v>
      </c>
      <c r="R41" s="2" t="s">
        <v>405</v>
      </c>
      <c r="S41" s="2" t="s">
        <v>35</v>
      </c>
      <c r="T41" s="153">
        <v>4.72</v>
      </c>
      <c r="U41" s="2" t="s">
        <v>2716</v>
      </c>
      <c r="V41" s="167">
        <v>5.0099999999999999E-2</v>
      </c>
      <c r="W41" s="167">
        <v>3.7400000000000003E-2</v>
      </c>
      <c r="X41" s="4" t="s">
        <v>411</v>
      </c>
      <c r="Y41" s="4" t="s">
        <v>136</v>
      </c>
      <c r="Z41" s="2" t="s">
        <v>893</v>
      </c>
      <c r="AA41" s="23" t="s">
        <v>2693</v>
      </c>
      <c r="AB41" s="2" t="s">
        <v>1310</v>
      </c>
      <c r="AD41" s="153">
        <v>117891.57</v>
      </c>
      <c r="AE41" s="153">
        <v>1</v>
      </c>
      <c r="AF41" s="153">
        <v>94.63017584717889</v>
      </c>
      <c r="AG41" s="153">
        <v>111.56100000000001</v>
      </c>
      <c r="AJ41" s="2" t="s">
        <v>37</v>
      </c>
      <c r="AK41" s="167">
        <v>0.23950682105711299</v>
      </c>
      <c r="AL41" s="167">
        <v>3.21596838058131E-3</v>
      </c>
      <c r="AM41" s="18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 Z27 Z29 Z36 Z38" xr:uid="{00000000-0002-0000-1100-000007000000}">
      <formula1>Valuation</formula1>
    </dataValidation>
    <dataValidation type="list" allowBlank="1" showInputMessage="1" showErrorMessage="1" sqref="AA23:AA25 AA27:AA29 AA31:AA41 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>
      <selection activeCell="E25" sqref="E25"/>
    </sheetView>
  </sheetViews>
  <sheetFormatPr defaultColWidth="9" defaultRowHeight="14.25"/>
  <cols>
    <col min="1" max="2" width="11.625" style="2" customWidth="1"/>
    <col min="3" max="3" width="22.5" style="2" customWidth="1"/>
    <col min="4" max="4" width="11.625" style="2" customWidth="1"/>
    <col min="5" max="5" width="11.625" style="4" customWidth="1"/>
    <col min="6" max="6" width="30.125" style="2" customWidth="1"/>
    <col min="7" max="7" width="22.375" style="2" customWidth="1"/>
    <col min="8" max="11" width="11.625" style="2" customWidth="1"/>
    <col min="12" max="12" width="11.625" style="4" customWidth="1"/>
    <col min="13" max="20" width="11.625" style="2" customWidth="1"/>
    <col min="21" max="21" width="15.875" style="2" customWidth="1"/>
    <col min="22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141</v>
      </c>
      <c r="E1" s="22" t="s">
        <v>142</v>
      </c>
      <c r="F1" s="22" t="s">
        <v>3</v>
      </c>
      <c r="G1" s="22" t="s">
        <v>4</v>
      </c>
      <c r="H1" s="22" t="s">
        <v>143</v>
      </c>
      <c r="I1" s="22" t="s">
        <v>5</v>
      </c>
      <c r="J1" s="22" t="s">
        <v>6</v>
      </c>
      <c r="K1" s="22" t="s">
        <v>7</v>
      </c>
      <c r="L1" s="22" t="s">
        <v>324</v>
      </c>
      <c r="M1" s="22" t="s">
        <v>144</v>
      </c>
      <c r="N1" s="22" t="s">
        <v>123</v>
      </c>
      <c r="O1" s="22" t="s">
        <v>152</v>
      </c>
      <c r="P1" s="22" t="s">
        <v>11</v>
      </c>
      <c r="Q1" s="22" t="s">
        <v>145</v>
      </c>
      <c r="R1" s="22" t="s">
        <v>146</v>
      </c>
      <c r="S1" s="22" t="s">
        <v>132</v>
      </c>
      <c r="T1" s="22" t="s">
        <v>147</v>
      </c>
      <c r="U1" s="22" t="s">
        <v>17</v>
      </c>
      <c r="V1" s="22" t="s">
        <v>18</v>
      </c>
      <c r="W1" s="22" t="s">
        <v>19</v>
      </c>
      <c r="X1" s="22" t="s">
        <v>20</v>
      </c>
      <c r="Y1" s="166" t="s">
        <v>24</v>
      </c>
      <c r="Z1" s="166" t="s">
        <v>25</v>
      </c>
    </row>
    <row r="2" spans="1:26">
      <c r="A2" s="23" t="s">
        <v>26</v>
      </c>
      <c r="B2" s="23">
        <v>1405</v>
      </c>
      <c r="C2" s="23" t="s">
        <v>2274</v>
      </c>
      <c r="D2" s="23" t="s">
        <v>2275</v>
      </c>
      <c r="E2" s="21" t="s">
        <v>312</v>
      </c>
      <c r="F2" s="23" t="s">
        <v>2633</v>
      </c>
      <c r="G2" s="23" t="s">
        <v>2634</v>
      </c>
      <c r="H2" s="21" t="s">
        <v>319</v>
      </c>
      <c r="I2" s="23" t="s">
        <v>766</v>
      </c>
      <c r="J2" s="21" t="s">
        <v>73</v>
      </c>
      <c r="K2" s="21" t="s">
        <v>74</v>
      </c>
      <c r="L2" s="23" t="s">
        <v>164</v>
      </c>
      <c r="M2" s="23" t="s">
        <v>476</v>
      </c>
      <c r="N2" s="23" t="s">
        <v>136</v>
      </c>
      <c r="O2" s="23" t="s">
        <v>2635</v>
      </c>
      <c r="P2" s="21" t="s">
        <v>78</v>
      </c>
      <c r="Q2" s="23" t="s">
        <v>164</v>
      </c>
      <c r="R2" s="23"/>
      <c r="S2" s="23" t="s">
        <v>2635</v>
      </c>
      <c r="T2" s="23"/>
      <c r="U2" s="156">
        <v>570</v>
      </c>
      <c r="V2" s="156">
        <v>3.681</v>
      </c>
      <c r="W2" s="156">
        <v>25</v>
      </c>
      <c r="X2" s="156">
        <v>52.454000000000001</v>
      </c>
      <c r="Y2" s="173">
        <v>1</v>
      </c>
      <c r="Z2" s="173">
        <v>4.9610192128122597E-3</v>
      </c>
    </row>
    <row r="3" spans="1:26">
      <c r="A3" s="23" t="s">
        <v>26</v>
      </c>
      <c r="B3" s="23">
        <v>1477</v>
      </c>
      <c r="C3" s="23" t="s">
        <v>2636</v>
      </c>
      <c r="D3" s="23" t="s">
        <v>2637</v>
      </c>
      <c r="E3" s="21" t="s">
        <v>34</v>
      </c>
      <c r="F3" s="23" t="s">
        <v>2638</v>
      </c>
      <c r="G3" s="23" t="s">
        <v>2639</v>
      </c>
      <c r="H3" s="21" t="s">
        <v>319</v>
      </c>
      <c r="I3" s="23" t="s">
        <v>766</v>
      </c>
      <c r="J3" s="21" t="s">
        <v>31</v>
      </c>
      <c r="K3" s="21" t="s">
        <v>31</v>
      </c>
      <c r="L3" s="23" t="s">
        <v>164</v>
      </c>
      <c r="M3" s="23" t="s">
        <v>446</v>
      </c>
      <c r="N3" s="23" t="s">
        <v>136</v>
      </c>
      <c r="O3" s="23" t="s">
        <v>2640</v>
      </c>
      <c r="P3" s="21" t="s">
        <v>35</v>
      </c>
      <c r="Q3" s="23" t="s">
        <v>164</v>
      </c>
      <c r="R3" s="23" t="s">
        <v>896</v>
      </c>
      <c r="S3" s="23" t="s">
        <v>2641</v>
      </c>
      <c r="T3" s="23"/>
      <c r="U3" s="156">
        <v>9693</v>
      </c>
      <c r="V3" s="156">
        <v>1</v>
      </c>
      <c r="W3" s="156">
        <v>0</v>
      </c>
      <c r="X3" s="156">
        <v>0</v>
      </c>
      <c r="Y3" s="173">
        <v>8.777506035424821E-9</v>
      </c>
      <c r="Z3" s="173">
        <v>9.718309212426889E-12</v>
      </c>
    </row>
    <row r="4" spans="1:26">
      <c r="A4" s="23" t="s">
        <v>26</v>
      </c>
      <c r="B4" s="23">
        <v>1477</v>
      </c>
      <c r="C4" s="23" t="s">
        <v>2274</v>
      </c>
      <c r="D4" s="23" t="s">
        <v>2275</v>
      </c>
      <c r="E4" s="21" t="s">
        <v>312</v>
      </c>
      <c r="F4" s="23" t="s">
        <v>2633</v>
      </c>
      <c r="G4" s="23" t="s">
        <v>2634</v>
      </c>
      <c r="H4" s="21" t="s">
        <v>319</v>
      </c>
      <c r="I4" s="23" t="s">
        <v>766</v>
      </c>
      <c r="J4" s="21" t="s">
        <v>73</v>
      </c>
      <c r="K4" s="21" t="s">
        <v>74</v>
      </c>
      <c r="L4" s="23" t="s">
        <v>164</v>
      </c>
      <c r="M4" s="23" t="s">
        <v>476</v>
      </c>
      <c r="N4" s="23" t="s">
        <v>136</v>
      </c>
      <c r="O4" s="2" t="s">
        <v>2635</v>
      </c>
      <c r="P4" s="21" t="s">
        <v>78</v>
      </c>
      <c r="Q4" s="23" t="s">
        <v>164</v>
      </c>
      <c r="R4" s="23"/>
      <c r="S4" s="23" t="s">
        <v>2635</v>
      </c>
      <c r="T4" s="23"/>
      <c r="U4" s="156">
        <v>120</v>
      </c>
      <c r="V4" s="156">
        <v>3.681</v>
      </c>
      <c r="W4" s="156">
        <v>25</v>
      </c>
      <c r="X4" s="156">
        <v>11.042999999999999</v>
      </c>
      <c r="Y4" s="173">
        <v>0.99999999122249394</v>
      </c>
      <c r="Z4" s="173">
        <v>1.1071834172374901E-3</v>
      </c>
    </row>
    <row r="5" spans="1:26">
      <c r="A5" s="23" t="s">
        <v>26</v>
      </c>
      <c r="B5" s="23">
        <v>9962</v>
      </c>
      <c r="C5" s="23" t="s">
        <v>2636</v>
      </c>
      <c r="D5" s="23" t="s">
        <v>2637</v>
      </c>
      <c r="E5" s="21" t="s">
        <v>34</v>
      </c>
      <c r="F5" s="23" t="s">
        <v>2638</v>
      </c>
      <c r="G5" s="23" t="s">
        <v>2639</v>
      </c>
      <c r="H5" s="21" t="s">
        <v>319</v>
      </c>
      <c r="I5" s="23" t="s">
        <v>766</v>
      </c>
      <c r="J5" s="21" t="s">
        <v>31</v>
      </c>
      <c r="K5" s="21" t="s">
        <v>31</v>
      </c>
      <c r="L5" s="23" t="s">
        <v>164</v>
      </c>
      <c r="M5" s="23" t="s">
        <v>446</v>
      </c>
      <c r="N5" s="23" t="s">
        <v>136</v>
      </c>
      <c r="O5" s="23" t="s">
        <v>2640</v>
      </c>
      <c r="P5" s="21" t="s">
        <v>35</v>
      </c>
      <c r="Q5" s="23" t="s">
        <v>164</v>
      </c>
      <c r="R5" s="23" t="s">
        <v>896</v>
      </c>
      <c r="S5" s="23" t="s">
        <v>2641</v>
      </c>
      <c r="T5" s="23"/>
      <c r="U5" s="156">
        <v>30695</v>
      </c>
      <c r="V5" s="156">
        <v>1</v>
      </c>
      <c r="W5" s="156">
        <v>0</v>
      </c>
      <c r="X5" s="156">
        <v>0</v>
      </c>
      <c r="Y5" s="173">
        <v>7.4122369579477506E-9</v>
      </c>
      <c r="Z5" s="173">
        <v>9.9441645334517899E-12</v>
      </c>
    </row>
    <row r="6" spans="1:26">
      <c r="A6" s="23" t="s">
        <v>26</v>
      </c>
      <c r="B6" s="23">
        <v>9962</v>
      </c>
      <c r="C6" s="23" t="s">
        <v>2274</v>
      </c>
      <c r="D6" s="23" t="s">
        <v>2275</v>
      </c>
      <c r="E6" s="21" t="s">
        <v>312</v>
      </c>
      <c r="F6" s="23" t="s">
        <v>2633</v>
      </c>
      <c r="G6" s="23" t="s">
        <v>2634</v>
      </c>
      <c r="H6" s="21" t="s">
        <v>319</v>
      </c>
      <c r="I6" s="23" t="s">
        <v>766</v>
      </c>
      <c r="J6" s="21" t="s">
        <v>73</v>
      </c>
      <c r="K6" s="21" t="s">
        <v>74</v>
      </c>
      <c r="L6" s="23" t="s">
        <v>164</v>
      </c>
      <c r="M6" s="23" t="s">
        <v>476</v>
      </c>
      <c r="N6" s="23" t="s">
        <v>136</v>
      </c>
      <c r="O6" s="23" t="s">
        <v>2635</v>
      </c>
      <c r="P6" s="21" t="s">
        <v>78</v>
      </c>
      <c r="Q6" s="23" t="s">
        <v>164</v>
      </c>
      <c r="R6" s="23"/>
      <c r="S6" s="23" t="s">
        <v>2635</v>
      </c>
      <c r="T6" s="23"/>
      <c r="U6" s="156">
        <v>450</v>
      </c>
      <c r="V6" s="156">
        <v>3.681</v>
      </c>
      <c r="W6" s="156">
        <v>25</v>
      </c>
      <c r="X6" s="156">
        <v>41.411000000000001</v>
      </c>
      <c r="Y6" s="173">
        <v>0.99999999258776295</v>
      </c>
      <c r="Z6" s="173">
        <v>1.34158750133867E-3</v>
      </c>
    </row>
    <row r="7" spans="1:26">
      <c r="A7" s="23" t="s">
        <v>26</v>
      </c>
      <c r="B7" s="23">
        <v>9963</v>
      </c>
      <c r="C7" s="23" t="s">
        <v>2642</v>
      </c>
      <c r="D7" s="23" t="s">
        <v>2643</v>
      </c>
      <c r="E7" s="21" t="s">
        <v>1305</v>
      </c>
      <c r="F7" s="23" t="s">
        <v>2644</v>
      </c>
      <c r="G7" s="23" t="s">
        <v>2645</v>
      </c>
      <c r="H7" s="21" t="s">
        <v>34</v>
      </c>
      <c r="I7" s="23" t="s">
        <v>766</v>
      </c>
      <c r="J7" s="21" t="s">
        <v>31</v>
      </c>
      <c r="K7" s="21" t="s">
        <v>74</v>
      </c>
      <c r="L7" s="23" t="s">
        <v>164</v>
      </c>
      <c r="M7" s="23" t="s">
        <v>555</v>
      </c>
      <c r="N7" s="23" t="s">
        <v>136</v>
      </c>
      <c r="O7" s="23" t="s">
        <v>2646</v>
      </c>
      <c r="P7" s="21" t="s">
        <v>78</v>
      </c>
      <c r="Q7" s="23" t="s">
        <v>164</v>
      </c>
      <c r="R7" s="23"/>
      <c r="S7" s="23" t="s">
        <v>2647</v>
      </c>
      <c r="T7" s="23"/>
      <c r="U7" s="156">
        <v>237368</v>
      </c>
      <c r="V7" s="156">
        <v>3.681</v>
      </c>
      <c r="W7" s="156">
        <v>273.83600000000001</v>
      </c>
      <c r="X7" s="156">
        <v>2392.645</v>
      </c>
      <c r="Y7" s="173">
        <v>0.14339815336900699</v>
      </c>
      <c r="Z7" s="173">
        <v>2.3286988894164399E-3</v>
      </c>
    </row>
    <row r="8" spans="1:26">
      <c r="A8" s="23" t="s">
        <v>26</v>
      </c>
      <c r="B8" s="23">
        <v>9963</v>
      </c>
      <c r="C8" s="23" t="s">
        <v>2648</v>
      </c>
      <c r="D8" s="23" t="s">
        <v>2649</v>
      </c>
      <c r="E8" s="21" t="s">
        <v>1305</v>
      </c>
      <c r="F8" s="23" t="s">
        <v>2648</v>
      </c>
      <c r="G8" s="23" t="s">
        <v>2650</v>
      </c>
      <c r="H8" s="21" t="s">
        <v>34</v>
      </c>
      <c r="I8" s="23" t="s">
        <v>766</v>
      </c>
      <c r="J8" s="21" t="s">
        <v>31</v>
      </c>
      <c r="K8" s="21" t="s">
        <v>31</v>
      </c>
      <c r="L8" s="23" t="s">
        <v>164</v>
      </c>
      <c r="M8" s="23" t="s">
        <v>446</v>
      </c>
      <c r="N8" s="23" t="s">
        <v>136</v>
      </c>
      <c r="O8" s="23" t="s">
        <v>2651</v>
      </c>
      <c r="P8" s="21" t="s">
        <v>78</v>
      </c>
      <c r="Q8" s="23" t="s">
        <v>164</v>
      </c>
      <c r="R8" s="23"/>
      <c r="S8" s="23" t="s">
        <v>2652</v>
      </c>
      <c r="T8" s="23"/>
      <c r="U8" s="156">
        <v>167852</v>
      </c>
      <c r="V8" s="156">
        <v>3.681</v>
      </c>
      <c r="W8" s="156">
        <v>830.053</v>
      </c>
      <c r="X8" s="156">
        <v>5128.5910000000003</v>
      </c>
      <c r="Y8" s="173">
        <v>0.30737138832278499</v>
      </c>
      <c r="Z8" s="173">
        <v>4.9915246034148604E-3</v>
      </c>
    </row>
    <row r="9" spans="1:26">
      <c r="A9" s="23" t="s">
        <v>26</v>
      </c>
      <c r="B9" s="23">
        <v>9963</v>
      </c>
      <c r="C9" s="23" t="s">
        <v>2653</v>
      </c>
      <c r="D9" s="23" t="s">
        <v>2654</v>
      </c>
      <c r="E9" s="21" t="s">
        <v>1305</v>
      </c>
      <c r="F9" s="23" t="s">
        <v>2655</v>
      </c>
      <c r="G9" s="23" t="s">
        <v>2656</v>
      </c>
      <c r="H9" s="21" t="s">
        <v>319</v>
      </c>
      <c r="I9" s="23" t="s">
        <v>766</v>
      </c>
      <c r="J9" s="21" t="s">
        <v>31</v>
      </c>
      <c r="K9" s="21" t="s">
        <v>31</v>
      </c>
      <c r="L9" s="23" t="s">
        <v>164</v>
      </c>
      <c r="M9" s="23" t="s">
        <v>441</v>
      </c>
      <c r="N9" s="23" t="s">
        <v>136</v>
      </c>
      <c r="O9" s="23" t="s">
        <v>163</v>
      </c>
      <c r="P9" s="21" t="s">
        <v>35</v>
      </c>
      <c r="Q9" s="23" t="s">
        <v>164</v>
      </c>
      <c r="R9" s="23" t="s">
        <v>896</v>
      </c>
      <c r="S9" s="23" t="s">
        <v>1310</v>
      </c>
      <c r="T9" s="23"/>
      <c r="U9" s="156">
        <v>20165</v>
      </c>
      <c r="V9" s="156">
        <v>1</v>
      </c>
      <c r="W9" s="156">
        <v>0</v>
      </c>
      <c r="X9" s="156">
        <v>0</v>
      </c>
      <c r="Y9" s="173">
        <v>1.2085471773448598E-11</v>
      </c>
      <c r="Z9" s="173">
        <v>1.9626071909365399E-13</v>
      </c>
    </row>
    <row r="10" spans="1:26">
      <c r="A10" s="23" t="s">
        <v>26</v>
      </c>
      <c r="B10" s="23">
        <v>9963</v>
      </c>
      <c r="C10" s="23" t="s">
        <v>2657</v>
      </c>
      <c r="D10" s="23" t="s">
        <v>2658</v>
      </c>
      <c r="E10" s="21" t="s">
        <v>1305</v>
      </c>
      <c r="F10" s="23" t="s">
        <v>2657</v>
      </c>
      <c r="G10" s="23" t="s">
        <v>2659</v>
      </c>
      <c r="H10" s="21" t="s">
        <v>34</v>
      </c>
      <c r="I10" s="23" t="s">
        <v>766</v>
      </c>
      <c r="J10" s="21" t="s">
        <v>31</v>
      </c>
      <c r="K10" s="21" t="s">
        <v>31</v>
      </c>
      <c r="L10" s="23" t="s">
        <v>164</v>
      </c>
      <c r="M10" s="23" t="s">
        <v>461</v>
      </c>
      <c r="N10" s="23" t="s">
        <v>136</v>
      </c>
      <c r="O10" s="23" t="s">
        <v>2660</v>
      </c>
      <c r="P10" s="21" t="s">
        <v>35</v>
      </c>
      <c r="Q10" s="23" t="s">
        <v>164</v>
      </c>
      <c r="R10" s="23" t="s">
        <v>896</v>
      </c>
      <c r="S10" s="23" t="s">
        <v>2661</v>
      </c>
      <c r="T10" s="23"/>
      <c r="U10" s="156">
        <v>396.62</v>
      </c>
      <c r="V10" s="156">
        <v>1</v>
      </c>
      <c r="W10" s="156">
        <v>126084.277</v>
      </c>
      <c r="X10" s="156">
        <v>500.07499999999999</v>
      </c>
      <c r="Y10" s="173">
        <v>2.9970978769146599E-2</v>
      </c>
      <c r="Z10" s="173">
        <v>4.8671048639542497E-4</v>
      </c>
    </row>
    <row r="11" spans="1:26">
      <c r="A11" s="23" t="s">
        <v>26</v>
      </c>
      <c r="B11" s="23">
        <v>9963</v>
      </c>
      <c r="C11" s="23" t="s">
        <v>2662</v>
      </c>
      <c r="D11" s="23" t="s">
        <v>2663</v>
      </c>
      <c r="E11" s="21" t="s">
        <v>1305</v>
      </c>
      <c r="F11" s="23" t="s">
        <v>2664</v>
      </c>
      <c r="G11" s="23" t="s">
        <v>2665</v>
      </c>
      <c r="H11" s="21" t="s">
        <v>34</v>
      </c>
      <c r="I11" s="23" t="s">
        <v>766</v>
      </c>
      <c r="J11" s="21" t="s">
        <v>31</v>
      </c>
      <c r="K11" s="21" t="s">
        <v>31</v>
      </c>
      <c r="L11" s="23" t="s">
        <v>164</v>
      </c>
      <c r="M11" s="23" t="s">
        <v>461</v>
      </c>
      <c r="N11" s="23" t="s">
        <v>136</v>
      </c>
      <c r="O11" s="23" t="s">
        <v>2666</v>
      </c>
      <c r="P11" s="21" t="s">
        <v>35</v>
      </c>
      <c r="Q11" s="23" t="s">
        <v>164</v>
      </c>
      <c r="R11" s="23"/>
      <c r="S11" s="23" t="s">
        <v>2667</v>
      </c>
      <c r="T11" s="23"/>
      <c r="U11" s="156">
        <v>38</v>
      </c>
      <c r="V11" s="156">
        <v>1</v>
      </c>
      <c r="W11" s="156">
        <v>763150</v>
      </c>
      <c r="X11" s="156">
        <v>289.99700000000001</v>
      </c>
      <c r="Y11" s="173">
        <v>1.7380364779988999E-2</v>
      </c>
      <c r="Z11" s="173">
        <v>2.8224656461692298E-4</v>
      </c>
    </row>
    <row r="12" spans="1:26">
      <c r="A12" s="23" t="s">
        <v>26</v>
      </c>
      <c r="B12" s="23">
        <v>9963</v>
      </c>
      <c r="C12" s="23" t="s">
        <v>2636</v>
      </c>
      <c r="D12" s="23" t="s">
        <v>2637</v>
      </c>
      <c r="E12" s="21" t="s">
        <v>34</v>
      </c>
      <c r="F12" s="23" t="s">
        <v>2638</v>
      </c>
      <c r="G12" s="23" t="s">
        <v>2639</v>
      </c>
      <c r="H12" s="21" t="s">
        <v>319</v>
      </c>
      <c r="I12" s="23" t="s">
        <v>766</v>
      </c>
      <c r="J12" s="21" t="s">
        <v>31</v>
      </c>
      <c r="K12" s="21" t="s">
        <v>31</v>
      </c>
      <c r="L12" s="23" t="s">
        <v>164</v>
      </c>
      <c r="M12" s="23" t="s">
        <v>446</v>
      </c>
      <c r="N12" s="23" t="s">
        <v>136</v>
      </c>
      <c r="O12" s="23" t="s">
        <v>2640</v>
      </c>
      <c r="P12" s="21" t="s">
        <v>35</v>
      </c>
      <c r="Q12" s="23" t="s">
        <v>164</v>
      </c>
      <c r="R12" s="23" t="s">
        <v>896</v>
      </c>
      <c r="S12" s="23" t="s">
        <v>2641</v>
      </c>
      <c r="T12" s="23"/>
      <c r="U12" s="156">
        <v>2116317</v>
      </c>
      <c r="V12" s="156">
        <v>1</v>
      </c>
      <c r="W12" s="156">
        <v>0</v>
      </c>
      <c r="X12" s="156">
        <v>0</v>
      </c>
      <c r="Y12" s="173">
        <v>1.26837041245571E-9</v>
      </c>
      <c r="Z12" s="173">
        <v>2.0597564902064199E-11</v>
      </c>
    </row>
    <row r="13" spans="1:26">
      <c r="A13" s="23" t="s">
        <v>26</v>
      </c>
      <c r="B13" s="23">
        <v>9963</v>
      </c>
      <c r="C13" s="23" t="s">
        <v>2668</v>
      </c>
      <c r="D13" s="23" t="s">
        <v>2669</v>
      </c>
      <c r="E13" s="21" t="s">
        <v>34</v>
      </c>
      <c r="F13" s="23" t="s">
        <v>2670</v>
      </c>
      <c r="G13" s="23" t="s">
        <v>2671</v>
      </c>
      <c r="H13" s="21" t="s">
        <v>34</v>
      </c>
      <c r="I13" s="23" t="s">
        <v>766</v>
      </c>
      <c r="J13" s="21" t="s">
        <v>73</v>
      </c>
      <c r="K13" s="21" t="s">
        <v>238</v>
      </c>
      <c r="L13" s="23" t="s">
        <v>164</v>
      </c>
      <c r="M13" s="23" t="s">
        <v>544</v>
      </c>
      <c r="N13" s="23" t="s">
        <v>136</v>
      </c>
      <c r="O13" s="23" t="s">
        <v>2613</v>
      </c>
      <c r="P13" s="21" t="s">
        <v>1178</v>
      </c>
      <c r="Q13" s="23" t="s">
        <v>164</v>
      </c>
      <c r="R13" s="23"/>
      <c r="S13" s="23" t="s">
        <v>1310</v>
      </c>
      <c r="T13" s="23"/>
      <c r="U13" s="156">
        <v>502500</v>
      </c>
      <c r="V13" s="156">
        <v>3.9790000000000001</v>
      </c>
      <c r="W13" s="156">
        <v>150.571</v>
      </c>
      <c r="X13" s="156">
        <v>3010.67</v>
      </c>
      <c r="Y13" s="173">
        <v>0.18043820655111401</v>
      </c>
      <c r="Z13" s="173">
        <v>2.9302068494745899E-3</v>
      </c>
    </row>
    <row r="14" spans="1:26">
      <c r="A14" s="23" t="s">
        <v>26</v>
      </c>
      <c r="B14" s="23">
        <v>9963</v>
      </c>
      <c r="C14" s="23" t="s">
        <v>2672</v>
      </c>
      <c r="D14" s="23" t="s">
        <v>2673</v>
      </c>
      <c r="E14" s="21" t="s">
        <v>34</v>
      </c>
      <c r="F14" s="23" t="s">
        <v>2672</v>
      </c>
      <c r="G14" s="23" t="s">
        <v>2674</v>
      </c>
      <c r="H14" s="21" t="s">
        <v>34</v>
      </c>
      <c r="I14" s="23" t="s">
        <v>766</v>
      </c>
      <c r="J14" s="21" t="s">
        <v>73</v>
      </c>
      <c r="K14" s="21" t="s">
        <v>296</v>
      </c>
      <c r="L14" s="23" t="s">
        <v>164</v>
      </c>
      <c r="M14" s="23" t="s">
        <v>544</v>
      </c>
      <c r="N14" s="23" t="s">
        <v>136</v>
      </c>
      <c r="O14" s="23" t="s">
        <v>2675</v>
      </c>
      <c r="P14" s="21" t="s">
        <v>78</v>
      </c>
      <c r="Q14" s="23" t="s">
        <v>164</v>
      </c>
      <c r="R14" s="23"/>
      <c r="S14" s="23" t="s">
        <v>2676</v>
      </c>
      <c r="T14" s="23"/>
      <c r="U14" s="156">
        <v>3285</v>
      </c>
      <c r="V14" s="156">
        <v>3.681</v>
      </c>
      <c r="W14" s="156">
        <v>20229.371999999999</v>
      </c>
      <c r="X14" s="156">
        <v>2446.1529999999998</v>
      </c>
      <c r="Y14" s="173">
        <v>0.14660506454482899</v>
      </c>
      <c r="Z14" s="173">
        <v>2.3807771785585201E-3</v>
      </c>
    </row>
    <row r="15" spans="1:26">
      <c r="A15" s="23" t="s">
        <v>26</v>
      </c>
      <c r="B15" s="23">
        <v>9963</v>
      </c>
      <c r="C15" s="23" t="s">
        <v>2274</v>
      </c>
      <c r="D15" s="23" t="s">
        <v>2275</v>
      </c>
      <c r="E15" s="21" t="s">
        <v>312</v>
      </c>
      <c r="F15" s="23" t="s">
        <v>2633</v>
      </c>
      <c r="G15" s="23" t="s">
        <v>2634</v>
      </c>
      <c r="H15" s="21" t="s">
        <v>319</v>
      </c>
      <c r="I15" s="23" t="s">
        <v>766</v>
      </c>
      <c r="J15" s="21" t="s">
        <v>73</v>
      </c>
      <c r="K15" s="21" t="s">
        <v>74</v>
      </c>
      <c r="L15" s="23" t="s">
        <v>164</v>
      </c>
      <c r="M15" s="23" t="s">
        <v>476</v>
      </c>
      <c r="N15" s="23" t="s">
        <v>136</v>
      </c>
      <c r="O15" s="23" t="s">
        <v>2635</v>
      </c>
      <c r="P15" s="21" t="s">
        <v>78</v>
      </c>
      <c r="Q15" s="23" t="s">
        <v>164</v>
      </c>
      <c r="R15" s="23"/>
      <c r="S15" s="23" t="s">
        <v>2635</v>
      </c>
      <c r="T15" s="23"/>
      <c r="U15" s="156">
        <v>31700</v>
      </c>
      <c r="V15" s="156">
        <v>3.681</v>
      </c>
      <c r="W15" s="156">
        <v>25</v>
      </c>
      <c r="X15" s="156">
        <v>2917.1930000000002</v>
      </c>
      <c r="Y15" s="173">
        <v>0.174835842382673</v>
      </c>
      <c r="Z15" s="173">
        <v>2.8392278590856201E-3</v>
      </c>
    </row>
    <row r="16" spans="1:26">
      <c r="A16" s="23" t="s">
        <v>26</v>
      </c>
      <c r="B16" s="23">
        <v>9964</v>
      </c>
      <c r="C16" s="23" t="s">
        <v>2636</v>
      </c>
      <c r="D16" s="23" t="s">
        <v>2637</v>
      </c>
      <c r="E16" s="21" t="s">
        <v>34</v>
      </c>
      <c r="F16" s="23" t="s">
        <v>2638</v>
      </c>
      <c r="G16" s="23" t="s">
        <v>2639</v>
      </c>
      <c r="H16" s="21" t="s">
        <v>319</v>
      </c>
      <c r="I16" s="23" t="s">
        <v>766</v>
      </c>
      <c r="J16" s="21" t="s">
        <v>31</v>
      </c>
      <c r="K16" s="21" t="s">
        <v>31</v>
      </c>
      <c r="L16" s="23" t="s">
        <v>164</v>
      </c>
      <c r="M16" s="23" t="s">
        <v>446</v>
      </c>
      <c r="N16" s="23" t="s">
        <v>136</v>
      </c>
      <c r="O16" s="23" t="s">
        <v>2640</v>
      </c>
      <c r="P16" s="21" t="s">
        <v>35</v>
      </c>
      <c r="Q16" s="23" t="s">
        <v>164</v>
      </c>
      <c r="R16" s="23" t="s">
        <v>896</v>
      </c>
      <c r="S16" s="23" t="s">
        <v>2641</v>
      </c>
      <c r="T16" s="23"/>
      <c r="U16" s="156">
        <v>24232</v>
      </c>
      <c r="V16" s="156">
        <v>1</v>
      </c>
      <c r="W16" s="156">
        <v>0</v>
      </c>
      <c r="X16" s="156">
        <v>0</v>
      </c>
      <c r="Y16" s="173">
        <v>3.0978794029668602E-9</v>
      </c>
      <c r="Z16" s="173">
        <v>6.9853703903031794E-12</v>
      </c>
    </row>
    <row r="17" spans="1:26">
      <c r="A17" s="23" t="s">
        <v>26</v>
      </c>
      <c r="B17" s="23">
        <v>9964</v>
      </c>
      <c r="C17" s="23" t="s">
        <v>2274</v>
      </c>
      <c r="D17" s="23" t="s">
        <v>2275</v>
      </c>
      <c r="E17" s="21" t="s">
        <v>312</v>
      </c>
      <c r="F17" s="23" t="s">
        <v>2633</v>
      </c>
      <c r="G17" s="23" t="s">
        <v>2634</v>
      </c>
      <c r="H17" s="21" t="s">
        <v>319</v>
      </c>
      <c r="I17" s="23" t="s">
        <v>766</v>
      </c>
      <c r="J17" s="21" t="s">
        <v>73</v>
      </c>
      <c r="K17" s="21" t="s">
        <v>74</v>
      </c>
      <c r="L17" s="23" t="s">
        <v>164</v>
      </c>
      <c r="M17" s="23" t="s">
        <v>476</v>
      </c>
      <c r="N17" s="23" t="s">
        <v>136</v>
      </c>
      <c r="O17" s="23" t="s">
        <v>2635</v>
      </c>
      <c r="P17" s="21" t="s">
        <v>78</v>
      </c>
      <c r="Q17" s="23" t="s">
        <v>164</v>
      </c>
      <c r="R17" s="23"/>
      <c r="S17" s="23" t="s">
        <v>2635</v>
      </c>
      <c r="T17" s="23"/>
      <c r="U17" s="156">
        <v>850</v>
      </c>
      <c r="V17" s="156">
        <v>3.681</v>
      </c>
      <c r="W17" s="156">
        <v>25</v>
      </c>
      <c r="X17" s="156">
        <v>78.221000000000004</v>
      </c>
      <c r="Y17" s="173">
        <v>0.99999999690212005</v>
      </c>
      <c r="Z17" s="173">
        <v>2.2548877667650301E-3</v>
      </c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>
      <selection activeCell="E2" sqref="E2:E62"/>
    </sheetView>
  </sheetViews>
  <sheetFormatPr defaultColWidth="9" defaultRowHeight="14.25"/>
  <cols>
    <col min="1" max="2" width="11.625" style="2" customWidth="1"/>
    <col min="3" max="3" width="24.125" style="2" customWidth="1"/>
    <col min="4" max="4" width="11.625" style="2" customWidth="1"/>
    <col min="5" max="5" width="22.75" style="2" bestFit="1" customWidth="1"/>
    <col min="6" max="6" width="23.25" style="2" customWidth="1"/>
    <col min="7" max="7" width="19.125" style="2" customWidth="1"/>
    <col min="8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189</v>
      </c>
      <c r="D1" s="22" t="s">
        <v>190</v>
      </c>
      <c r="E1" s="22" t="s">
        <v>191</v>
      </c>
      <c r="F1" s="22" t="s">
        <v>192</v>
      </c>
      <c r="G1" s="22" t="s">
        <v>193</v>
      </c>
      <c r="H1" s="22" t="s">
        <v>194</v>
      </c>
      <c r="I1" s="22" t="s">
        <v>5</v>
      </c>
      <c r="J1" s="22" t="s">
        <v>831</v>
      </c>
      <c r="K1" s="22" t="s">
        <v>6</v>
      </c>
      <c r="L1" s="22" t="s">
        <v>1128</v>
      </c>
      <c r="M1" s="22" t="s">
        <v>1129</v>
      </c>
      <c r="N1" s="22" t="s">
        <v>7</v>
      </c>
      <c r="O1" s="22" t="s">
        <v>123</v>
      </c>
      <c r="P1" s="32" t="s">
        <v>152</v>
      </c>
      <c r="Q1" s="22" t="s">
        <v>11</v>
      </c>
      <c r="R1" s="22" t="s">
        <v>145</v>
      </c>
      <c r="S1" s="22" t="s">
        <v>146</v>
      </c>
      <c r="T1" s="22" t="s">
        <v>132</v>
      </c>
      <c r="U1" s="22" t="s">
        <v>18</v>
      </c>
      <c r="V1" s="109" t="s">
        <v>2493</v>
      </c>
      <c r="W1" s="22" t="s">
        <v>20</v>
      </c>
      <c r="X1" s="22" t="s">
        <v>1131</v>
      </c>
      <c r="Y1" s="166" t="s">
        <v>24</v>
      </c>
      <c r="Z1" s="166" t="s">
        <v>25</v>
      </c>
      <c r="AA1" s="11"/>
    </row>
    <row r="2" spans="1:27">
      <c r="A2" s="23" t="s">
        <v>26</v>
      </c>
      <c r="B2" s="23">
        <v>9962</v>
      </c>
      <c r="C2" s="23"/>
      <c r="D2"/>
      <c r="E2" s="23"/>
      <c r="F2" s="23" t="s">
        <v>2494</v>
      </c>
      <c r="G2" s="23">
        <v>62019286</v>
      </c>
      <c r="H2" s="23" t="s">
        <v>34</v>
      </c>
      <c r="I2" s="2" t="s">
        <v>1028</v>
      </c>
      <c r="J2" s="23" t="s">
        <v>567</v>
      </c>
      <c r="K2" s="21" t="s">
        <v>73</v>
      </c>
      <c r="L2" s="23"/>
      <c r="M2" s="23"/>
      <c r="N2" s="21" t="s">
        <v>293</v>
      </c>
      <c r="O2" s="23" t="s">
        <v>136</v>
      </c>
      <c r="P2" t="s">
        <v>2495</v>
      </c>
      <c r="Q2" s="21" t="s">
        <v>78</v>
      </c>
      <c r="R2" s="23" t="s">
        <v>892</v>
      </c>
      <c r="S2" s="23" t="s">
        <v>896</v>
      </c>
      <c r="T2" s="23" t="s">
        <v>2496</v>
      </c>
      <c r="U2" s="156">
        <v>3.681</v>
      </c>
      <c r="V2" s="156">
        <v>12.596</v>
      </c>
      <c r="W2" s="156">
        <v>46.363999999999997</v>
      </c>
      <c r="X2" s="23"/>
      <c r="Y2" s="173">
        <v>1</v>
      </c>
      <c r="Z2" s="173">
        <v>1.5020481280997801E-3</v>
      </c>
    </row>
    <row r="3" spans="1:27">
      <c r="A3" s="23" t="s">
        <v>26</v>
      </c>
      <c r="B3" s="23">
        <v>9963</v>
      </c>
      <c r="C3" s="23"/>
      <c r="E3" s="23"/>
      <c r="F3" s="23" t="s">
        <v>2497</v>
      </c>
      <c r="G3" s="23">
        <v>62018528</v>
      </c>
      <c r="H3" s="23" t="s">
        <v>34</v>
      </c>
      <c r="I3" s="2" t="s">
        <v>1025</v>
      </c>
      <c r="J3" s="23" t="s">
        <v>567</v>
      </c>
      <c r="K3" s="21" t="s">
        <v>31</v>
      </c>
      <c r="L3" s="23"/>
      <c r="M3" s="23"/>
      <c r="N3" s="21" t="s">
        <v>293</v>
      </c>
      <c r="O3" s="23" t="s">
        <v>136</v>
      </c>
      <c r="P3" t="s">
        <v>2498</v>
      </c>
      <c r="Q3" s="21" t="s">
        <v>1178</v>
      </c>
      <c r="R3" s="23" t="s">
        <v>892</v>
      </c>
      <c r="S3" s="23" t="s">
        <v>896</v>
      </c>
      <c r="T3" s="30" t="s">
        <v>2499</v>
      </c>
      <c r="U3" s="156">
        <v>3.9790000000000001</v>
      </c>
      <c r="V3" s="156">
        <v>372.851</v>
      </c>
      <c r="W3" s="156">
        <v>1483.61</v>
      </c>
      <c r="X3" s="30"/>
      <c r="Y3" s="173">
        <v>9.4662671489842698E-3</v>
      </c>
      <c r="Z3" s="173">
        <v>1.44395889571617E-3</v>
      </c>
    </row>
    <row r="4" spans="1:27">
      <c r="A4" s="23" t="s">
        <v>26</v>
      </c>
      <c r="B4" s="23">
        <v>9963</v>
      </c>
      <c r="C4" s="23"/>
      <c r="E4" s="23"/>
      <c r="F4" s="23" t="s">
        <v>2500</v>
      </c>
      <c r="G4" s="23">
        <v>62018080</v>
      </c>
      <c r="H4" s="23" t="s">
        <v>34</v>
      </c>
      <c r="I4" s="2" t="s">
        <v>1025</v>
      </c>
      <c r="J4" s="23" t="s">
        <v>567</v>
      </c>
      <c r="K4" s="21" t="s">
        <v>31</v>
      </c>
      <c r="L4" s="23"/>
      <c r="M4" s="23"/>
      <c r="N4" s="21" t="s">
        <v>31</v>
      </c>
      <c r="O4" s="23" t="s">
        <v>136</v>
      </c>
      <c r="P4" t="s">
        <v>2501</v>
      </c>
      <c r="Q4" s="21" t="s">
        <v>78</v>
      </c>
      <c r="R4" s="23" t="s">
        <v>892</v>
      </c>
      <c r="S4" s="23" t="s">
        <v>896</v>
      </c>
      <c r="T4" s="23" t="s">
        <v>2502</v>
      </c>
      <c r="U4" s="156">
        <v>3.681</v>
      </c>
      <c r="V4" s="156">
        <v>735.072</v>
      </c>
      <c r="W4" s="156">
        <v>2705.8</v>
      </c>
      <c r="X4" s="30"/>
      <c r="Y4" s="173">
        <v>1.7264527712958201E-2</v>
      </c>
      <c r="Z4" s="173">
        <v>2.6334845593428201E-3</v>
      </c>
    </row>
    <row r="5" spans="1:27">
      <c r="A5" s="23" t="s">
        <v>26</v>
      </c>
      <c r="B5" s="23">
        <v>9963</v>
      </c>
      <c r="C5" s="23"/>
      <c r="E5" s="23"/>
      <c r="F5" s="23" t="s">
        <v>2504</v>
      </c>
      <c r="G5" s="23">
        <v>50000967</v>
      </c>
      <c r="H5" s="23" t="s">
        <v>34</v>
      </c>
      <c r="I5" s="2" t="s">
        <v>1028</v>
      </c>
      <c r="J5" s="23" t="s">
        <v>567</v>
      </c>
      <c r="K5" s="21" t="s">
        <v>31</v>
      </c>
      <c r="L5" s="23"/>
      <c r="M5" s="23"/>
      <c r="N5" s="21" t="s">
        <v>31</v>
      </c>
      <c r="O5" s="23" t="s">
        <v>136</v>
      </c>
      <c r="P5" t="s">
        <v>2505</v>
      </c>
      <c r="Q5" s="21" t="s">
        <v>35</v>
      </c>
      <c r="R5" s="23" t="s">
        <v>892</v>
      </c>
      <c r="S5" s="23" t="s">
        <v>896</v>
      </c>
      <c r="T5" s="23" t="s">
        <v>1310</v>
      </c>
      <c r="U5" s="156">
        <v>1</v>
      </c>
      <c r="V5" s="156">
        <v>2275.56</v>
      </c>
      <c r="W5" s="156">
        <v>2275.56</v>
      </c>
      <c r="X5" s="30"/>
      <c r="Y5" s="173">
        <v>1.4519356757049601E-2</v>
      </c>
      <c r="Z5" s="173">
        <v>2.2147435752083102E-3</v>
      </c>
    </row>
    <row r="6" spans="1:27">
      <c r="A6" s="23" t="s">
        <v>26</v>
      </c>
      <c r="B6" s="23">
        <v>9963</v>
      </c>
      <c r="C6" s="23"/>
      <c r="E6" s="23"/>
      <c r="F6" s="23" t="s">
        <v>2506</v>
      </c>
      <c r="G6" s="23">
        <v>50007947</v>
      </c>
      <c r="H6" s="23" t="s">
        <v>34</v>
      </c>
      <c r="I6" s="2" t="s">
        <v>1028</v>
      </c>
      <c r="J6" s="23" t="s">
        <v>567</v>
      </c>
      <c r="K6" s="21" t="s">
        <v>31</v>
      </c>
      <c r="L6" s="23"/>
      <c r="M6" s="23"/>
      <c r="N6" s="21" t="s">
        <v>31</v>
      </c>
      <c r="O6" s="23" t="s">
        <v>136</v>
      </c>
      <c r="P6" t="s">
        <v>2507</v>
      </c>
      <c r="Q6" s="21" t="s">
        <v>35</v>
      </c>
      <c r="R6" s="23" t="s">
        <v>892</v>
      </c>
      <c r="S6" s="23" t="s">
        <v>896</v>
      </c>
      <c r="T6" s="23" t="s">
        <v>1310</v>
      </c>
      <c r="U6" s="156">
        <v>1</v>
      </c>
      <c r="V6" s="156">
        <v>1629.75</v>
      </c>
      <c r="W6" s="156">
        <v>1629.75</v>
      </c>
      <c r="X6" s="23"/>
      <c r="Y6" s="173">
        <v>1.0398724566612901E-2</v>
      </c>
      <c r="Z6" s="173">
        <v>1.58619343884395E-3</v>
      </c>
    </row>
    <row r="7" spans="1:27">
      <c r="A7" s="23" t="s">
        <v>26</v>
      </c>
      <c r="B7" s="23">
        <v>9963</v>
      </c>
      <c r="C7" s="23"/>
      <c r="E7" s="23"/>
      <c r="F7" s="23" t="s">
        <v>2508</v>
      </c>
      <c r="G7" s="23">
        <v>62018569</v>
      </c>
      <c r="H7" s="23" t="s">
        <v>34</v>
      </c>
      <c r="I7" s="2" t="s">
        <v>1025</v>
      </c>
      <c r="J7" s="23" t="s">
        <v>567</v>
      </c>
      <c r="K7" s="21" t="s">
        <v>31</v>
      </c>
      <c r="L7" s="23"/>
      <c r="M7" s="23"/>
      <c r="N7" s="21" t="s">
        <v>296</v>
      </c>
      <c r="O7" s="23" t="s">
        <v>136</v>
      </c>
      <c r="P7" t="s">
        <v>2509</v>
      </c>
      <c r="Q7" s="21" t="s">
        <v>78</v>
      </c>
      <c r="R7" s="23" t="s">
        <v>892</v>
      </c>
      <c r="S7" s="23" t="s">
        <v>896</v>
      </c>
      <c r="T7" s="23" t="s">
        <v>2510</v>
      </c>
      <c r="U7" s="156">
        <v>3.681</v>
      </c>
      <c r="V7" s="156">
        <v>410.495</v>
      </c>
      <c r="W7" s="156">
        <v>1511.0309999999999</v>
      </c>
      <c r="X7" s="23"/>
      <c r="Y7" s="173">
        <v>9.6412317342202802E-3</v>
      </c>
      <c r="Z7" s="173">
        <v>1.47064752232163E-3</v>
      </c>
    </row>
    <row r="8" spans="1:27">
      <c r="A8" s="23" t="s">
        <v>26</v>
      </c>
      <c r="B8" s="23">
        <v>9963</v>
      </c>
      <c r="C8" s="23"/>
      <c r="E8" s="23"/>
      <c r="F8" s="23" t="s">
        <v>2511</v>
      </c>
      <c r="G8" s="23">
        <v>62018254</v>
      </c>
      <c r="H8" s="23" t="s">
        <v>34</v>
      </c>
      <c r="I8" s="2" t="s">
        <v>1025</v>
      </c>
      <c r="J8" s="23" t="s">
        <v>851</v>
      </c>
      <c r="K8" s="21" t="s">
        <v>73</v>
      </c>
      <c r="L8" s="23"/>
      <c r="M8" s="23"/>
      <c r="N8" s="21" t="s">
        <v>31</v>
      </c>
      <c r="O8" s="23" t="s">
        <v>136</v>
      </c>
      <c r="P8" t="s">
        <v>2512</v>
      </c>
      <c r="Q8" s="21" t="s">
        <v>78</v>
      </c>
      <c r="R8" s="23" t="s">
        <v>892</v>
      </c>
      <c r="S8" s="23" t="s">
        <v>896</v>
      </c>
      <c r="T8" s="23" t="s">
        <v>2513</v>
      </c>
      <c r="U8" s="156">
        <v>3.681</v>
      </c>
      <c r="V8" s="156">
        <v>301.93099999999998</v>
      </c>
      <c r="W8" s="156">
        <v>1111.4079999999999</v>
      </c>
      <c r="X8" s="23"/>
      <c r="Y8" s="173">
        <v>7.0914125573165003E-3</v>
      </c>
      <c r="Z8" s="173">
        <v>1.0817049724219101E-3</v>
      </c>
    </row>
    <row r="9" spans="1:27">
      <c r="A9" s="23" t="s">
        <v>26</v>
      </c>
      <c r="B9" s="23">
        <v>9963</v>
      </c>
      <c r="C9" s="23"/>
      <c r="E9" s="23"/>
      <c r="F9" s="23" t="s">
        <v>2514</v>
      </c>
      <c r="G9" s="23">
        <v>1181106</v>
      </c>
      <c r="H9" s="23" t="s">
        <v>34</v>
      </c>
      <c r="I9" s="2" t="s">
        <v>1025</v>
      </c>
      <c r="J9" s="23" t="s">
        <v>567</v>
      </c>
      <c r="K9" s="21" t="s">
        <v>31</v>
      </c>
      <c r="L9" s="23"/>
      <c r="M9" s="23"/>
      <c r="N9" s="21" t="s">
        <v>31</v>
      </c>
      <c r="O9" s="23" t="s">
        <v>136</v>
      </c>
      <c r="P9" t="s">
        <v>2515</v>
      </c>
      <c r="Q9" s="21" t="s">
        <v>35</v>
      </c>
      <c r="R9" s="23" t="s">
        <v>892</v>
      </c>
      <c r="S9" s="23" t="s">
        <v>896</v>
      </c>
      <c r="T9" s="23" t="s">
        <v>1310</v>
      </c>
      <c r="U9" s="156">
        <v>1</v>
      </c>
      <c r="V9" s="156">
        <v>1452</v>
      </c>
      <c r="W9" s="156">
        <v>1452</v>
      </c>
      <c r="X9" s="23"/>
      <c r="Y9" s="173">
        <v>9.2645792733375594E-3</v>
      </c>
      <c r="Z9" s="173">
        <v>1.41319397036442E-3</v>
      </c>
    </row>
    <row r="10" spans="1:27">
      <c r="A10" s="23" t="s">
        <v>26</v>
      </c>
      <c r="B10" s="23">
        <v>9963</v>
      </c>
      <c r="C10" s="23"/>
      <c r="E10" s="23"/>
      <c r="F10" s="23" t="s">
        <v>2516</v>
      </c>
      <c r="G10" s="23">
        <v>50006691</v>
      </c>
      <c r="H10" s="23" t="s">
        <v>34</v>
      </c>
      <c r="I10" s="2" t="s">
        <v>1028</v>
      </c>
      <c r="J10" s="23" t="s">
        <v>567</v>
      </c>
      <c r="K10" s="21" t="s">
        <v>31</v>
      </c>
      <c r="L10" s="23"/>
      <c r="M10" s="23"/>
      <c r="N10" s="21" t="s">
        <v>31</v>
      </c>
      <c r="O10" s="23" t="s">
        <v>136</v>
      </c>
      <c r="P10" t="s">
        <v>2501</v>
      </c>
      <c r="Q10" s="21" t="s">
        <v>35</v>
      </c>
      <c r="R10" s="23" t="s">
        <v>892</v>
      </c>
      <c r="S10" s="23" t="s">
        <v>896</v>
      </c>
      <c r="T10" s="23" t="s">
        <v>1310</v>
      </c>
      <c r="U10" s="156">
        <v>1</v>
      </c>
      <c r="V10" s="156">
        <v>3304.326</v>
      </c>
      <c r="W10" s="156">
        <v>3304.326</v>
      </c>
      <c r="X10" s="23"/>
      <c r="Y10" s="173">
        <v>2.1083462555562201E-2</v>
      </c>
      <c r="Z10" s="173">
        <v>3.21601459482045E-3</v>
      </c>
    </row>
    <row r="11" spans="1:27">
      <c r="A11" s="23" t="s">
        <v>26</v>
      </c>
      <c r="B11" s="23">
        <v>9963</v>
      </c>
      <c r="C11" s="23"/>
      <c r="E11" s="23"/>
      <c r="F11" s="23" t="s">
        <v>2517</v>
      </c>
      <c r="G11" s="23">
        <v>62020158</v>
      </c>
      <c r="H11" s="23" t="s">
        <v>34</v>
      </c>
      <c r="I11" s="2" t="s">
        <v>1025</v>
      </c>
      <c r="J11" s="23" t="s">
        <v>567</v>
      </c>
      <c r="K11" s="21" t="s">
        <v>31</v>
      </c>
      <c r="L11" s="23"/>
      <c r="M11" s="23"/>
      <c r="N11" s="21" t="s">
        <v>31</v>
      </c>
      <c r="O11" s="23" t="s">
        <v>136</v>
      </c>
      <c r="P11" t="s">
        <v>2518</v>
      </c>
      <c r="Q11" s="21" t="s">
        <v>35</v>
      </c>
      <c r="R11" s="23" t="s">
        <v>892</v>
      </c>
      <c r="S11" s="23" t="s">
        <v>896</v>
      </c>
      <c r="T11" s="23" t="s">
        <v>1310</v>
      </c>
      <c r="U11" s="156">
        <v>1</v>
      </c>
      <c r="V11" s="156">
        <v>2124.0250000000001</v>
      </c>
      <c r="W11" s="156">
        <v>2124.0250000000001</v>
      </c>
      <c r="X11" s="23"/>
      <c r="Y11" s="173">
        <v>1.3552477920814101E-2</v>
      </c>
      <c r="Z11" s="173">
        <v>2.06725848159232E-3</v>
      </c>
    </row>
    <row r="12" spans="1:27">
      <c r="A12" s="23" t="s">
        <v>26</v>
      </c>
      <c r="B12" s="23">
        <v>9963</v>
      </c>
      <c r="C12" s="23"/>
      <c r="E12" s="23"/>
      <c r="F12" s="23" t="s">
        <v>2519</v>
      </c>
      <c r="G12" s="23">
        <v>50005</v>
      </c>
      <c r="H12" s="23" t="s">
        <v>34</v>
      </c>
      <c r="I12" s="2" t="s">
        <v>1027</v>
      </c>
      <c r="J12" s="23" t="s">
        <v>567</v>
      </c>
      <c r="K12" s="21" t="s">
        <v>31</v>
      </c>
      <c r="L12" s="23"/>
      <c r="M12" s="23"/>
      <c r="N12" s="21" t="s">
        <v>31</v>
      </c>
      <c r="O12" s="23" t="s">
        <v>136</v>
      </c>
      <c r="P12" t="s">
        <v>2520</v>
      </c>
      <c r="Q12" s="21" t="s">
        <v>35</v>
      </c>
      <c r="R12" s="23" t="s">
        <v>892</v>
      </c>
      <c r="S12" s="23" t="s">
        <v>896</v>
      </c>
      <c r="T12" s="23" t="s">
        <v>2521</v>
      </c>
      <c r="U12" s="156">
        <v>1</v>
      </c>
      <c r="V12" s="156">
        <v>8166.4309999999996</v>
      </c>
      <c r="W12" s="156">
        <v>8166.4309999999996</v>
      </c>
      <c r="X12" s="23"/>
      <c r="Y12" s="173">
        <v>5.2106437277599199E-2</v>
      </c>
      <c r="Z12" s="173">
        <v>7.9481756057496293E-3</v>
      </c>
    </row>
    <row r="13" spans="1:27">
      <c r="A13" s="23" t="s">
        <v>26</v>
      </c>
      <c r="B13" s="23">
        <v>9963</v>
      </c>
      <c r="C13" s="23"/>
      <c r="E13" s="23"/>
      <c r="F13" s="23" t="s">
        <v>2522</v>
      </c>
      <c r="G13" s="23">
        <v>62017520</v>
      </c>
      <c r="H13" s="23" t="s">
        <v>34</v>
      </c>
      <c r="I13" s="2" t="s">
        <v>1025</v>
      </c>
      <c r="J13" s="23" t="s">
        <v>567</v>
      </c>
      <c r="K13" s="21" t="s">
        <v>31</v>
      </c>
      <c r="L13" s="23"/>
      <c r="M13" s="23"/>
      <c r="N13" s="21" t="s">
        <v>31</v>
      </c>
      <c r="O13" s="23" t="s">
        <v>136</v>
      </c>
      <c r="P13" t="s">
        <v>2523</v>
      </c>
      <c r="Q13" s="21" t="s">
        <v>78</v>
      </c>
      <c r="R13" s="23" t="s">
        <v>892</v>
      </c>
      <c r="S13" s="23" t="s">
        <v>896</v>
      </c>
      <c r="T13" s="23" t="s">
        <v>2513</v>
      </c>
      <c r="U13" s="156">
        <v>3.681</v>
      </c>
      <c r="V13" s="156">
        <v>831.74400000000003</v>
      </c>
      <c r="W13" s="156">
        <v>3061.65</v>
      </c>
      <c r="X13" s="23"/>
      <c r="Y13" s="173">
        <v>1.9535052354900401E-2</v>
      </c>
      <c r="Z13" s="173">
        <v>2.9798242730943998E-3</v>
      </c>
    </row>
    <row r="14" spans="1:27">
      <c r="A14" s="23" t="s">
        <v>26</v>
      </c>
      <c r="B14" s="23">
        <v>9963</v>
      </c>
      <c r="C14" s="23"/>
      <c r="E14" s="23"/>
      <c r="F14" s="23" t="s">
        <v>2525</v>
      </c>
      <c r="G14" s="23">
        <v>62000073</v>
      </c>
      <c r="H14" s="23" t="s">
        <v>34</v>
      </c>
      <c r="I14" s="2" t="s">
        <v>1029</v>
      </c>
      <c r="J14" s="23" t="s">
        <v>567</v>
      </c>
      <c r="K14" s="21" t="s">
        <v>73</v>
      </c>
      <c r="L14" s="23"/>
      <c r="M14" s="23"/>
      <c r="N14" s="21" t="s">
        <v>74</v>
      </c>
      <c r="O14" s="23" t="s">
        <v>136</v>
      </c>
      <c r="P14" t="s">
        <v>2526</v>
      </c>
      <c r="Q14" s="21" t="s">
        <v>78</v>
      </c>
      <c r="R14" s="23" t="s">
        <v>892</v>
      </c>
      <c r="S14" s="23" t="s">
        <v>896</v>
      </c>
      <c r="T14" s="23" t="s">
        <v>2527</v>
      </c>
      <c r="U14" s="156">
        <v>3.681</v>
      </c>
      <c r="V14" s="156">
        <v>1148.2380000000001</v>
      </c>
      <c r="W14" s="156">
        <v>4226.6639999999998</v>
      </c>
      <c r="X14" s="23"/>
      <c r="Y14" s="173">
        <v>2.6968501661431998E-2</v>
      </c>
      <c r="Z14" s="173">
        <v>4.1137026100451198E-3</v>
      </c>
    </row>
    <row r="15" spans="1:27">
      <c r="A15" s="23" t="s">
        <v>26</v>
      </c>
      <c r="B15" s="23">
        <v>9963</v>
      </c>
      <c r="C15" s="23"/>
      <c r="E15" s="23"/>
      <c r="F15" s="23" t="s">
        <v>2524</v>
      </c>
      <c r="G15" s="23">
        <v>60388022</v>
      </c>
      <c r="H15" s="23" t="s">
        <v>34</v>
      </c>
      <c r="I15" s="2" t="s">
        <v>1029</v>
      </c>
      <c r="J15" s="23" t="s">
        <v>567</v>
      </c>
      <c r="K15" s="21" t="s">
        <v>73</v>
      </c>
      <c r="L15" s="23"/>
      <c r="M15" s="23"/>
      <c r="N15" s="21" t="s">
        <v>74</v>
      </c>
      <c r="O15" s="23" t="s">
        <v>136</v>
      </c>
      <c r="P15" t="s">
        <v>2528</v>
      </c>
      <c r="Q15" s="21" t="s">
        <v>78</v>
      </c>
      <c r="R15" s="23" t="s">
        <v>892</v>
      </c>
      <c r="S15" s="23" t="s">
        <v>896</v>
      </c>
      <c r="T15" s="23" t="s">
        <v>2529</v>
      </c>
      <c r="U15" s="156">
        <v>3.681</v>
      </c>
      <c r="V15" s="156">
        <v>454.72500000000002</v>
      </c>
      <c r="W15" s="156">
        <v>1673.8430000000001</v>
      </c>
      <c r="X15" s="23"/>
      <c r="Y15" s="173">
        <v>1.0680061030896601E-2</v>
      </c>
      <c r="Z15" s="173">
        <v>1.6291077453914301E-3</v>
      </c>
    </row>
    <row r="16" spans="1:27">
      <c r="A16" s="23" t="s">
        <v>26</v>
      </c>
      <c r="B16" s="23">
        <v>9963</v>
      </c>
      <c r="C16" s="23"/>
      <c r="E16" s="23"/>
      <c r="F16" s="23" t="s">
        <v>2530</v>
      </c>
      <c r="G16" s="23">
        <v>60397874</v>
      </c>
      <c r="H16" s="23" t="s">
        <v>34</v>
      </c>
      <c r="I16" s="2" t="s">
        <v>1025</v>
      </c>
      <c r="J16" s="23" t="s">
        <v>567</v>
      </c>
      <c r="K16" s="21" t="s">
        <v>73</v>
      </c>
      <c r="L16" s="23"/>
      <c r="M16" s="23"/>
      <c r="N16" s="21" t="s">
        <v>74</v>
      </c>
      <c r="O16" s="23" t="s">
        <v>136</v>
      </c>
      <c r="P16" t="s">
        <v>2531</v>
      </c>
      <c r="Q16" s="21" t="s">
        <v>78</v>
      </c>
      <c r="R16" s="23" t="s">
        <v>892</v>
      </c>
      <c r="S16" s="23" t="s">
        <v>896</v>
      </c>
      <c r="T16" s="23" t="s">
        <v>1301</v>
      </c>
      <c r="U16" s="156">
        <v>3.681</v>
      </c>
      <c r="V16" s="156">
        <v>488.40300000000002</v>
      </c>
      <c r="W16" s="156">
        <v>1797.8109999999999</v>
      </c>
      <c r="X16" s="23"/>
      <c r="Y16" s="173">
        <v>1.14710466173484E-2</v>
      </c>
      <c r="Z16" s="173">
        <v>1.7497625564129901E-3</v>
      </c>
    </row>
    <row r="17" spans="1:26">
      <c r="A17" s="23" t="s">
        <v>26</v>
      </c>
      <c r="B17" s="23">
        <v>9963</v>
      </c>
      <c r="C17" s="23"/>
      <c r="E17" s="23"/>
      <c r="F17" s="23" t="s">
        <v>2532</v>
      </c>
      <c r="G17" s="23">
        <v>62020409</v>
      </c>
      <c r="H17" s="23" t="s">
        <v>34</v>
      </c>
      <c r="I17" s="2" t="s">
        <v>1025</v>
      </c>
      <c r="J17" s="23" t="s">
        <v>567</v>
      </c>
      <c r="K17" s="21" t="s">
        <v>73</v>
      </c>
      <c r="L17" s="23"/>
      <c r="M17" s="23"/>
      <c r="N17" s="21" t="s">
        <v>74</v>
      </c>
      <c r="O17" s="23" t="s">
        <v>136</v>
      </c>
      <c r="P17" t="s">
        <v>2533</v>
      </c>
      <c r="Q17" s="21" t="s">
        <v>78</v>
      </c>
      <c r="R17" s="23" t="s">
        <v>892</v>
      </c>
      <c r="S17" s="23" t="s">
        <v>896</v>
      </c>
      <c r="T17" s="23" t="s">
        <v>2534</v>
      </c>
      <c r="U17" s="156">
        <v>3.681</v>
      </c>
      <c r="V17" s="156">
        <v>1506.57</v>
      </c>
      <c r="W17" s="156">
        <v>5545.6840000000002</v>
      </c>
      <c r="X17" s="23"/>
      <c r="Y17" s="173">
        <v>3.5384594089434097E-2</v>
      </c>
      <c r="Z17" s="173">
        <v>5.3974706822241302E-3</v>
      </c>
    </row>
    <row r="18" spans="1:26">
      <c r="A18" s="23" t="s">
        <v>26</v>
      </c>
      <c r="B18" s="23">
        <v>9963</v>
      </c>
      <c r="C18" s="23"/>
      <c r="E18" s="23"/>
      <c r="F18" s="19" t="s">
        <v>2535</v>
      </c>
      <c r="G18" s="23">
        <v>62020128</v>
      </c>
      <c r="H18" s="23" t="s">
        <v>34</v>
      </c>
      <c r="I18" s="2" t="s">
        <v>1025</v>
      </c>
      <c r="J18" s="23" t="s">
        <v>567</v>
      </c>
      <c r="K18" s="21" t="s">
        <v>73</v>
      </c>
      <c r="L18" s="23"/>
      <c r="M18" s="23"/>
      <c r="N18" s="21" t="s">
        <v>74</v>
      </c>
      <c r="O18" s="23" t="s">
        <v>136</v>
      </c>
      <c r="P18" t="s">
        <v>2536</v>
      </c>
      <c r="Q18" s="21" t="s">
        <v>78</v>
      </c>
      <c r="R18" s="23" t="s">
        <v>892</v>
      </c>
      <c r="S18" s="23" t="s">
        <v>896</v>
      </c>
      <c r="T18" s="23" t="s">
        <v>1301</v>
      </c>
      <c r="U18" s="156">
        <v>3.681</v>
      </c>
      <c r="V18" s="156">
        <v>44.088999999999999</v>
      </c>
      <c r="W18" s="156">
        <v>162.292</v>
      </c>
      <c r="X18" s="23"/>
      <c r="Y18" s="173">
        <v>1.0355118227558301E-3</v>
      </c>
      <c r="Z18" s="173">
        <v>1.5795418453281099E-4</v>
      </c>
    </row>
    <row r="19" spans="1:26">
      <c r="A19" s="23" t="s">
        <v>26</v>
      </c>
      <c r="B19" s="23">
        <v>9963</v>
      </c>
      <c r="C19" s="23"/>
      <c r="E19" s="23"/>
      <c r="F19" s="23" t="s">
        <v>2537</v>
      </c>
      <c r="G19" s="23">
        <v>62019567</v>
      </c>
      <c r="H19" s="23" t="s">
        <v>34</v>
      </c>
      <c r="I19" s="2" t="s">
        <v>1025</v>
      </c>
      <c r="J19" s="23" t="s">
        <v>567</v>
      </c>
      <c r="K19" s="21" t="s">
        <v>73</v>
      </c>
      <c r="L19" s="23"/>
      <c r="M19" s="23"/>
      <c r="N19" s="21" t="s">
        <v>74</v>
      </c>
      <c r="O19" s="23" t="s">
        <v>136</v>
      </c>
      <c r="P19" t="s">
        <v>2538</v>
      </c>
      <c r="Q19" s="21" t="s">
        <v>78</v>
      </c>
      <c r="R19" s="23" t="s">
        <v>892</v>
      </c>
      <c r="S19" s="23" t="s">
        <v>896</v>
      </c>
      <c r="T19" s="23" t="s">
        <v>1310</v>
      </c>
      <c r="U19" s="156">
        <v>3.681</v>
      </c>
      <c r="V19" s="156">
        <v>445.94900000000001</v>
      </c>
      <c r="W19" s="156">
        <v>1641.537</v>
      </c>
      <c r="X19" s="23"/>
      <c r="Y19" s="173">
        <v>1.0473935113164299E-2</v>
      </c>
      <c r="Z19" s="173">
        <v>1.5976658530527899E-3</v>
      </c>
    </row>
    <row r="20" spans="1:26">
      <c r="A20" s="2" t="s">
        <v>26</v>
      </c>
      <c r="B20" s="2">
        <v>9963</v>
      </c>
      <c r="E20" s="23"/>
      <c r="F20" s="2" t="s">
        <v>2539</v>
      </c>
      <c r="G20" s="2">
        <v>62019575</v>
      </c>
      <c r="H20" s="23" t="s">
        <v>34</v>
      </c>
      <c r="I20" s="2" t="s">
        <v>1025</v>
      </c>
      <c r="J20" s="23" t="s">
        <v>567</v>
      </c>
      <c r="K20" s="21" t="s">
        <v>73</v>
      </c>
      <c r="L20" s="23"/>
      <c r="M20" s="23"/>
      <c r="N20" s="21" t="s">
        <v>74</v>
      </c>
      <c r="O20" s="23" t="s">
        <v>136</v>
      </c>
      <c r="P20" t="s">
        <v>2538</v>
      </c>
      <c r="Q20" s="2" t="s">
        <v>78</v>
      </c>
      <c r="R20" s="23" t="s">
        <v>892</v>
      </c>
      <c r="S20" s="23" t="s">
        <v>896</v>
      </c>
      <c r="T20" s="2" t="s">
        <v>1310</v>
      </c>
      <c r="U20" s="153">
        <v>3.681</v>
      </c>
      <c r="V20" s="153">
        <v>446.60199999999998</v>
      </c>
      <c r="W20" s="153">
        <v>1643.943</v>
      </c>
      <c r="Y20" s="167">
        <v>1.04892815382385E-2</v>
      </c>
      <c r="Z20" s="167">
        <v>1.60000675540158E-3</v>
      </c>
    </row>
    <row r="21" spans="1:26">
      <c r="A21" s="2" t="s">
        <v>26</v>
      </c>
      <c r="B21" s="2">
        <v>9963</v>
      </c>
      <c r="E21" s="23"/>
      <c r="F21" s="2" t="s">
        <v>2540</v>
      </c>
      <c r="G21" s="2">
        <v>62017934</v>
      </c>
      <c r="H21" s="2" t="s">
        <v>34</v>
      </c>
      <c r="I21" s="2" t="s">
        <v>1025</v>
      </c>
      <c r="J21" s="2" t="s">
        <v>567</v>
      </c>
      <c r="K21" s="2" t="s">
        <v>73</v>
      </c>
      <c r="L21" s="23"/>
      <c r="M21" s="23"/>
      <c r="N21" s="2" t="s">
        <v>74</v>
      </c>
      <c r="O21" s="2" t="s">
        <v>136</v>
      </c>
      <c r="P21" t="s">
        <v>2541</v>
      </c>
      <c r="Q21" s="2" t="s">
        <v>78</v>
      </c>
      <c r="R21" s="23" t="s">
        <v>892</v>
      </c>
      <c r="S21" s="23" t="s">
        <v>896</v>
      </c>
      <c r="T21" s="2" t="s">
        <v>2521</v>
      </c>
      <c r="U21" s="153">
        <v>3.681</v>
      </c>
      <c r="V21" s="153">
        <v>1259.0409999999999</v>
      </c>
      <c r="W21" s="153">
        <v>4634.5290000000005</v>
      </c>
      <c r="Y21" s="167">
        <v>2.9570908699991499E-2</v>
      </c>
      <c r="Z21" s="167">
        <v>4.5106667707286302E-3</v>
      </c>
    </row>
    <row r="22" spans="1:26">
      <c r="A22" s="2" t="s">
        <v>26</v>
      </c>
      <c r="B22" s="2">
        <v>9963</v>
      </c>
      <c r="E22" s="23"/>
      <c r="F22" s="2" t="s">
        <v>2494</v>
      </c>
      <c r="G22" s="2">
        <v>62019286</v>
      </c>
      <c r="H22" s="2" t="s">
        <v>34</v>
      </c>
      <c r="I22" s="2" t="s">
        <v>1028</v>
      </c>
      <c r="J22" s="2" t="s">
        <v>567</v>
      </c>
      <c r="K22" s="2" t="s">
        <v>73</v>
      </c>
      <c r="L22" s="23"/>
      <c r="M22" s="23"/>
      <c r="N22" s="2" t="s">
        <v>293</v>
      </c>
      <c r="O22" s="2" t="s">
        <v>136</v>
      </c>
      <c r="P22" t="s">
        <v>2495</v>
      </c>
      <c r="Q22" s="2" t="s">
        <v>78</v>
      </c>
      <c r="R22" s="23" t="s">
        <v>892</v>
      </c>
      <c r="S22" s="23" t="s">
        <v>896</v>
      </c>
      <c r="T22" s="2" t="s">
        <v>2496</v>
      </c>
      <c r="U22" s="153">
        <v>3.681</v>
      </c>
      <c r="V22" s="153">
        <v>598.30600000000004</v>
      </c>
      <c r="W22" s="153">
        <v>2202.3629999999998</v>
      </c>
      <c r="Y22" s="167">
        <v>1.40523157782536E-2</v>
      </c>
      <c r="Z22" s="167">
        <v>2.14350240216907E-3</v>
      </c>
    </row>
    <row r="23" spans="1:26">
      <c r="A23" s="2" t="s">
        <v>26</v>
      </c>
      <c r="B23" s="2">
        <v>9963</v>
      </c>
      <c r="E23" s="23"/>
      <c r="F23" s="2" t="s">
        <v>2542</v>
      </c>
      <c r="G23" s="2">
        <v>62019765</v>
      </c>
      <c r="H23" s="2" t="s">
        <v>34</v>
      </c>
      <c r="I23" s="2" t="s">
        <v>1025</v>
      </c>
      <c r="J23" s="2" t="s">
        <v>567</v>
      </c>
      <c r="K23" s="2" t="s">
        <v>73</v>
      </c>
      <c r="L23" s="23"/>
      <c r="M23" s="23"/>
      <c r="N23" s="2" t="s">
        <v>293</v>
      </c>
      <c r="O23" s="2" t="s">
        <v>136</v>
      </c>
      <c r="P23" t="s">
        <v>2543</v>
      </c>
      <c r="Q23" s="2" t="s">
        <v>1178</v>
      </c>
      <c r="R23" s="23" t="s">
        <v>892</v>
      </c>
      <c r="S23" s="23" t="s">
        <v>896</v>
      </c>
      <c r="T23" s="2" t="s">
        <v>2544</v>
      </c>
      <c r="U23" s="153">
        <v>3.9790000000000001</v>
      </c>
      <c r="V23" s="153">
        <v>376.14600000000002</v>
      </c>
      <c r="W23" s="153">
        <v>1496.723</v>
      </c>
      <c r="Y23" s="167">
        <v>9.5499373048018102E-3</v>
      </c>
      <c r="Z23" s="167">
        <v>1.45672171593846E-3</v>
      </c>
    </row>
    <row r="24" spans="1:26">
      <c r="A24" s="2" t="s">
        <v>26</v>
      </c>
      <c r="B24" s="2">
        <v>9963</v>
      </c>
      <c r="E24" s="23"/>
      <c r="F24" s="2" t="s">
        <v>2545</v>
      </c>
      <c r="G24" s="2">
        <v>62021078</v>
      </c>
      <c r="H24" s="2" t="s">
        <v>34</v>
      </c>
      <c r="I24" s="2" t="s">
        <v>1025</v>
      </c>
      <c r="J24" s="2" t="s">
        <v>567</v>
      </c>
      <c r="K24" s="2" t="s">
        <v>73</v>
      </c>
      <c r="L24" s="23"/>
      <c r="M24" s="23"/>
      <c r="N24" s="2" t="s">
        <v>74</v>
      </c>
      <c r="O24" s="2" t="s">
        <v>136</v>
      </c>
      <c r="P24" t="s">
        <v>2546</v>
      </c>
      <c r="Q24" s="2" t="s">
        <v>78</v>
      </c>
      <c r="R24" s="23" t="s">
        <v>892</v>
      </c>
      <c r="S24" s="23" t="s">
        <v>896</v>
      </c>
      <c r="T24" s="2" t="s">
        <v>2547</v>
      </c>
      <c r="U24" s="153">
        <v>3.681</v>
      </c>
      <c r="V24" s="153">
        <v>216.999</v>
      </c>
      <c r="W24" s="153">
        <v>798.77300000000002</v>
      </c>
      <c r="Y24" s="167">
        <v>5.0966244733488004E-3</v>
      </c>
      <c r="Z24" s="167">
        <v>7.7742537059144598E-4</v>
      </c>
    </row>
    <row r="25" spans="1:26">
      <c r="A25" s="2" t="s">
        <v>26</v>
      </c>
      <c r="B25" s="2">
        <v>9963</v>
      </c>
      <c r="E25" s="23"/>
      <c r="F25" s="2" t="s">
        <v>2548</v>
      </c>
      <c r="G25" s="2">
        <v>62009865</v>
      </c>
      <c r="H25" s="2" t="s">
        <v>34</v>
      </c>
      <c r="I25" s="2" t="s">
        <v>1029</v>
      </c>
      <c r="J25" s="2" t="s">
        <v>567</v>
      </c>
      <c r="K25" s="2" t="s">
        <v>73</v>
      </c>
      <c r="L25" s="23"/>
      <c r="M25" s="23"/>
      <c r="N25" s="2" t="s">
        <v>74</v>
      </c>
      <c r="O25" s="2" t="s">
        <v>136</v>
      </c>
      <c r="P25" t="s">
        <v>2549</v>
      </c>
      <c r="Q25" s="2" t="s">
        <v>78</v>
      </c>
      <c r="R25" s="23" t="s">
        <v>892</v>
      </c>
      <c r="S25" s="23" t="s">
        <v>896</v>
      </c>
      <c r="T25" s="2" t="s">
        <v>2513</v>
      </c>
      <c r="U25" s="153">
        <v>3.681</v>
      </c>
      <c r="V25" s="153">
        <v>634.35799999999995</v>
      </c>
      <c r="W25" s="153">
        <v>2335.0729999999999</v>
      </c>
      <c r="Y25" s="167">
        <v>1.4899081113544399E-2</v>
      </c>
      <c r="Z25" s="167">
        <v>2.2726657058487398E-3</v>
      </c>
    </row>
    <row r="26" spans="1:26">
      <c r="A26" s="2" t="s">
        <v>26</v>
      </c>
      <c r="B26" s="2">
        <v>9963</v>
      </c>
      <c r="E26" s="23"/>
      <c r="F26" s="2" t="s">
        <v>2550</v>
      </c>
      <c r="G26" s="2">
        <v>62020359</v>
      </c>
      <c r="H26" s="2" t="s">
        <v>34</v>
      </c>
      <c r="I26" s="2" t="s">
        <v>1029</v>
      </c>
      <c r="J26" s="2" t="s">
        <v>567</v>
      </c>
      <c r="K26" s="2" t="s">
        <v>73</v>
      </c>
      <c r="L26" s="23"/>
      <c r="M26" s="23"/>
      <c r="N26" s="2" t="s">
        <v>74</v>
      </c>
      <c r="O26" s="2" t="s">
        <v>136</v>
      </c>
      <c r="P26" t="s">
        <v>2551</v>
      </c>
      <c r="Q26" s="2" t="s">
        <v>78</v>
      </c>
      <c r="R26" s="23" t="s">
        <v>892</v>
      </c>
      <c r="S26" s="23" t="s">
        <v>896</v>
      </c>
      <c r="T26" s="2" t="s">
        <v>1301</v>
      </c>
      <c r="U26" s="153">
        <v>3.681</v>
      </c>
      <c r="V26" s="153">
        <v>1363.27</v>
      </c>
      <c r="W26" s="153">
        <v>5018.1970000000001</v>
      </c>
      <c r="Y26" s="167">
        <v>3.2018931423538698E-2</v>
      </c>
      <c r="Z26" s="167">
        <v>4.8840815637984101E-3</v>
      </c>
    </row>
    <row r="27" spans="1:26">
      <c r="A27" s="2" t="s">
        <v>26</v>
      </c>
      <c r="B27" s="2">
        <v>9963</v>
      </c>
      <c r="E27" s="23"/>
      <c r="F27" s="2" t="s">
        <v>2552</v>
      </c>
      <c r="G27" s="2">
        <v>62016969</v>
      </c>
      <c r="H27" s="2" t="s">
        <v>34</v>
      </c>
      <c r="I27" s="2" t="s">
        <v>1028</v>
      </c>
      <c r="J27" s="2" t="s">
        <v>567</v>
      </c>
      <c r="K27" s="2" t="s">
        <v>73</v>
      </c>
      <c r="L27" s="23"/>
      <c r="M27" s="23"/>
      <c r="N27" s="2" t="s">
        <v>74</v>
      </c>
      <c r="O27" s="2" t="s">
        <v>136</v>
      </c>
      <c r="P27" t="s">
        <v>2553</v>
      </c>
      <c r="Q27" s="2" t="s">
        <v>78</v>
      </c>
      <c r="R27" s="23" t="s">
        <v>892</v>
      </c>
      <c r="S27" s="23" t="s">
        <v>896</v>
      </c>
      <c r="T27" s="2" t="s">
        <v>1301</v>
      </c>
      <c r="U27" s="153">
        <v>3.681</v>
      </c>
      <c r="V27" s="153">
        <v>837.2</v>
      </c>
      <c r="W27" s="153">
        <v>3081.7330000000002</v>
      </c>
      <c r="Y27" s="167">
        <v>1.96631966464712E-2</v>
      </c>
      <c r="Z27" s="167">
        <v>2.9993710582037602E-3</v>
      </c>
    </row>
    <row r="28" spans="1:26">
      <c r="A28" s="2" t="s">
        <v>26</v>
      </c>
      <c r="B28" s="2">
        <v>9963</v>
      </c>
      <c r="F28" s="2" t="s">
        <v>2554</v>
      </c>
      <c r="G28" s="2">
        <v>62018891</v>
      </c>
      <c r="H28" s="2" t="s">
        <v>34</v>
      </c>
      <c r="I28" s="2" t="s">
        <v>1025</v>
      </c>
      <c r="J28" s="2" t="s">
        <v>567</v>
      </c>
      <c r="K28" s="2" t="s">
        <v>73</v>
      </c>
      <c r="L28" s="23"/>
      <c r="M28" s="23"/>
      <c r="N28" s="2" t="s">
        <v>296</v>
      </c>
      <c r="O28" s="2" t="s">
        <v>136</v>
      </c>
      <c r="P28" t="s">
        <v>2555</v>
      </c>
      <c r="Q28" s="2" t="s">
        <v>1178</v>
      </c>
      <c r="R28" s="23" t="s">
        <v>892</v>
      </c>
      <c r="S28" s="23" t="s">
        <v>896</v>
      </c>
      <c r="T28" s="2" t="s">
        <v>2556</v>
      </c>
      <c r="U28" s="153">
        <v>3.9790000000000001</v>
      </c>
      <c r="V28" s="153">
        <v>1099.557</v>
      </c>
      <c r="W28" s="153">
        <v>4375.2479999999996</v>
      </c>
      <c r="Y28" s="167">
        <v>2.79165539530297E-2</v>
      </c>
      <c r="Z28" s="167">
        <v>4.2583159532469904E-3</v>
      </c>
    </row>
    <row r="29" spans="1:26">
      <c r="A29" s="2" t="s">
        <v>26</v>
      </c>
      <c r="B29" s="2">
        <v>9963</v>
      </c>
      <c r="F29" s="2" t="s">
        <v>2557</v>
      </c>
      <c r="G29" s="2">
        <v>62017942</v>
      </c>
      <c r="H29" s="2" t="s">
        <v>34</v>
      </c>
      <c r="I29" s="2" t="s">
        <v>1029</v>
      </c>
      <c r="J29" s="2" t="s">
        <v>567</v>
      </c>
      <c r="K29" s="2" t="s">
        <v>73</v>
      </c>
      <c r="L29" s="23"/>
      <c r="M29" s="23"/>
      <c r="N29" s="2" t="s">
        <v>293</v>
      </c>
      <c r="O29" s="2" t="s">
        <v>136</v>
      </c>
      <c r="P29" t="s">
        <v>2541</v>
      </c>
      <c r="Q29" s="2" t="s">
        <v>1178</v>
      </c>
      <c r="R29" s="23" t="s">
        <v>892</v>
      </c>
      <c r="S29" s="23" t="s">
        <v>896</v>
      </c>
      <c r="T29" s="2" t="s">
        <v>2556</v>
      </c>
      <c r="U29" s="153">
        <v>3.9790000000000001</v>
      </c>
      <c r="V29" s="153">
        <v>984.37</v>
      </c>
      <c r="W29" s="153">
        <v>3916.9079999999999</v>
      </c>
      <c r="Y29" s="167">
        <v>2.49920844837619E-2</v>
      </c>
      <c r="Z29" s="167">
        <v>3.81222525678352E-3</v>
      </c>
    </row>
    <row r="30" spans="1:26">
      <c r="A30" s="2" t="s">
        <v>26</v>
      </c>
      <c r="B30" s="2">
        <v>9963</v>
      </c>
      <c r="E30" s="23"/>
      <c r="F30" s="2" t="s">
        <v>2558</v>
      </c>
      <c r="G30" s="2">
        <v>62018130</v>
      </c>
      <c r="H30" s="2" t="s">
        <v>34</v>
      </c>
      <c r="I30" s="2" t="s">
        <v>1025</v>
      </c>
      <c r="J30" s="2" t="s">
        <v>567</v>
      </c>
      <c r="K30" s="2" t="s">
        <v>73</v>
      </c>
      <c r="L30" s="23"/>
      <c r="M30" s="23"/>
      <c r="N30" s="2" t="s">
        <v>74</v>
      </c>
      <c r="O30" s="2" t="s">
        <v>136</v>
      </c>
      <c r="P30" t="s">
        <v>2559</v>
      </c>
      <c r="Q30" s="2" t="s">
        <v>78</v>
      </c>
      <c r="R30" s="23" t="s">
        <v>892</v>
      </c>
      <c r="S30" s="23" t="s">
        <v>896</v>
      </c>
      <c r="T30" s="2" t="s">
        <v>2521</v>
      </c>
      <c r="U30" s="153">
        <v>3.681</v>
      </c>
      <c r="V30" s="153">
        <v>231.77099999999999</v>
      </c>
      <c r="W30" s="153">
        <v>853.149</v>
      </c>
      <c r="Y30" s="167">
        <v>5.4435723243541397E-3</v>
      </c>
      <c r="Z30" s="167">
        <v>8.3034786136042097E-4</v>
      </c>
    </row>
    <row r="31" spans="1:26">
      <c r="A31" s="2" t="s">
        <v>26</v>
      </c>
      <c r="B31" s="2">
        <v>9963</v>
      </c>
      <c r="E31" s="23"/>
      <c r="F31" s="2" t="s">
        <v>2560</v>
      </c>
      <c r="G31" s="2">
        <v>62017959</v>
      </c>
      <c r="H31" s="2" t="s">
        <v>34</v>
      </c>
      <c r="I31" s="2" t="s">
        <v>1025</v>
      </c>
      <c r="J31" s="2" t="s">
        <v>567</v>
      </c>
      <c r="K31" s="2" t="s">
        <v>73</v>
      </c>
      <c r="L31" s="23"/>
      <c r="M31" s="23"/>
      <c r="N31" s="2" t="s">
        <v>74</v>
      </c>
      <c r="O31" s="2" t="s">
        <v>136</v>
      </c>
      <c r="P31" t="s">
        <v>2561</v>
      </c>
      <c r="Q31" s="2" t="s">
        <v>78</v>
      </c>
      <c r="R31" s="23" t="s">
        <v>892</v>
      </c>
      <c r="S31" s="23" t="s">
        <v>896</v>
      </c>
      <c r="T31" s="2" t="s">
        <v>2521</v>
      </c>
      <c r="U31" s="153">
        <v>3.681</v>
      </c>
      <c r="V31" s="153">
        <v>259.14100000000002</v>
      </c>
      <c r="W31" s="153">
        <v>953.89800000000002</v>
      </c>
      <c r="Y31" s="167">
        <v>6.0864075993349396E-3</v>
      </c>
      <c r="Z31" s="167">
        <v>9.2840422287862102E-4</v>
      </c>
    </row>
    <row r="32" spans="1:26">
      <c r="A32" s="2" t="s">
        <v>26</v>
      </c>
      <c r="B32" s="2">
        <v>9963</v>
      </c>
      <c r="E32" s="23"/>
      <c r="F32" s="2" t="s">
        <v>2562</v>
      </c>
      <c r="G32" s="2">
        <v>62020540</v>
      </c>
      <c r="H32" s="2" t="s">
        <v>34</v>
      </c>
      <c r="I32" s="2" t="s">
        <v>1025</v>
      </c>
      <c r="J32" s="2" t="s">
        <v>567</v>
      </c>
      <c r="K32" s="2" t="s">
        <v>73</v>
      </c>
      <c r="L32" s="23"/>
      <c r="M32" s="23"/>
      <c r="N32" s="2" t="s">
        <v>74</v>
      </c>
      <c r="O32" s="2" t="s">
        <v>136</v>
      </c>
      <c r="P32" t="s">
        <v>2563</v>
      </c>
      <c r="Q32" s="2" t="s">
        <v>78</v>
      </c>
      <c r="R32" s="23" t="s">
        <v>892</v>
      </c>
      <c r="S32" s="23" t="s">
        <v>896</v>
      </c>
      <c r="T32" s="2" t="s">
        <v>2521</v>
      </c>
      <c r="U32" s="153">
        <v>3.681</v>
      </c>
      <c r="V32" s="153">
        <v>298.99299999999999</v>
      </c>
      <c r="W32" s="153">
        <v>1100.595</v>
      </c>
      <c r="Y32" s="167">
        <v>7.0224175663123499E-3</v>
      </c>
      <c r="Z32" s="167">
        <v>1.0711806623161101E-3</v>
      </c>
    </row>
    <row r="33" spans="1:26">
      <c r="A33" s="2" t="s">
        <v>26</v>
      </c>
      <c r="B33" s="2">
        <v>9963</v>
      </c>
      <c r="E33" s="23"/>
      <c r="F33" s="2" t="s">
        <v>2564</v>
      </c>
      <c r="G33" s="2">
        <v>62017876</v>
      </c>
      <c r="H33" s="2" t="s">
        <v>34</v>
      </c>
      <c r="I33" s="2" t="s">
        <v>1025</v>
      </c>
      <c r="J33" s="2" t="s">
        <v>567</v>
      </c>
      <c r="K33" s="2" t="s">
        <v>73</v>
      </c>
      <c r="L33" s="23"/>
      <c r="M33" s="23"/>
      <c r="N33" s="2" t="s">
        <v>74</v>
      </c>
      <c r="O33" s="2" t="s">
        <v>136</v>
      </c>
      <c r="P33" t="s">
        <v>2565</v>
      </c>
      <c r="Q33" s="2" t="s">
        <v>78</v>
      </c>
      <c r="R33" s="23" t="s">
        <v>892</v>
      </c>
      <c r="S33" s="23" t="s">
        <v>896</v>
      </c>
      <c r="T33" s="2" t="s">
        <v>2566</v>
      </c>
      <c r="U33" s="153">
        <v>3.681</v>
      </c>
      <c r="V33" s="153">
        <v>467.02499999999998</v>
      </c>
      <c r="W33" s="153">
        <v>1719.1189999999999</v>
      </c>
      <c r="Y33" s="167">
        <v>1.09689493714981E-2</v>
      </c>
      <c r="Z33" s="167">
        <v>1.6731739948131999E-3</v>
      </c>
    </row>
    <row r="34" spans="1:26">
      <c r="A34" s="2" t="s">
        <v>26</v>
      </c>
      <c r="B34" s="2">
        <v>9963</v>
      </c>
      <c r="E34" s="23"/>
      <c r="F34" s="2" t="s">
        <v>2567</v>
      </c>
      <c r="G34" s="2">
        <v>62018734</v>
      </c>
      <c r="H34" s="2" t="s">
        <v>34</v>
      </c>
      <c r="I34" s="2" t="s">
        <v>1025</v>
      </c>
      <c r="J34" s="2" t="s">
        <v>567</v>
      </c>
      <c r="K34" s="2" t="s">
        <v>73</v>
      </c>
      <c r="L34" s="23"/>
      <c r="M34" s="23"/>
      <c r="N34" s="2" t="s">
        <v>74</v>
      </c>
      <c r="O34" s="2" t="s">
        <v>136</v>
      </c>
      <c r="P34" t="s">
        <v>2568</v>
      </c>
      <c r="Q34" s="2" t="s">
        <v>78</v>
      </c>
      <c r="R34" s="23" t="s">
        <v>892</v>
      </c>
      <c r="S34" s="23" t="s">
        <v>896</v>
      </c>
      <c r="T34" s="2" t="s">
        <v>2566</v>
      </c>
      <c r="U34" s="153">
        <v>3.681</v>
      </c>
      <c r="V34" s="153">
        <v>596.596</v>
      </c>
      <c r="W34" s="153">
        <v>2196.0700000000002</v>
      </c>
      <c r="Y34" s="167">
        <v>1.4012164914594101E-2</v>
      </c>
      <c r="Z34" s="167">
        <v>2.13737789756346E-3</v>
      </c>
    </row>
    <row r="35" spans="1:26">
      <c r="A35" s="2" t="s">
        <v>26</v>
      </c>
      <c r="B35" s="2">
        <v>9963</v>
      </c>
      <c r="F35" s="2" t="s">
        <v>2569</v>
      </c>
      <c r="G35" s="2">
        <v>62015433</v>
      </c>
      <c r="H35" s="2" t="s">
        <v>34</v>
      </c>
      <c r="I35" s="2" t="s">
        <v>1025</v>
      </c>
      <c r="J35" s="2" t="s">
        <v>567</v>
      </c>
      <c r="K35" s="2" t="s">
        <v>73</v>
      </c>
      <c r="L35" s="23"/>
      <c r="M35" s="23"/>
      <c r="N35" s="2" t="s">
        <v>74</v>
      </c>
      <c r="O35" s="2" t="s">
        <v>136</v>
      </c>
      <c r="P35" t="s">
        <v>2570</v>
      </c>
      <c r="Q35" s="2" t="s">
        <v>78</v>
      </c>
      <c r="R35" s="23" t="s">
        <v>892</v>
      </c>
      <c r="S35" s="23" t="s">
        <v>896</v>
      </c>
      <c r="T35" s="2" t="s">
        <v>2571</v>
      </c>
      <c r="U35" s="153">
        <v>3.681</v>
      </c>
      <c r="V35" s="153">
        <v>1485.1769999999999</v>
      </c>
      <c r="W35" s="153">
        <v>5466.9369999999999</v>
      </c>
      <c r="Y35" s="167">
        <v>3.4882139636074803E-2</v>
      </c>
      <c r="Z35" s="167">
        <v>5.3208276331529704E-3</v>
      </c>
    </row>
    <row r="36" spans="1:26">
      <c r="A36" s="2" t="s">
        <v>26</v>
      </c>
      <c r="B36" s="2">
        <v>9963</v>
      </c>
      <c r="E36" s="23"/>
      <c r="F36" s="2" t="s">
        <v>2572</v>
      </c>
      <c r="G36" s="2">
        <v>62014352</v>
      </c>
      <c r="H36" s="2" t="s">
        <v>34</v>
      </c>
      <c r="I36" s="2" t="s">
        <v>1025</v>
      </c>
      <c r="J36" s="2" t="s">
        <v>567</v>
      </c>
      <c r="K36" s="2" t="s">
        <v>73</v>
      </c>
      <c r="L36" s="23"/>
      <c r="M36" s="23"/>
      <c r="N36" s="2" t="s">
        <v>74</v>
      </c>
      <c r="O36" s="2" t="s">
        <v>136</v>
      </c>
      <c r="P36" t="s">
        <v>2573</v>
      </c>
      <c r="Q36" s="2" t="s">
        <v>78</v>
      </c>
      <c r="R36" s="23" t="s">
        <v>892</v>
      </c>
      <c r="S36" s="23" t="s">
        <v>896</v>
      </c>
      <c r="T36" s="2" t="s">
        <v>2574</v>
      </c>
      <c r="U36" s="153">
        <v>3.681</v>
      </c>
      <c r="V36" s="153">
        <v>1171.0250000000001</v>
      </c>
      <c r="W36" s="153">
        <v>4310.5429999999997</v>
      </c>
      <c r="Y36" s="167">
        <v>2.7503696670967501E-2</v>
      </c>
      <c r="Z36" s="167">
        <v>4.19533981537633E-3</v>
      </c>
    </row>
    <row r="37" spans="1:26">
      <c r="A37" s="2" t="s">
        <v>26</v>
      </c>
      <c r="B37" s="2">
        <v>9963</v>
      </c>
      <c r="E37" s="23"/>
      <c r="F37" s="2" t="s">
        <v>2575</v>
      </c>
      <c r="G37" s="2">
        <v>62021076</v>
      </c>
      <c r="H37" s="2" t="s">
        <v>34</v>
      </c>
      <c r="I37" s="2" t="s">
        <v>1025</v>
      </c>
      <c r="J37" s="2" t="s">
        <v>567</v>
      </c>
      <c r="K37" s="2" t="s">
        <v>73</v>
      </c>
      <c r="L37" s="23"/>
      <c r="M37" s="23"/>
      <c r="N37" s="2" t="s">
        <v>74</v>
      </c>
      <c r="O37" s="2" t="s">
        <v>136</v>
      </c>
      <c r="P37" t="s">
        <v>2576</v>
      </c>
      <c r="Q37" s="2" t="s">
        <v>78</v>
      </c>
      <c r="R37" s="23" t="s">
        <v>892</v>
      </c>
      <c r="S37" s="23" t="s">
        <v>896</v>
      </c>
      <c r="T37" s="2" t="s">
        <v>1310</v>
      </c>
      <c r="U37" s="153">
        <v>3.681</v>
      </c>
      <c r="V37" s="153">
        <v>647.27</v>
      </c>
      <c r="W37" s="153">
        <v>2382.6010000000001</v>
      </c>
      <c r="Y37" s="167">
        <v>1.5202337904158401E-2</v>
      </c>
      <c r="Z37" s="167">
        <v>2.31892367993735E-3</v>
      </c>
    </row>
    <row r="38" spans="1:26">
      <c r="A38" s="2" t="s">
        <v>26</v>
      </c>
      <c r="B38" s="2">
        <v>9963</v>
      </c>
      <c r="E38" s="23"/>
      <c r="F38" s="2" t="s">
        <v>2577</v>
      </c>
      <c r="G38" s="2">
        <v>62000395</v>
      </c>
      <c r="H38" s="2" t="s">
        <v>34</v>
      </c>
      <c r="I38" s="2" t="s">
        <v>1025</v>
      </c>
      <c r="J38" s="2" t="s">
        <v>567</v>
      </c>
      <c r="K38" s="2" t="s">
        <v>73</v>
      </c>
      <c r="L38" s="23"/>
      <c r="M38" s="23"/>
      <c r="N38" s="2" t="s">
        <v>74</v>
      </c>
      <c r="O38" s="2" t="s">
        <v>136</v>
      </c>
      <c r="P38" t="s">
        <v>2578</v>
      </c>
      <c r="Q38" s="2" t="s">
        <v>78</v>
      </c>
      <c r="R38" s="23" t="s">
        <v>892</v>
      </c>
      <c r="S38" s="23" t="s">
        <v>896</v>
      </c>
      <c r="T38" s="2" t="s">
        <v>2579</v>
      </c>
      <c r="U38" s="153">
        <v>3.681</v>
      </c>
      <c r="V38" s="153">
        <v>1063.373</v>
      </c>
      <c r="W38" s="153">
        <v>3914.2750000000001</v>
      </c>
      <c r="Y38" s="167">
        <v>2.49752848481949E-2</v>
      </c>
      <c r="Z38" s="167">
        <v>3.80966268562004E-3</v>
      </c>
    </row>
    <row r="39" spans="1:26">
      <c r="A39" s="2" t="s">
        <v>26</v>
      </c>
      <c r="B39" s="2">
        <v>9963</v>
      </c>
      <c r="E39" s="23"/>
      <c r="F39" s="2" t="s">
        <v>2580</v>
      </c>
      <c r="G39" s="2">
        <v>62019021</v>
      </c>
      <c r="H39" s="2" t="s">
        <v>34</v>
      </c>
      <c r="I39" s="2" t="s">
        <v>1025</v>
      </c>
      <c r="J39" s="2" t="s">
        <v>567</v>
      </c>
      <c r="K39" s="2" t="s">
        <v>73</v>
      </c>
      <c r="L39" s="23"/>
      <c r="M39" s="23"/>
      <c r="N39" s="2" t="s">
        <v>74</v>
      </c>
      <c r="O39" s="2" t="s">
        <v>136</v>
      </c>
      <c r="P39" t="s">
        <v>2581</v>
      </c>
      <c r="Q39" s="2" t="s">
        <v>78</v>
      </c>
      <c r="R39" s="23" t="s">
        <v>892</v>
      </c>
      <c r="S39" s="23" t="s">
        <v>896</v>
      </c>
      <c r="T39" s="2" t="s">
        <v>1310</v>
      </c>
      <c r="U39" s="153">
        <v>3.681</v>
      </c>
      <c r="V39" s="153">
        <v>801.15800000000002</v>
      </c>
      <c r="W39" s="153">
        <v>2949.0639999999999</v>
      </c>
      <c r="Y39" s="167">
        <v>1.8816690516314499E-2</v>
      </c>
      <c r="Z39" s="167">
        <v>2.8702472929771298E-3</v>
      </c>
    </row>
    <row r="40" spans="1:26">
      <c r="A40" s="2" t="s">
        <v>26</v>
      </c>
      <c r="B40" s="2">
        <v>9963</v>
      </c>
      <c r="F40" s="2" t="s">
        <v>2582</v>
      </c>
      <c r="G40" s="2">
        <v>62010970</v>
      </c>
      <c r="H40" s="2" t="s">
        <v>34</v>
      </c>
      <c r="I40" s="2" t="s">
        <v>1025</v>
      </c>
      <c r="J40" s="2" t="s">
        <v>567</v>
      </c>
      <c r="K40" s="2" t="s">
        <v>73</v>
      </c>
      <c r="L40" s="23"/>
      <c r="M40" s="23"/>
      <c r="N40" s="2" t="s">
        <v>296</v>
      </c>
      <c r="O40" s="2" t="s">
        <v>136</v>
      </c>
      <c r="P40" t="s">
        <v>2583</v>
      </c>
      <c r="Q40" s="2" t="s">
        <v>78</v>
      </c>
      <c r="R40" s="23" t="s">
        <v>892</v>
      </c>
      <c r="S40" s="23" t="s">
        <v>896</v>
      </c>
      <c r="T40" s="2" t="s">
        <v>2584</v>
      </c>
      <c r="U40" s="153">
        <v>3.681</v>
      </c>
      <c r="V40" s="153">
        <v>1586.5740000000001</v>
      </c>
      <c r="W40" s="153">
        <v>5840.1790000000001</v>
      </c>
      <c r="Y40" s="167">
        <v>3.7263636571683099E-2</v>
      </c>
      <c r="Z40" s="167">
        <v>5.6840947617023E-3</v>
      </c>
    </row>
    <row r="41" spans="1:26">
      <c r="A41" s="2" t="s">
        <v>26</v>
      </c>
      <c r="B41" s="2">
        <v>9963</v>
      </c>
      <c r="E41" s="23"/>
      <c r="F41" s="2" t="s">
        <v>2585</v>
      </c>
      <c r="G41" s="2">
        <v>62021001</v>
      </c>
      <c r="H41" s="2" t="s">
        <v>34</v>
      </c>
      <c r="I41" s="2" t="s">
        <v>1025</v>
      </c>
      <c r="J41" s="2" t="s">
        <v>567</v>
      </c>
      <c r="K41" s="2" t="s">
        <v>73</v>
      </c>
      <c r="L41" s="23"/>
      <c r="M41" s="23"/>
      <c r="N41" s="2" t="s">
        <v>74</v>
      </c>
      <c r="O41" s="2" t="s">
        <v>136</v>
      </c>
      <c r="P41" t="s">
        <v>2586</v>
      </c>
      <c r="Q41" s="2" t="s">
        <v>78</v>
      </c>
      <c r="R41" s="23" t="s">
        <v>892</v>
      </c>
      <c r="S41" s="23" t="s">
        <v>896</v>
      </c>
      <c r="T41" s="2" t="s">
        <v>2513</v>
      </c>
      <c r="U41" s="153">
        <v>3.681</v>
      </c>
      <c r="V41" s="153">
        <v>506.35500000000002</v>
      </c>
      <c r="W41" s="153">
        <v>1863.894</v>
      </c>
      <c r="Y41" s="167">
        <v>1.18926954852834E-2</v>
      </c>
      <c r="Z41" s="167">
        <v>1.8140797391145999E-3</v>
      </c>
    </row>
    <row r="42" spans="1:26">
      <c r="A42" s="2" t="s">
        <v>26</v>
      </c>
      <c r="B42" s="2">
        <v>9963</v>
      </c>
      <c r="D42"/>
      <c r="E42" s="23"/>
      <c r="F42" s="2" t="s">
        <v>2587</v>
      </c>
      <c r="G42" s="2">
        <v>62021175</v>
      </c>
      <c r="H42" s="2" t="s">
        <v>34</v>
      </c>
      <c r="I42" s="2" t="s">
        <v>1029</v>
      </c>
      <c r="J42" s="2" t="s">
        <v>567</v>
      </c>
      <c r="K42" s="2" t="s">
        <v>73</v>
      </c>
      <c r="L42" s="23"/>
      <c r="M42" s="23"/>
      <c r="N42" s="2" t="s">
        <v>74</v>
      </c>
      <c r="O42" s="2" t="s">
        <v>136</v>
      </c>
      <c r="P42" t="s">
        <v>2588</v>
      </c>
      <c r="Q42" s="2" t="s">
        <v>78</v>
      </c>
      <c r="R42" s="23" t="s">
        <v>892</v>
      </c>
      <c r="S42" s="23" t="s">
        <v>896</v>
      </c>
      <c r="T42" s="2" t="s">
        <v>2571</v>
      </c>
      <c r="U42" s="153">
        <v>3.681</v>
      </c>
      <c r="V42" s="153">
        <v>61.375999999999998</v>
      </c>
      <c r="W42" s="153">
        <v>225.92400000000001</v>
      </c>
      <c r="Y42" s="167">
        <v>1.4415227118701301E-3</v>
      </c>
      <c r="Z42" s="167">
        <v>2.1988599206236399E-4</v>
      </c>
    </row>
    <row r="43" spans="1:26">
      <c r="A43" s="2" t="s">
        <v>26</v>
      </c>
      <c r="B43" s="2">
        <v>9963</v>
      </c>
      <c r="F43" s="2" t="s">
        <v>2589</v>
      </c>
      <c r="G43" s="2">
        <v>62019740</v>
      </c>
      <c r="H43" s="2" t="s">
        <v>34</v>
      </c>
      <c r="I43" s="2" t="s">
        <v>1025</v>
      </c>
      <c r="J43" s="2" t="s">
        <v>567</v>
      </c>
      <c r="K43" s="2" t="s">
        <v>73</v>
      </c>
      <c r="L43" s="23"/>
      <c r="M43" s="23"/>
      <c r="N43" s="2" t="s">
        <v>74</v>
      </c>
      <c r="O43" s="2" t="s">
        <v>136</v>
      </c>
      <c r="P43" t="s">
        <v>2590</v>
      </c>
      <c r="Q43" s="2" t="s">
        <v>78</v>
      </c>
      <c r="R43" s="23" t="s">
        <v>892</v>
      </c>
      <c r="S43" s="23" t="s">
        <v>896</v>
      </c>
      <c r="T43" s="2" t="s">
        <v>2566</v>
      </c>
      <c r="U43" s="153">
        <v>3.681</v>
      </c>
      <c r="V43" s="153">
        <v>1568.5609999999999</v>
      </c>
      <c r="W43" s="153">
        <v>5773.8729999999996</v>
      </c>
      <c r="Y43" s="167">
        <v>3.6840564644996202E-2</v>
      </c>
      <c r="Z43" s="167">
        <v>5.61956050945137E-3</v>
      </c>
    </row>
    <row r="44" spans="1:26">
      <c r="A44" s="2" t="s">
        <v>26</v>
      </c>
      <c r="B44" s="2">
        <v>9963</v>
      </c>
      <c r="E44" s="23"/>
      <c r="F44" s="2" t="s">
        <v>2591</v>
      </c>
      <c r="G44" s="2">
        <v>62021498</v>
      </c>
      <c r="H44" s="2" t="s">
        <v>34</v>
      </c>
      <c r="I44" s="2" t="s">
        <v>1025</v>
      </c>
      <c r="J44" s="2" t="s">
        <v>567</v>
      </c>
      <c r="K44" s="2" t="s">
        <v>73</v>
      </c>
      <c r="L44" s="23"/>
      <c r="M44" s="23"/>
      <c r="N44" s="2" t="s">
        <v>74</v>
      </c>
      <c r="O44" s="2" t="s">
        <v>136</v>
      </c>
      <c r="P44" t="s">
        <v>2592</v>
      </c>
      <c r="Q44" s="2" t="s">
        <v>78</v>
      </c>
      <c r="R44" s="23" t="s">
        <v>892</v>
      </c>
      <c r="S44" s="23" t="s">
        <v>896</v>
      </c>
      <c r="T44" s="2" t="s">
        <v>2529</v>
      </c>
      <c r="U44" s="153">
        <v>3.681</v>
      </c>
      <c r="V44" s="153">
        <v>105.134</v>
      </c>
      <c r="W44" s="153">
        <v>386.99900000000002</v>
      </c>
      <c r="Y44" s="167">
        <v>2.46927205199811E-3</v>
      </c>
      <c r="Z44" s="167">
        <v>3.7665610840156399E-4</v>
      </c>
    </row>
    <row r="45" spans="1:26">
      <c r="A45" s="2" t="s">
        <v>26</v>
      </c>
      <c r="B45" s="2">
        <v>9963</v>
      </c>
      <c r="E45" s="23"/>
      <c r="F45" s="2" t="s">
        <v>2593</v>
      </c>
      <c r="G45" s="2">
        <v>62018866</v>
      </c>
      <c r="H45" s="2" t="s">
        <v>34</v>
      </c>
      <c r="I45" s="2" t="s">
        <v>1025</v>
      </c>
      <c r="J45" s="2" t="s">
        <v>567</v>
      </c>
      <c r="K45" s="2" t="s">
        <v>73</v>
      </c>
      <c r="L45" s="23"/>
      <c r="M45" s="23"/>
      <c r="N45" s="2" t="s">
        <v>74</v>
      </c>
      <c r="O45" s="2" t="s">
        <v>136</v>
      </c>
      <c r="P45" t="s">
        <v>2594</v>
      </c>
      <c r="Q45" s="2" t="s">
        <v>78</v>
      </c>
      <c r="R45" s="23" t="s">
        <v>892</v>
      </c>
      <c r="S45" s="23" t="s">
        <v>896</v>
      </c>
      <c r="T45" s="2" t="s">
        <v>2513</v>
      </c>
      <c r="U45" s="153">
        <v>3.681</v>
      </c>
      <c r="V45" s="153">
        <v>1154.598</v>
      </c>
      <c r="W45" s="153">
        <v>4250.0770000000002</v>
      </c>
      <c r="Y45" s="167">
        <v>2.7117887561887599E-2</v>
      </c>
      <c r="Z45" s="167">
        <v>4.1364895329644201E-3</v>
      </c>
    </row>
    <row r="46" spans="1:26">
      <c r="A46" s="2" t="s">
        <v>26</v>
      </c>
      <c r="B46" s="2">
        <v>9963</v>
      </c>
      <c r="E46" s="23"/>
      <c r="F46" s="2" t="s">
        <v>2595</v>
      </c>
      <c r="G46" s="2">
        <v>62018486</v>
      </c>
      <c r="H46" s="2" t="s">
        <v>34</v>
      </c>
      <c r="I46" s="2" t="s">
        <v>1025</v>
      </c>
      <c r="J46" s="2" t="s">
        <v>567</v>
      </c>
      <c r="K46" s="2" t="s">
        <v>73</v>
      </c>
      <c r="L46" s="23"/>
      <c r="M46" s="23"/>
      <c r="N46" s="2" t="s">
        <v>74</v>
      </c>
      <c r="O46" s="2" t="s">
        <v>136</v>
      </c>
      <c r="P46" t="s">
        <v>2596</v>
      </c>
      <c r="Q46" s="2" t="s">
        <v>78</v>
      </c>
      <c r="R46" s="23" t="s">
        <v>892</v>
      </c>
      <c r="S46" s="23" t="s">
        <v>896</v>
      </c>
      <c r="T46" s="2" t="s">
        <v>2597</v>
      </c>
      <c r="U46" s="153">
        <v>3.681</v>
      </c>
      <c r="V46" s="153">
        <v>1752.0029999999999</v>
      </c>
      <c r="W46" s="153">
        <v>6449.1229999999996</v>
      </c>
      <c r="Y46" s="167">
        <v>4.1149043853568497E-2</v>
      </c>
      <c r="Z46" s="167">
        <v>6.2767643240398598E-3</v>
      </c>
    </row>
    <row r="47" spans="1:26">
      <c r="A47" s="2" t="s">
        <v>26</v>
      </c>
      <c r="B47" s="2">
        <v>9963</v>
      </c>
      <c r="E47" s="23"/>
      <c r="F47" s="2" t="s">
        <v>2599</v>
      </c>
      <c r="G47" s="2">
        <v>62021282</v>
      </c>
      <c r="H47" s="2" t="s">
        <v>34</v>
      </c>
      <c r="I47" s="2" t="s">
        <v>1025</v>
      </c>
      <c r="J47" s="2" t="s">
        <v>567</v>
      </c>
      <c r="K47" s="2" t="s">
        <v>73</v>
      </c>
      <c r="L47" s="23"/>
      <c r="M47" s="23"/>
      <c r="N47" s="2" t="s">
        <v>253</v>
      </c>
      <c r="O47" s="2" t="s">
        <v>136</v>
      </c>
      <c r="P47" t="s">
        <v>2600</v>
      </c>
      <c r="Q47" s="2" t="s">
        <v>78</v>
      </c>
      <c r="R47" s="23" t="s">
        <v>892</v>
      </c>
      <c r="S47" s="23" t="s">
        <v>896</v>
      </c>
      <c r="T47" s="2" t="s">
        <v>2496</v>
      </c>
      <c r="U47" s="153">
        <v>3.681</v>
      </c>
      <c r="V47" s="153">
        <v>320.024</v>
      </c>
      <c r="W47" s="153">
        <v>1178.009</v>
      </c>
      <c r="Y47" s="167">
        <v>7.5163640628064E-3</v>
      </c>
      <c r="Z47" s="167">
        <v>1.14652593056125E-3</v>
      </c>
    </row>
    <row r="48" spans="1:26">
      <c r="A48" s="2" t="s">
        <v>26</v>
      </c>
      <c r="B48" s="2">
        <v>9963</v>
      </c>
      <c r="E48" s="23"/>
      <c r="F48" s="2" t="s">
        <v>2601</v>
      </c>
      <c r="G48" s="2">
        <v>62018668</v>
      </c>
      <c r="H48" s="2" t="s">
        <v>34</v>
      </c>
      <c r="I48" s="2" t="s">
        <v>1025</v>
      </c>
      <c r="J48" s="2" t="s">
        <v>567</v>
      </c>
      <c r="K48" s="2" t="s">
        <v>73</v>
      </c>
      <c r="L48" s="23"/>
      <c r="M48" s="23"/>
      <c r="N48" s="2" t="s">
        <v>296</v>
      </c>
      <c r="O48" s="2" t="s">
        <v>136</v>
      </c>
      <c r="P48" t="s">
        <v>2602</v>
      </c>
      <c r="Q48" s="2" t="s">
        <v>78</v>
      </c>
      <c r="R48" s="23" t="s">
        <v>892</v>
      </c>
      <c r="S48" s="23" t="s">
        <v>896</v>
      </c>
      <c r="T48" s="2" t="s">
        <v>2521</v>
      </c>
      <c r="U48" s="153">
        <v>3.681</v>
      </c>
      <c r="V48" s="153">
        <v>401.99700000000001</v>
      </c>
      <c r="W48" s="153">
        <v>1479.75</v>
      </c>
      <c r="Y48" s="167">
        <v>9.44164250635828E-3</v>
      </c>
      <c r="Z48" s="167">
        <v>1.44020271905075E-3</v>
      </c>
    </row>
    <row r="49" spans="1:26">
      <c r="A49" s="2" t="s">
        <v>26</v>
      </c>
      <c r="B49" s="2">
        <v>9963</v>
      </c>
      <c r="F49" s="2" t="s">
        <v>2603</v>
      </c>
      <c r="G49" s="2">
        <v>62014592</v>
      </c>
      <c r="H49" s="2" t="s">
        <v>34</v>
      </c>
      <c r="I49" s="2" t="s">
        <v>1025</v>
      </c>
      <c r="J49" s="2" t="s">
        <v>567</v>
      </c>
      <c r="K49" s="2" t="s">
        <v>73</v>
      </c>
      <c r="L49" s="23"/>
      <c r="M49" s="23"/>
      <c r="N49" s="2" t="s">
        <v>74</v>
      </c>
      <c r="O49" s="2" t="s">
        <v>136</v>
      </c>
      <c r="P49" t="s">
        <v>2604</v>
      </c>
      <c r="Q49" s="2" t="s">
        <v>78</v>
      </c>
      <c r="R49" s="23" t="s">
        <v>892</v>
      </c>
      <c r="S49" s="23" t="s">
        <v>896</v>
      </c>
      <c r="T49" s="2" t="s">
        <v>2566</v>
      </c>
      <c r="U49" s="153">
        <v>3.681</v>
      </c>
      <c r="V49" s="153">
        <v>1349.6579999999999</v>
      </c>
      <c r="W49" s="153">
        <v>4968.0910000000003</v>
      </c>
      <c r="Y49" s="167">
        <v>3.1699224719025101E-2</v>
      </c>
      <c r="Z49" s="167">
        <v>4.8353143641476004E-3</v>
      </c>
    </row>
    <row r="50" spans="1:26">
      <c r="A50" s="2" t="s">
        <v>26</v>
      </c>
      <c r="B50" s="2">
        <v>9963</v>
      </c>
      <c r="E50" s="23"/>
      <c r="F50" s="2" t="s">
        <v>2605</v>
      </c>
      <c r="G50" s="2">
        <v>60407392</v>
      </c>
      <c r="H50" s="2" t="s">
        <v>34</v>
      </c>
      <c r="I50" s="2" t="s">
        <v>1025</v>
      </c>
      <c r="J50" s="2" t="s">
        <v>567</v>
      </c>
      <c r="K50" s="2" t="s">
        <v>73</v>
      </c>
      <c r="L50" s="23"/>
      <c r="M50" s="23"/>
      <c r="N50" s="2" t="s">
        <v>74</v>
      </c>
      <c r="O50" s="2" t="s">
        <v>136</v>
      </c>
      <c r="P50" t="s">
        <v>2606</v>
      </c>
      <c r="Q50" s="2" t="s">
        <v>78</v>
      </c>
      <c r="R50" s="23" t="s">
        <v>892</v>
      </c>
      <c r="S50" s="23" t="s">
        <v>896</v>
      </c>
      <c r="T50" s="2" t="s">
        <v>1310</v>
      </c>
      <c r="U50" s="153">
        <v>3.681</v>
      </c>
      <c r="V50" s="153">
        <v>378.15499999999997</v>
      </c>
      <c r="W50" s="153">
        <v>1391.99</v>
      </c>
      <c r="Y50" s="167">
        <v>8.8816807196005106E-3</v>
      </c>
      <c r="Z50" s="167">
        <v>1.35478765622561E-3</v>
      </c>
    </row>
    <row r="51" spans="1:26">
      <c r="A51" s="2" t="s">
        <v>26</v>
      </c>
      <c r="B51" s="2">
        <v>9963</v>
      </c>
      <c r="E51" s="23"/>
      <c r="F51" s="2" t="s">
        <v>2607</v>
      </c>
      <c r="G51" s="2">
        <v>620211181</v>
      </c>
      <c r="H51" s="2" t="s">
        <v>34</v>
      </c>
      <c r="I51" s="2" t="s">
        <v>1029</v>
      </c>
      <c r="J51" s="2" t="s">
        <v>567</v>
      </c>
      <c r="K51" s="2" t="s">
        <v>73</v>
      </c>
      <c r="L51" s="23"/>
      <c r="M51" s="23"/>
      <c r="N51" s="2" t="s">
        <v>293</v>
      </c>
      <c r="O51" s="2" t="s">
        <v>136</v>
      </c>
      <c r="P51" t="s">
        <v>2608</v>
      </c>
      <c r="Q51" s="2" t="s">
        <v>1182</v>
      </c>
      <c r="R51" s="23" t="s">
        <v>892</v>
      </c>
      <c r="S51" s="23" t="s">
        <v>896</v>
      </c>
      <c r="T51" s="2" t="s">
        <v>1310</v>
      </c>
      <c r="U51" s="153">
        <v>4.6539999999999999</v>
      </c>
      <c r="V51" s="153">
        <v>79.846999999999994</v>
      </c>
      <c r="W51" s="153">
        <v>371.57</v>
      </c>
      <c r="Y51" s="167">
        <v>2.3708255408864602E-3</v>
      </c>
      <c r="Z51" s="167">
        <v>3.6163934273938399E-4</v>
      </c>
    </row>
    <row r="52" spans="1:26">
      <c r="A52" s="2" t="s">
        <v>26</v>
      </c>
      <c r="B52" s="2">
        <v>9963</v>
      </c>
      <c r="E52" s="23"/>
      <c r="F52" s="2" t="s">
        <v>2609</v>
      </c>
      <c r="G52" s="2">
        <v>62018403</v>
      </c>
      <c r="H52" s="2" t="s">
        <v>34</v>
      </c>
      <c r="I52" s="2" t="s">
        <v>1025</v>
      </c>
      <c r="J52" s="2" t="s">
        <v>567</v>
      </c>
      <c r="K52" s="2" t="s">
        <v>73</v>
      </c>
      <c r="L52" s="23"/>
      <c r="M52" s="23"/>
      <c r="N52" s="2" t="s">
        <v>296</v>
      </c>
      <c r="O52" s="2" t="s">
        <v>136</v>
      </c>
      <c r="P52" t="s">
        <v>2610</v>
      </c>
      <c r="Q52" s="2" t="s">
        <v>78</v>
      </c>
      <c r="R52" s="23" t="s">
        <v>892</v>
      </c>
      <c r="S52" s="23" t="s">
        <v>896</v>
      </c>
      <c r="T52" s="2" t="s">
        <v>2611</v>
      </c>
      <c r="U52" s="153">
        <v>3.681</v>
      </c>
      <c r="V52" s="153">
        <v>395.65</v>
      </c>
      <c r="W52" s="153">
        <v>1456.3879999999999</v>
      </c>
      <c r="Y52" s="167">
        <v>9.2925744674890801E-3</v>
      </c>
      <c r="Z52" s="167">
        <v>1.4174642818817499E-3</v>
      </c>
    </row>
    <row r="53" spans="1:26">
      <c r="A53" s="2" t="s">
        <v>26</v>
      </c>
      <c r="B53" s="2">
        <v>9963</v>
      </c>
      <c r="E53" s="23"/>
      <c r="F53" s="2" t="s">
        <v>2612</v>
      </c>
      <c r="G53" s="2">
        <v>62018115</v>
      </c>
      <c r="H53" s="2" t="s">
        <v>34</v>
      </c>
      <c r="I53" s="2" t="s">
        <v>1025</v>
      </c>
      <c r="J53" s="2" t="s">
        <v>567</v>
      </c>
      <c r="K53" s="2" t="s">
        <v>73</v>
      </c>
      <c r="L53" s="23"/>
      <c r="M53" s="23"/>
      <c r="N53" s="2" t="s">
        <v>74</v>
      </c>
      <c r="O53" s="2" t="s">
        <v>136</v>
      </c>
      <c r="P53" t="s">
        <v>2613</v>
      </c>
      <c r="Q53" s="2" t="s">
        <v>78</v>
      </c>
      <c r="R53" s="23" t="s">
        <v>892</v>
      </c>
      <c r="S53" s="23" t="s">
        <v>896</v>
      </c>
      <c r="T53" s="2" t="s">
        <v>2614</v>
      </c>
      <c r="U53" s="153">
        <v>3.681</v>
      </c>
      <c r="V53" s="153">
        <v>796.71400000000006</v>
      </c>
      <c r="W53" s="153">
        <v>2932.703</v>
      </c>
      <c r="Y53" s="167">
        <v>1.8712301883895801E-2</v>
      </c>
      <c r="Z53" s="167">
        <v>2.8543241321344801E-3</v>
      </c>
    </row>
    <row r="54" spans="1:26">
      <c r="A54" s="2" t="s">
        <v>26</v>
      </c>
      <c r="B54" s="2">
        <v>9963</v>
      </c>
      <c r="E54" s="23"/>
      <c r="F54" s="2" t="s">
        <v>2615</v>
      </c>
      <c r="G54" s="2">
        <v>62019716</v>
      </c>
      <c r="H54" s="2" t="s">
        <v>34</v>
      </c>
      <c r="I54" s="2" t="s">
        <v>1025</v>
      </c>
      <c r="J54" s="2" t="s">
        <v>567</v>
      </c>
      <c r="K54" s="2" t="s">
        <v>73</v>
      </c>
      <c r="L54" s="23"/>
      <c r="M54" s="23"/>
      <c r="N54" s="2" t="s">
        <v>293</v>
      </c>
      <c r="O54" s="2" t="s">
        <v>136</v>
      </c>
      <c r="P54" t="s">
        <v>2515</v>
      </c>
      <c r="Q54" s="2" t="s">
        <v>1178</v>
      </c>
      <c r="R54" s="23" t="s">
        <v>892</v>
      </c>
      <c r="S54" s="23" t="s">
        <v>896</v>
      </c>
      <c r="T54" s="2" t="s">
        <v>2616</v>
      </c>
      <c r="U54" s="153">
        <v>3.9790000000000001</v>
      </c>
      <c r="V54" s="153">
        <v>454.85</v>
      </c>
      <c r="W54" s="153">
        <v>1809.894</v>
      </c>
      <c r="Y54" s="167">
        <v>1.1548146515466999E-2</v>
      </c>
      <c r="Z54" s="167">
        <v>1.7615231672213601E-3</v>
      </c>
    </row>
    <row r="55" spans="1:26">
      <c r="A55" s="2" t="s">
        <v>26</v>
      </c>
      <c r="B55" s="2">
        <v>9963</v>
      </c>
      <c r="E55" s="23"/>
      <c r="F55" s="2" t="s">
        <v>2617</v>
      </c>
      <c r="G55" s="2">
        <v>62018965</v>
      </c>
      <c r="H55" s="2" t="s">
        <v>34</v>
      </c>
      <c r="I55" s="2" t="s">
        <v>1025</v>
      </c>
      <c r="J55" s="2" t="s">
        <v>567</v>
      </c>
      <c r="K55" s="2" t="s">
        <v>73</v>
      </c>
      <c r="L55" s="23"/>
      <c r="M55" s="23"/>
      <c r="N55" s="2" t="s">
        <v>74</v>
      </c>
      <c r="O55" s="2" t="s">
        <v>136</v>
      </c>
      <c r="P55" t="s">
        <v>2618</v>
      </c>
      <c r="Q55" s="2" t="s">
        <v>78</v>
      </c>
      <c r="R55" s="23" t="s">
        <v>892</v>
      </c>
      <c r="S55" s="23" t="s">
        <v>896</v>
      </c>
      <c r="T55" s="2" t="s">
        <v>2616</v>
      </c>
      <c r="U55" s="153">
        <v>3.681</v>
      </c>
      <c r="V55" s="153">
        <v>608.83199999999999</v>
      </c>
      <c r="W55" s="153">
        <v>2241.1109999999999</v>
      </c>
      <c r="Y55" s="167">
        <v>1.42995500963502E-2</v>
      </c>
      <c r="Z55" s="167">
        <v>2.1812148591833602E-3</v>
      </c>
    </row>
    <row r="56" spans="1:26">
      <c r="A56" s="2" t="s">
        <v>26</v>
      </c>
      <c r="B56" s="2">
        <v>9963</v>
      </c>
      <c r="F56" s="2" t="s">
        <v>2619</v>
      </c>
      <c r="G56" s="2">
        <v>62018098</v>
      </c>
      <c r="H56" s="2" t="s">
        <v>34</v>
      </c>
      <c r="I56" s="2" t="s">
        <v>1025</v>
      </c>
      <c r="J56" s="2" t="s">
        <v>567</v>
      </c>
      <c r="K56" s="2" t="s">
        <v>73</v>
      </c>
      <c r="L56" s="23"/>
      <c r="M56" s="23"/>
      <c r="N56" s="2" t="s">
        <v>74</v>
      </c>
      <c r="O56" s="2" t="s">
        <v>136</v>
      </c>
      <c r="P56" t="s">
        <v>2620</v>
      </c>
      <c r="Q56" s="2" t="s">
        <v>78</v>
      </c>
      <c r="R56" s="23" t="s">
        <v>892</v>
      </c>
      <c r="S56" s="23" t="s">
        <v>896</v>
      </c>
      <c r="T56" s="2" t="s">
        <v>1310</v>
      </c>
      <c r="U56" s="153">
        <v>3.681</v>
      </c>
      <c r="V56" s="153">
        <v>816.01800000000003</v>
      </c>
      <c r="W56" s="153">
        <v>3003.761</v>
      </c>
      <c r="Y56" s="167">
        <v>1.91656890022644E-2</v>
      </c>
      <c r="Z56" s="167">
        <v>2.9234825820776398E-3</v>
      </c>
    </row>
    <row r="57" spans="1:26">
      <c r="A57" s="2" t="s">
        <v>26</v>
      </c>
      <c r="B57" s="2">
        <v>9963</v>
      </c>
      <c r="E57" s="23"/>
      <c r="F57" s="2" t="s">
        <v>2621</v>
      </c>
      <c r="G57" s="2">
        <v>62020938</v>
      </c>
      <c r="H57" s="2" t="s">
        <v>34</v>
      </c>
      <c r="I57" s="2" t="s">
        <v>1025</v>
      </c>
      <c r="J57" s="2" t="s">
        <v>567</v>
      </c>
      <c r="K57" s="2" t="s">
        <v>73</v>
      </c>
      <c r="L57" s="23"/>
      <c r="M57" s="23"/>
      <c r="N57" s="2" t="s">
        <v>74</v>
      </c>
      <c r="O57" s="2" t="s">
        <v>136</v>
      </c>
      <c r="P57" t="s">
        <v>2622</v>
      </c>
      <c r="Q57" s="2" t="s">
        <v>78</v>
      </c>
      <c r="R57" s="23" t="s">
        <v>892</v>
      </c>
      <c r="S57" s="23" t="s">
        <v>896</v>
      </c>
      <c r="T57" s="2" t="s">
        <v>2623</v>
      </c>
      <c r="U57" s="153">
        <v>3.681</v>
      </c>
      <c r="V57" s="153">
        <v>169.126</v>
      </c>
      <c r="W57" s="153">
        <v>622.55399999999997</v>
      </c>
      <c r="Y57" s="167">
        <v>3.9722440300987297E-3</v>
      </c>
      <c r="Z57" s="167">
        <v>6.0591540603541401E-4</v>
      </c>
    </row>
    <row r="58" spans="1:26">
      <c r="A58" s="2" t="s">
        <v>26</v>
      </c>
      <c r="B58" s="2">
        <v>9963</v>
      </c>
      <c r="E58" s="23"/>
      <c r="F58" s="2" t="s">
        <v>2624</v>
      </c>
      <c r="G58" s="2">
        <v>62020284</v>
      </c>
      <c r="H58" s="2" t="s">
        <v>34</v>
      </c>
      <c r="I58" s="2" t="s">
        <v>1025</v>
      </c>
      <c r="J58" s="2" t="s">
        <v>567</v>
      </c>
      <c r="K58" s="2" t="s">
        <v>73</v>
      </c>
      <c r="L58" s="23"/>
      <c r="M58" s="23"/>
      <c r="N58" s="2" t="s">
        <v>74</v>
      </c>
      <c r="O58" s="2" t="s">
        <v>136</v>
      </c>
      <c r="P58" t="s">
        <v>2625</v>
      </c>
      <c r="Q58" s="2" t="s">
        <v>78</v>
      </c>
      <c r="R58" s="23" t="s">
        <v>892</v>
      </c>
      <c r="S58" s="23" t="s">
        <v>896</v>
      </c>
      <c r="T58" s="2" t="s">
        <v>2626</v>
      </c>
      <c r="U58" s="153">
        <v>3.681</v>
      </c>
      <c r="V58" s="153">
        <v>213.66800000000001</v>
      </c>
      <c r="W58" s="153">
        <v>786.51099999999997</v>
      </c>
      <c r="Y58" s="167">
        <v>5.0183868169596697E-3</v>
      </c>
      <c r="Z58" s="167">
        <v>7.6549120920078699E-4</v>
      </c>
    </row>
    <row r="59" spans="1:26">
      <c r="A59" s="2" t="s">
        <v>26</v>
      </c>
      <c r="B59" s="2">
        <v>9963</v>
      </c>
      <c r="E59" s="23"/>
      <c r="F59" s="2" t="s">
        <v>2627</v>
      </c>
      <c r="G59" s="2">
        <v>62000698</v>
      </c>
      <c r="H59" s="2" t="s">
        <v>34</v>
      </c>
      <c r="I59" s="2" t="s">
        <v>1025</v>
      </c>
      <c r="J59" s="2" t="s">
        <v>567</v>
      </c>
      <c r="K59" s="2" t="s">
        <v>73</v>
      </c>
      <c r="L59" s="23"/>
      <c r="M59" s="23"/>
      <c r="N59" s="2" t="s">
        <v>296</v>
      </c>
      <c r="O59" s="2" t="s">
        <v>136</v>
      </c>
      <c r="P59" t="s">
        <v>2628</v>
      </c>
      <c r="Q59" s="2" t="s">
        <v>78</v>
      </c>
      <c r="R59" s="23" t="s">
        <v>892</v>
      </c>
      <c r="S59" s="23" t="s">
        <v>896</v>
      </c>
      <c r="T59" s="2" t="s">
        <v>2629</v>
      </c>
      <c r="U59" s="153">
        <v>3.681</v>
      </c>
      <c r="V59" s="153">
        <v>1043.52</v>
      </c>
      <c r="W59" s="153">
        <v>3841.1990000000001</v>
      </c>
      <c r="Y59" s="167">
        <v>2.45090159261773E-2</v>
      </c>
      <c r="Z59" s="167">
        <v>3.7385392800424202E-3</v>
      </c>
    </row>
    <row r="60" spans="1:26">
      <c r="A60" s="2" t="s">
        <v>26</v>
      </c>
      <c r="B60" s="2">
        <v>9963</v>
      </c>
      <c r="E60" s="23"/>
      <c r="F60" s="2" t="s">
        <v>2630</v>
      </c>
      <c r="G60" s="2">
        <v>62014261</v>
      </c>
      <c r="H60" s="2" t="s">
        <v>34</v>
      </c>
      <c r="I60" s="2" t="s">
        <v>1025</v>
      </c>
      <c r="J60" s="2" t="s">
        <v>567</v>
      </c>
      <c r="K60" s="2" t="s">
        <v>73</v>
      </c>
      <c r="L60" s="23"/>
      <c r="M60" s="23"/>
      <c r="N60" s="2" t="s">
        <v>296</v>
      </c>
      <c r="O60" s="2" t="s">
        <v>136</v>
      </c>
      <c r="P60" t="s">
        <v>2631</v>
      </c>
      <c r="Q60" s="2" t="s">
        <v>78</v>
      </c>
      <c r="R60" s="23" t="s">
        <v>892</v>
      </c>
      <c r="S60" s="23" t="s">
        <v>896</v>
      </c>
      <c r="T60" s="2" t="s">
        <v>2579</v>
      </c>
      <c r="U60" s="153">
        <v>3.681</v>
      </c>
      <c r="V60" s="153">
        <v>1742.981</v>
      </c>
      <c r="W60" s="153">
        <v>6415.9139999999998</v>
      </c>
      <c r="Y60" s="167">
        <v>4.0937154049756702E-2</v>
      </c>
      <c r="Z60" s="167">
        <v>6.24444322404232E-3</v>
      </c>
    </row>
    <row r="61" spans="1:26">
      <c r="A61" s="2" t="s">
        <v>26</v>
      </c>
      <c r="B61" s="2">
        <v>9963</v>
      </c>
      <c r="E61" s="23"/>
      <c r="F61" s="2" t="s">
        <v>2632</v>
      </c>
      <c r="G61" s="2">
        <v>9840688</v>
      </c>
      <c r="H61" s="2" t="s">
        <v>34</v>
      </c>
      <c r="I61" s="2" t="s">
        <v>1029</v>
      </c>
      <c r="J61" s="2" t="s">
        <v>567</v>
      </c>
      <c r="K61" s="2" t="s">
        <v>73</v>
      </c>
      <c r="L61" s="23"/>
      <c r="M61" s="23"/>
      <c r="N61" s="2" t="s">
        <v>293</v>
      </c>
      <c r="O61" s="2" t="s">
        <v>136</v>
      </c>
      <c r="P61" t="s">
        <v>163</v>
      </c>
      <c r="Q61" s="2" t="s">
        <v>1178</v>
      </c>
      <c r="R61" s="23" t="s">
        <v>892</v>
      </c>
      <c r="S61" s="23" t="s">
        <v>896</v>
      </c>
      <c r="T61" s="2" t="s">
        <v>1310</v>
      </c>
      <c r="U61" s="153">
        <v>3.9790000000000001</v>
      </c>
      <c r="V61" s="153">
        <v>53.598999999999997</v>
      </c>
      <c r="W61" s="153">
        <v>213.27600000000001</v>
      </c>
      <c r="Y61" s="167">
        <v>1.3608198204070399E-3</v>
      </c>
      <c r="Z61" s="167">
        <v>2.0757579035306101E-4</v>
      </c>
    </row>
    <row r="62" spans="1:26">
      <c r="A62" s="2" t="s">
        <v>26</v>
      </c>
      <c r="B62" s="2">
        <v>9964</v>
      </c>
      <c r="E62" s="23"/>
      <c r="F62" s="2" t="s">
        <v>2494</v>
      </c>
      <c r="G62" s="2">
        <v>62019286</v>
      </c>
      <c r="H62" s="2" t="s">
        <v>34</v>
      </c>
      <c r="I62" s="2" t="s">
        <v>1028</v>
      </c>
      <c r="J62" s="2" t="s">
        <v>567</v>
      </c>
      <c r="K62" s="2" t="s">
        <v>73</v>
      </c>
      <c r="L62" s="23"/>
      <c r="M62" s="23"/>
      <c r="N62" s="2" t="s">
        <v>293</v>
      </c>
      <c r="O62" s="2" t="s">
        <v>136</v>
      </c>
      <c r="P62" t="s">
        <v>2495</v>
      </c>
      <c r="Q62" s="2" t="s">
        <v>78</v>
      </c>
      <c r="R62" s="23" t="s">
        <v>892</v>
      </c>
      <c r="S62" s="23" t="s">
        <v>896</v>
      </c>
      <c r="T62" s="2" t="s">
        <v>2496</v>
      </c>
      <c r="U62" s="153">
        <v>3.681</v>
      </c>
      <c r="V62" s="153">
        <v>18.893000000000001</v>
      </c>
      <c r="W62" s="153">
        <v>69.546000000000006</v>
      </c>
      <c r="Y62" s="167">
        <v>1</v>
      </c>
      <c r="Z62" s="167">
        <v>2.0048164742417899E-3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62" xr:uid="{00000000-0002-0000-1300-000003000000}">
      <formula1>Valuation</formula1>
    </dataValidation>
    <dataValidation type="list" allowBlank="1" showInputMessage="1" showErrorMessage="1" sqref="S2:S62" xr:uid="{00000000-0002-0000-1300-000004000000}">
      <formula1>Dependence_Independence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57:E62 E30:E34 E36:E39 E41:E42 E50:E55 E44:E48 E2:E27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141</v>
      </c>
      <c r="E1" s="22" t="s">
        <v>142</v>
      </c>
      <c r="F1" s="22" t="s">
        <v>3</v>
      </c>
      <c r="G1" s="22" t="s">
        <v>4</v>
      </c>
      <c r="H1" s="22" t="s">
        <v>143</v>
      </c>
      <c r="I1" s="22" t="s">
        <v>6</v>
      </c>
      <c r="J1" s="22" t="s">
        <v>7</v>
      </c>
      <c r="K1" s="22" t="s">
        <v>324</v>
      </c>
      <c r="L1" s="22" t="s">
        <v>1117</v>
      </c>
      <c r="M1" s="22" t="s">
        <v>144</v>
      </c>
      <c r="N1" s="22" t="s">
        <v>1118</v>
      </c>
      <c r="O1" s="22" t="s">
        <v>123</v>
      </c>
      <c r="P1" s="22" t="s">
        <v>152</v>
      </c>
      <c r="Q1" s="22" t="s">
        <v>11</v>
      </c>
      <c r="R1" s="22" t="s">
        <v>145</v>
      </c>
      <c r="S1" s="22" t="s">
        <v>146</v>
      </c>
      <c r="T1" s="22" t="s">
        <v>132</v>
      </c>
      <c r="U1" s="22" t="s">
        <v>1119</v>
      </c>
      <c r="V1" s="22" t="s">
        <v>1120</v>
      </c>
      <c r="W1" s="22" t="s">
        <v>17</v>
      </c>
      <c r="X1" s="22" t="s">
        <v>19</v>
      </c>
      <c r="Y1" s="22" t="s">
        <v>18</v>
      </c>
      <c r="Z1" s="22" t="s">
        <v>20</v>
      </c>
      <c r="AA1" s="166" t="s">
        <v>24</v>
      </c>
      <c r="AB1" s="166" t="s">
        <v>25</v>
      </c>
    </row>
    <row r="2" spans="1:28">
      <c r="A2" s="23" t="s">
        <v>26</v>
      </c>
      <c r="B2" s="23">
        <v>1477</v>
      </c>
      <c r="C2" s="23" t="s">
        <v>1311</v>
      </c>
      <c r="D2" s="23" t="s">
        <v>1312</v>
      </c>
      <c r="E2" s="21" t="s">
        <v>1305</v>
      </c>
      <c r="F2" s="23" t="s">
        <v>1313</v>
      </c>
      <c r="G2" s="23" t="s">
        <v>1314</v>
      </c>
      <c r="H2" s="23" t="s">
        <v>34</v>
      </c>
      <c r="I2" s="21" t="s">
        <v>31</v>
      </c>
      <c r="J2" s="21" t="s">
        <v>31</v>
      </c>
      <c r="K2" s="23" t="s">
        <v>164</v>
      </c>
      <c r="L2" s="23" t="s">
        <v>164</v>
      </c>
      <c r="M2" s="23" t="s">
        <v>436</v>
      </c>
      <c r="N2" s="23" t="s">
        <v>1315</v>
      </c>
      <c r="O2" s="23" t="s">
        <v>136</v>
      </c>
      <c r="P2" s="23" t="s">
        <v>1316</v>
      </c>
      <c r="Q2" s="21" t="s">
        <v>35</v>
      </c>
      <c r="R2" s="23" t="s">
        <v>164</v>
      </c>
      <c r="S2" s="23"/>
      <c r="T2" s="23" t="s">
        <v>1317</v>
      </c>
      <c r="U2" s="156">
        <v>350</v>
      </c>
      <c r="V2" s="156">
        <v>1</v>
      </c>
      <c r="W2" s="156">
        <v>1.94</v>
      </c>
      <c r="X2" s="156">
        <v>0</v>
      </c>
      <c r="Y2" s="156">
        <v>1</v>
      </c>
      <c r="Z2" s="156">
        <v>0</v>
      </c>
      <c r="AA2" s="173">
        <v>1.9670597950870397E-11</v>
      </c>
      <c r="AB2" s="173">
        <v>1.9450654979994001E-15</v>
      </c>
    </row>
    <row r="3" spans="1:28">
      <c r="A3" s="23" t="s">
        <v>26</v>
      </c>
      <c r="B3" s="23">
        <v>1477</v>
      </c>
      <c r="C3" s="23" t="s">
        <v>1318</v>
      </c>
      <c r="D3" s="23" t="s">
        <v>1319</v>
      </c>
      <c r="E3" s="21" t="s">
        <v>1305</v>
      </c>
      <c r="F3" s="23" t="s">
        <v>1320</v>
      </c>
      <c r="G3" s="23" t="s">
        <v>1321</v>
      </c>
      <c r="H3" s="23" t="s">
        <v>34</v>
      </c>
      <c r="I3" s="21" t="s">
        <v>31</v>
      </c>
      <c r="J3" s="21" t="s">
        <v>31</v>
      </c>
      <c r="K3" s="23" t="s">
        <v>327</v>
      </c>
      <c r="L3" s="23" t="s">
        <v>164</v>
      </c>
      <c r="M3" s="23" t="s">
        <v>438</v>
      </c>
      <c r="N3" s="23" t="s">
        <v>1322</v>
      </c>
      <c r="O3" s="23" t="s">
        <v>136</v>
      </c>
      <c r="P3" s="23" t="s">
        <v>1323</v>
      </c>
      <c r="Q3" s="21" t="s">
        <v>35</v>
      </c>
      <c r="R3" s="23" t="s">
        <v>164</v>
      </c>
      <c r="S3" s="23"/>
      <c r="T3" s="23" t="s">
        <v>1310</v>
      </c>
      <c r="U3" s="156">
        <v>11200</v>
      </c>
      <c r="V3" s="156">
        <v>0</v>
      </c>
      <c r="W3" s="156">
        <v>178</v>
      </c>
      <c r="X3" s="156">
        <v>554.06899999999996</v>
      </c>
      <c r="Y3" s="156">
        <v>1</v>
      </c>
      <c r="Z3" s="156">
        <v>0.98599999999999999</v>
      </c>
      <c r="AA3" s="173">
        <v>0.99999999998032896</v>
      </c>
      <c r="AB3" s="173">
        <v>9.8881869418467196E-5</v>
      </c>
    </row>
    <row r="4" spans="1:28">
      <c r="A4" s="23" t="s">
        <v>26</v>
      </c>
      <c r="B4" s="23">
        <v>9962</v>
      </c>
      <c r="C4" s="23" t="s">
        <v>1311</v>
      </c>
      <c r="D4" s="23" t="s">
        <v>1312</v>
      </c>
      <c r="E4" s="21" t="s">
        <v>1305</v>
      </c>
      <c r="F4" s="23" t="s">
        <v>1313</v>
      </c>
      <c r="G4" s="23" t="s">
        <v>1314</v>
      </c>
      <c r="H4" s="23" t="s">
        <v>34</v>
      </c>
      <c r="I4" s="21" t="s">
        <v>31</v>
      </c>
      <c r="J4" s="21" t="s">
        <v>31</v>
      </c>
      <c r="K4" s="23" t="s">
        <v>164</v>
      </c>
      <c r="L4" s="23" t="s">
        <v>164</v>
      </c>
      <c r="M4" s="23" t="s">
        <v>436</v>
      </c>
      <c r="N4" s="23" t="s">
        <v>1315</v>
      </c>
      <c r="O4" s="23" t="s">
        <v>136</v>
      </c>
      <c r="P4" s="23" t="s">
        <v>1316</v>
      </c>
      <c r="Q4" s="21" t="s">
        <v>35</v>
      </c>
      <c r="R4" s="23" t="s">
        <v>164</v>
      </c>
      <c r="S4" s="23"/>
      <c r="T4" s="23" t="s">
        <v>1317</v>
      </c>
      <c r="U4" s="156">
        <v>350</v>
      </c>
      <c r="V4" s="156">
        <v>1</v>
      </c>
      <c r="W4" s="156">
        <v>6.42</v>
      </c>
      <c r="X4" s="156">
        <v>0</v>
      </c>
      <c r="Y4" s="156">
        <v>1</v>
      </c>
      <c r="Z4" s="156">
        <v>0</v>
      </c>
      <c r="AA4" s="173">
        <v>1.20697876460834E-10</v>
      </c>
      <c r="AB4" s="173">
        <v>2.0798676105151002E-15</v>
      </c>
    </row>
    <row r="5" spans="1:28">
      <c r="A5" s="23" t="s">
        <v>26</v>
      </c>
      <c r="B5" s="23">
        <v>9962</v>
      </c>
      <c r="C5" s="23" t="s">
        <v>1318</v>
      </c>
      <c r="D5" s="23" t="s">
        <v>1319</v>
      </c>
      <c r="E5" s="21" t="s">
        <v>1305</v>
      </c>
      <c r="F5" s="23" t="s">
        <v>1320</v>
      </c>
      <c r="G5" s="23" t="s">
        <v>1321</v>
      </c>
      <c r="H5" s="23" t="s">
        <v>34</v>
      </c>
      <c r="I5" s="21" t="s">
        <v>31</v>
      </c>
      <c r="J5" s="21" t="s">
        <v>31</v>
      </c>
      <c r="K5" s="23" t="s">
        <v>327</v>
      </c>
      <c r="L5" s="23" t="s">
        <v>164</v>
      </c>
      <c r="M5" s="23" t="s">
        <v>438</v>
      </c>
      <c r="N5" s="23" t="s">
        <v>1322</v>
      </c>
      <c r="O5" s="23" t="s">
        <v>136</v>
      </c>
      <c r="P5" s="23" t="s">
        <v>1323</v>
      </c>
      <c r="Q5" s="21" t="s">
        <v>35</v>
      </c>
      <c r="R5" s="23" t="s">
        <v>164</v>
      </c>
      <c r="S5" s="23"/>
      <c r="T5" s="23" t="s">
        <v>1310</v>
      </c>
      <c r="U5" s="156">
        <v>11200</v>
      </c>
      <c r="V5" s="156">
        <v>0</v>
      </c>
      <c r="W5" s="156">
        <v>96</v>
      </c>
      <c r="X5" s="156">
        <v>554.06899999999996</v>
      </c>
      <c r="Y5" s="156">
        <v>1</v>
      </c>
      <c r="Z5" s="156">
        <v>0.53200000000000003</v>
      </c>
      <c r="AA5" s="173">
        <v>0.99999999987930199</v>
      </c>
      <c r="AB5" s="173">
        <v>1.72320149388789E-5</v>
      </c>
    </row>
    <row r="6" spans="1:28">
      <c r="A6" s="23" t="s">
        <v>26</v>
      </c>
      <c r="B6" s="23">
        <v>9963</v>
      </c>
      <c r="C6" s="23" t="s">
        <v>1311</v>
      </c>
      <c r="D6" s="23" t="s">
        <v>1312</v>
      </c>
      <c r="E6" s="21" t="s">
        <v>1305</v>
      </c>
      <c r="F6" s="23" t="s">
        <v>1313</v>
      </c>
      <c r="G6" s="23" t="s">
        <v>1314</v>
      </c>
      <c r="H6" s="23" t="s">
        <v>34</v>
      </c>
      <c r="I6" s="21" t="s">
        <v>31</v>
      </c>
      <c r="J6" s="21" t="s">
        <v>31</v>
      </c>
      <c r="K6" s="23" t="s">
        <v>164</v>
      </c>
      <c r="L6" s="23" t="s">
        <v>164</v>
      </c>
      <c r="M6" s="23" t="s">
        <v>436</v>
      </c>
      <c r="N6" s="23" t="s">
        <v>1315</v>
      </c>
      <c r="O6" s="23" t="s">
        <v>136</v>
      </c>
      <c r="P6" s="23" t="s">
        <v>1316</v>
      </c>
      <c r="Q6" s="21" t="s">
        <v>35</v>
      </c>
      <c r="R6" s="23" t="s">
        <v>164</v>
      </c>
      <c r="S6" s="23"/>
      <c r="T6" s="23" t="s">
        <v>1317</v>
      </c>
      <c r="U6" s="156">
        <v>350</v>
      </c>
      <c r="V6" s="156">
        <v>1</v>
      </c>
      <c r="W6" s="156">
        <v>403.1</v>
      </c>
      <c r="X6" s="156">
        <v>0</v>
      </c>
      <c r="Y6" s="156">
        <v>1</v>
      </c>
      <c r="Z6" s="156">
        <v>0</v>
      </c>
      <c r="AA6" s="173">
        <v>2.19796432206186E-10</v>
      </c>
      <c r="AB6" s="173">
        <v>3.9232678337045002E-15</v>
      </c>
    </row>
    <row r="7" spans="1:28">
      <c r="A7" s="23" t="s">
        <v>26</v>
      </c>
      <c r="B7" s="23">
        <v>9963</v>
      </c>
      <c r="C7" s="23" t="s">
        <v>1318</v>
      </c>
      <c r="D7" s="23" t="s">
        <v>1319</v>
      </c>
      <c r="E7" s="21" t="s">
        <v>1305</v>
      </c>
      <c r="F7" s="23" t="s">
        <v>1320</v>
      </c>
      <c r="G7" s="23" t="s">
        <v>1321</v>
      </c>
      <c r="H7" s="23" t="s">
        <v>34</v>
      </c>
      <c r="I7" s="21" t="s">
        <v>31</v>
      </c>
      <c r="J7" s="21" t="s">
        <v>31</v>
      </c>
      <c r="K7" s="23" t="s">
        <v>327</v>
      </c>
      <c r="L7" s="23" t="s">
        <v>164</v>
      </c>
      <c r="M7" s="23" t="s">
        <v>438</v>
      </c>
      <c r="N7" s="23" t="s">
        <v>1322</v>
      </c>
      <c r="O7" s="23" t="s">
        <v>136</v>
      </c>
      <c r="P7" s="23" t="s">
        <v>1323</v>
      </c>
      <c r="Q7" s="21" t="s">
        <v>35</v>
      </c>
      <c r="R7" s="23" t="s">
        <v>164</v>
      </c>
      <c r="S7" s="23"/>
      <c r="T7" s="23" t="s">
        <v>1310</v>
      </c>
      <c r="U7" s="156">
        <v>11200</v>
      </c>
      <c r="V7" s="156">
        <v>0</v>
      </c>
      <c r="W7" s="156">
        <v>3310</v>
      </c>
      <c r="X7" s="156">
        <v>554.06899999999996</v>
      </c>
      <c r="Y7" s="156">
        <v>1</v>
      </c>
      <c r="Z7" s="156">
        <v>18.34</v>
      </c>
      <c r="AA7" s="173">
        <v>0.99999999978020404</v>
      </c>
      <c r="AB7" s="173">
        <v>1.7849551939777998E-5</v>
      </c>
    </row>
    <row r="8" spans="1:28">
      <c r="A8" s="23" t="s">
        <v>26</v>
      </c>
      <c r="B8" s="23">
        <v>9964</v>
      </c>
      <c r="C8" s="23" t="s">
        <v>1311</v>
      </c>
      <c r="D8" s="23" t="s">
        <v>1312</v>
      </c>
      <c r="E8" s="21" t="s">
        <v>1305</v>
      </c>
      <c r="F8" s="23" t="s">
        <v>1313</v>
      </c>
      <c r="G8" s="23" t="s">
        <v>1314</v>
      </c>
      <c r="H8" s="23" t="s">
        <v>34</v>
      </c>
      <c r="I8" s="21" t="s">
        <v>31</v>
      </c>
      <c r="J8" s="21" t="s">
        <v>31</v>
      </c>
      <c r="K8" s="23" t="s">
        <v>164</v>
      </c>
      <c r="L8" s="23" t="s">
        <v>164</v>
      </c>
      <c r="M8" s="23" t="s">
        <v>436</v>
      </c>
      <c r="N8" s="23" t="s">
        <v>1315</v>
      </c>
      <c r="O8" s="23" t="s">
        <v>136</v>
      </c>
      <c r="P8" s="23" t="s">
        <v>1316</v>
      </c>
      <c r="Q8" s="21" t="s">
        <v>35</v>
      </c>
      <c r="R8" s="23" t="s">
        <v>164</v>
      </c>
      <c r="S8" s="23"/>
      <c r="T8" s="23" t="s">
        <v>1317</v>
      </c>
      <c r="U8" s="156">
        <v>350</v>
      </c>
      <c r="V8" s="156">
        <v>1</v>
      </c>
      <c r="W8" s="156">
        <v>11.58</v>
      </c>
      <c r="X8" s="156">
        <v>0</v>
      </c>
      <c r="Y8" s="156">
        <v>1</v>
      </c>
      <c r="Z8" s="156">
        <v>0</v>
      </c>
      <c r="AA8" s="173">
        <v>1.89999172040047E-10</v>
      </c>
      <c r="AB8" s="173">
        <v>3.3381722152406002E-15</v>
      </c>
    </row>
    <row r="9" spans="1:28">
      <c r="A9" s="23" t="s">
        <v>26</v>
      </c>
      <c r="B9" s="23">
        <v>9964</v>
      </c>
      <c r="C9" s="23" t="s">
        <v>1318</v>
      </c>
      <c r="D9" s="23" t="s">
        <v>1319</v>
      </c>
      <c r="E9" s="21" t="s">
        <v>1305</v>
      </c>
      <c r="F9" s="23" t="s">
        <v>1320</v>
      </c>
      <c r="G9" s="23" t="s">
        <v>1321</v>
      </c>
      <c r="H9" s="23" t="s">
        <v>34</v>
      </c>
      <c r="I9" s="21" t="s">
        <v>31</v>
      </c>
      <c r="J9" s="21" t="s">
        <v>31</v>
      </c>
      <c r="K9" s="23" t="s">
        <v>327</v>
      </c>
      <c r="L9" s="23" t="s">
        <v>164</v>
      </c>
      <c r="M9" s="23" t="s">
        <v>438</v>
      </c>
      <c r="N9" s="23" t="s">
        <v>1322</v>
      </c>
      <c r="O9" s="23" t="s">
        <v>136</v>
      </c>
      <c r="P9" s="23" t="s">
        <v>1323</v>
      </c>
      <c r="Q9" s="21" t="s">
        <v>35</v>
      </c>
      <c r="R9" s="23" t="s">
        <v>164</v>
      </c>
      <c r="S9" s="23"/>
      <c r="T9" s="23" t="s">
        <v>1310</v>
      </c>
      <c r="U9" s="156">
        <v>11200</v>
      </c>
      <c r="V9" s="156">
        <v>0</v>
      </c>
      <c r="W9" s="156">
        <v>110</v>
      </c>
      <c r="X9" s="156">
        <v>554.06899999999996</v>
      </c>
      <c r="Y9" s="156">
        <v>1</v>
      </c>
      <c r="Z9" s="156">
        <v>0.60899999999999999</v>
      </c>
      <c r="AA9" s="173">
        <v>0.99999999981000098</v>
      </c>
      <c r="AB9" s="173">
        <v>1.7569404007206799E-5</v>
      </c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141</v>
      </c>
      <c r="E1" s="22" t="s">
        <v>142</v>
      </c>
      <c r="F1" s="22" t="s">
        <v>3</v>
      </c>
      <c r="G1" s="22" t="s">
        <v>4</v>
      </c>
      <c r="H1" s="22" t="s">
        <v>143</v>
      </c>
      <c r="I1" s="22" t="s">
        <v>5</v>
      </c>
      <c r="J1" s="22" t="s">
        <v>6</v>
      </c>
      <c r="K1" s="22" t="s">
        <v>7</v>
      </c>
      <c r="L1" s="22" t="s">
        <v>144</v>
      </c>
      <c r="M1" s="22" t="s">
        <v>172</v>
      </c>
      <c r="N1" s="22" t="s">
        <v>1118</v>
      </c>
      <c r="O1" s="22" t="s">
        <v>123</v>
      </c>
      <c r="P1" s="22" t="s">
        <v>152</v>
      </c>
      <c r="Q1" s="22" t="s">
        <v>11</v>
      </c>
      <c r="R1" s="22" t="s">
        <v>145</v>
      </c>
      <c r="S1" s="22" t="s">
        <v>146</v>
      </c>
      <c r="T1" s="22" t="s">
        <v>132</v>
      </c>
      <c r="U1" s="22" t="s">
        <v>1119</v>
      </c>
      <c r="V1" s="22" t="s">
        <v>1120</v>
      </c>
      <c r="W1" s="22" t="s">
        <v>17</v>
      </c>
      <c r="X1" s="22" t="s">
        <v>19</v>
      </c>
      <c r="Y1" s="22" t="s">
        <v>18</v>
      </c>
      <c r="Z1" s="22" t="s">
        <v>1324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AH2" sqref="AH2"/>
    </sheetView>
  </sheetViews>
  <sheetFormatPr defaultColWidth="9" defaultRowHeight="14.25"/>
  <cols>
    <col min="1" max="13" width="11.625" style="11" customWidth="1"/>
    <col min="14" max="14" width="15.75" style="11" customWidth="1"/>
    <col min="15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1133</v>
      </c>
      <c r="E1" s="22" t="s">
        <v>1134</v>
      </c>
      <c r="F1" s="22" t="s">
        <v>18</v>
      </c>
      <c r="G1" s="22" t="s">
        <v>1135</v>
      </c>
      <c r="H1" s="22" t="s">
        <v>1136</v>
      </c>
      <c r="I1" s="22" t="s">
        <v>1137</v>
      </c>
      <c r="J1" s="22" t="s">
        <v>1138</v>
      </c>
      <c r="K1" s="22" t="s">
        <v>1139</v>
      </c>
      <c r="L1" s="22" t="s">
        <v>1140</v>
      </c>
      <c r="M1" s="22" t="s">
        <v>18</v>
      </c>
      <c r="N1" s="22" t="s">
        <v>1141</v>
      </c>
      <c r="O1" s="22" t="s">
        <v>1142</v>
      </c>
      <c r="P1" s="22" t="s">
        <v>1294</v>
      </c>
      <c r="Q1" s="22" t="s">
        <v>1295</v>
      </c>
      <c r="R1" s="22" t="s">
        <v>1296</v>
      </c>
      <c r="S1" s="22" t="s">
        <v>6</v>
      </c>
      <c r="T1" s="22" t="s">
        <v>7</v>
      </c>
      <c r="U1" s="22" t="s">
        <v>1146</v>
      </c>
      <c r="V1" s="22" t="s">
        <v>927</v>
      </c>
      <c r="W1" s="22" t="s">
        <v>934</v>
      </c>
      <c r="X1" s="22" t="s">
        <v>322</v>
      </c>
      <c r="Y1" s="22" t="s">
        <v>123</v>
      </c>
      <c r="Z1" s="22" t="s">
        <v>1147</v>
      </c>
      <c r="AA1" s="22" t="s">
        <v>1148</v>
      </c>
      <c r="AB1" s="22" t="s">
        <v>898</v>
      </c>
      <c r="AC1" s="22" t="s">
        <v>906</v>
      </c>
      <c r="AD1" s="22" t="s">
        <v>1149</v>
      </c>
      <c r="AE1" s="22" t="s">
        <v>924</v>
      </c>
      <c r="AF1" s="22" t="s">
        <v>909</v>
      </c>
      <c r="AG1" s="22" t="s">
        <v>920</v>
      </c>
      <c r="AH1" s="162" t="s">
        <v>1150</v>
      </c>
      <c r="AI1" s="22" t="s">
        <v>1151</v>
      </c>
      <c r="AJ1" s="22" t="s">
        <v>1152</v>
      </c>
      <c r="AK1" s="22" t="s">
        <v>949</v>
      </c>
      <c r="AL1" s="22" t="s">
        <v>1153</v>
      </c>
      <c r="AM1" s="22" t="s">
        <v>1154</v>
      </c>
      <c r="AN1" s="166" t="s">
        <v>24</v>
      </c>
      <c r="AO1" s="166" t="s">
        <v>25</v>
      </c>
    </row>
    <row r="2" spans="1:41">
      <c r="A2" s="12" t="s">
        <v>1297</v>
      </c>
      <c r="B2" s="12" t="s">
        <v>1298</v>
      </c>
      <c r="C2" s="12" t="s">
        <v>1044</v>
      </c>
      <c r="D2" s="1" t="s">
        <v>1299</v>
      </c>
      <c r="E2" s="12" t="s">
        <v>78</v>
      </c>
      <c r="F2" s="160">
        <v>3.681</v>
      </c>
      <c r="G2" s="160">
        <v>-500000</v>
      </c>
      <c r="H2" s="152">
        <v>1804.2326599999999</v>
      </c>
      <c r="I2" s="161">
        <v>1</v>
      </c>
      <c r="J2" s="152">
        <v>1.9999999999999999E-6</v>
      </c>
      <c r="K2" s="11" t="s">
        <v>1299</v>
      </c>
      <c r="L2" s="12" t="s">
        <v>35</v>
      </c>
      <c r="M2" s="161">
        <v>1</v>
      </c>
      <c r="N2" s="161">
        <v>1823000</v>
      </c>
      <c r="O2" s="161">
        <v>-1796.15266</v>
      </c>
      <c r="P2" s="161">
        <v>-1.9999999999999999E-6</v>
      </c>
      <c r="Q2" s="161">
        <v>1</v>
      </c>
      <c r="R2" s="160">
        <v>8.08</v>
      </c>
      <c r="S2" s="11" t="s">
        <v>31</v>
      </c>
      <c r="T2" s="21" t="s">
        <v>31</v>
      </c>
      <c r="U2" s="12" t="s">
        <v>745</v>
      </c>
      <c r="V2" s="12" t="s">
        <v>164</v>
      </c>
      <c r="W2" s="11" t="s">
        <v>164</v>
      </c>
      <c r="X2" s="12" t="s">
        <v>1300</v>
      </c>
      <c r="Y2" s="12" t="s">
        <v>136</v>
      </c>
      <c r="Z2" s="1" t="s">
        <v>1301</v>
      </c>
      <c r="AA2" s="27" t="s">
        <v>1302</v>
      </c>
      <c r="AB2" s="12" t="s">
        <v>902</v>
      </c>
      <c r="AC2" s="12" t="s">
        <v>908</v>
      </c>
      <c r="AD2" s="12" t="s">
        <v>136</v>
      </c>
      <c r="AE2" s="12" t="s">
        <v>926</v>
      </c>
      <c r="AF2" s="12" t="s">
        <v>567</v>
      </c>
      <c r="AG2" s="12" t="s">
        <v>902</v>
      </c>
      <c r="AH2" s="177">
        <v>5.5570000000000001E-2</v>
      </c>
      <c r="AI2" s="160">
        <v>-360.846</v>
      </c>
      <c r="AJ2" s="11" t="s">
        <v>1303</v>
      </c>
      <c r="AK2" s="12" t="s">
        <v>136</v>
      </c>
      <c r="AL2" s="11" t="s">
        <v>137</v>
      </c>
      <c r="AM2" s="11" t="s">
        <v>1304</v>
      </c>
      <c r="AN2" s="173">
        <v>1</v>
      </c>
      <c r="AO2" s="173">
        <v>0</v>
      </c>
    </row>
    <row r="3" spans="1:41">
      <c r="A3" s="12"/>
      <c r="B3" s="12"/>
      <c r="C3" s="12"/>
      <c r="D3" s="1"/>
      <c r="E3" s="12"/>
      <c r="F3" s="12"/>
      <c r="G3" s="12"/>
      <c r="H3" s="15"/>
      <c r="J3" s="13"/>
      <c r="L3" s="12"/>
      <c r="R3" s="14"/>
      <c r="T3" s="21"/>
      <c r="U3" s="12"/>
      <c r="V3" s="12"/>
      <c r="X3" s="12"/>
      <c r="Y3" s="12"/>
      <c r="Z3" s="1"/>
      <c r="AA3" s="27"/>
      <c r="AB3" s="12"/>
      <c r="AC3" s="12"/>
      <c r="AD3" s="12"/>
      <c r="AE3" s="12"/>
      <c r="AF3" s="12"/>
      <c r="AG3" s="12"/>
      <c r="AI3" s="12"/>
      <c r="AJ3" s="12"/>
      <c r="AK3" s="12"/>
      <c r="AN3" s="23"/>
      <c r="AO3" s="23"/>
    </row>
    <row r="4" spans="1:41">
      <c r="A4" s="12"/>
      <c r="B4" s="12"/>
      <c r="C4" s="12"/>
      <c r="D4" s="1"/>
      <c r="E4" s="12"/>
      <c r="F4" s="12"/>
      <c r="G4" s="12"/>
      <c r="H4" s="15"/>
      <c r="J4" s="13"/>
      <c r="L4" s="12"/>
      <c r="O4" s="161"/>
      <c r="R4" s="14"/>
      <c r="T4" s="21"/>
      <c r="U4" s="12"/>
      <c r="V4" s="12"/>
      <c r="X4" s="12"/>
      <c r="Y4" s="12"/>
      <c r="Z4" s="1"/>
      <c r="AA4" s="27"/>
      <c r="AB4" s="12"/>
      <c r="AC4" s="12"/>
      <c r="AD4" s="12"/>
      <c r="AE4" s="12"/>
      <c r="AF4" s="12"/>
      <c r="AG4" s="12"/>
      <c r="AI4" s="12"/>
      <c r="AJ4" s="12"/>
      <c r="AK4" s="12"/>
      <c r="AN4" s="23"/>
      <c r="AO4" s="23"/>
    </row>
    <row r="5" spans="1:41">
      <c r="A5" s="12"/>
      <c r="B5" s="12"/>
      <c r="C5" s="12"/>
      <c r="D5" s="1"/>
      <c r="E5" s="12"/>
      <c r="F5" s="12"/>
      <c r="G5" s="12"/>
      <c r="H5" s="15"/>
      <c r="J5" s="13"/>
      <c r="L5" s="12"/>
      <c r="R5" s="14"/>
      <c r="T5" s="21"/>
      <c r="U5" s="12"/>
      <c r="V5" s="12"/>
      <c r="X5" s="12"/>
      <c r="Y5" s="12"/>
      <c r="Z5" s="1"/>
      <c r="AA5" s="27"/>
      <c r="AB5" s="12"/>
      <c r="AC5" s="12"/>
      <c r="AD5" s="12"/>
      <c r="AE5" s="12"/>
      <c r="AF5" s="12"/>
      <c r="AG5" s="12"/>
      <c r="AI5" s="12"/>
      <c r="AJ5" s="12"/>
      <c r="AK5" s="12"/>
      <c r="AN5" s="23"/>
      <c r="AO5" s="23"/>
    </row>
    <row r="6" spans="1:41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O7" s="161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O9" s="161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topLeftCell="N1" zoomScale="70" zoomScaleNormal="70" workbookViewId="0">
      <selection activeCell="AA11" sqref="AA11"/>
    </sheetView>
  </sheetViews>
  <sheetFormatPr defaultColWidth="9" defaultRowHeight="14.25"/>
  <cols>
    <col min="1" max="4" width="11.625" style="2" customWidth="1"/>
    <col min="5" max="5" width="15.375" style="2" customWidth="1"/>
    <col min="6" max="7" width="11.625" style="2" customWidth="1"/>
    <col min="8" max="8" width="20.25" style="2" customWidth="1"/>
    <col min="9" max="21" width="11.625" style="2" customWidth="1"/>
    <col min="22" max="22" width="11.625" style="148" customWidth="1"/>
    <col min="23" max="23" width="19.625" style="2" customWidth="1"/>
    <col min="24" max="27" width="11.625" style="2" customWidth="1"/>
    <col min="28" max="28" width="11.625" style="4" customWidth="1"/>
    <col min="29" max="29" width="20.75" style="2" customWidth="1"/>
    <col min="30" max="41" width="11.625" style="2" customWidth="1"/>
    <col min="42" max="42" width="11.625" style="148" customWidth="1"/>
    <col min="43" max="43" width="14.875" style="2" customWidth="1"/>
    <col min="44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118</v>
      </c>
      <c r="D1" s="22" t="s">
        <v>119</v>
      </c>
      <c r="E1" s="22" t="s">
        <v>120</v>
      </c>
      <c r="F1" s="22" t="s">
        <v>121</v>
      </c>
      <c r="G1" s="22" t="s">
        <v>5</v>
      </c>
      <c r="H1" s="22" t="s">
        <v>1155</v>
      </c>
      <c r="I1" s="22" t="s">
        <v>6</v>
      </c>
      <c r="J1" s="22" t="s">
        <v>7</v>
      </c>
      <c r="K1" s="22" t="s">
        <v>144</v>
      </c>
      <c r="L1" s="22" t="s">
        <v>123</v>
      </c>
      <c r="M1" s="22" t="s">
        <v>1156</v>
      </c>
      <c r="N1" s="22" t="s">
        <v>1157</v>
      </c>
      <c r="O1" s="22" t="s">
        <v>1158</v>
      </c>
      <c r="P1" s="22" t="s">
        <v>9</v>
      </c>
      <c r="Q1" s="22" t="s">
        <v>10</v>
      </c>
      <c r="R1" s="22" t="s">
        <v>124</v>
      </c>
      <c r="S1" s="22" t="s">
        <v>11</v>
      </c>
      <c r="T1" s="22" t="s">
        <v>12</v>
      </c>
      <c r="U1" s="22" t="s">
        <v>125</v>
      </c>
      <c r="V1" s="162" t="s">
        <v>14</v>
      </c>
      <c r="W1" s="22" t="s">
        <v>752</v>
      </c>
      <c r="X1" s="22" t="s">
        <v>909</v>
      </c>
      <c r="Y1" s="175" t="s">
        <v>1160</v>
      </c>
      <c r="Z1" s="166" t="s">
        <v>15</v>
      </c>
      <c r="AA1" s="22" t="s">
        <v>13</v>
      </c>
      <c r="AB1" s="22" t="s">
        <v>409</v>
      </c>
      <c r="AC1" s="22" t="s">
        <v>757</v>
      </c>
      <c r="AD1" s="175" t="s">
        <v>1161</v>
      </c>
      <c r="AE1" s="175" t="s">
        <v>1162</v>
      </c>
      <c r="AF1" s="22" t="s">
        <v>1163</v>
      </c>
      <c r="AG1" s="22" t="s">
        <v>780</v>
      </c>
      <c r="AH1" s="22" t="s">
        <v>781</v>
      </c>
      <c r="AI1" s="22" t="s">
        <v>1164</v>
      </c>
      <c r="AJ1" s="22" t="s">
        <v>787</v>
      </c>
      <c r="AK1" s="22" t="s">
        <v>145</v>
      </c>
      <c r="AL1" s="22" t="s">
        <v>158</v>
      </c>
      <c r="AM1" s="22" t="s">
        <v>146</v>
      </c>
      <c r="AN1" s="22" t="s">
        <v>132</v>
      </c>
      <c r="AO1" s="22" t="s">
        <v>147</v>
      </c>
      <c r="AP1" s="162" t="s">
        <v>1165</v>
      </c>
      <c r="AQ1" s="22" t="s">
        <v>1166</v>
      </c>
      <c r="AR1" s="22" t="s">
        <v>1167</v>
      </c>
      <c r="AS1" s="22" t="s">
        <v>18</v>
      </c>
      <c r="AT1" s="22" t="s">
        <v>20</v>
      </c>
      <c r="AU1" s="22" t="s">
        <v>159</v>
      </c>
      <c r="AV1" s="22" t="s">
        <v>21</v>
      </c>
      <c r="AW1" s="22" t="s">
        <v>160</v>
      </c>
      <c r="AX1" s="22" t="s">
        <v>830</v>
      </c>
      <c r="AY1" s="22" t="s">
        <v>22</v>
      </c>
      <c r="AZ1" s="166" t="s">
        <v>24</v>
      </c>
      <c r="BA1" s="166" t="s">
        <v>25</v>
      </c>
    </row>
    <row r="2" spans="1:53">
      <c r="A2" s="2" t="s">
        <v>26</v>
      </c>
      <c r="B2" s="2">
        <v>9963</v>
      </c>
      <c r="C2" s="23"/>
      <c r="D2" s="23" t="s">
        <v>317</v>
      </c>
      <c r="E2" s="23" t="s">
        <v>1306</v>
      </c>
      <c r="F2" s="23" t="s">
        <v>1307</v>
      </c>
      <c r="G2" s="23" t="s">
        <v>1038</v>
      </c>
      <c r="I2" s="21" t="s">
        <v>31</v>
      </c>
      <c r="J2" s="21" t="s">
        <v>31</v>
      </c>
      <c r="K2" s="19" t="s">
        <v>164</v>
      </c>
      <c r="L2" s="23" t="s">
        <v>136</v>
      </c>
      <c r="M2" s="23" t="s">
        <v>136</v>
      </c>
      <c r="N2" s="23"/>
      <c r="O2" s="23" t="s">
        <v>163</v>
      </c>
      <c r="P2" s="23" t="s">
        <v>1308</v>
      </c>
      <c r="Q2" s="23" t="s">
        <v>34</v>
      </c>
      <c r="R2" s="23" t="s">
        <v>406</v>
      </c>
      <c r="S2" s="21" t="s">
        <v>35</v>
      </c>
      <c r="T2" s="156">
        <v>1.99</v>
      </c>
      <c r="U2" s="23" t="s">
        <v>1309</v>
      </c>
      <c r="V2" s="172">
        <v>5.5E-2</v>
      </c>
      <c r="W2" s="23"/>
      <c r="X2" s="23"/>
      <c r="Y2" s="176"/>
      <c r="Z2" s="173">
        <v>5.1400000000000001E-2</v>
      </c>
      <c r="AA2" s="192">
        <v>46112</v>
      </c>
      <c r="AB2" s="21" t="s">
        <v>411</v>
      </c>
      <c r="AC2" s="23" t="s">
        <v>762</v>
      </c>
      <c r="AD2" s="23"/>
      <c r="AE2" s="23"/>
      <c r="AF2" s="23"/>
      <c r="AG2" s="19" t="s">
        <v>338</v>
      </c>
      <c r="AH2" s="23" t="s">
        <v>783</v>
      </c>
      <c r="AI2" t="s">
        <v>2846</v>
      </c>
      <c r="AJ2" s="2" t="s">
        <v>338</v>
      </c>
      <c r="AK2" s="30" t="s">
        <v>893</v>
      </c>
      <c r="AL2" s="30" t="s">
        <v>2751</v>
      </c>
      <c r="AM2" s="30" t="s">
        <v>896</v>
      </c>
      <c r="AN2" s="2" t="s">
        <v>1310</v>
      </c>
      <c r="AQ2" s="153">
        <v>47710882.880000003</v>
      </c>
      <c r="AR2" s="156">
        <v>100.199</v>
      </c>
      <c r="AS2" s="156">
        <v>1</v>
      </c>
      <c r="AT2" s="156">
        <v>47806.042999999998</v>
      </c>
      <c r="AU2" s="159">
        <v>47806.042999999998</v>
      </c>
      <c r="AV2" s="30"/>
      <c r="AW2" s="30"/>
      <c r="AX2" s="21" t="s">
        <v>136</v>
      </c>
      <c r="AY2" s="23" t="s">
        <v>37</v>
      </c>
      <c r="AZ2" s="173">
        <v>1</v>
      </c>
      <c r="BA2" s="173">
        <v>4.6528382444224602E-2</v>
      </c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141</v>
      </c>
      <c r="E1" s="22" t="s">
        <v>142</v>
      </c>
      <c r="F1" s="22" t="s">
        <v>3</v>
      </c>
      <c r="G1" s="22" t="s">
        <v>4</v>
      </c>
      <c r="H1" s="22" t="s">
        <v>143</v>
      </c>
      <c r="I1" s="22" t="s">
        <v>5</v>
      </c>
      <c r="J1" s="22" t="s">
        <v>6</v>
      </c>
      <c r="K1" s="22" t="s">
        <v>7</v>
      </c>
      <c r="L1" s="22" t="s">
        <v>123</v>
      </c>
      <c r="M1" s="22" t="s">
        <v>172</v>
      </c>
      <c r="N1" s="22" t="s">
        <v>152</v>
      </c>
      <c r="O1" s="22" t="s">
        <v>9</v>
      </c>
      <c r="P1" s="22" t="s">
        <v>10</v>
      </c>
      <c r="Q1" s="22" t="s">
        <v>173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145</v>
      </c>
      <c r="W1" s="22" t="s">
        <v>146</v>
      </c>
      <c r="X1" s="22" t="s">
        <v>132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166</v>
      </c>
      <c r="D1" s="22" t="s">
        <v>167</v>
      </c>
      <c r="E1" s="22" t="s">
        <v>168</v>
      </c>
      <c r="F1" s="22" t="s">
        <v>5</v>
      </c>
      <c r="G1" s="22" t="s">
        <v>169</v>
      </c>
      <c r="H1" s="22" t="s">
        <v>6</v>
      </c>
      <c r="I1" s="22" t="s">
        <v>7</v>
      </c>
      <c r="J1" s="22" t="s">
        <v>123</v>
      </c>
      <c r="K1" s="22" t="s">
        <v>170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133</v>
      </c>
      <c r="R1" s="22" t="s">
        <v>18</v>
      </c>
      <c r="S1" s="22" t="s">
        <v>171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150</v>
      </c>
      <c r="D1" s="22" t="s">
        <v>5</v>
      </c>
      <c r="E1" s="22" t="s">
        <v>151</v>
      </c>
      <c r="F1" s="22" t="s">
        <v>123</v>
      </c>
      <c r="G1" s="22" t="s">
        <v>152</v>
      </c>
      <c r="H1" s="22" t="s">
        <v>153</v>
      </c>
      <c r="I1" s="22" t="s">
        <v>154</v>
      </c>
      <c r="J1" s="22" t="s">
        <v>155</v>
      </c>
      <c r="K1" s="175" t="s">
        <v>156</v>
      </c>
      <c r="L1" s="22" t="s">
        <v>157</v>
      </c>
      <c r="M1" s="22" t="s">
        <v>145</v>
      </c>
      <c r="N1" s="22" t="s">
        <v>158</v>
      </c>
      <c r="O1" s="22" t="s">
        <v>146</v>
      </c>
      <c r="P1" s="22" t="s">
        <v>132</v>
      </c>
      <c r="Q1" s="22" t="s">
        <v>11</v>
      </c>
      <c r="R1" s="22" t="s">
        <v>159</v>
      </c>
      <c r="S1" s="22" t="s">
        <v>20</v>
      </c>
      <c r="T1" s="22" t="s">
        <v>21</v>
      </c>
      <c r="U1" s="22" t="s">
        <v>160</v>
      </c>
      <c r="V1" s="22" t="s">
        <v>22</v>
      </c>
      <c r="W1" s="166" t="s">
        <v>24</v>
      </c>
      <c r="X1" s="166" t="s">
        <v>25</v>
      </c>
    </row>
    <row r="2" spans="1:24">
      <c r="A2" s="23" t="s">
        <v>26</v>
      </c>
      <c r="B2" s="23">
        <v>9963</v>
      </c>
      <c r="C2" s="23" t="s">
        <v>161</v>
      </c>
      <c r="D2" s="23" t="s">
        <v>162</v>
      </c>
      <c r="E2" s="23"/>
      <c r="F2" s="23" t="s">
        <v>136</v>
      </c>
      <c r="G2" s="23" t="s">
        <v>163</v>
      </c>
      <c r="H2" s="23" t="s">
        <v>164</v>
      </c>
      <c r="I2" s="23" t="s">
        <v>164</v>
      </c>
      <c r="J2" s="23"/>
      <c r="K2" s="23"/>
      <c r="L2" s="23" t="s">
        <v>164</v>
      </c>
      <c r="M2" s="23" t="s">
        <v>164</v>
      </c>
      <c r="N2" s="23"/>
      <c r="O2" s="23"/>
      <c r="P2" s="23" t="s">
        <v>165</v>
      </c>
      <c r="Q2" s="21" t="s">
        <v>35</v>
      </c>
      <c r="R2" s="156">
        <v>5150</v>
      </c>
      <c r="S2" s="156">
        <v>5150</v>
      </c>
      <c r="T2" s="23"/>
      <c r="U2" s="23"/>
      <c r="V2" s="23" t="s">
        <v>37</v>
      </c>
      <c r="W2" s="173">
        <v>1</v>
      </c>
      <c r="X2" s="173">
        <v>5.0123615583379001E-3</v>
      </c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141</v>
      </c>
      <c r="E1" s="22" t="s">
        <v>142</v>
      </c>
      <c r="F1" s="22" t="s">
        <v>3</v>
      </c>
      <c r="G1" s="22" t="s">
        <v>4</v>
      </c>
      <c r="H1" s="22" t="s">
        <v>143</v>
      </c>
      <c r="I1" s="22" t="s">
        <v>5</v>
      </c>
      <c r="J1" s="22" t="s">
        <v>6</v>
      </c>
      <c r="K1" s="22" t="s">
        <v>7</v>
      </c>
      <c r="L1" s="22" t="s">
        <v>144</v>
      </c>
      <c r="M1" s="22" t="s">
        <v>123</v>
      </c>
      <c r="N1" s="22" t="s">
        <v>11</v>
      </c>
      <c r="O1" s="22" t="s">
        <v>145</v>
      </c>
      <c r="P1" s="22" t="s">
        <v>146</v>
      </c>
      <c r="Q1" s="22" t="s">
        <v>132</v>
      </c>
      <c r="R1" s="22" t="s">
        <v>147</v>
      </c>
      <c r="S1" s="22" t="s">
        <v>148</v>
      </c>
      <c r="T1" s="22" t="s">
        <v>149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9"/>
  <sheetViews>
    <sheetView rightToLeft="1" zoomScale="70" zoomScaleNormal="70" workbookViewId="0">
      <selection activeCell="E19" sqref="E19"/>
    </sheetView>
  </sheetViews>
  <sheetFormatPr defaultColWidth="9" defaultRowHeight="14.25"/>
  <cols>
    <col min="1" max="2" width="11.625" style="2" customWidth="1"/>
    <col min="3" max="3" width="22.375" style="2" customWidth="1"/>
    <col min="4" max="4" width="11.625" style="2" customWidth="1"/>
    <col min="5" max="5" width="15.25" style="2" customWidth="1"/>
    <col min="6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129</v>
      </c>
      <c r="D1" s="22" t="s">
        <v>130</v>
      </c>
      <c r="E1" s="22" t="s">
        <v>5</v>
      </c>
      <c r="F1" s="22" t="s">
        <v>6</v>
      </c>
      <c r="G1" s="22" t="s">
        <v>7</v>
      </c>
      <c r="H1" s="22" t="s">
        <v>123</v>
      </c>
      <c r="I1" s="22" t="s">
        <v>131</v>
      </c>
      <c r="J1" s="22" t="s">
        <v>11</v>
      </c>
      <c r="K1" s="22" t="s">
        <v>132</v>
      </c>
      <c r="L1" s="22" t="s">
        <v>133</v>
      </c>
      <c r="M1" s="22" t="s">
        <v>18</v>
      </c>
      <c r="N1" s="22" t="s">
        <v>20</v>
      </c>
      <c r="O1" s="22" t="s">
        <v>21</v>
      </c>
      <c r="P1" s="22" t="s">
        <v>22</v>
      </c>
      <c r="Q1" s="166" t="s">
        <v>24</v>
      </c>
      <c r="R1" s="166" t="s">
        <v>25</v>
      </c>
    </row>
    <row r="2" spans="1:18">
      <c r="A2" s="23" t="s">
        <v>26</v>
      </c>
      <c r="B2" s="23">
        <v>1405</v>
      </c>
      <c r="C2" s="19" t="s">
        <v>2761</v>
      </c>
      <c r="D2" s="23">
        <v>28080000</v>
      </c>
      <c r="E2" s="30" t="s">
        <v>135</v>
      </c>
      <c r="F2" s="21"/>
      <c r="G2" s="21" t="s">
        <v>31</v>
      </c>
      <c r="H2" s="23" t="s">
        <v>136</v>
      </c>
      <c r="I2" s="23" t="s">
        <v>137</v>
      </c>
      <c r="J2" s="21" t="s">
        <v>35</v>
      </c>
      <c r="K2" s="23">
        <v>0</v>
      </c>
      <c r="L2" s="153">
        <v>-13.612</v>
      </c>
      <c r="M2" s="156">
        <v>1</v>
      </c>
      <c r="N2" s="156">
        <v>-13.612</v>
      </c>
      <c r="O2" s="23"/>
      <c r="P2" s="21" t="s">
        <v>37</v>
      </c>
      <c r="Q2" s="173">
        <v>0.76723875057280699</v>
      </c>
      <c r="R2" s="173">
        <v>-1.2873979276261699E-3</v>
      </c>
    </row>
    <row r="3" spans="1:18">
      <c r="A3" s="23" t="s">
        <v>26</v>
      </c>
      <c r="B3" s="23">
        <v>1477</v>
      </c>
      <c r="C3" s="19" t="s">
        <v>138</v>
      </c>
      <c r="D3" s="23">
        <v>27960000</v>
      </c>
      <c r="E3" s="30" t="s">
        <v>135</v>
      </c>
      <c r="F3" s="21"/>
      <c r="G3" s="21" t="s">
        <v>31</v>
      </c>
      <c r="H3" s="23" t="s">
        <v>136</v>
      </c>
      <c r="I3" s="23" t="s">
        <v>137</v>
      </c>
      <c r="J3" s="21" t="s">
        <v>35</v>
      </c>
      <c r="K3" s="23">
        <v>0</v>
      </c>
      <c r="L3" s="156">
        <v>0.05</v>
      </c>
      <c r="M3" s="156">
        <v>1</v>
      </c>
      <c r="N3" s="156">
        <v>0.05</v>
      </c>
      <c r="O3" s="23"/>
      <c r="P3" s="21" t="s">
        <v>37</v>
      </c>
      <c r="Q3" s="173">
        <v>0.208597184737949</v>
      </c>
      <c r="R3" s="173">
        <v>-3.8955450958385901E-4</v>
      </c>
    </row>
    <row r="4" spans="1:18">
      <c r="A4" s="23" t="s">
        <v>26</v>
      </c>
      <c r="B4" s="23">
        <v>1477</v>
      </c>
      <c r="C4" s="19" t="s">
        <v>2760</v>
      </c>
      <c r="D4" s="23">
        <v>28080000</v>
      </c>
      <c r="E4" s="30" t="s">
        <v>135</v>
      </c>
      <c r="F4" s="21"/>
      <c r="G4" s="21" t="s">
        <v>31</v>
      </c>
      <c r="H4" s="23" t="s">
        <v>136</v>
      </c>
      <c r="I4" s="23" t="s">
        <v>137</v>
      </c>
      <c r="J4" s="21" t="s">
        <v>35</v>
      </c>
      <c r="K4" s="23">
        <v>0</v>
      </c>
      <c r="L4" s="156">
        <v>-14.79</v>
      </c>
      <c r="M4" s="156">
        <v>1</v>
      </c>
      <c r="N4" s="156">
        <v>-14.79</v>
      </c>
      <c r="O4" s="23"/>
      <c r="P4" s="21" t="s">
        <v>37</v>
      </c>
      <c r="Q4" s="173">
        <v>0.79140281526205103</v>
      </c>
      <c r="R4" s="173">
        <v>-1.47794197687754E-3</v>
      </c>
    </row>
    <row r="5" spans="1:18">
      <c r="A5" s="23" t="s">
        <v>26</v>
      </c>
      <c r="B5" s="23">
        <v>9962</v>
      </c>
      <c r="C5" s="19" t="s">
        <v>2760</v>
      </c>
      <c r="D5" s="23">
        <v>28080000</v>
      </c>
      <c r="E5" s="30" t="s">
        <v>135</v>
      </c>
      <c r="F5" s="21"/>
      <c r="G5" s="21" t="s">
        <v>31</v>
      </c>
      <c r="H5" s="23" t="s">
        <v>136</v>
      </c>
      <c r="I5" s="23" t="s">
        <v>137</v>
      </c>
      <c r="J5" s="21" t="s">
        <v>35</v>
      </c>
      <c r="K5" s="23">
        <v>0</v>
      </c>
      <c r="L5" s="156">
        <v>-51.17</v>
      </c>
      <c r="M5" s="156">
        <v>1</v>
      </c>
      <c r="N5" s="156">
        <v>-51.17</v>
      </c>
      <c r="O5" s="23"/>
      <c r="P5" s="21" t="s">
        <v>37</v>
      </c>
      <c r="Q5" s="173">
        <v>0.30648768988191299</v>
      </c>
      <c r="R5" s="173">
        <v>-6.4357615604378898E-4</v>
      </c>
    </row>
    <row r="6" spans="1:18">
      <c r="A6" s="23" t="s">
        <v>26</v>
      </c>
      <c r="B6" s="23">
        <v>9962</v>
      </c>
      <c r="C6" s="30" t="s">
        <v>139</v>
      </c>
      <c r="D6" s="23">
        <v>28200000</v>
      </c>
      <c r="E6" s="30" t="s">
        <v>140</v>
      </c>
      <c r="F6" s="21"/>
      <c r="G6" s="21" t="s">
        <v>31</v>
      </c>
      <c r="H6" s="23" t="s">
        <v>136</v>
      </c>
      <c r="I6" s="23" t="s">
        <v>137</v>
      </c>
      <c r="J6" s="21" t="s">
        <v>35</v>
      </c>
      <c r="K6" s="23">
        <v>0</v>
      </c>
      <c r="L6" s="153">
        <v>-1.736</v>
      </c>
      <c r="M6" s="156">
        <v>1</v>
      </c>
      <c r="N6" s="156">
        <v>-1.736</v>
      </c>
      <c r="O6" s="23"/>
      <c r="P6" s="21" t="s">
        <v>37</v>
      </c>
      <c r="Q6" s="173">
        <v>2.6781256653388201E-2</v>
      </c>
      <c r="R6" s="173">
        <v>-5.6236445312536102E-5</v>
      </c>
    </row>
    <row r="7" spans="1:18">
      <c r="A7" s="23" t="s">
        <v>26</v>
      </c>
      <c r="B7" s="23">
        <v>9962</v>
      </c>
      <c r="C7" s="30" t="s">
        <v>138</v>
      </c>
      <c r="D7" s="23">
        <v>27960000</v>
      </c>
      <c r="E7" s="30" t="s">
        <v>135</v>
      </c>
      <c r="F7" s="21"/>
      <c r="G7" s="21" t="s">
        <v>31</v>
      </c>
      <c r="H7" s="23" t="s">
        <v>136</v>
      </c>
      <c r="I7" s="23" t="s">
        <v>137</v>
      </c>
      <c r="J7" s="21" t="s">
        <v>35</v>
      </c>
      <c r="K7" s="23">
        <v>0</v>
      </c>
      <c r="L7" s="156">
        <v>0.08</v>
      </c>
      <c r="M7" s="156">
        <v>1</v>
      </c>
      <c r="N7" s="156">
        <v>0.08</v>
      </c>
      <c r="O7" s="23"/>
      <c r="P7" s="21" t="s">
        <v>37</v>
      </c>
      <c r="Q7" s="173">
        <v>0.66673105346469896</v>
      </c>
      <c r="R7" s="173">
        <v>-1.4000308092933899E-3</v>
      </c>
    </row>
    <row r="8" spans="1:18">
      <c r="A8" s="23" t="s">
        <v>26</v>
      </c>
      <c r="B8" s="23">
        <v>9963</v>
      </c>
      <c r="C8" s="30" t="s">
        <v>134</v>
      </c>
      <c r="D8" s="23">
        <v>28080000</v>
      </c>
      <c r="E8" s="30" t="s">
        <v>135</v>
      </c>
      <c r="F8" s="21"/>
      <c r="G8" s="21" t="s">
        <v>31</v>
      </c>
      <c r="H8" s="23" t="s">
        <v>136</v>
      </c>
      <c r="I8" s="23" t="s">
        <v>137</v>
      </c>
      <c r="J8" s="21" t="s">
        <v>35</v>
      </c>
      <c r="K8" s="23">
        <v>0</v>
      </c>
      <c r="L8" s="156">
        <v>-3114.22</v>
      </c>
      <c r="M8" s="156">
        <v>1</v>
      </c>
      <c r="N8" s="156">
        <v>-3114.22</v>
      </c>
      <c r="O8" s="23"/>
      <c r="P8" s="21" t="s">
        <v>37</v>
      </c>
      <c r="Q8" s="173">
        <v>0.94904339743322697</v>
      </c>
      <c r="R8" s="173">
        <v>-3.2382709830585999E-3</v>
      </c>
    </row>
    <row r="9" spans="1:18">
      <c r="A9" s="23" t="s">
        <v>26</v>
      </c>
      <c r="B9" s="23">
        <v>9963</v>
      </c>
      <c r="C9" s="30" t="s">
        <v>139</v>
      </c>
      <c r="D9" s="23">
        <v>28200000</v>
      </c>
      <c r="E9" s="30" t="s">
        <v>140</v>
      </c>
      <c r="F9" s="21"/>
      <c r="G9" s="21" t="s">
        <v>31</v>
      </c>
      <c r="H9" s="23" t="s">
        <v>136</v>
      </c>
      <c r="I9" s="23" t="s">
        <v>137</v>
      </c>
      <c r="J9" s="21" t="s">
        <v>35</v>
      </c>
      <c r="K9" s="23">
        <v>0</v>
      </c>
      <c r="L9" s="153">
        <v>-25.908000000000001</v>
      </c>
      <c r="M9" s="156">
        <v>1</v>
      </c>
      <c r="N9" s="156">
        <v>-25.908000000000001</v>
      </c>
      <c r="O9" s="23"/>
      <c r="P9" s="21" t="s">
        <v>37</v>
      </c>
      <c r="Q9" s="173">
        <v>7.39009711087952E-3</v>
      </c>
      <c r="R9" s="173">
        <v>-2.5216061879646701E-5</v>
      </c>
    </row>
    <row r="10" spans="1:18">
      <c r="A10" s="23" t="s">
        <v>26</v>
      </c>
      <c r="B10" s="23">
        <v>9964</v>
      </c>
      <c r="C10" s="30" t="s">
        <v>138</v>
      </c>
      <c r="D10" s="23">
        <v>27960000</v>
      </c>
      <c r="E10" s="30" t="s">
        <v>135</v>
      </c>
      <c r="F10" s="21"/>
      <c r="G10" s="21" t="s">
        <v>31</v>
      </c>
      <c r="H10" s="23" t="s">
        <v>136</v>
      </c>
      <c r="I10" s="23" t="s">
        <v>137</v>
      </c>
      <c r="J10" s="21" t="s">
        <v>35</v>
      </c>
      <c r="K10" s="23">
        <v>0</v>
      </c>
      <c r="L10" s="156">
        <v>0.1</v>
      </c>
      <c r="M10" s="156">
        <v>1</v>
      </c>
      <c r="N10" s="156">
        <v>0.1</v>
      </c>
      <c r="O10" s="23"/>
      <c r="P10" s="21" t="s">
        <v>37</v>
      </c>
      <c r="Q10" s="173">
        <v>0.72997016922268998</v>
      </c>
      <c r="R10" s="173">
        <v>-1.2513242326204E-3</v>
      </c>
    </row>
    <row r="11" spans="1:18">
      <c r="A11" s="23" t="s">
        <v>26</v>
      </c>
      <c r="B11" s="23">
        <v>9964</v>
      </c>
      <c r="C11" s="19" t="s">
        <v>2760</v>
      </c>
      <c r="D11" s="23">
        <v>28080000</v>
      </c>
      <c r="E11" s="30" t="s">
        <v>135</v>
      </c>
      <c r="F11" s="21"/>
      <c r="G11" s="21" t="s">
        <v>31</v>
      </c>
      <c r="H11" s="23" t="s">
        <v>136</v>
      </c>
      <c r="I11" s="23" t="s">
        <v>137</v>
      </c>
      <c r="J11" s="21" t="s">
        <v>35</v>
      </c>
      <c r="K11" s="23">
        <v>0</v>
      </c>
      <c r="L11" s="156">
        <v>-46.002000000000002</v>
      </c>
      <c r="M11" s="156">
        <v>1</v>
      </c>
      <c r="N11" s="156">
        <v>-46.002000000000002</v>
      </c>
      <c r="O11" s="23"/>
      <c r="P11" s="21" t="s">
        <v>37</v>
      </c>
      <c r="Q11" s="173">
        <v>0.27002983077731002</v>
      </c>
      <c r="R11" s="173">
        <v>-4.62888601518941E-4</v>
      </c>
    </row>
    <row r="12" spans="1:18">
      <c r="A12" s="23" t="s">
        <v>26</v>
      </c>
      <c r="B12" s="23">
        <v>9963</v>
      </c>
      <c r="C12" s="30" t="s">
        <v>138</v>
      </c>
      <c r="D12" s="23">
        <v>27960000</v>
      </c>
      <c r="E12" s="30" t="s">
        <v>135</v>
      </c>
      <c r="F12" s="21"/>
      <c r="G12" s="21" t="s">
        <v>31</v>
      </c>
      <c r="H12" s="23" t="s">
        <v>136</v>
      </c>
      <c r="I12" s="23" t="s">
        <v>137</v>
      </c>
      <c r="J12" s="21" t="s">
        <v>35</v>
      </c>
      <c r="K12" s="23">
        <v>0</v>
      </c>
      <c r="L12" s="156">
        <v>35.700000000000003</v>
      </c>
      <c r="M12" s="156">
        <v>1</v>
      </c>
      <c r="N12" s="156">
        <v>35.700000000000003</v>
      </c>
      <c r="O12" s="23"/>
      <c r="P12" s="21" t="s">
        <v>37</v>
      </c>
      <c r="Q12" s="173">
        <v>4.3566505455893897E-2</v>
      </c>
      <c r="R12" s="173">
        <v>-1.4865510980072101E-4</v>
      </c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E19" s="30"/>
      <c r="F19" s="21"/>
      <c r="G19" s="21"/>
      <c r="H19" s="23"/>
      <c r="P19" s="21"/>
    </row>
  </sheetData>
  <sheetProtection formatColumns="0"/>
  <autoFilter ref="A1:R19" xr:uid="{8A82DF05-843F-40EB-916B-CF23CA48300B}">
    <sortState ref="A3:R12">
      <sortCondition ref="N1:N19"/>
    </sortState>
  </autoFilter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19" xr:uid="{00000000-0002-0000-1C00-000000000000}">
      <formula1>israel_abroad</formula1>
    </dataValidation>
    <dataValidation type="list" allowBlank="1" showInputMessage="1" showErrorMessage="1" sqref="H2:H19" xr:uid="{00000000-0002-0000-1C00-000001000000}">
      <formula1>Holding_interest</formula1>
    </dataValidation>
    <dataValidation type="list" allowBlank="1" showInputMessage="1" showErrorMessage="1" sqref="P2:P19" xr:uid="{00000000-0002-0000-1C00-000002000000}">
      <formula1>In_the_books</formula1>
    </dataValidation>
    <dataValidation type="list" allowBlank="1" showInputMessage="1" showErrorMessage="1" sqref="G2:G19" xr:uid="{00000000-0002-0000-1C00-000003000000}">
      <formula1>Country_list</formula1>
    </dataValidation>
    <dataValidation type="list" allowBlank="1" showInputMessage="1" showErrorMessage="1" sqref="E2:E19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118</v>
      </c>
      <c r="D1" s="22" t="s">
        <v>119</v>
      </c>
      <c r="E1" s="22" t="s">
        <v>120</v>
      </c>
      <c r="F1" s="22" t="s">
        <v>121</v>
      </c>
      <c r="G1" s="22" t="s">
        <v>122</v>
      </c>
      <c r="H1" s="22" t="s">
        <v>6</v>
      </c>
      <c r="I1" s="22" t="s">
        <v>7</v>
      </c>
      <c r="J1" s="22" t="s">
        <v>123</v>
      </c>
      <c r="K1" s="22" t="s">
        <v>9</v>
      </c>
      <c r="L1" s="22" t="s">
        <v>10</v>
      </c>
      <c r="M1" s="22" t="s">
        <v>124</v>
      </c>
      <c r="N1" s="22" t="s">
        <v>11</v>
      </c>
      <c r="O1" s="22" t="s">
        <v>18</v>
      </c>
      <c r="P1" s="146" t="s">
        <v>14</v>
      </c>
      <c r="Q1" s="22" t="s">
        <v>125</v>
      </c>
      <c r="R1" s="22" t="s">
        <v>126</v>
      </c>
      <c r="S1" s="22" t="s">
        <v>127</v>
      </c>
      <c r="T1" s="22" t="s">
        <v>128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57"/>
  <sheetViews>
    <sheetView rightToLeft="1" zoomScale="70" zoomScaleNormal="70" workbookViewId="0">
      <selection activeCell="D24" sqref="D24"/>
    </sheetView>
  </sheetViews>
  <sheetFormatPr defaultColWidth="11.625" defaultRowHeight="14.1" customHeight="1"/>
  <cols>
    <col min="1" max="1" width="11.625" style="2" customWidth="1"/>
    <col min="2" max="2" width="18.75" style="2" customWidth="1"/>
    <col min="3" max="3" width="23" style="2" customWidth="1"/>
    <col min="4" max="4" width="26.25" style="2" customWidth="1"/>
    <col min="5" max="5" width="17.5" style="2" customWidth="1"/>
    <col min="6" max="6" width="24.875" style="2" customWidth="1"/>
    <col min="7" max="7" width="20" style="2" customWidth="1"/>
    <col min="8" max="8" width="17.125" style="2" customWidth="1"/>
    <col min="9" max="9" width="17.25" style="2" customWidth="1"/>
    <col min="10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189</v>
      </c>
      <c r="E1" s="22" t="s">
        <v>190</v>
      </c>
      <c r="F1" s="22" t="s">
        <v>191</v>
      </c>
      <c r="G1" s="22" t="s">
        <v>192</v>
      </c>
      <c r="H1" s="22" t="s">
        <v>193</v>
      </c>
      <c r="I1" s="22" t="s">
        <v>194</v>
      </c>
      <c r="J1" s="22" t="s">
        <v>11</v>
      </c>
      <c r="K1" s="22" t="s">
        <v>195</v>
      </c>
      <c r="L1" s="22" t="s">
        <v>196</v>
      </c>
      <c r="M1" s="22" t="s">
        <v>197</v>
      </c>
      <c r="N1" s="22" t="s">
        <v>198</v>
      </c>
      <c r="O1" s="22" t="s">
        <v>199</v>
      </c>
      <c r="P1" s="22" t="s">
        <v>200</v>
      </c>
      <c r="Q1" s="22" t="s">
        <v>201</v>
      </c>
    </row>
    <row r="2" spans="1:22" ht="14.1" customHeight="1">
      <c r="A2" s="2">
        <v>337</v>
      </c>
      <c r="B2" s="181">
        <v>9963</v>
      </c>
      <c r="C2" s="181" t="s">
        <v>1030</v>
      </c>
      <c r="D2" s="181" t="s">
        <v>2765</v>
      </c>
      <c r="E2" s="181"/>
      <c r="F2" s="181"/>
      <c r="G2" s="181" t="s">
        <v>2766</v>
      </c>
      <c r="H2" s="181">
        <v>62000698</v>
      </c>
      <c r="I2" s="181" t="s">
        <v>34</v>
      </c>
      <c r="J2" s="181" t="s">
        <v>78</v>
      </c>
      <c r="K2" s="182"/>
      <c r="L2" s="181">
        <v>1200000</v>
      </c>
      <c r="M2" s="181">
        <v>4417.2</v>
      </c>
      <c r="N2" s="181">
        <v>341559.66000000003</v>
      </c>
      <c r="O2" s="190">
        <v>1257.2811084600003</v>
      </c>
      <c r="P2" s="183">
        <v>0.28463305000000005</v>
      </c>
      <c r="Q2" s="182">
        <v>46424</v>
      </c>
      <c r="R2" s="11"/>
      <c r="V2" s="21"/>
    </row>
    <row r="3" spans="1:22" ht="14.1" customHeight="1">
      <c r="A3" s="2">
        <v>337</v>
      </c>
      <c r="B3" s="181">
        <v>9963</v>
      </c>
      <c r="C3" s="181" t="s">
        <v>1029</v>
      </c>
      <c r="D3" s="181" t="s">
        <v>2767</v>
      </c>
      <c r="E3" s="181"/>
      <c r="F3" s="181"/>
      <c r="G3" s="181" t="s">
        <v>2524</v>
      </c>
      <c r="H3" s="181">
        <v>60388022</v>
      </c>
      <c r="I3" s="181" t="s">
        <v>34</v>
      </c>
      <c r="J3" s="181" t="s">
        <v>78</v>
      </c>
      <c r="K3" s="182"/>
      <c r="L3" s="181">
        <v>750000</v>
      </c>
      <c r="M3" s="181">
        <v>2760.75</v>
      </c>
      <c r="N3" s="181">
        <v>0</v>
      </c>
      <c r="O3" s="190">
        <v>0</v>
      </c>
      <c r="P3" s="183"/>
      <c r="Q3" s="181">
        <v>0</v>
      </c>
      <c r="V3" s="21"/>
    </row>
    <row r="4" spans="1:22" ht="13.5" customHeight="1">
      <c r="A4" s="2">
        <v>337</v>
      </c>
      <c r="B4" s="181">
        <v>9963</v>
      </c>
      <c r="C4" s="181" t="s">
        <v>1029</v>
      </c>
      <c r="D4" s="181" t="s">
        <v>2768</v>
      </c>
      <c r="E4" s="181"/>
      <c r="F4" s="181"/>
      <c r="G4" s="181" t="s">
        <v>2769</v>
      </c>
      <c r="H4" s="181">
        <v>62000073</v>
      </c>
      <c r="I4" s="181" t="s">
        <v>34</v>
      </c>
      <c r="J4" s="181" t="s">
        <v>78</v>
      </c>
      <c r="K4" s="182"/>
      <c r="L4" s="181">
        <v>1327000</v>
      </c>
      <c r="M4" s="181">
        <v>4884.6869999999999</v>
      </c>
      <c r="N4" s="181">
        <v>67000</v>
      </c>
      <c r="O4" s="190">
        <v>246.62700000000001</v>
      </c>
      <c r="P4" s="183">
        <v>5.0489826676714394E-2</v>
      </c>
      <c r="Q4" s="182">
        <v>45655</v>
      </c>
      <c r="V4" s="21"/>
    </row>
    <row r="5" spans="1:22" ht="13.5" customHeight="1">
      <c r="A5" s="2">
        <v>337</v>
      </c>
      <c r="B5" s="181">
        <v>9963</v>
      </c>
      <c r="C5" s="181" t="s">
        <v>1027</v>
      </c>
      <c r="D5" s="181" t="s">
        <v>2770</v>
      </c>
      <c r="E5" s="181"/>
      <c r="F5" s="181"/>
      <c r="G5" s="181" t="s">
        <v>2771</v>
      </c>
      <c r="H5" s="181">
        <v>60397874</v>
      </c>
      <c r="I5" s="181" t="s">
        <v>34</v>
      </c>
      <c r="J5" s="181" t="s">
        <v>78</v>
      </c>
      <c r="K5" s="182"/>
      <c r="L5" s="181">
        <v>880000</v>
      </c>
      <c r="M5" s="181">
        <v>3239.28</v>
      </c>
      <c r="N5" s="181">
        <v>216319.06999999995</v>
      </c>
      <c r="O5" s="190">
        <v>796.27049666999983</v>
      </c>
      <c r="P5" s="183">
        <v>0.24581712499999994</v>
      </c>
      <c r="Q5" s="182">
        <v>45622</v>
      </c>
      <c r="V5" s="21"/>
    </row>
    <row r="6" spans="1:22" ht="14.1" customHeight="1">
      <c r="A6" s="2">
        <v>337</v>
      </c>
      <c r="B6" s="181">
        <v>9963</v>
      </c>
      <c r="C6" s="181" t="s">
        <v>1029</v>
      </c>
      <c r="D6" s="181" t="s">
        <v>2772</v>
      </c>
      <c r="E6" s="181"/>
      <c r="F6" s="181"/>
      <c r="G6" s="181" t="s">
        <v>2532</v>
      </c>
      <c r="H6" s="181">
        <v>62020409</v>
      </c>
      <c r="I6" s="181" t="s">
        <v>34</v>
      </c>
      <c r="J6" s="181" t="s">
        <v>78</v>
      </c>
      <c r="K6" s="182">
        <v>44665</v>
      </c>
      <c r="L6" s="181">
        <v>1300000</v>
      </c>
      <c r="M6" s="181">
        <v>4785.3</v>
      </c>
      <c r="N6" s="181">
        <v>0</v>
      </c>
      <c r="O6" s="190">
        <v>0</v>
      </c>
      <c r="P6" s="183"/>
      <c r="Q6" s="181">
        <v>0</v>
      </c>
      <c r="V6" s="21"/>
    </row>
    <row r="7" spans="1:22" ht="14.1" customHeight="1">
      <c r="A7" s="2">
        <v>337</v>
      </c>
      <c r="B7" s="181">
        <v>9963</v>
      </c>
      <c r="C7" s="181" t="s">
        <v>1030</v>
      </c>
      <c r="D7" s="181" t="s">
        <v>2773</v>
      </c>
      <c r="E7" s="181"/>
      <c r="F7" s="181"/>
      <c r="G7" s="181" t="s">
        <v>2535</v>
      </c>
      <c r="H7" s="181">
        <v>62020128</v>
      </c>
      <c r="I7" s="181" t="s">
        <v>34</v>
      </c>
      <c r="J7" s="181" t="s">
        <v>78</v>
      </c>
      <c r="K7" s="182">
        <v>44581</v>
      </c>
      <c r="L7" s="181">
        <v>300000</v>
      </c>
      <c r="M7" s="181">
        <v>1104.3</v>
      </c>
      <c r="N7" s="181">
        <v>246187</v>
      </c>
      <c r="O7" s="190">
        <v>906.21434700000009</v>
      </c>
      <c r="P7" s="183">
        <v>0.82062333333333348</v>
      </c>
      <c r="Q7" s="182">
        <v>45572</v>
      </c>
      <c r="V7" s="21"/>
    </row>
    <row r="8" spans="1:22" ht="14.1" customHeight="1">
      <c r="A8" s="2">
        <v>337</v>
      </c>
      <c r="B8" s="181">
        <v>9963</v>
      </c>
      <c r="C8" s="181" t="s">
        <v>1028</v>
      </c>
      <c r="D8" s="181" t="s">
        <v>2774</v>
      </c>
      <c r="E8" s="181"/>
      <c r="F8" s="181"/>
      <c r="G8" s="181" t="s">
        <v>2537</v>
      </c>
      <c r="H8" s="181">
        <v>62019567</v>
      </c>
      <c r="I8" s="181" t="s">
        <v>34</v>
      </c>
      <c r="J8" s="181" t="s">
        <v>78</v>
      </c>
      <c r="K8" s="182">
        <v>44481</v>
      </c>
      <c r="L8" s="181">
        <v>450000</v>
      </c>
      <c r="M8" s="181">
        <v>1656.45</v>
      </c>
      <c r="N8" s="181">
        <v>41622</v>
      </c>
      <c r="O8" s="190">
        <v>153.21058199999999</v>
      </c>
      <c r="P8" s="183">
        <v>9.249333333333333E-2</v>
      </c>
      <c r="Q8" s="182">
        <v>45616</v>
      </c>
      <c r="V8" s="21"/>
    </row>
    <row r="9" spans="1:22" ht="14.1" customHeight="1">
      <c r="A9" s="2">
        <v>337</v>
      </c>
      <c r="B9" s="181">
        <v>9963</v>
      </c>
      <c r="C9" s="181" t="s">
        <v>1028</v>
      </c>
      <c r="D9" s="181" t="s">
        <v>2774</v>
      </c>
      <c r="E9" s="181"/>
      <c r="F9" s="181"/>
      <c r="G9" s="181" t="s">
        <v>2539</v>
      </c>
      <c r="H9" s="181">
        <v>62019575</v>
      </c>
      <c r="I9" s="181" t="s">
        <v>34</v>
      </c>
      <c r="J9" s="181" t="s">
        <v>78</v>
      </c>
      <c r="K9" s="182">
        <v>44481</v>
      </c>
      <c r="L9" s="181">
        <v>450000</v>
      </c>
      <c r="M9" s="181">
        <v>1656.45</v>
      </c>
      <c r="N9" s="181">
        <v>41622</v>
      </c>
      <c r="O9" s="190">
        <v>153.21058199999999</v>
      </c>
      <c r="P9" s="183">
        <v>9.249333333333333E-2</v>
      </c>
      <c r="Q9" s="182">
        <v>45616</v>
      </c>
      <c r="V9" s="21"/>
    </row>
    <row r="10" spans="1:22" ht="14.1" customHeight="1">
      <c r="A10" s="2">
        <v>337</v>
      </c>
      <c r="B10" s="181">
        <v>9963</v>
      </c>
      <c r="C10" s="181" t="s">
        <v>1030</v>
      </c>
      <c r="D10" s="181" t="s">
        <v>2775</v>
      </c>
      <c r="E10" s="181"/>
      <c r="F10" s="181"/>
      <c r="G10" s="181" t="s">
        <v>2540</v>
      </c>
      <c r="H10" s="181">
        <v>62016845</v>
      </c>
      <c r="I10" s="181" t="s">
        <v>34</v>
      </c>
      <c r="J10" s="181" t="s">
        <v>78</v>
      </c>
      <c r="K10" s="182"/>
      <c r="L10" s="181">
        <v>1000000</v>
      </c>
      <c r="M10" s="181">
        <v>3681</v>
      </c>
      <c r="N10" s="181">
        <v>182175.57999999996</v>
      </c>
      <c r="O10" s="190">
        <v>670.58830997999985</v>
      </c>
      <c r="P10" s="183">
        <v>0.18217557999999995</v>
      </c>
      <c r="Q10" s="182"/>
      <c r="V10" s="21"/>
    </row>
    <row r="11" spans="1:22" ht="14.1" customHeight="1">
      <c r="A11" s="2">
        <v>337</v>
      </c>
      <c r="B11" s="181">
        <v>9963</v>
      </c>
      <c r="C11" s="181" t="s">
        <v>1028</v>
      </c>
      <c r="D11" s="181" t="s">
        <v>2776</v>
      </c>
      <c r="E11" s="181"/>
      <c r="F11" s="181"/>
      <c r="G11" s="181" t="s">
        <v>2494</v>
      </c>
      <c r="H11" s="181">
        <v>62019286</v>
      </c>
      <c r="I11" s="181" t="s">
        <v>34</v>
      </c>
      <c r="J11" s="181" t="s">
        <v>78</v>
      </c>
      <c r="K11" s="182">
        <v>44441</v>
      </c>
      <c r="L11" s="181">
        <v>950000</v>
      </c>
      <c r="M11" s="181">
        <v>3496.95</v>
      </c>
      <c r="N11" s="181">
        <v>448528.01</v>
      </c>
      <c r="O11" s="190">
        <v>1651.0316048100001</v>
      </c>
      <c r="P11" s="183">
        <v>0.47213474736842109</v>
      </c>
      <c r="Q11" s="182">
        <v>45987</v>
      </c>
    </row>
    <row r="12" spans="1:22" ht="14.1" customHeight="1">
      <c r="A12" s="2">
        <v>337</v>
      </c>
      <c r="B12" s="181">
        <v>9963</v>
      </c>
      <c r="C12" s="181" t="s">
        <v>1029</v>
      </c>
      <c r="D12" s="181" t="s">
        <v>2777</v>
      </c>
      <c r="E12" s="181"/>
      <c r="F12" s="181"/>
      <c r="G12" s="181" t="s">
        <v>2542</v>
      </c>
      <c r="H12" s="181">
        <v>62019765</v>
      </c>
      <c r="I12" s="181" t="s">
        <v>34</v>
      </c>
      <c r="J12" s="181" t="s">
        <v>1178</v>
      </c>
      <c r="K12" s="182"/>
      <c r="L12" s="181">
        <v>585100</v>
      </c>
      <c r="M12" s="181">
        <v>2328.1714099999999</v>
      </c>
      <c r="N12" s="181">
        <v>210963</v>
      </c>
      <c r="O12" s="190">
        <v>839.44287329999997</v>
      </c>
      <c r="P12" s="183">
        <v>0.36055887882413262</v>
      </c>
      <c r="Q12" s="182"/>
    </row>
    <row r="13" spans="1:22" ht="14.1" customHeight="1">
      <c r="A13" s="2">
        <v>337</v>
      </c>
      <c r="B13" s="181">
        <v>9963</v>
      </c>
      <c r="C13" s="181" t="s">
        <v>1030</v>
      </c>
      <c r="D13" s="181" t="s">
        <v>2778</v>
      </c>
      <c r="E13" s="181"/>
      <c r="F13" s="181"/>
      <c r="G13" s="181" t="s">
        <v>2779</v>
      </c>
      <c r="H13" s="181">
        <v>62021078</v>
      </c>
      <c r="I13" s="181" t="s">
        <v>34</v>
      </c>
      <c r="J13" s="181" t="s">
        <v>78</v>
      </c>
      <c r="K13" s="182">
        <v>45099</v>
      </c>
      <c r="L13" s="181">
        <v>900000</v>
      </c>
      <c r="M13" s="181">
        <v>3312.9</v>
      </c>
      <c r="N13" s="181">
        <v>729000</v>
      </c>
      <c r="O13" s="190">
        <v>2683.4490000000001</v>
      </c>
      <c r="P13" s="183">
        <v>0.81</v>
      </c>
      <c r="Q13" s="184">
        <v>46607</v>
      </c>
    </row>
    <row r="14" spans="1:22" ht="14.1" customHeight="1">
      <c r="A14" s="2">
        <v>337</v>
      </c>
      <c r="B14" s="181">
        <v>9963</v>
      </c>
      <c r="C14" s="181" t="s">
        <v>1029</v>
      </c>
      <c r="D14" s="181" t="s">
        <v>2780</v>
      </c>
      <c r="E14" s="181"/>
      <c r="F14" s="181"/>
      <c r="G14" s="181" t="s">
        <v>2548</v>
      </c>
      <c r="H14" s="181">
        <v>62009865</v>
      </c>
      <c r="I14" s="181" t="s">
        <v>34</v>
      </c>
      <c r="J14" s="181" t="s">
        <v>78</v>
      </c>
      <c r="K14" s="182"/>
      <c r="L14" s="181">
        <v>670000</v>
      </c>
      <c r="M14" s="181">
        <v>2466.27</v>
      </c>
      <c r="N14" s="181">
        <v>0</v>
      </c>
      <c r="O14" s="190">
        <v>0</v>
      </c>
      <c r="P14" s="183"/>
      <c r="Q14" s="181">
        <v>0</v>
      </c>
    </row>
    <row r="15" spans="1:22" ht="14.1" customHeight="1">
      <c r="A15" s="2">
        <v>337</v>
      </c>
      <c r="B15" s="181">
        <v>9963</v>
      </c>
      <c r="C15" s="181" t="s">
        <v>1029</v>
      </c>
      <c r="D15" s="181" t="s">
        <v>2781</v>
      </c>
      <c r="E15" s="181"/>
      <c r="F15" s="181"/>
      <c r="G15" s="181" t="s">
        <v>2550</v>
      </c>
      <c r="H15" s="181">
        <v>62020359</v>
      </c>
      <c r="I15" s="181" t="s">
        <v>34</v>
      </c>
      <c r="J15" s="181" t="s">
        <v>78</v>
      </c>
      <c r="K15" s="182">
        <v>44635</v>
      </c>
      <c r="L15" s="181">
        <v>2500000</v>
      </c>
      <c r="M15" s="181">
        <v>9202.5</v>
      </c>
      <c r="N15" s="181">
        <v>1192683</v>
      </c>
      <c r="O15" s="190">
        <v>4390.2661229999994</v>
      </c>
      <c r="P15" s="183">
        <v>0.47707319999999992</v>
      </c>
      <c r="Q15" s="182"/>
    </row>
    <row r="16" spans="1:22" ht="14.1" customHeight="1">
      <c r="A16" s="2">
        <v>337</v>
      </c>
      <c r="B16" s="181">
        <v>9963</v>
      </c>
      <c r="C16" s="181" t="s">
        <v>1028</v>
      </c>
      <c r="D16" s="181" t="s">
        <v>2782</v>
      </c>
      <c r="E16" s="181"/>
      <c r="F16" s="181"/>
      <c r="G16" s="181" t="s">
        <v>2783</v>
      </c>
      <c r="H16" s="181">
        <v>62016969</v>
      </c>
      <c r="I16" s="181" t="s">
        <v>34</v>
      </c>
      <c r="J16" s="181" t="s">
        <v>78</v>
      </c>
      <c r="K16" s="182"/>
      <c r="L16" s="181">
        <v>1150000</v>
      </c>
      <c r="M16" s="181">
        <v>4233.1499999999996</v>
      </c>
      <c r="N16" s="181">
        <v>0</v>
      </c>
      <c r="O16" s="190">
        <v>0</v>
      </c>
      <c r="P16" s="183"/>
      <c r="Q16" s="181">
        <v>0</v>
      </c>
    </row>
    <row r="17" spans="1:17" ht="14.1" customHeight="1">
      <c r="A17" s="2">
        <v>337</v>
      </c>
      <c r="B17" s="181">
        <v>9963</v>
      </c>
      <c r="C17" s="181" t="s">
        <v>1029</v>
      </c>
      <c r="D17" s="181" t="s">
        <v>2784</v>
      </c>
      <c r="E17" s="181"/>
      <c r="F17" s="181"/>
      <c r="G17" s="181" t="s">
        <v>2785</v>
      </c>
      <c r="H17" s="181">
        <v>62018528</v>
      </c>
      <c r="I17" s="181" t="s">
        <v>34</v>
      </c>
      <c r="J17" s="181" t="s">
        <v>1178</v>
      </c>
      <c r="K17" s="182">
        <v>44382</v>
      </c>
      <c r="L17" s="181">
        <v>580000</v>
      </c>
      <c r="M17" s="181">
        <v>2307.8780000000002</v>
      </c>
      <c r="N17" s="181">
        <v>131377</v>
      </c>
      <c r="O17" s="190">
        <v>522.76222070000006</v>
      </c>
      <c r="P17" s="183">
        <v>0.22651206896551726</v>
      </c>
      <c r="Q17" s="182"/>
    </row>
    <row r="18" spans="1:17" ht="14.1" customHeight="1">
      <c r="A18" s="2">
        <v>337</v>
      </c>
      <c r="B18" s="181">
        <v>9963</v>
      </c>
      <c r="C18" s="181" t="s">
        <v>1029</v>
      </c>
      <c r="D18" s="181" t="s">
        <v>2786</v>
      </c>
      <c r="E18" s="181"/>
      <c r="F18" s="181"/>
      <c r="G18" s="181" t="s">
        <v>2557</v>
      </c>
      <c r="H18" s="181">
        <v>62017942</v>
      </c>
      <c r="I18" s="181" t="s">
        <v>34</v>
      </c>
      <c r="J18" s="181" t="s">
        <v>1178</v>
      </c>
      <c r="K18" s="182"/>
      <c r="L18" s="181">
        <v>1200000</v>
      </c>
      <c r="M18" s="181">
        <v>4774.92</v>
      </c>
      <c r="N18" s="181">
        <v>7401.8000000000466</v>
      </c>
      <c r="O18" s="190">
        <v>29.452502380000183</v>
      </c>
      <c r="P18" s="183">
        <v>6.1681666666667046E-3</v>
      </c>
      <c r="Q18" s="182">
        <v>45814</v>
      </c>
    </row>
    <row r="19" spans="1:17" ht="14.1" customHeight="1">
      <c r="A19" s="2">
        <v>337</v>
      </c>
      <c r="B19" s="181">
        <v>9963</v>
      </c>
      <c r="C19" s="181" t="s">
        <v>1026</v>
      </c>
      <c r="D19" s="181" t="s">
        <v>2787</v>
      </c>
      <c r="E19" s="181"/>
      <c r="F19" s="181"/>
      <c r="G19" s="181" t="s">
        <v>2788</v>
      </c>
      <c r="H19" s="181">
        <v>62018890</v>
      </c>
      <c r="I19" s="181" t="s">
        <v>34</v>
      </c>
      <c r="J19" s="181" t="s">
        <v>1178</v>
      </c>
      <c r="K19" s="182">
        <v>44417</v>
      </c>
      <c r="L19" s="181">
        <v>1150000</v>
      </c>
      <c r="M19" s="181">
        <v>4575.9650000000001</v>
      </c>
      <c r="N19" s="181">
        <v>229637.36</v>
      </c>
      <c r="O19" s="190">
        <v>913.75001917599991</v>
      </c>
      <c r="P19" s="183">
        <v>0.19968466086956518</v>
      </c>
      <c r="Q19" s="182">
        <v>46688</v>
      </c>
    </row>
    <row r="20" spans="1:17" ht="14.1" customHeight="1">
      <c r="A20" s="2">
        <v>337</v>
      </c>
      <c r="B20" s="181">
        <v>9963</v>
      </c>
      <c r="C20" s="181" t="s">
        <v>1030</v>
      </c>
      <c r="D20" s="181" t="s">
        <v>2789</v>
      </c>
      <c r="E20" s="181"/>
      <c r="F20" s="181"/>
      <c r="G20" s="181" t="s">
        <v>2790</v>
      </c>
      <c r="H20" s="181">
        <v>62020540</v>
      </c>
      <c r="I20" s="181" t="s">
        <v>34</v>
      </c>
      <c r="J20" s="181" t="s">
        <v>78</v>
      </c>
      <c r="K20" s="182">
        <v>44707</v>
      </c>
      <c r="L20" s="181">
        <v>300000</v>
      </c>
      <c r="M20" s="181">
        <v>1104.3</v>
      </c>
      <c r="N20" s="181">
        <v>15000</v>
      </c>
      <c r="O20" s="190">
        <v>55.215000000000003</v>
      </c>
      <c r="P20" s="183">
        <v>0.05</v>
      </c>
      <c r="Q20" s="182">
        <v>46538</v>
      </c>
    </row>
    <row r="21" spans="1:17" ht="14.1" customHeight="1">
      <c r="A21" s="2">
        <v>337</v>
      </c>
      <c r="B21" s="181">
        <v>9963</v>
      </c>
      <c r="C21" s="181" t="s">
        <v>1030</v>
      </c>
      <c r="D21" s="181" t="s">
        <v>2791</v>
      </c>
      <c r="E21" s="181"/>
      <c r="F21" s="181"/>
      <c r="G21" s="181" t="s">
        <v>2792</v>
      </c>
      <c r="H21" s="181">
        <v>62017959</v>
      </c>
      <c r="I21" s="181" t="s">
        <v>34</v>
      </c>
      <c r="J21" s="181" t="s">
        <v>78</v>
      </c>
      <c r="K21" s="182">
        <v>44993</v>
      </c>
      <c r="L21" s="181">
        <v>230000</v>
      </c>
      <c r="M21" s="181">
        <v>846.63</v>
      </c>
      <c r="N21" s="181">
        <v>0</v>
      </c>
      <c r="O21" s="190">
        <v>0</v>
      </c>
      <c r="P21" s="183"/>
      <c r="Q21" s="181">
        <v>0</v>
      </c>
    </row>
    <row r="22" spans="1:17" ht="14.1" customHeight="1">
      <c r="A22" s="2">
        <v>337</v>
      </c>
      <c r="B22" s="181">
        <v>9963</v>
      </c>
      <c r="C22" s="181" t="s">
        <v>1030</v>
      </c>
      <c r="D22" s="181" t="s">
        <v>2793</v>
      </c>
      <c r="E22" s="181"/>
      <c r="F22" s="181"/>
      <c r="G22" s="181" t="s">
        <v>2794</v>
      </c>
      <c r="H22" s="181">
        <v>62018130</v>
      </c>
      <c r="I22" s="181" t="s">
        <v>34</v>
      </c>
      <c r="J22" s="181" t="s">
        <v>78</v>
      </c>
      <c r="K22" s="182">
        <v>44306</v>
      </c>
      <c r="L22" s="181">
        <v>230000</v>
      </c>
      <c r="M22" s="181">
        <v>846.63</v>
      </c>
      <c r="N22" s="181">
        <v>0</v>
      </c>
      <c r="O22" s="190">
        <v>0</v>
      </c>
      <c r="P22" s="183"/>
      <c r="Q22" s="181">
        <v>0</v>
      </c>
    </row>
    <row r="23" spans="1:17" ht="14.1" customHeight="1">
      <c r="A23" s="2">
        <v>337</v>
      </c>
      <c r="B23" s="181">
        <v>9963</v>
      </c>
      <c r="C23" s="181" t="s">
        <v>1030</v>
      </c>
      <c r="D23" s="181" t="s">
        <v>2795</v>
      </c>
      <c r="E23" s="181"/>
      <c r="F23" s="181"/>
      <c r="G23" s="181" t="s">
        <v>2796</v>
      </c>
      <c r="H23" s="181">
        <v>62017876</v>
      </c>
      <c r="I23" s="181" t="s">
        <v>34</v>
      </c>
      <c r="J23" s="181" t="s">
        <v>78</v>
      </c>
      <c r="K23" s="182">
        <v>44258</v>
      </c>
      <c r="L23" s="181">
        <v>750000</v>
      </c>
      <c r="M23" s="181">
        <v>2760.75</v>
      </c>
      <c r="N23" s="181">
        <v>0</v>
      </c>
      <c r="O23" s="190">
        <v>0</v>
      </c>
      <c r="P23" s="183"/>
      <c r="Q23" s="181">
        <v>0</v>
      </c>
    </row>
    <row r="24" spans="1:17" ht="14.1" customHeight="1">
      <c r="A24" s="2">
        <v>337</v>
      </c>
      <c r="B24" s="181">
        <v>9963</v>
      </c>
      <c r="C24" s="181" t="s">
        <v>1030</v>
      </c>
      <c r="D24" s="181" t="s">
        <v>2797</v>
      </c>
      <c r="E24" s="181"/>
      <c r="F24" s="181"/>
      <c r="G24" s="181" t="s">
        <v>2798</v>
      </c>
      <c r="H24" s="181">
        <v>62018734</v>
      </c>
      <c r="I24" s="181" t="s">
        <v>34</v>
      </c>
      <c r="J24" s="181" t="s">
        <v>78</v>
      </c>
      <c r="K24" s="182">
        <v>44403</v>
      </c>
      <c r="L24" s="181">
        <v>650000</v>
      </c>
      <c r="M24" s="181">
        <v>2392.65</v>
      </c>
      <c r="N24" s="181">
        <v>130000</v>
      </c>
      <c r="O24" s="190">
        <v>478.53</v>
      </c>
      <c r="P24" s="183">
        <v>0.19999999999999998</v>
      </c>
      <c r="Q24" s="184">
        <v>46948</v>
      </c>
    </row>
    <row r="25" spans="1:17" ht="14.1" customHeight="1">
      <c r="A25" s="2">
        <v>337</v>
      </c>
      <c r="B25" s="181">
        <v>9963</v>
      </c>
      <c r="C25" s="181" t="s">
        <v>1030</v>
      </c>
      <c r="D25" s="181" t="s">
        <v>2799</v>
      </c>
      <c r="E25" s="181"/>
      <c r="F25" s="181"/>
      <c r="G25" s="181" t="s">
        <v>2800</v>
      </c>
      <c r="H25" s="181">
        <v>62014352</v>
      </c>
      <c r="I25" s="181" t="s">
        <v>34</v>
      </c>
      <c r="J25" s="181" t="s">
        <v>78</v>
      </c>
      <c r="K25" s="182"/>
      <c r="L25" s="181">
        <v>1000000</v>
      </c>
      <c r="M25" s="181">
        <v>3681</v>
      </c>
      <c r="N25" s="181">
        <v>225000</v>
      </c>
      <c r="O25" s="190">
        <v>828.22500000000002</v>
      </c>
      <c r="P25" s="183">
        <v>0.22500000000000001</v>
      </c>
      <c r="Q25" s="182">
        <v>47392</v>
      </c>
    </row>
    <row r="26" spans="1:17" ht="14.1" customHeight="1">
      <c r="A26" s="2">
        <v>337</v>
      </c>
      <c r="B26" s="181">
        <v>9963</v>
      </c>
      <c r="C26" s="181" t="s">
        <v>1030</v>
      </c>
      <c r="D26" s="181" t="s">
        <v>2778</v>
      </c>
      <c r="E26" s="181"/>
      <c r="F26" s="181"/>
      <c r="G26" s="181" t="s">
        <v>2801</v>
      </c>
      <c r="H26" s="181">
        <v>62015433</v>
      </c>
      <c r="I26" s="181" t="s">
        <v>34</v>
      </c>
      <c r="J26" s="181" t="s">
        <v>78</v>
      </c>
      <c r="K26" s="182"/>
      <c r="L26" s="181">
        <v>1750000</v>
      </c>
      <c r="M26" s="181">
        <v>6441.75</v>
      </c>
      <c r="N26" s="181">
        <v>446250</v>
      </c>
      <c r="O26" s="190">
        <v>1642.64625</v>
      </c>
      <c r="P26" s="183">
        <v>0.255</v>
      </c>
      <c r="Q26" s="182"/>
    </row>
    <row r="27" spans="1:17" ht="14.1" customHeight="1">
      <c r="A27" s="2">
        <v>337</v>
      </c>
      <c r="B27" s="181">
        <v>9963</v>
      </c>
      <c r="C27" s="181" t="s">
        <v>1028</v>
      </c>
      <c r="D27" s="181" t="s">
        <v>2802</v>
      </c>
      <c r="E27" s="181"/>
      <c r="F27" s="181"/>
      <c r="G27" s="181" t="s">
        <v>2803</v>
      </c>
      <c r="H27" s="181">
        <v>62021076</v>
      </c>
      <c r="I27" s="181" t="s">
        <v>34</v>
      </c>
      <c r="J27" s="181" t="s">
        <v>78</v>
      </c>
      <c r="K27" s="182">
        <v>44938</v>
      </c>
      <c r="L27" s="181">
        <v>1000000</v>
      </c>
      <c r="M27" s="181">
        <v>3681</v>
      </c>
      <c r="N27" s="181">
        <v>350000</v>
      </c>
      <c r="O27" s="190">
        <v>1288.3499999999999</v>
      </c>
      <c r="P27" s="183">
        <v>0.35</v>
      </c>
      <c r="Q27" s="182">
        <v>46203</v>
      </c>
    </row>
    <row r="28" spans="1:17" ht="14.1" customHeight="1">
      <c r="A28" s="2">
        <v>337</v>
      </c>
      <c r="B28" s="181">
        <v>9963</v>
      </c>
      <c r="C28" s="181" t="s">
        <v>1030</v>
      </c>
      <c r="D28" s="181" t="s">
        <v>2804</v>
      </c>
      <c r="E28" s="181"/>
      <c r="F28" s="181"/>
      <c r="G28" s="181" t="s">
        <v>2805</v>
      </c>
      <c r="H28" s="181">
        <v>62000395</v>
      </c>
      <c r="I28" s="181" t="s">
        <v>34</v>
      </c>
      <c r="J28" s="181" t="s">
        <v>78</v>
      </c>
      <c r="K28" s="182"/>
      <c r="L28" s="181">
        <v>1200000</v>
      </c>
      <c r="M28" s="181">
        <v>4417.2</v>
      </c>
      <c r="N28" s="181">
        <v>96000</v>
      </c>
      <c r="O28" s="190">
        <v>353.37599999999998</v>
      </c>
      <c r="P28" s="183">
        <v>0.08</v>
      </c>
      <c r="Q28" s="182">
        <v>46006</v>
      </c>
    </row>
    <row r="29" spans="1:17" ht="14.1" customHeight="1">
      <c r="A29" s="2">
        <v>337</v>
      </c>
      <c r="B29" s="181">
        <v>9963</v>
      </c>
      <c r="C29" s="181" t="s">
        <v>1030</v>
      </c>
      <c r="D29" s="181" t="s">
        <v>2806</v>
      </c>
      <c r="E29" s="181"/>
      <c r="F29" s="181"/>
      <c r="G29" s="181" t="s">
        <v>2500</v>
      </c>
      <c r="H29" s="181">
        <v>62018080</v>
      </c>
      <c r="I29" s="181" t="s">
        <v>34</v>
      </c>
      <c r="J29" s="181" t="s">
        <v>78</v>
      </c>
      <c r="K29" s="182"/>
      <c r="L29" s="181">
        <v>875000</v>
      </c>
      <c r="M29" s="181">
        <v>3220.875</v>
      </c>
      <c r="N29" s="181">
        <v>287834</v>
      </c>
      <c r="O29" s="190">
        <v>1059.5169539999999</v>
      </c>
      <c r="P29" s="183">
        <v>0.32895314285714283</v>
      </c>
      <c r="Q29" s="182"/>
    </row>
    <row r="30" spans="1:17" ht="14.1" customHeight="1">
      <c r="A30" s="2">
        <v>337</v>
      </c>
      <c r="B30" s="181">
        <v>9963</v>
      </c>
      <c r="C30" s="181" t="s">
        <v>1030</v>
      </c>
      <c r="D30" s="181" t="s">
        <v>2807</v>
      </c>
      <c r="E30" s="181"/>
      <c r="F30" s="181"/>
      <c r="G30" s="181" t="s">
        <v>2808</v>
      </c>
      <c r="H30" s="181">
        <v>50000967</v>
      </c>
      <c r="I30" s="181" t="s">
        <v>34</v>
      </c>
      <c r="J30" s="181" t="s">
        <v>35</v>
      </c>
      <c r="K30" s="182"/>
      <c r="L30" s="181">
        <v>3600000</v>
      </c>
      <c r="M30" s="181">
        <v>3600</v>
      </c>
      <c r="N30" s="181">
        <v>1080000</v>
      </c>
      <c r="O30" s="190">
        <v>1080</v>
      </c>
      <c r="P30" s="183">
        <v>0.3</v>
      </c>
      <c r="Q30" s="182">
        <v>46691</v>
      </c>
    </row>
    <row r="31" spans="1:17" ht="14.1" customHeight="1">
      <c r="A31" s="2">
        <v>337</v>
      </c>
      <c r="B31" s="181">
        <v>9963</v>
      </c>
      <c r="C31" s="181" t="s">
        <v>1030</v>
      </c>
      <c r="D31" s="181" t="s">
        <v>2503</v>
      </c>
      <c r="E31" s="181"/>
      <c r="F31" s="181"/>
      <c r="G31" s="181" t="s">
        <v>2809</v>
      </c>
      <c r="H31" s="181">
        <v>50007947</v>
      </c>
      <c r="I31" s="181" t="s">
        <v>34</v>
      </c>
      <c r="J31" s="181" t="s">
        <v>35</v>
      </c>
      <c r="K31" s="182">
        <v>45039</v>
      </c>
      <c r="L31" s="181">
        <v>5000000</v>
      </c>
      <c r="M31" s="181">
        <v>5000</v>
      </c>
      <c r="N31" s="181">
        <v>3500000</v>
      </c>
      <c r="O31" s="190">
        <v>3500</v>
      </c>
      <c r="P31" s="183">
        <v>0.7</v>
      </c>
      <c r="Q31" s="182">
        <v>47923</v>
      </c>
    </row>
    <row r="32" spans="1:17" ht="14.1" customHeight="1">
      <c r="A32" s="2">
        <v>337</v>
      </c>
      <c r="B32" s="181">
        <v>9963</v>
      </c>
      <c r="C32" s="181" t="s">
        <v>1025</v>
      </c>
      <c r="D32" s="181" t="s">
        <v>2810</v>
      </c>
      <c r="E32" s="181"/>
      <c r="F32" s="181"/>
      <c r="G32" s="181" t="s">
        <v>2580</v>
      </c>
      <c r="H32" s="181">
        <v>62019021</v>
      </c>
      <c r="I32" s="181" t="s">
        <v>34</v>
      </c>
      <c r="J32" s="181" t="s">
        <v>78</v>
      </c>
      <c r="K32" s="182">
        <v>44431</v>
      </c>
      <c r="L32" s="181">
        <v>1500000</v>
      </c>
      <c r="M32" s="181">
        <v>5521.5</v>
      </c>
      <c r="N32" s="181">
        <v>772071.76</v>
      </c>
      <c r="O32" s="190">
        <v>2841.9961485600002</v>
      </c>
      <c r="P32" s="183">
        <v>0.51471450666666674</v>
      </c>
      <c r="Q32" s="182">
        <v>46727</v>
      </c>
    </row>
    <row r="33" spans="1:17" ht="14.1" customHeight="1">
      <c r="A33" s="2">
        <v>337</v>
      </c>
      <c r="B33" s="181">
        <v>9963</v>
      </c>
      <c r="C33" s="181" t="s">
        <v>1030</v>
      </c>
      <c r="D33" s="181" t="s">
        <v>2811</v>
      </c>
      <c r="E33" s="181"/>
      <c r="F33" s="181"/>
      <c r="G33" s="181" t="s">
        <v>2582</v>
      </c>
      <c r="H33" s="181">
        <v>62010970</v>
      </c>
      <c r="I33" s="181" t="s">
        <v>34</v>
      </c>
      <c r="J33" s="181" t="s">
        <v>78</v>
      </c>
      <c r="K33" s="182"/>
      <c r="L33" s="181">
        <v>1300000</v>
      </c>
      <c r="M33" s="181">
        <v>4785.3</v>
      </c>
      <c r="N33" s="181">
        <v>74467.659999999916</v>
      </c>
      <c r="O33" s="190">
        <v>274.11545645999968</v>
      </c>
      <c r="P33" s="183">
        <v>5.7282815384615313E-2</v>
      </c>
      <c r="Q33" s="182">
        <v>47119</v>
      </c>
    </row>
    <row r="34" spans="1:17" ht="14.1" customHeight="1">
      <c r="A34" s="2">
        <v>337</v>
      </c>
      <c r="B34" s="181">
        <v>9963</v>
      </c>
      <c r="C34" s="181" t="s">
        <v>1028</v>
      </c>
      <c r="D34" s="181" t="s">
        <v>2812</v>
      </c>
      <c r="E34" s="181"/>
      <c r="F34" s="181"/>
      <c r="G34" s="181" t="s">
        <v>2585</v>
      </c>
      <c r="H34" s="181">
        <v>62021001</v>
      </c>
      <c r="I34" s="181" t="s">
        <v>34</v>
      </c>
      <c r="J34" s="181" t="s">
        <v>78</v>
      </c>
      <c r="K34" s="182">
        <v>44887</v>
      </c>
      <c r="L34" s="181">
        <v>1000000</v>
      </c>
      <c r="M34" s="181">
        <v>3681</v>
      </c>
      <c r="N34" s="181">
        <v>532235.09000000008</v>
      </c>
      <c r="O34" s="190">
        <v>1959.1573662900003</v>
      </c>
      <c r="P34" s="183">
        <v>0.53223509000000002</v>
      </c>
      <c r="Q34" s="182">
        <v>46608</v>
      </c>
    </row>
    <row r="35" spans="1:17" ht="14.1" customHeight="1">
      <c r="A35" s="2">
        <v>337</v>
      </c>
      <c r="B35" s="181">
        <v>9963</v>
      </c>
      <c r="C35" s="181" t="s">
        <v>1029</v>
      </c>
      <c r="D35" s="181" t="s">
        <v>2587</v>
      </c>
      <c r="E35" s="181"/>
      <c r="F35" s="181"/>
      <c r="G35" s="181" t="s">
        <v>2587</v>
      </c>
      <c r="H35" s="181">
        <v>62021175</v>
      </c>
      <c r="I35" s="181" t="s">
        <v>34</v>
      </c>
      <c r="J35" s="181" t="s">
        <v>78</v>
      </c>
      <c r="K35" s="182">
        <v>45057</v>
      </c>
      <c r="L35" s="181">
        <v>800000</v>
      </c>
      <c r="M35" s="181">
        <v>2944.8</v>
      </c>
      <c r="N35" s="181">
        <v>728307.77</v>
      </c>
      <c r="O35" s="190">
        <v>2680.9009013700002</v>
      </c>
      <c r="P35" s="183">
        <v>0.91038471249999997</v>
      </c>
      <c r="Q35" s="182">
        <v>45747</v>
      </c>
    </row>
    <row r="36" spans="1:17" ht="14.1" customHeight="1">
      <c r="A36" s="2">
        <v>337</v>
      </c>
      <c r="B36" s="181">
        <v>9963</v>
      </c>
      <c r="C36" s="181" t="s">
        <v>1025</v>
      </c>
      <c r="D36" s="181" t="s">
        <v>2813</v>
      </c>
      <c r="E36" s="181"/>
      <c r="F36" s="181"/>
      <c r="G36" s="181" t="s">
        <v>2814</v>
      </c>
      <c r="H36" s="181">
        <v>62019740</v>
      </c>
      <c r="I36" s="181" t="s">
        <v>34</v>
      </c>
      <c r="J36" s="181" t="s">
        <v>78</v>
      </c>
      <c r="K36" s="182">
        <v>44518</v>
      </c>
      <c r="L36" s="181">
        <v>1250000</v>
      </c>
      <c r="M36" s="181">
        <v>4601.25</v>
      </c>
      <c r="N36" s="181">
        <v>111712</v>
      </c>
      <c r="O36" s="190">
        <v>411.21187200000003</v>
      </c>
      <c r="P36" s="183">
        <v>8.9369600000000007E-2</v>
      </c>
      <c r="Q36" s="182">
        <v>49041</v>
      </c>
    </row>
    <row r="37" spans="1:17" ht="14.1" customHeight="1">
      <c r="A37" s="2">
        <v>337</v>
      </c>
      <c r="B37" s="181">
        <v>9963</v>
      </c>
      <c r="C37" s="181" t="s">
        <v>1030</v>
      </c>
      <c r="D37" s="181" t="s">
        <v>2815</v>
      </c>
      <c r="E37" s="181"/>
      <c r="F37" s="181"/>
      <c r="G37" s="181" t="s">
        <v>2816</v>
      </c>
      <c r="H37" s="181">
        <v>62018866</v>
      </c>
      <c r="I37" s="181" t="s">
        <v>34</v>
      </c>
      <c r="J37" s="181" t="s">
        <v>78</v>
      </c>
      <c r="K37" s="182">
        <v>44406</v>
      </c>
      <c r="L37" s="181">
        <v>1200000</v>
      </c>
      <c r="M37" s="181">
        <v>4417.2</v>
      </c>
      <c r="N37" s="181">
        <v>0</v>
      </c>
      <c r="O37" s="190">
        <v>0</v>
      </c>
      <c r="P37" s="183"/>
      <c r="Q37" s="181">
        <v>0</v>
      </c>
    </row>
    <row r="38" spans="1:17" ht="14.1" customHeight="1">
      <c r="A38" s="2">
        <v>337</v>
      </c>
      <c r="B38" s="181">
        <v>9963</v>
      </c>
      <c r="C38" s="181" t="s">
        <v>1029</v>
      </c>
      <c r="D38" s="181" t="s">
        <v>2817</v>
      </c>
      <c r="E38" s="181"/>
      <c r="F38" s="181"/>
      <c r="G38" s="181" t="s">
        <v>2818</v>
      </c>
      <c r="H38" s="181">
        <v>62018486</v>
      </c>
      <c r="I38" s="181" t="s">
        <v>34</v>
      </c>
      <c r="J38" s="181" t="s">
        <v>78</v>
      </c>
      <c r="K38" s="182">
        <v>44381</v>
      </c>
      <c r="L38" s="181">
        <v>1515000</v>
      </c>
      <c r="M38" s="181">
        <v>5576.7150000000001</v>
      </c>
      <c r="N38" s="181">
        <v>0</v>
      </c>
      <c r="O38" s="190">
        <v>0</v>
      </c>
      <c r="P38" s="183"/>
      <c r="Q38" s="181">
        <v>0</v>
      </c>
    </row>
    <row r="39" spans="1:17" ht="14.1" customHeight="1">
      <c r="A39" s="2">
        <v>337</v>
      </c>
      <c r="B39" s="181">
        <v>9963</v>
      </c>
      <c r="C39" s="181" t="s">
        <v>1026</v>
      </c>
      <c r="D39" s="181" t="s">
        <v>2819</v>
      </c>
      <c r="E39" s="181"/>
      <c r="F39" s="181"/>
      <c r="G39" s="181" t="s">
        <v>2598</v>
      </c>
      <c r="H39" s="181">
        <v>62021282</v>
      </c>
      <c r="I39" s="181" t="s">
        <v>34</v>
      </c>
      <c r="J39" s="181" t="s">
        <v>78</v>
      </c>
      <c r="K39" s="182">
        <v>45132</v>
      </c>
      <c r="L39" s="181">
        <v>650000</v>
      </c>
      <c r="M39" s="181">
        <v>2392.65</v>
      </c>
      <c r="N39" s="181">
        <v>325333</v>
      </c>
      <c r="O39" s="190">
        <v>1197.5507729999999</v>
      </c>
      <c r="P39" s="183">
        <v>0.5005123076923077</v>
      </c>
      <c r="Q39" s="182">
        <v>46310</v>
      </c>
    </row>
    <row r="40" spans="1:17" ht="14.1" customHeight="1">
      <c r="A40" s="2">
        <v>337</v>
      </c>
      <c r="B40" s="181">
        <v>9963</v>
      </c>
      <c r="C40" s="181" t="s">
        <v>1030</v>
      </c>
      <c r="D40" s="181" t="s">
        <v>2820</v>
      </c>
      <c r="E40" s="181"/>
      <c r="F40" s="181"/>
      <c r="G40" s="181" t="s">
        <v>2821</v>
      </c>
      <c r="H40" s="181">
        <v>62018569</v>
      </c>
      <c r="I40" s="181" t="s">
        <v>34</v>
      </c>
      <c r="J40" s="181" t="s">
        <v>78</v>
      </c>
      <c r="K40" s="182">
        <v>44384</v>
      </c>
      <c r="L40" s="181">
        <v>600000</v>
      </c>
      <c r="M40" s="181">
        <v>2208.6</v>
      </c>
      <c r="N40" s="181">
        <v>223710</v>
      </c>
      <c r="O40" s="190">
        <v>823.47650999999996</v>
      </c>
      <c r="P40" s="183">
        <v>0.37285000000000001</v>
      </c>
      <c r="Q40" s="182">
        <v>45549</v>
      </c>
    </row>
    <row r="41" spans="1:17" ht="14.1" customHeight="1">
      <c r="A41" s="2">
        <v>337</v>
      </c>
      <c r="B41" s="181">
        <v>9963</v>
      </c>
      <c r="C41" s="181" t="s">
        <v>1025</v>
      </c>
      <c r="D41" s="181" t="s">
        <v>2822</v>
      </c>
      <c r="E41" s="181"/>
      <c r="F41" s="181"/>
      <c r="G41" s="181" t="s">
        <v>2823</v>
      </c>
      <c r="H41" s="181">
        <v>62014592</v>
      </c>
      <c r="I41" s="181" t="s">
        <v>34</v>
      </c>
      <c r="J41" s="181" t="s">
        <v>78</v>
      </c>
      <c r="K41" s="182"/>
      <c r="L41" s="181">
        <v>1000000</v>
      </c>
      <c r="M41" s="181">
        <v>3681</v>
      </c>
      <c r="N41" s="181">
        <v>91751</v>
      </c>
      <c r="O41" s="190">
        <v>337.73543100000001</v>
      </c>
      <c r="P41" s="183">
        <v>9.1750999999999999E-2</v>
      </c>
      <c r="Q41" s="182">
        <v>46997</v>
      </c>
    </row>
    <row r="42" spans="1:17" ht="14.1" customHeight="1">
      <c r="A42" s="2">
        <v>337</v>
      </c>
      <c r="B42" s="181">
        <v>9963</v>
      </c>
      <c r="C42" s="181" t="s">
        <v>1030</v>
      </c>
      <c r="D42" s="181" t="s">
        <v>2824</v>
      </c>
      <c r="E42" s="181"/>
      <c r="F42" s="181"/>
      <c r="G42" s="181" t="s">
        <v>2825</v>
      </c>
      <c r="H42" s="181">
        <v>62018254</v>
      </c>
      <c r="I42" s="181" t="s">
        <v>34</v>
      </c>
      <c r="J42" s="181" t="s">
        <v>78</v>
      </c>
      <c r="K42" s="182">
        <v>44327</v>
      </c>
      <c r="L42" s="181">
        <v>450000</v>
      </c>
      <c r="M42" s="181">
        <v>1656.45</v>
      </c>
      <c r="N42" s="181">
        <v>117000</v>
      </c>
      <c r="O42" s="190">
        <v>430.67700000000002</v>
      </c>
      <c r="P42" s="183">
        <v>0.26</v>
      </c>
      <c r="Q42" s="182">
        <v>45775</v>
      </c>
    </row>
    <row r="43" spans="1:17" ht="14.1" customHeight="1">
      <c r="A43" s="2">
        <v>337</v>
      </c>
      <c r="B43" s="181">
        <v>9963</v>
      </c>
      <c r="C43" s="181" t="s">
        <v>1030</v>
      </c>
      <c r="D43" s="181" t="s">
        <v>2826</v>
      </c>
      <c r="E43" s="181"/>
      <c r="F43" s="181"/>
      <c r="G43" s="181" t="s">
        <v>2605</v>
      </c>
      <c r="H43" s="181">
        <v>60407392</v>
      </c>
      <c r="I43" s="181" t="s">
        <v>34</v>
      </c>
      <c r="J43" s="181" t="s">
        <v>78</v>
      </c>
      <c r="K43" s="182"/>
      <c r="L43" s="181">
        <v>425000</v>
      </c>
      <c r="M43" s="181">
        <v>1564.425</v>
      </c>
      <c r="N43" s="181">
        <v>3187</v>
      </c>
      <c r="O43" s="190">
        <v>11.731347</v>
      </c>
      <c r="P43" s="183">
        <v>7.4988235294117644E-3</v>
      </c>
      <c r="Q43" s="182">
        <v>44469</v>
      </c>
    </row>
    <row r="44" spans="1:17" ht="14.1" customHeight="1">
      <c r="A44" s="2">
        <v>337</v>
      </c>
      <c r="B44" s="181">
        <v>9963</v>
      </c>
      <c r="C44" s="181" t="s">
        <v>1029</v>
      </c>
      <c r="D44" s="181" t="s">
        <v>2827</v>
      </c>
      <c r="E44" s="181"/>
      <c r="F44" s="181"/>
      <c r="G44" s="181" t="s">
        <v>2607</v>
      </c>
      <c r="H44" s="181">
        <v>62021118</v>
      </c>
      <c r="I44" s="181" t="s">
        <v>34</v>
      </c>
      <c r="J44" s="181" t="s">
        <v>1182</v>
      </c>
      <c r="K44" s="182">
        <v>44950</v>
      </c>
      <c r="L44" s="181">
        <v>750000</v>
      </c>
      <c r="M44" s="181">
        <v>3490.125</v>
      </c>
      <c r="N44" s="181">
        <v>660404.62</v>
      </c>
      <c r="O44" s="190">
        <v>3073.1928991700001</v>
      </c>
      <c r="P44" s="183">
        <v>0.88053949333333337</v>
      </c>
      <c r="Q44" s="182">
        <v>45939</v>
      </c>
    </row>
    <row r="45" spans="1:17" ht="14.1" customHeight="1">
      <c r="A45" s="2">
        <v>337</v>
      </c>
      <c r="B45" s="181">
        <v>9963</v>
      </c>
      <c r="C45" s="181" t="s">
        <v>1030</v>
      </c>
      <c r="D45" s="181" t="s">
        <v>2828</v>
      </c>
      <c r="E45" s="181"/>
      <c r="F45" s="181"/>
      <c r="G45" s="181" t="s">
        <v>2615</v>
      </c>
      <c r="H45" s="181">
        <v>62019716</v>
      </c>
      <c r="I45" s="181" t="s">
        <v>34</v>
      </c>
      <c r="J45" s="181" t="s">
        <v>1178</v>
      </c>
      <c r="K45" s="182">
        <v>44508</v>
      </c>
      <c r="L45" s="181">
        <v>650000</v>
      </c>
      <c r="M45" s="181">
        <v>2586.415</v>
      </c>
      <c r="N45" s="181">
        <v>178652.69</v>
      </c>
      <c r="O45" s="190">
        <v>710.87691877899999</v>
      </c>
      <c r="P45" s="183">
        <v>0.27485029230769231</v>
      </c>
      <c r="Q45" s="182">
        <v>47066</v>
      </c>
    </row>
    <row r="46" spans="1:17" ht="14.1" customHeight="1">
      <c r="A46" s="2">
        <v>337</v>
      </c>
      <c r="B46" s="181">
        <v>9963</v>
      </c>
      <c r="C46" s="181" t="s">
        <v>1030</v>
      </c>
      <c r="D46" s="181" t="s">
        <v>2829</v>
      </c>
      <c r="E46" s="181"/>
      <c r="F46" s="181"/>
      <c r="G46" s="181" t="s">
        <v>2617</v>
      </c>
      <c r="H46" s="181">
        <v>62018965</v>
      </c>
      <c r="I46" s="181" t="s">
        <v>34</v>
      </c>
      <c r="J46" s="181" t="s">
        <v>78</v>
      </c>
      <c r="K46" s="182">
        <v>44431</v>
      </c>
      <c r="L46" s="181">
        <v>800000</v>
      </c>
      <c r="M46" s="181">
        <v>2944.8</v>
      </c>
      <c r="N46" s="181">
        <v>224000</v>
      </c>
      <c r="O46" s="190">
        <v>824.54399999999998</v>
      </c>
      <c r="P46" s="183">
        <v>0.27999999999999997</v>
      </c>
      <c r="Q46" s="182">
        <v>46023</v>
      </c>
    </row>
    <row r="47" spans="1:17" ht="14.1" customHeight="1">
      <c r="A47" s="2">
        <v>337</v>
      </c>
      <c r="B47" s="181">
        <v>9963</v>
      </c>
      <c r="C47" s="181" t="s">
        <v>1030</v>
      </c>
      <c r="D47" s="181" t="s">
        <v>2830</v>
      </c>
      <c r="E47" s="181"/>
      <c r="F47" s="181"/>
      <c r="G47" s="181" t="s">
        <v>2619</v>
      </c>
      <c r="H47" s="181">
        <v>62018098</v>
      </c>
      <c r="I47" s="181" t="s">
        <v>34</v>
      </c>
      <c r="J47" s="181" t="s">
        <v>78</v>
      </c>
      <c r="K47" s="182"/>
      <c r="L47" s="181">
        <v>850000</v>
      </c>
      <c r="M47" s="181">
        <v>3128.85</v>
      </c>
      <c r="N47" s="181">
        <v>114186.09999999998</v>
      </c>
      <c r="O47" s="190">
        <v>420.31903409999995</v>
      </c>
      <c r="P47" s="183">
        <v>0.1343365882352941</v>
      </c>
      <c r="Q47" s="182"/>
    </row>
    <row r="48" spans="1:17" ht="14.1" customHeight="1">
      <c r="A48" s="2">
        <v>337</v>
      </c>
      <c r="B48" s="181">
        <v>9963</v>
      </c>
      <c r="C48" s="181" t="s">
        <v>1028</v>
      </c>
      <c r="D48" s="181" t="s">
        <v>2831</v>
      </c>
      <c r="E48" s="181"/>
      <c r="F48" s="181"/>
      <c r="G48" s="181" t="s">
        <v>2621</v>
      </c>
      <c r="H48" s="181">
        <v>62020938</v>
      </c>
      <c r="I48" s="181" t="s">
        <v>34</v>
      </c>
      <c r="J48" s="181" t="s">
        <v>78</v>
      </c>
      <c r="K48" s="182">
        <v>44858</v>
      </c>
      <c r="L48" s="181">
        <v>536911</v>
      </c>
      <c r="M48" s="181">
        <v>1976.369391</v>
      </c>
      <c r="N48" s="181">
        <v>362284</v>
      </c>
      <c r="O48" s="190">
        <v>1333.5674040000001</v>
      </c>
      <c r="P48" s="183">
        <v>0.674756151391944</v>
      </c>
      <c r="Q48" s="182">
        <v>47026</v>
      </c>
    </row>
    <row r="49" spans="1:17" ht="14.1" customHeight="1">
      <c r="A49" s="2">
        <v>337</v>
      </c>
      <c r="B49" s="181">
        <v>9963</v>
      </c>
      <c r="C49" s="181" t="s">
        <v>1030</v>
      </c>
      <c r="D49" s="181" t="s">
        <v>2832</v>
      </c>
      <c r="E49" s="181"/>
      <c r="F49" s="181"/>
      <c r="G49" s="181" t="s">
        <v>2833</v>
      </c>
      <c r="H49" s="181">
        <v>62020284</v>
      </c>
      <c r="I49" s="181" t="s">
        <v>34</v>
      </c>
      <c r="J49" s="181" t="s">
        <v>78</v>
      </c>
      <c r="K49" s="182">
        <v>44620</v>
      </c>
      <c r="L49" s="181">
        <v>750000</v>
      </c>
      <c r="M49" s="181">
        <v>2760.75</v>
      </c>
      <c r="N49" s="181">
        <v>485625</v>
      </c>
      <c r="O49" s="190">
        <v>1787.5856249999999</v>
      </c>
      <c r="P49" s="183">
        <v>0.64749999999999996</v>
      </c>
      <c r="Q49" s="182">
        <v>46739</v>
      </c>
    </row>
    <row r="50" spans="1:17" ht="14.1" customHeight="1">
      <c r="A50" s="2">
        <v>337</v>
      </c>
      <c r="B50" s="181">
        <v>9963</v>
      </c>
      <c r="C50" s="181" t="s">
        <v>1029</v>
      </c>
      <c r="D50" s="181" t="s">
        <v>2834</v>
      </c>
      <c r="E50" s="181"/>
      <c r="F50" s="181"/>
      <c r="G50" s="181" t="s">
        <v>2835</v>
      </c>
      <c r="H50" s="181">
        <v>50000868</v>
      </c>
      <c r="I50" s="181" t="s">
        <v>34</v>
      </c>
      <c r="J50" s="181" t="s">
        <v>35</v>
      </c>
      <c r="K50" s="182"/>
      <c r="L50" s="181">
        <v>4800000</v>
      </c>
      <c r="M50" s="181">
        <v>4800</v>
      </c>
      <c r="N50" s="181">
        <v>1588487</v>
      </c>
      <c r="O50" s="190">
        <v>1588.4870000000001</v>
      </c>
      <c r="P50" s="183">
        <v>0.33093479166666667</v>
      </c>
      <c r="Q50" s="182">
        <v>46721</v>
      </c>
    </row>
    <row r="51" spans="1:17" ht="14.1" customHeight="1">
      <c r="A51" s="2">
        <v>337</v>
      </c>
      <c r="B51" s="181">
        <v>9963</v>
      </c>
      <c r="C51" s="181" t="s">
        <v>1025</v>
      </c>
      <c r="D51" s="181" t="s">
        <v>2836</v>
      </c>
      <c r="E51" s="181"/>
      <c r="F51" s="181"/>
      <c r="G51" s="181" t="s">
        <v>2837</v>
      </c>
      <c r="H51" s="181">
        <v>62014261</v>
      </c>
      <c r="I51" s="181" t="s">
        <v>34</v>
      </c>
      <c r="J51" s="181" t="s">
        <v>78</v>
      </c>
      <c r="K51" s="182"/>
      <c r="L51" s="181">
        <v>1750000</v>
      </c>
      <c r="M51" s="181">
        <v>6441.75</v>
      </c>
      <c r="N51" s="181">
        <v>520210</v>
      </c>
      <c r="O51" s="190">
        <v>1914.89301</v>
      </c>
      <c r="P51" s="183">
        <v>0.29726285714285716</v>
      </c>
      <c r="Q51" s="182">
        <v>47392</v>
      </c>
    </row>
    <row r="52" spans="1:17" ht="14.1" customHeight="1">
      <c r="A52" s="2">
        <v>337</v>
      </c>
      <c r="B52" s="181">
        <v>9963</v>
      </c>
      <c r="C52" s="181" t="s">
        <v>1030</v>
      </c>
      <c r="D52" s="181" t="s">
        <v>2838</v>
      </c>
      <c r="E52" s="181"/>
      <c r="F52" s="181"/>
      <c r="G52" s="181" t="s">
        <v>2517</v>
      </c>
      <c r="H52" s="181">
        <v>62020158</v>
      </c>
      <c r="I52" s="181" t="s">
        <v>34</v>
      </c>
      <c r="J52" s="181" t="s">
        <v>35</v>
      </c>
      <c r="K52" s="182">
        <v>44598</v>
      </c>
      <c r="L52" s="181">
        <v>4770559</v>
      </c>
      <c r="M52" s="181">
        <v>4770.5590000000002</v>
      </c>
      <c r="N52" s="181">
        <v>2849060</v>
      </c>
      <c r="O52" s="190">
        <v>2849.06</v>
      </c>
      <c r="P52" s="183">
        <v>0.59721722339038252</v>
      </c>
      <c r="Q52" s="182">
        <v>46284</v>
      </c>
    </row>
    <row r="53" spans="1:17" ht="14.1" customHeight="1">
      <c r="A53" s="2">
        <v>337</v>
      </c>
      <c r="B53" s="181">
        <v>9963</v>
      </c>
      <c r="C53" s="181" t="s">
        <v>1029</v>
      </c>
      <c r="D53" s="181" t="s">
        <v>2839</v>
      </c>
      <c r="E53" s="181"/>
      <c r="F53" s="181"/>
      <c r="G53" s="181" t="s">
        <v>2840</v>
      </c>
      <c r="H53" s="181">
        <v>9840688</v>
      </c>
      <c r="I53" s="181" t="s">
        <v>34</v>
      </c>
      <c r="J53" s="181" t="s">
        <v>1178</v>
      </c>
      <c r="K53" s="182"/>
      <c r="L53" s="181">
        <v>500000</v>
      </c>
      <c r="M53" s="181">
        <v>1989.55</v>
      </c>
      <c r="N53" s="181">
        <v>45000</v>
      </c>
      <c r="O53" s="190">
        <v>179.05950000000001</v>
      </c>
      <c r="P53" s="183">
        <v>9.0000000000000011E-2</v>
      </c>
      <c r="Q53" s="181">
        <v>0</v>
      </c>
    </row>
    <row r="54" spans="1:17" ht="14.1" customHeight="1">
      <c r="A54" s="2">
        <v>337</v>
      </c>
      <c r="B54" s="181">
        <v>9963</v>
      </c>
      <c r="C54" s="181" t="s">
        <v>1030</v>
      </c>
      <c r="D54" s="181" t="s">
        <v>2841</v>
      </c>
      <c r="E54" s="181"/>
      <c r="F54" s="181"/>
      <c r="G54" s="181" t="s">
        <v>2842</v>
      </c>
      <c r="H54" s="181">
        <v>62017520</v>
      </c>
      <c r="I54" s="181" t="s">
        <v>34</v>
      </c>
      <c r="J54" s="181" t="s">
        <v>78</v>
      </c>
      <c r="K54" s="182"/>
      <c r="L54" s="181">
        <v>1200000</v>
      </c>
      <c r="M54" s="181">
        <v>4417.2</v>
      </c>
      <c r="N54" s="181">
        <v>240000</v>
      </c>
      <c r="O54" s="190">
        <v>883.44</v>
      </c>
      <c r="P54" s="183">
        <v>0.2</v>
      </c>
      <c r="Q54" s="185">
        <v>46996</v>
      </c>
    </row>
    <row r="55" spans="1:17" ht="13.5" customHeight="1">
      <c r="A55" s="2">
        <v>337</v>
      </c>
      <c r="B55" s="181">
        <v>9963</v>
      </c>
      <c r="C55" s="186" t="s">
        <v>1026</v>
      </c>
      <c r="D55" s="186" t="s">
        <v>2843</v>
      </c>
      <c r="E55" s="186"/>
      <c r="F55" s="186"/>
      <c r="G55" s="187" t="s">
        <v>2844</v>
      </c>
      <c r="H55" s="181"/>
      <c r="I55" s="181" t="s">
        <v>34</v>
      </c>
      <c r="J55" s="187" t="s">
        <v>78</v>
      </c>
      <c r="K55" s="188">
        <v>45107</v>
      </c>
      <c r="L55" s="181">
        <v>850000</v>
      </c>
      <c r="M55" s="181">
        <v>3128.85</v>
      </c>
      <c r="N55" s="181">
        <v>850000</v>
      </c>
      <c r="O55" s="190">
        <v>3128.85</v>
      </c>
      <c r="P55" s="189">
        <v>1</v>
      </c>
      <c r="Q55" s="182">
        <v>47299</v>
      </c>
    </row>
    <row r="56" spans="1:17" ht="14.1" customHeight="1">
      <c r="A56" s="2">
        <v>337</v>
      </c>
      <c r="B56" s="181">
        <v>9962</v>
      </c>
      <c r="C56" s="181" t="s">
        <v>1028</v>
      </c>
      <c r="D56" s="181" t="s">
        <v>2776</v>
      </c>
      <c r="E56" s="181"/>
      <c r="F56" s="181"/>
      <c r="G56" s="181" t="s">
        <v>2494</v>
      </c>
      <c r="H56" s="181">
        <v>62019286</v>
      </c>
      <c r="I56" s="181" t="s">
        <v>34</v>
      </c>
      <c r="J56" s="181" t="s">
        <v>78</v>
      </c>
      <c r="K56" s="182">
        <v>44441</v>
      </c>
      <c r="L56" s="181">
        <v>20000</v>
      </c>
      <c r="M56" s="181">
        <v>73.62</v>
      </c>
      <c r="N56" s="181">
        <v>9443</v>
      </c>
      <c r="O56" s="190">
        <v>34.759682999999995</v>
      </c>
      <c r="P56" s="183">
        <v>0.47213474736842109</v>
      </c>
      <c r="Q56" s="182">
        <v>45987</v>
      </c>
    </row>
    <row r="57" spans="1:17" ht="14.1" customHeight="1">
      <c r="A57" s="2">
        <v>337</v>
      </c>
      <c r="B57" s="181">
        <v>9964</v>
      </c>
      <c r="C57" s="181" t="s">
        <v>1028</v>
      </c>
      <c r="D57" s="181" t="s">
        <v>2776</v>
      </c>
      <c r="E57" s="181"/>
      <c r="F57" s="181"/>
      <c r="G57" s="181" t="s">
        <v>2494</v>
      </c>
      <c r="H57" s="181">
        <v>62019286</v>
      </c>
      <c r="I57" s="181" t="s">
        <v>34</v>
      </c>
      <c r="J57" s="181" t="s">
        <v>78</v>
      </c>
      <c r="K57" s="182">
        <v>44441</v>
      </c>
      <c r="L57" s="181">
        <v>30000</v>
      </c>
      <c r="M57" s="181">
        <v>110.43</v>
      </c>
      <c r="N57" s="181">
        <v>14164</v>
      </c>
      <c r="O57" s="190">
        <v>52.137684</v>
      </c>
      <c r="P57" s="183">
        <v>0.47213474736842109</v>
      </c>
      <c r="Q57" s="182">
        <v>45987</v>
      </c>
    </row>
  </sheetData>
  <sheetProtection formatColumns="0"/>
  <dataConsolidate/>
  <dataValidations count="2">
    <dataValidation type="list" allowBlank="1" showInputMessage="1" showErrorMessage="1" sqref="F2:F20 F29" xr:uid="{00000000-0002-0000-1E00-000000000000}">
      <formula1>Issuer_Number_Fund</formula1>
    </dataValidation>
    <dataValidation type="list" allowBlank="1" showInputMessage="1" showErrorMessage="1" sqref="I2:I57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202</v>
      </c>
      <c r="B1" s="53" t="s">
        <v>203</v>
      </c>
      <c r="C1" s="53" t="s">
        <v>204</v>
      </c>
      <c r="D1" s="53" t="s">
        <v>205</v>
      </c>
    </row>
    <row r="2" spans="1:5">
      <c r="A2" s="88"/>
      <c r="B2" s="88" t="s">
        <v>206</v>
      </c>
      <c r="C2" s="24" t="s">
        <v>31</v>
      </c>
      <c r="D2" s="24"/>
    </row>
    <row r="3" spans="1:5">
      <c r="A3" s="89"/>
      <c r="B3" s="89"/>
      <c r="C3" s="24" t="s">
        <v>73</v>
      </c>
      <c r="D3" s="24"/>
    </row>
    <row r="4" spans="1:5" ht="42.75">
      <c r="A4" s="81"/>
      <c r="B4" s="102" t="s">
        <v>207</v>
      </c>
      <c r="C4" s="25" t="s">
        <v>31</v>
      </c>
      <c r="D4" s="25"/>
    </row>
    <row r="5" spans="1:5">
      <c r="A5" s="82"/>
      <c r="B5" s="103"/>
      <c r="C5" s="25" t="s">
        <v>208</v>
      </c>
      <c r="D5" s="25"/>
    </row>
    <row r="6" spans="1:5">
      <c r="A6" s="82"/>
      <c r="B6" s="103"/>
      <c r="C6" s="25" t="s">
        <v>209</v>
      </c>
      <c r="D6" s="25"/>
    </row>
    <row r="7" spans="1:5">
      <c r="A7" s="82"/>
      <c r="B7" s="103"/>
      <c r="C7" s="25" t="s">
        <v>210</v>
      </c>
      <c r="D7" s="25"/>
    </row>
    <row r="8" spans="1:5">
      <c r="A8" s="82"/>
      <c r="B8" s="103"/>
      <c r="C8" s="25" t="s">
        <v>211</v>
      </c>
      <c r="D8" s="25"/>
    </row>
    <row r="9" spans="1:5">
      <c r="A9" s="82"/>
      <c r="B9" s="103"/>
      <c r="C9" s="25" t="s">
        <v>212</v>
      </c>
      <c r="D9" s="25"/>
    </row>
    <row r="10" spans="1:5">
      <c r="A10" s="82"/>
      <c r="B10" s="103"/>
      <c r="C10" s="25" t="s">
        <v>213</v>
      </c>
      <c r="D10" s="25"/>
    </row>
    <row r="11" spans="1:5">
      <c r="A11" s="82"/>
      <c r="B11" s="103"/>
      <c r="C11" s="25" t="s">
        <v>214</v>
      </c>
      <c r="D11" s="25"/>
      <c r="E11" t="s">
        <v>215</v>
      </c>
    </row>
    <row r="12" spans="1:5">
      <c r="A12" s="82"/>
      <c r="B12" s="103"/>
      <c r="C12" s="25" t="s">
        <v>216</v>
      </c>
      <c r="D12" s="25"/>
      <c r="E12" t="s">
        <v>215</v>
      </c>
    </row>
    <row r="13" spans="1:5">
      <c r="A13" s="82"/>
      <c r="B13" s="103"/>
      <c r="C13" s="25" t="s">
        <v>217</v>
      </c>
      <c r="D13" s="25"/>
    </row>
    <row r="14" spans="1:5">
      <c r="A14" s="82"/>
      <c r="B14" s="103"/>
      <c r="C14" s="25" t="s">
        <v>218</v>
      </c>
      <c r="D14" s="25"/>
    </row>
    <row r="15" spans="1:5">
      <c r="A15" s="82"/>
      <c r="B15" s="103"/>
      <c r="C15" s="25" t="s">
        <v>219</v>
      </c>
      <c r="D15" s="25"/>
    </row>
    <row r="16" spans="1:5">
      <c r="A16" s="82"/>
      <c r="B16" s="103"/>
      <c r="C16" s="25" t="s">
        <v>220</v>
      </c>
      <c r="D16" s="25"/>
    </row>
    <row r="17" spans="1:4">
      <c r="A17" s="82"/>
      <c r="B17" s="103"/>
      <c r="C17" s="25" t="s">
        <v>221</v>
      </c>
      <c r="D17" s="25"/>
    </row>
    <row r="18" spans="1:4">
      <c r="A18" s="82"/>
      <c r="B18" s="103"/>
      <c r="C18" s="25" t="s">
        <v>222</v>
      </c>
      <c r="D18" s="25"/>
    </row>
    <row r="19" spans="1:4">
      <c r="A19" s="82"/>
      <c r="B19" s="103"/>
      <c r="C19" s="25" t="s">
        <v>223</v>
      </c>
      <c r="D19" s="25"/>
    </row>
    <row r="20" spans="1:4">
      <c r="A20" s="82"/>
      <c r="B20" s="103"/>
      <c r="C20" s="25" t="s">
        <v>224</v>
      </c>
      <c r="D20" s="25"/>
    </row>
    <row r="21" spans="1:4">
      <c r="A21" s="82"/>
      <c r="B21" s="103"/>
      <c r="C21" s="25" t="s">
        <v>74</v>
      </c>
      <c r="D21" s="25"/>
    </row>
    <row r="22" spans="1:4">
      <c r="A22" s="82"/>
      <c r="B22" s="103"/>
      <c r="C22" s="25" t="s">
        <v>225</v>
      </c>
      <c r="D22" s="25"/>
    </row>
    <row r="23" spans="1:4">
      <c r="A23" s="82"/>
      <c r="B23" s="103"/>
      <c r="C23" s="25" t="s">
        <v>226</v>
      </c>
      <c r="D23" s="25"/>
    </row>
    <row r="24" spans="1:4">
      <c r="A24" s="82"/>
      <c r="B24" s="103"/>
      <c r="C24" s="25" t="s">
        <v>227</v>
      </c>
      <c r="D24" s="25"/>
    </row>
    <row r="25" spans="1:4">
      <c r="A25" s="82"/>
      <c r="B25" s="103"/>
      <c r="C25" s="25" t="s">
        <v>228</v>
      </c>
      <c r="D25" s="25"/>
    </row>
    <row r="26" spans="1:4">
      <c r="A26" s="82"/>
      <c r="B26" s="103"/>
      <c r="C26" s="25" t="s">
        <v>229</v>
      </c>
      <c r="D26" s="25"/>
    </row>
    <row r="27" spans="1:4">
      <c r="A27" s="82"/>
      <c r="B27" s="103"/>
      <c r="C27" s="25" t="s">
        <v>230</v>
      </c>
      <c r="D27" s="25"/>
    </row>
    <row r="28" spans="1:4">
      <c r="A28" s="82"/>
      <c r="B28" s="103"/>
      <c r="C28" s="25" t="s">
        <v>231</v>
      </c>
      <c r="D28" s="25"/>
    </row>
    <row r="29" spans="1:4">
      <c r="A29" s="82"/>
      <c r="B29" s="103"/>
      <c r="C29" s="25" t="s">
        <v>232</v>
      </c>
      <c r="D29" s="25"/>
    </row>
    <row r="30" spans="1:4">
      <c r="A30" s="82"/>
      <c r="B30" s="103"/>
      <c r="C30" s="25" t="s">
        <v>233</v>
      </c>
      <c r="D30" s="25"/>
    </row>
    <row r="31" spans="1:4">
      <c r="A31" s="82"/>
      <c r="B31" s="103"/>
      <c r="C31" s="25" t="s">
        <v>234</v>
      </c>
      <c r="D31" s="25"/>
    </row>
    <row r="32" spans="1:4">
      <c r="A32" s="82"/>
      <c r="B32" s="103"/>
      <c r="C32" s="25" t="s">
        <v>235</v>
      </c>
      <c r="D32" s="25"/>
    </row>
    <row r="33" spans="1:5">
      <c r="A33" s="82"/>
      <c r="B33" s="103"/>
      <c r="C33" s="25" t="s">
        <v>236</v>
      </c>
      <c r="D33" s="25"/>
    </row>
    <row r="34" spans="1:5">
      <c r="A34" s="82"/>
      <c r="B34" s="103"/>
      <c r="C34" s="25" t="s">
        <v>237</v>
      </c>
      <c r="D34" s="25"/>
    </row>
    <row r="35" spans="1:5">
      <c r="A35" s="82"/>
      <c r="B35" s="103"/>
      <c r="C35" s="25" t="s">
        <v>238</v>
      </c>
      <c r="D35" s="25"/>
    </row>
    <row r="36" spans="1:5">
      <c r="A36" s="82"/>
      <c r="B36" s="103"/>
      <c r="C36" s="25" t="s">
        <v>239</v>
      </c>
      <c r="D36" s="25"/>
      <c r="E36" t="s">
        <v>215</v>
      </c>
    </row>
    <row r="37" spans="1:5">
      <c r="A37" s="82"/>
      <c r="B37" s="103"/>
      <c r="C37" s="11" t="s">
        <v>240</v>
      </c>
      <c r="D37" s="25"/>
      <c r="E37" t="s">
        <v>215</v>
      </c>
    </row>
    <row r="38" spans="1:5">
      <c r="A38" s="82"/>
      <c r="B38" s="103"/>
      <c r="C38" s="25" t="s">
        <v>241</v>
      </c>
      <c r="D38" s="25"/>
    </row>
    <row r="39" spans="1:5">
      <c r="A39" s="82"/>
      <c r="B39" s="103"/>
      <c r="C39" s="25" t="s">
        <v>242</v>
      </c>
      <c r="D39" s="25"/>
    </row>
    <row r="40" spans="1:5">
      <c r="A40" s="82"/>
      <c r="B40" s="103"/>
      <c r="C40" s="25" t="s">
        <v>243</v>
      </c>
      <c r="D40" s="25"/>
      <c r="E40" t="s">
        <v>215</v>
      </c>
    </row>
    <row r="41" spans="1:5">
      <c r="A41" s="82"/>
      <c r="B41" s="103"/>
      <c r="C41" s="25" t="s">
        <v>244</v>
      </c>
      <c r="D41" s="25"/>
    </row>
    <row r="42" spans="1:5">
      <c r="A42" s="82"/>
      <c r="B42" s="103"/>
      <c r="C42" s="25" t="s">
        <v>245</v>
      </c>
      <c r="D42" s="25"/>
    </row>
    <row r="43" spans="1:5">
      <c r="A43" s="82"/>
      <c r="B43" s="103"/>
      <c r="C43" s="25" t="s">
        <v>246</v>
      </c>
      <c r="D43" s="25"/>
    </row>
    <row r="44" spans="1:5">
      <c r="A44" s="82"/>
      <c r="B44" s="103"/>
      <c r="C44" s="25" t="s">
        <v>247</v>
      </c>
      <c r="D44" s="25"/>
    </row>
    <row r="45" spans="1:5">
      <c r="A45" s="82"/>
      <c r="B45" s="103"/>
      <c r="C45" s="25" t="s">
        <v>248</v>
      </c>
      <c r="D45" s="25"/>
    </row>
    <row r="46" spans="1:5">
      <c r="A46" s="82"/>
      <c r="B46" s="103"/>
      <c r="C46" s="25" t="s">
        <v>249</v>
      </c>
      <c r="D46" s="25"/>
      <c r="E46" t="s">
        <v>215</v>
      </c>
    </row>
    <row r="47" spans="1:5">
      <c r="A47" s="82"/>
      <c r="B47" s="103"/>
      <c r="C47" s="25" t="s">
        <v>250</v>
      </c>
      <c r="D47" s="25"/>
    </row>
    <row r="48" spans="1:5">
      <c r="A48" s="82"/>
      <c r="B48" s="103"/>
      <c r="C48" s="25" t="s">
        <v>251</v>
      </c>
      <c r="D48" s="25"/>
    </row>
    <row r="49" spans="1:5">
      <c r="A49" s="82"/>
      <c r="B49" s="103"/>
      <c r="C49" s="25" t="s">
        <v>252</v>
      </c>
      <c r="D49" s="25"/>
    </row>
    <row r="50" spans="1:5">
      <c r="A50" s="82"/>
      <c r="B50" s="103"/>
      <c r="C50" s="25" t="s">
        <v>253</v>
      </c>
      <c r="D50" s="25"/>
    </row>
    <row r="51" spans="1:5">
      <c r="A51" s="82"/>
      <c r="B51" s="103"/>
      <c r="C51" s="25" t="s">
        <v>254</v>
      </c>
      <c r="D51" s="25"/>
    </row>
    <row r="52" spans="1:5">
      <c r="A52" s="82"/>
      <c r="B52" s="103"/>
      <c r="C52" s="25" t="s">
        <v>255</v>
      </c>
      <c r="D52" s="25"/>
    </row>
    <row r="53" spans="1:5">
      <c r="A53" s="82"/>
      <c r="B53" s="103"/>
      <c r="C53" s="25" t="s">
        <v>256</v>
      </c>
      <c r="D53" s="25"/>
    </row>
    <row r="54" spans="1:5">
      <c r="A54" s="82"/>
      <c r="B54" s="103"/>
      <c r="C54" s="25" t="s">
        <v>257</v>
      </c>
      <c r="D54" s="25"/>
    </row>
    <row r="55" spans="1:5">
      <c r="A55" s="82"/>
      <c r="B55" s="103"/>
      <c r="C55" s="25" t="s">
        <v>258</v>
      </c>
      <c r="D55" s="25"/>
    </row>
    <row r="56" spans="1:5">
      <c r="A56" s="82"/>
      <c r="B56" s="103"/>
      <c r="C56" s="25" t="s">
        <v>259</v>
      </c>
      <c r="D56" s="25"/>
    </row>
    <row r="57" spans="1:5">
      <c r="A57" s="82"/>
      <c r="B57" s="103"/>
      <c r="C57" s="25" t="s">
        <v>260</v>
      </c>
      <c r="D57" s="25"/>
    </row>
    <row r="58" spans="1:5">
      <c r="A58" s="82"/>
      <c r="B58" s="103"/>
      <c r="C58" s="25" t="s">
        <v>261</v>
      </c>
      <c r="D58" s="25"/>
    </row>
    <row r="59" spans="1:5">
      <c r="A59" s="82"/>
      <c r="B59" s="103"/>
      <c r="C59" s="25" t="s">
        <v>262</v>
      </c>
      <c r="D59" s="25"/>
    </row>
    <row r="60" spans="1:5">
      <c r="A60" s="82"/>
      <c r="B60" s="103"/>
      <c r="C60" s="25" t="s">
        <v>263</v>
      </c>
      <c r="D60" s="25"/>
    </row>
    <row r="61" spans="1:5">
      <c r="A61" s="82"/>
      <c r="B61" s="103"/>
      <c r="C61" s="25" t="s">
        <v>264</v>
      </c>
      <c r="D61" s="25"/>
    </row>
    <row r="62" spans="1:5">
      <c r="A62" s="82"/>
      <c r="B62" s="103"/>
      <c r="C62" s="25" t="s">
        <v>265</v>
      </c>
      <c r="D62" s="25"/>
    </row>
    <row r="63" spans="1:5">
      <c r="A63" s="82"/>
      <c r="B63" s="103"/>
      <c r="C63" s="25" t="s">
        <v>266</v>
      </c>
      <c r="D63" s="25"/>
      <c r="E63" t="s">
        <v>215</v>
      </c>
    </row>
    <row r="64" spans="1:5">
      <c r="A64" s="82"/>
      <c r="B64" s="103"/>
      <c r="C64" s="25" t="s">
        <v>267</v>
      </c>
      <c r="D64" s="25"/>
    </row>
    <row r="65" spans="1:4">
      <c r="A65" s="82"/>
      <c r="B65" s="103"/>
      <c r="C65" s="25" t="s">
        <v>268</v>
      </c>
      <c r="D65" s="25"/>
    </row>
    <row r="66" spans="1:4">
      <c r="A66" s="82"/>
      <c r="B66" s="103"/>
      <c r="C66" s="25" t="s">
        <v>269</v>
      </c>
      <c r="D66" s="25"/>
    </row>
    <row r="67" spans="1:4">
      <c r="A67" s="82"/>
      <c r="B67" s="103"/>
      <c r="C67" s="25" t="s">
        <v>270</v>
      </c>
      <c r="D67" s="25"/>
    </row>
    <row r="68" spans="1:4">
      <c r="A68" s="82"/>
      <c r="B68" s="103"/>
      <c r="C68" s="25" t="s">
        <v>271</v>
      </c>
      <c r="D68" s="25"/>
    </row>
    <row r="69" spans="1:4">
      <c r="A69" s="82"/>
      <c r="B69" s="103"/>
      <c r="C69" s="25" t="s">
        <v>272</v>
      </c>
      <c r="D69" s="25"/>
    </row>
    <row r="70" spans="1:4">
      <c r="A70" s="82"/>
      <c r="B70" s="103"/>
      <c r="C70" s="25" t="s">
        <v>273</v>
      </c>
      <c r="D70" s="25"/>
    </row>
    <row r="71" spans="1:4">
      <c r="A71" s="82"/>
      <c r="B71" s="103"/>
      <c r="C71" s="25" t="s">
        <v>274</v>
      </c>
      <c r="D71" s="25"/>
    </row>
    <row r="72" spans="1:4">
      <c r="A72" s="82"/>
      <c r="B72" s="103"/>
      <c r="C72" s="25" t="s">
        <v>275</v>
      </c>
      <c r="D72" s="25"/>
    </row>
    <row r="73" spans="1:4">
      <c r="A73" s="82"/>
      <c r="B73" s="103"/>
      <c r="C73" s="25" t="s">
        <v>276</v>
      </c>
      <c r="D73" s="25"/>
    </row>
    <row r="74" spans="1:4">
      <c r="A74" s="82"/>
      <c r="B74" s="103"/>
      <c r="C74" s="25" t="s">
        <v>277</v>
      </c>
      <c r="D74" s="25"/>
    </row>
    <row r="75" spans="1:4">
      <c r="A75" s="82"/>
      <c r="B75" s="103"/>
      <c r="C75" s="25" t="s">
        <v>278</v>
      </c>
      <c r="D75" s="25"/>
    </row>
    <row r="76" spans="1:4">
      <c r="A76" s="82"/>
      <c r="B76" s="103"/>
      <c r="C76" s="25" t="s">
        <v>279</v>
      </c>
      <c r="D76" s="25"/>
    </row>
    <row r="77" spans="1:4">
      <c r="A77" s="82"/>
      <c r="B77" s="103"/>
      <c r="C77" s="25" t="s">
        <v>280</v>
      </c>
      <c r="D77" s="25"/>
    </row>
    <row r="78" spans="1:4">
      <c r="A78" s="82"/>
      <c r="B78" s="103"/>
      <c r="C78" s="25" t="s">
        <v>281</v>
      </c>
      <c r="D78" s="25"/>
    </row>
    <row r="79" spans="1:4">
      <c r="A79" s="82"/>
      <c r="B79" s="103"/>
      <c r="C79" s="25" t="s">
        <v>282</v>
      </c>
      <c r="D79" s="25"/>
    </row>
    <row r="80" spans="1:4">
      <c r="A80" s="82"/>
      <c r="B80" s="103"/>
      <c r="C80" s="25" t="s">
        <v>283</v>
      </c>
      <c r="D80" s="25"/>
    </row>
    <row r="81" spans="1:5">
      <c r="A81" s="82"/>
      <c r="B81" s="103"/>
      <c r="C81" s="25" t="s">
        <v>284</v>
      </c>
      <c r="D81" s="25"/>
    </row>
    <row r="82" spans="1:5">
      <c r="A82" s="82"/>
      <c r="B82" s="103"/>
      <c r="C82" s="25" t="s">
        <v>285</v>
      </c>
      <c r="D82" s="25"/>
    </row>
    <row r="83" spans="1:5">
      <c r="A83" s="82"/>
      <c r="B83" s="103"/>
      <c r="C83" s="25" t="s">
        <v>286</v>
      </c>
      <c r="D83" s="25"/>
    </row>
    <row r="84" spans="1:5">
      <c r="A84" s="82"/>
      <c r="B84" s="103"/>
      <c r="C84" s="25" t="s">
        <v>287</v>
      </c>
      <c r="D84" s="25"/>
    </row>
    <row r="85" spans="1:5">
      <c r="A85" s="82"/>
      <c r="B85" s="103"/>
      <c r="C85" s="25" t="s">
        <v>288</v>
      </c>
      <c r="D85" s="25"/>
    </row>
    <row r="86" spans="1:5">
      <c r="A86" s="82"/>
      <c r="B86" s="103"/>
      <c r="C86" s="25" t="s">
        <v>289</v>
      </c>
      <c r="D86" s="25"/>
    </row>
    <row r="87" spans="1:5">
      <c r="A87" s="82"/>
      <c r="B87" s="103"/>
      <c r="C87" s="25" t="s">
        <v>290</v>
      </c>
      <c r="D87" s="25"/>
    </row>
    <row r="88" spans="1:5">
      <c r="A88" s="82"/>
      <c r="B88" s="103"/>
      <c r="C88" s="25" t="s">
        <v>291</v>
      </c>
      <c r="D88" s="25"/>
    </row>
    <row r="89" spans="1:5">
      <c r="A89" s="82"/>
      <c r="B89" s="103"/>
      <c r="C89" s="25" t="s">
        <v>292</v>
      </c>
      <c r="D89" s="25"/>
    </row>
    <row r="90" spans="1:5">
      <c r="A90" s="82"/>
      <c r="B90" s="103"/>
      <c r="C90" s="25" t="s">
        <v>293</v>
      </c>
      <c r="D90" s="25"/>
    </row>
    <row r="91" spans="1:5">
      <c r="A91" s="82"/>
      <c r="B91" s="103"/>
      <c r="C91" s="25" t="s">
        <v>294</v>
      </c>
      <c r="D91" s="25"/>
    </row>
    <row r="92" spans="1:5">
      <c r="A92" s="82"/>
      <c r="B92" s="103"/>
      <c r="C92" s="25" t="s">
        <v>295</v>
      </c>
      <c r="D92" s="25"/>
    </row>
    <row r="93" spans="1:5">
      <c r="A93" s="82"/>
      <c r="B93" s="103"/>
      <c r="C93" s="25" t="s">
        <v>296</v>
      </c>
      <c r="D93" s="25"/>
    </row>
    <row r="94" spans="1:5">
      <c r="A94" s="82"/>
      <c r="B94" s="103"/>
      <c r="C94" s="25" t="s">
        <v>297</v>
      </c>
      <c r="D94" s="25" t="s">
        <v>298</v>
      </c>
      <c r="E94" t="s">
        <v>215</v>
      </c>
    </row>
    <row r="95" spans="1:5">
      <c r="A95" s="82"/>
      <c r="B95" s="103"/>
      <c r="C95" s="25" t="s">
        <v>299</v>
      </c>
      <c r="D95" s="25" t="s">
        <v>300</v>
      </c>
      <c r="E95" t="s">
        <v>215</v>
      </c>
    </row>
    <row r="96" spans="1:5">
      <c r="A96" s="82"/>
      <c r="B96" s="103"/>
      <c r="C96" s="25" t="s">
        <v>301</v>
      </c>
      <c r="D96" s="25" t="s">
        <v>300</v>
      </c>
      <c r="E96" t="s">
        <v>215</v>
      </c>
    </row>
    <row r="97" spans="1:5">
      <c r="A97" s="82"/>
      <c r="B97" s="103"/>
      <c r="C97" s="25" t="s">
        <v>302</v>
      </c>
      <c r="D97" s="25" t="s">
        <v>300</v>
      </c>
      <c r="E97" t="s">
        <v>215</v>
      </c>
    </row>
    <row r="98" spans="1:5">
      <c r="A98" s="82"/>
      <c r="B98" s="103"/>
      <c r="C98" s="25" t="s">
        <v>303</v>
      </c>
      <c r="D98" s="25" t="s">
        <v>300</v>
      </c>
      <c r="E98" t="s">
        <v>215</v>
      </c>
    </row>
    <row r="99" spans="1:5">
      <c r="A99" s="82"/>
      <c r="B99" s="103"/>
      <c r="C99" s="25" t="s">
        <v>304</v>
      </c>
      <c r="D99" s="25" t="s">
        <v>300</v>
      </c>
      <c r="E99" t="s">
        <v>215</v>
      </c>
    </row>
    <row r="100" spans="1:5">
      <c r="A100" s="82"/>
      <c r="B100" s="103"/>
      <c r="C100" s="25" t="s">
        <v>305</v>
      </c>
      <c r="D100" s="25" t="s">
        <v>300</v>
      </c>
      <c r="E100" t="s">
        <v>215</v>
      </c>
    </row>
    <row r="101" spans="1:5">
      <c r="A101" s="82"/>
      <c r="B101" s="103"/>
      <c r="C101" s="25" t="s">
        <v>306</v>
      </c>
      <c r="D101" s="25" t="s">
        <v>300</v>
      </c>
      <c r="E101" t="s">
        <v>215</v>
      </c>
    </row>
    <row r="102" spans="1:5">
      <c r="A102" s="82"/>
      <c r="B102" s="103"/>
      <c r="C102" s="25" t="s">
        <v>307</v>
      </c>
      <c r="D102" s="25" t="s">
        <v>300</v>
      </c>
      <c r="E102" t="s">
        <v>215</v>
      </c>
    </row>
    <row r="103" spans="1:5">
      <c r="A103" s="82"/>
      <c r="B103" s="103"/>
      <c r="C103" s="25" t="s">
        <v>308</v>
      </c>
      <c r="D103" s="25" t="s">
        <v>300</v>
      </c>
      <c r="E103" t="s">
        <v>215</v>
      </c>
    </row>
    <row r="104" spans="1:5">
      <c r="A104" s="77"/>
      <c r="B104" s="77" t="s">
        <v>142</v>
      </c>
      <c r="C104" s="24" t="s">
        <v>309</v>
      </c>
      <c r="D104" s="24"/>
    </row>
    <row r="105" spans="1:5">
      <c r="A105" s="78"/>
      <c r="B105" s="78"/>
      <c r="C105" s="24" t="s">
        <v>141</v>
      </c>
      <c r="D105" s="24"/>
    </row>
    <row r="106" spans="1:5">
      <c r="A106" s="78"/>
      <c r="B106" s="78"/>
      <c r="C106" s="24" t="s">
        <v>310</v>
      </c>
      <c r="D106" s="24"/>
    </row>
    <row r="107" spans="1:5">
      <c r="A107" s="78"/>
      <c r="B107" s="78"/>
      <c r="C107" s="24" t="s">
        <v>311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312</v>
      </c>
      <c r="D109" s="24"/>
    </row>
    <row r="110" spans="1:5">
      <c r="A110" s="79"/>
      <c r="B110" s="79"/>
      <c r="C110" s="24" t="s">
        <v>164</v>
      </c>
      <c r="D110" s="24"/>
    </row>
    <row r="111" spans="1:5">
      <c r="A111" s="82"/>
      <c r="B111" s="68" t="s">
        <v>168</v>
      </c>
      <c r="C111" s="25" t="s">
        <v>309</v>
      </c>
      <c r="D111" s="25"/>
    </row>
    <row r="112" spans="1:5">
      <c r="A112" s="82"/>
      <c r="B112" s="69"/>
      <c r="C112" s="25" t="s">
        <v>313</v>
      </c>
      <c r="D112" s="25"/>
    </row>
    <row r="113" spans="1:4">
      <c r="A113" s="82"/>
      <c r="B113" s="70"/>
      <c r="C113" s="25" t="s">
        <v>314</v>
      </c>
      <c r="D113" s="25"/>
    </row>
    <row r="114" spans="1:4">
      <c r="A114" s="95"/>
      <c r="B114" s="95" t="s">
        <v>315</v>
      </c>
      <c r="C114" s="24" t="s">
        <v>309</v>
      </c>
      <c r="D114" s="24"/>
    </row>
    <row r="115" spans="1:4">
      <c r="A115" s="95"/>
      <c r="B115" s="95"/>
      <c r="C115" s="24" t="s">
        <v>310</v>
      </c>
      <c r="D115" s="24"/>
    </row>
    <row r="116" spans="1:4">
      <c r="A116" s="95"/>
      <c r="B116" s="95"/>
      <c r="C116" s="24" t="s">
        <v>311</v>
      </c>
      <c r="D116" s="24"/>
    </row>
    <row r="117" spans="1:4">
      <c r="A117" s="95"/>
      <c r="B117" s="95"/>
      <c r="C117" s="24" t="s">
        <v>312</v>
      </c>
      <c r="D117" s="24"/>
    </row>
    <row r="118" spans="1:4">
      <c r="A118" s="81"/>
      <c r="B118" s="96" t="s">
        <v>119</v>
      </c>
      <c r="C118" s="25" t="s">
        <v>309</v>
      </c>
      <c r="D118" s="25"/>
    </row>
    <row r="119" spans="1:4">
      <c r="A119" s="12"/>
      <c r="B119" s="116"/>
      <c r="C119" s="25" t="s">
        <v>316</v>
      </c>
      <c r="D119" s="25"/>
    </row>
    <row r="120" spans="1:4">
      <c r="A120" s="12"/>
      <c r="B120" s="116"/>
      <c r="C120" s="25" t="s">
        <v>311</v>
      </c>
      <c r="D120" s="25"/>
    </row>
    <row r="121" spans="1:4">
      <c r="A121" s="12"/>
      <c r="B121" s="116"/>
      <c r="C121" s="25" t="s">
        <v>34</v>
      </c>
      <c r="D121" s="25"/>
    </row>
    <row r="122" spans="1:4">
      <c r="A122" s="12"/>
      <c r="B122" s="116"/>
      <c r="C122" s="25" t="s">
        <v>310</v>
      </c>
      <c r="D122" s="25"/>
    </row>
    <row r="123" spans="1:4">
      <c r="A123" s="12"/>
      <c r="B123" s="116"/>
      <c r="C123" s="25" t="s">
        <v>317</v>
      </c>
      <c r="D123" s="25"/>
    </row>
    <row r="124" spans="1:4">
      <c r="A124" s="12"/>
      <c r="B124" s="116"/>
      <c r="C124" s="25" t="s">
        <v>318</v>
      </c>
      <c r="D124" s="25"/>
    </row>
    <row r="125" spans="1:4">
      <c r="A125" s="12"/>
      <c r="B125" s="116"/>
      <c r="C125" s="25" t="s">
        <v>312</v>
      </c>
      <c r="D125" s="25"/>
    </row>
    <row r="126" spans="1:4">
      <c r="A126" s="82"/>
      <c r="B126" s="97"/>
      <c r="C126" s="25" t="s">
        <v>164</v>
      </c>
      <c r="D126" s="25"/>
    </row>
    <row r="127" spans="1:4">
      <c r="A127" s="77"/>
      <c r="B127" s="77" t="s">
        <v>143</v>
      </c>
      <c r="C127" s="24" t="s">
        <v>319</v>
      </c>
      <c r="D127" s="24"/>
    </row>
    <row r="128" spans="1:4">
      <c r="A128" s="78"/>
      <c r="B128" s="78"/>
      <c r="C128" s="24" t="s">
        <v>320</v>
      </c>
      <c r="D128" s="24"/>
    </row>
    <row r="129" spans="1:5">
      <c r="A129" s="78"/>
      <c r="B129" s="78"/>
      <c r="C129" s="24" t="s">
        <v>321</v>
      </c>
      <c r="D129" s="24"/>
    </row>
    <row r="130" spans="1:5">
      <c r="A130" s="78"/>
      <c r="B130" s="78"/>
      <c r="C130" s="24" t="s">
        <v>322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323</v>
      </c>
      <c r="C132" s="25" t="s">
        <v>319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164</v>
      </c>
      <c r="D134" s="25"/>
    </row>
    <row r="135" spans="1:5">
      <c r="A135" s="84"/>
      <c r="B135" s="84" t="s">
        <v>324</v>
      </c>
      <c r="C135" s="24" t="s">
        <v>325</v>
      </c>
      <c r="D135" s="24"/>
    </row>
    <row r="136" spans="1:5">
      <c r="A136" s="85"/>
      <c r="B136" s="85"/>
      <c r="C136" s="24" t="s">
        <v>326</v>
      </c>
      <c r="D136" s="24"/>
      <c r="E136" t="s">
        <v>215</v>
      </c>
    </row>
    <row r="137" spans="1:5">
      <c r="A137" s="85"/>
      <c r="B137" s="85"/>
      <c r="C137" s="24" t="s">
        <v>327</v>
      </c>
      <c r="D137" s="24" t="s">
        <v>328</v>
      </c>
    </row>
    <row r="138" spans="1:5">
      <c r="A138" s="85"/>
      <c r="B138" s="85"/>
      <c r="C138" s="24" t="s">
        <v>329</v>
      </c>
      <c r="D138" s="24" t="s">
        <v>330</v>
      </c>
    </row>
    <row r="139" spans="1:5">
      <c r="A139" s="85"/>
      <c r="B139" s="85"/>
      <c r="C139" s="24" t="s">
        <v>331</v>
      </c>
      <c r="D139" s="24"/>
    </row>
    <row r="140" spans="1:5">
      <c r="A140" s="85"/>
      <c r="B140" s="85"/>
      <c r="C140" s="24" t="s">
        <v>332</v>
      </c>
      <c r="D140" s="24"/>
    </row>
    <row r="141" spans="1:5">
      <c r="A141" s="85"/>
      <c r="B141" s="85"/>
      <c r="C141" s="24" t="s">
        <v>333</v>
      </c>
      <c r="D141" s="24"/>
    </row>
    <row r="142" spans="1:5">
      <c r="A142" s="85"/>
      <c r="B142" s="85"/>
      <c r="C142" s="24" t="s">
        <v>334</v>
      </c>
      <c r="D142" s="24"/>
    </row>
    <row r="143" spans="1:5">
      <c r="A143" s="85"/>
      <c r="B143" s="85"/>
      <c r="C143" s="24" t="s">
        <v>335</v>
      </c>
      <c r="D143" s="24"/>
    </row>
    <row r="144" spans="1:5">
      <c r="A144" s="85"/>
      <c r="B144" s="85"/>
      <c r="C144" s="24" t="s">
        <v>336</v>
      </c>
      <c r="D144" s="24"/>
    </row>
    <row r="145" spans="1:4">
      <c r="A145" s="85"/>
      <c r="B145" s="85"/>
      <c r="C145" s="24" t="s">
        <v>164</v>
      </c>
      <c r="D145" s="24"/>
    </row>
    <row r="146" spans="1:4">
      <c r="A146" s="81"/>
      <c r="B146" s="74" t="s">
        <v>337</v>
      </c>
      <c r="C146" s="25" t="s">
        <v>338</v>
      </c>
      <c r="D146" s="25"/>
    </row>
    <row r="147" spans="1:4">
      <c r="A147" s="83"/>
      <c r="B147" s="76"/>
      <c r="C147" s="25" t="s">
        <v>136</v>
      </c>
      <c r="D147" s="25"/>
    </row>
    <row r="148" spans="1:4">
      <c r="A148" s="63"/>
      <c r="B148" s="115" t="s">
        <v>8</v>
      </c>
      <c r="C148" s="24" t="s">
        <v>40</v>
      </c>
      <c r="D148" s="24" t="s">
        <v>339</v>
      </c>
    </row>
    <row r="149" spans="1:4">
      <c r="A149" s="64"/>
      <c r="B149" s="64"/>
      <c r="C149" s="24" t="s">
        <v>340</v>
      </c>
      <c r="D149" s="24" t="s">
        <v>341</v>
      </c>
    </row>
    <row r="150" spans="1:4">
      <c r="A150" s="64"/>
      <c r="B150" s="64"/>
      <c r="C150" s="24" t="s">
        <v>342</v>
      </c>
      <c r="D150" s="24" t="s">
        <v>343</v>
      </c>
    </row>
    <row r="151" spans="1:4">
      <c r="A151" s="64"/>
      <c r="B151" s="64"/>
      <c r="C151" s="24" t="s">
        <v>344</v>
      </c>
      <c r="D151" s="24" t="s">
        <v>345</v>
      </c>
    </row>
    <row r="152" spans="1:4">
      <c r="A152" s="64"/>
      <c r="B152" s="64"/>
      <c r="C152" s="24" t="s">
        <v>346</v>
      </c>
      <c r="D152" s="24" t="s">
        <v>347</v>
      </c>
    </row>
    <row r="153" spans="1:4">
      <c r="A153" s="64"/>
      <c r="B153" s="64"/>
      <c r="C153" s="24" t="s">
        <v>348</v>
      </c>
      <c r="D153" s="24" t="s">
        <v>349</v>
      </c>
    </row>
    <row r="154" spans="1:4">
      <c r="A154" s="64"/>
      <c r="B154" s="64"/>
      <c r="C154" s="24" t="s">
        <v>350</v>
      </c>
      <c r="D154" s="24" t="s">
        <v>351</v>
      </c>
    </row>
    <row r="155" spans="1:4">
      <c r="A155" s="64"/>
      <c r="B155" s="64"/>
      <c r="C155" s="24" t="s">
        <v>352</v>
      </c>
      <c r="D155" s="24" t="s">
        <v>353</v>
      </c>
    </row>
    <row r="156" spans="1:4">
      <c r="A156" s="64"/>
      <c r="B156" s="64"/>
      <c r="C156" s="24" t="s">
        <v>354</v>
      </c>
      <c r="D156" s="24" t="s">
        <v>355</v>
      </c>
    </row>
    <row r="157" spans="1:4">
      <c r="A157" s="64"/>
      <c r="B157" s="64"/>
      <c r="C157" s="24" t="s">
        <v>356</v>
      </c>
      <c r="D157" s="24" t="s">
        <v>357</v>
      </c>
    </row>
    <row r="158" spans="1:4">
      <c r="A158" s="64"/>
      <c r="B158" s="64"/>
      <c r="C158" s="24" t="s">
        <v>358</v>
      </c>
      <c r="D158" s="24" t="s">
        <v>359</v>
      </c>
    </row>
    <row r="159" spans="1:4">
      <c r="A159" s="64"/>
      <c r="B159" s="64"/>
      <c r="C159" s="24" t="s">
        <v>360</v>
      </c>
      <c r="D159" s="24" t="s">
        <v>361</v>
      </c>
    </row>
    <row r="160" spans="1:4">
      <c r="A160" s="64"/>
      <c r="B160" s="64"/>
      <c r="C160" s="24" t="s">
        <v>362</v>
      </c>
      <c r="D160" s="24" t="s">
        <v>363</v>
      </c>
    </row>
    <row r="161" spans="1:4">
      <c r="A161" s="64"/>
      <c r="B161" s="64"/>
      <c r="C161" s="24" t="s">
        <v>364</v>
      </c>
      <c r="D161" s="24" t="s">
        <v>365</v>
      </c>
    </row>
    <row r="162" spans="1:4">
      <c r="A162" s="64"/>
      <c r="B162" s="64"/>
      <c r="C162" s="24" t="s">
        <v>366</v>
      </c>
      <c r="D162" s="24" t="s">
        <v>367</v>
      </c>
    </row>
    <row r="163" spans="1:4">
      <c r="A163" s="64"/>
      <c r="B163" s="64"/>
      <c r="C163" s="24" t="s">
        <v>368</v>
      </c>
      <c r="D163" s="24" t="s">
        <v>369</v>
      </c>
    </row>
    <row r="164" spans="1:4">
      <c r="A164" s="64"/>
      <c r="B164" s="64"/>
      <c r="C164" s="24" t="s">
        <v>370</v>
      </c>
      <c r="D164" s="24" t="s">
        <v>371</v>
      </c>
    </row>
    <row r="165" spans="1:4">
      <c r="A165" s="64"/>
      <c r="B165" s="64"/>
      <c r="C165" s="24" t="s">
        <v>372</v>
      </c>
      <c r="D165" s="24" t="s">
        <v>373</v>
      </c>
    </row>
    <row r="166" spans="1:4">
      <c r="A166" s="64"/>
      <c r="B166" s="64"/>
      <c r="C166" s="24" t="s">
        <v>374</v>
      </c>
      <c r="D166" s="24" t="s">
        <v>375</v>
      </c>
    </row>
    <row r="167" spans="1:4">
      <c r="A167" s="64"/>
      <c r="B167" s="64"/>
      <c r="C167" s="24" t="s">
        <v>376</v>
      </c>
      <c r="D167" s="24" t="s">
        <v>377</v>
      </c>
    </row>
    <row r="168" spans="1:4">
      <c r="A168" s="64"/>
      <c r="B168" s="64"/>
      <c r="C168" s="24" t="s">
        <v>378</v>
      </c>
      <c r="D168" s="24" t="s">
        <v>379</v>
      </c>
    </row>
    <row r="169" spans="1:4">
      <c r="A169" s="64"/>
      <c r="B169" s="64"/>
      <c r="C169" s="24" t="s">
        <v>380</v>
      </c>
      <c r="D169" s="24" t="s">
        <v>381</v>
      </c>
    </row>
    <row r="170" spans="1:4">
      <c r="A170" s="64"/>
      <c r="B170" s="64"/>
      <c r="C170" s="24" t="s">
        <v>382</v>
      </c>
      <c r="D170" s="24" t="s">
        <v>383</v>
      </c>
    </row>
    <row r="171" spans="1:4">
      <c r="A171" s="64"/>
      <c r="B171" s="64"/>
      <c r="C171" s="24" t="s">
        <v>384</v>
      </c>
      <c r="D171" s="24" t="s">
        <v>385</v>
      </c>
    </row>
    <row r="172" spans="1:4">
      <c r="A172" s="64"/>
      <c r="B172" s="64"/>
      <c r="C172" s="24" t="s">
        <v>386</v>
      </c>
      <c r="D172" s="24" t="s">
        <v>387</v>
      </c>
    </row>
    <row r="173" spans="1:4">
      <c r="A173" s="64"/>
      <c r="B173" s="64"/>
      <c r="C173" s="24" t="s">
        <v>388</v>
      </c>
      <c r="D173" s="24" t="s">
        <v>389</v>
      </c>
    </row>
    <row r="174" spans="1:4">
      <c r="A174" s="64"/>
      <c r="B174" s="64"/>
      <c r="C174" s="24" t="s">
        <v>390</v>
      </c>
      <c r="D174" s="24" t="s">
        <v>391</v>
      </c>
    </row>
    <row r="175" spans="1:4">
      <c r="A175" s="64"/>
      <c r="B175" s="64"/>
      <c r="C175" s="24" t="s">
        <v>392</v>
      </c>
      <c r="D175" s="24" t="s">
        <v>393</v>
      </c>
    </row>
    <row r="176" spans="1:4">
      <c r="A176" s="64"/>
      <c r="B176" s="64"/>
      <c r="C176" s="24" t="s">
        <v>394</v>
      </c>
      <c r="D176" s="24" t="s">
        <v>395</v>
      </c>
    </row>
    <row r="177" spans="1:5">
      <c r="A177" s="64"/>
      <c r="B177" s="64"/>
      <c r="C177" s="24" t="s">
        <v>396</v>
      </c>
      <c r="D177" s="24" t="s">
        <v>397</v>
      </c>
    </row>
    <row r="178" spans="1:5">
      <c r="A178" s="64"/>
      <c r="B178" s="64"/>
      <c r="C178" s="24" t="s">
        <v>398</v>
      </c>
      <c r="D178" s="24" t="s">
        <v>399</v>
      </c>
    </row>
    <row r="179" spans="1:5">
      <c r="A179" s="64"/>
      <c r="B179" s="64"/>
      <c r="C179" s="24" t="s">
        <v>400</v>
      </c>
      <c r="D179" s="24" t="s">
        <v>401</v>
      </c>
    </row>
    <row r="180" spans="1:5">
      <c r="A180" s="64"/>
      <c r="B180" s="64"/>
      <c r="C180" s="24" t="s">
        <v>402</v>
      </c>
      <c r="D180" s="24" t="s">
        <v>403</v>
      </c>
      <c r="E180" t="s">
        <v>215</v>
      </c>
    </row>
    <row r="181" spans="1:5">
      <c r="A181" s="64"/>
      <c r="B181" s="64"/>
      <c r="C181" s="24" t="s">
        <v>164</v>
      </c>
      <c r="D181" s="24" t="s">
        <v>164</v>
      </c>
    </row>
    <row r="182" spans="1:5">
      <c r="A182" s="81"/>
      <c r="B182" s="74" t="s">
        <v>404</v>
      </c>
      <c r="C182" s="56" t="s">
        <v>405</v>
      </c>
      <c r="D182" s="56"/>
    </row>
    <row r="183" spans="1:5">
      <c r="A183" s="82"/>
      <c r="B183" s="75"/>
      <c r="C183" s="56" t="s">
        <v>406</v>
      </c>
      <c r="D183" s="56"/>
    </row>
    <row r="184" spans="1:5">
      <c r="A184" s="82"/>
      <c r="B184" s="75"/>
      <c r="C184" s="56" t="s">
        <v>407</v>
      </c>
      <c r="D184" s="56"/>
    </row>
    <row r="185" spans="1:5">
      <c r="A185" s="83"/>
      <c r="B185" s="76"/>
      <c r="C185" s="57" t="s">
        <v>408</v>
      </c>
      <c r="D185" s="57"/>
    </row>
    <row r="186" spans="1:5">
      <c r="A186" s="77"/>
      <c r="B186" s="77" t="s">
        <v>409</v>
      </c>
      <c r="C186" s="55" t="s">
        <v>410</v>
      </c>
      <c r="D186" s="55"/>
    </row>
    <row r="187" spans="1:5">
      <c r="A187" s="78"/>
      <c r="B187" s="78"/>
      <c r="C187" s="55" t="s">
        <v>411</v>
      </c>
      <c r="D187" s="55"/>
    </row>
    <row r="188" spans="1:5">
      <c r="A188" s="81"/>
      <c r="B188" s="74" t="s">
        <v>10</v>
      </c>
      <c r="C188" s="57" t="s">
        <v>412</v>
      </c>
      <c r="D188" s="57" t="s">
        <v>413</v>
      </c>
    </row>
    <row r="189" spans="1:5">
      <c r="A189" s="82"/>
      <c r="B189" s="75"/>
      <c r="C189" s="57" t="s">
        <v>104</v>
      </c>
      <c r="D189" s="57" t="s">
        <v>414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415</v>
      </c>
      <c r="D191" s="57" t="s">
        <v>416</v>
      </c>
    </row>
    <row r="192" spans="1:5">
      <c r="A192" s="82"/>
      <c r="B192" s="75"/>
      <c r="C192" s="57" t="s">
        <v>417</v>
      </c>
      <c r="D192" s="57" t="s">
        <v>418</v>
      </c>
    </row>
    <row r="193" spans="1:4">
      <c r="A193" s="82"/>
      <c r="B193" s="75"/>
      <c r="C193" s="57" t="s">
        <v>419</v>
      </c>
      <c r="D193" s="57" t="s">
        <v>420</v>
      </c>
    </row>
    <row r="194" spans="1:4">
      <c r="A194" s="82"/>
      <c r="B194" s="75"/>
      <c r="C194" s="57" t="s">
        <v>421</v>
      </c>
      <c r="D194" s="57" t="s">
        <v>422</v>
      </c>
    </row>
    <row r="195" spans="1:4">
      <c r="A195" s="82"/>
      <c r="B195" s="75"/>
      <c r="C195" s="57" t="s">
        <v>423</v>
      </c>
      <c r="D195" s="57" t="s">
        <v>424</v>
      </c>
    </row>
    <row r="196" spans="1:4">
      <c r="A196" s="82"/>
      <c r="B196" s="75"/>
      <c r="C196" s="57" t="s">
        <v>425</v>
      </c>
      <c r="D196" s="57" t="s">
        <v>426</v>
      </c>
    </row>
    <row r="197" spans="1:4">
      <c r="A197" s="82"/>
      <c r="B197" s="75"/>
      <c r="C197" s="57" t="s">
        <v>427</v>
      </c>
      <c r="D197" s="57" t="s">
        <v>428</v>
      </c>
    </row>
    <row r="198" spans="1:4">
      <c r="A198" s="82"/>
      <c r="B198" s="75"/>
      <c r="C198" s="57" t="s">
        <v>77</v>
      </c>
      <c r="D198" s="57" t="s">
        <v>429</v>
      </c>
    </row>
    <row r="199" spans="1:4">
      <c r="A199" s="82"/>
      <c r="B199" s="75"/>
      <c r="C199" s="57" t="s">
        <v>430</v>
      </c>
      <c r="D199" s="57" t="s">
        <v>431</v>
      </c>
    </row>
    <row r="200" spans="1:4">
      <c r="A200" s="82"/>
      <c r="B200" s="75"/>
      <c r="C200" s="57" t="s">
        <v>164</v>
      </c>
      <c r="D200" s="57" t="s">
        <v>164</v>
      </c>
    </row>
    <row r="201" spans="1:4">
      <c r="A201" s="83"/>
      <c r="B201" s="76"/>
      <c r="C201" s="57" t="s">
        <v>408</v>
      </c>
      <c r="D201" s="57" t="s">
        <v>432</v>
      </c>
    </row>
    <row r="202" spans="1:4">
      <c r="A202" s="115"/>
      <c r="B202" s="115" t="s">
        <v>144</v>
      </c>
      <c r="C202" s="24" t="s">
        <v>433</v>
      </c>
      <c r="D202" s="24"/>
    </row>
    <row r="203" spans="1:4">
      <c r="A203" s="64"/>
      <c r="B203" s="64"/>
      <c r="C203" s="24" t="s">
        <v>434</v>
      </c>
      <c r="D203" s="24"/>
    </row>
    <row r="204" spans="1:4">
      <c r="A204" s="64"/>
      <c r="B204" s="64"/>
      <c r="C204" s="24" t="s">
        <v>435</v>
      </c>
      <c r="D204" s="24"/>
    </row>
    <row r="205" spans="1:4">
      <c r="A205" s="64"/>
      <c r="B205" s="64"/>
      <c r="C205" s="24" t="s">
        <v>436</v>
      </c>
      <c r="D205" s="24"/>
    </row>
    <row r="206" spans="1:4">
      <c r="A206" s="64"/>
      <c r="B206" s="64"/>
      <c r="C206" s="24" t="s">
        <v>437</v>
      </c>
      <c r="D206" s="24"/>
    </row>
    <row r="207" spans="1:4">
      <c r="A207" s="64"/>
      <c r="B207" s="64"/>
      <c r="C207" s="24" t="s">
        <v>438</v>
      </c>
      <c r="D207" s="24"/>
    </row>
    <row r="208" spans="1:4">
      <c r="A208" s="64"/>
      <c r="B208" s="64"/>
      <c r="C208" s="24" t="s">
        <v>439</v>
      </c>
      <c r="D208" s="24"/>
    </row>
    <row r="209" spans="1:5">
      <c r="A209" s="64"/>
      <c r="B209" s="64"/>
      <c r="C209" s="24" t="s">
        <v>440</v>
      </c>
      <c r="D209" s="24"/>
    </row>
    <row r="210" spans="1:5">
      <c r="A210" s="64"/>
      <c r="B210" s="64"/>
      <c r="C210" s="24" t="s">
        <v>441</v>
      </c>
      <c r="D210" s="24"/>
    </row>
    <row r="211" spans="1:5">
      <c r="A211" s="64"/>
      <c r="B211" s="64"/>
      <c r="C211" s="24" t="s">
        <v>442</v>
      </c>
      <c r="D211" s="24"/>
    </row>
    <row r="212" spans="1:5">
      <c r="A212" s="64"/>
      <c r="B212" s="64"/>
      <c r="C212" s="24" t="s">
        <v>443</v>
      </c>
      <c r="D212" s="24"/>
    </row>
    <row r="213" spans="1:5">
      <c r="A213" s="64"/>
      <c r="B213" s="64"/>
      <c r="C213" s="24" t="s">
        <v>444</v>
      </c>
      <c r="D213" s="24"/>
    </row>
    <row r="214" spans="1:5">
      <c r="A214" s="64"/>
      <c r="B214" s="64"/>
      <c r="C214" s="24" t="s">
        <v>445</v>
      </c>
      <c r="D214" s="24"/>
    </row>
    <row r="215" spans="1:5">
      <c r="A215" s="64"/>
      <c r="B215" s="64"/>
      <c r="C215" s="24" t="s">
        <v>446</v>
      </c>
      <c r="D215" s="24"/>
    </row>
    <row r="216" spans="1:5">
      <c r="A216" s="64"/>
      <c r="B216" s="64"/>
      <c r="C216" s="24" t="s">
        <v>447</v>
      </c>
      <c r="D216" s="24"/>
    </row>
    <row r="217" spans="1:5">
      <c r="A217" s="64"/>
      <c r="B217" s="64"/>
      <c r="C217" s="24" t="s">
        <v>448</v>
      </c>
      <c r="D217" s="24"/>
    </row>
    <row r="218" spans="1:5">
      <c r="A218" s="64"/>
      <c r="B218" s="64"/>
      <c r="C218" s="24" t="s">
        <v>449</v>
      </c>
      <c r="D218" s="24" t="s">
        <v>450</v>
      </c>
      <c r="E218" t="s">
        <v>215</v>
      </c>
    </row>
    <row r="219" spans="1:5">
      <c r="A219" s="64"/>
      <c r="B219" s="64"/>
      <c r="C219" s="24" t="s">
        <v>451</v>
      </c>
      <c r="D219" s="24"/>
    </row>
    <row r="220" spans="1:5">
      <c r="A220" s="64"/>
      <c r="B220" s="64"/>
      <c r="C220" s="24" t="s">
        <v>452</v>
      </c>
      <c r="D220" s="24"/>
    </row>
    <row r="221" spans="1:5">
      <c r="A221" s="64"/>
      <c r="B221" s="64"/>
      <c r="C221" s="24" t="s">
        <v>453</v>
      </c>
      <c r="D221" s="24"/>
    </row>
    <row r="222" spans="1:5">
      <c r="A222" s="64"/>
      <c r="B222" s="64"/>
      <c r="C222" s="24" t="s">
        <v>454</v>
      </c>
      <c r="D222" s="24"/>
    </row>
    <row r="223" spans="1:5">
      <c r="A223" s="64"/>
      <c r="B223" s="64"/>
      <c r="C223" s="24" t="s">
        <v>455</v>
      </c>
      <c r="D223" s="24"/>
    </row>
    <row r="224" spans="1:5">
      <c r="A224" s="64"/>
      <c r="B224" s="64"/>
      <c r="C224" s="24" t="s">
        <v>456</v>
      </c>
      <c r="D224" s="24"/>
    </row>
    <row r="225" spans="1:4">
      <c r="A225" s="64"/>
      <c r="B225" s="64"/>
      <c r="C225" s="24" t="s">
        <v>457</v>
      </c>
      <c r="D225" s="24"/>
    </row>
    <row r="226" spans="1:4">
      <c r="A226" s="64"/>
      <c r="B226" s="64"/>
      <c r="C226" s="24" t="s">
        <v>458</v>
      </c>
      <c r="D226" s="24"/>
    </row>
    <row r="227" spans="1:4">
      <c r="A227" s="64"/>
      <c r="B227" s="64"/>
      <c r="C227" s="24" t="s">
        <v>459</v>
      </c>
      <c r="D227" s="24"/>
    </row>
    <row r="228" spans="1:4">
      <c r="A228" s="64"/>
      <c r="B228" s="64"/>
      <c r="C228" s="24" t="s">
        <v>460</v>
      </c>
      <c r="D228" s="24"/>
    </row>
    <row r="229" spans="1:4">
      <c r="A229" s="64"/>
      <c r="B229" s="64"/>
      <c r="C229" s="24" t="s">
        <v>461</v>
      </c>
      <c r="D229" s="24"/>
    </row>
    <row r="230" spans="1:4">
      <c r="A230" s="64"/>
      <c r="B230" s="64"/>
      <c r="C230" s="24" t="s">
        <v>462</v>
      </c>
      <c r="D230" s="24"/>
    </row>
    <row r="231" spans="1:4">
      <c r="A231" s="64"/>
      <c r="B231" s="64"/>
      <c r="C231" s="24" t="s">
        <v>463</v>
      </c>
      <c r="D231" s="24"/>
    </row>
    <row r="232" spans="1:4">
      <c r="A232" s="64"/>
      <c r="B232" s="64"/>
      <c r="C232" s="24" t="s">
        <v>464</v>
      </c>
      <c r="D232" s="24"/>
    </row>
    <row r="233" spans="1:4">
      <c r="A233" s="64"/>
      <c r="B233" s="64"/>
      <c r="C233" s="24" t="s">
        <v>465</v>
      </c>
      <c r="D233" s="24"/>
    </row>
    <row r="234" spans="1:4">
      <c r="A234" s="64"/>
      <c r="B234" s="64"/>
      <c r="C234" s="24" t="s">
        <v>466</v>
      </c>
      <c r="D234" s="24"/>
    </row>
    <row r="235" spans="1:4">
      <c r="A235" s="64"/>
      <c r="B235" s="64"/>
      <c r="C235" s="24" t="s">
        <v>467</v>
      </c>
      <c r="D235" s="24"/>
    </row>
    <row r="236" spans="1:4">
      <c r="A236" s="64"/>
      <c r="B236" s="64"/>
      <c r="C236" s="24" t="s">
        <v>468</v>
      </c>
      <c r="D236" s="24"/>
    </row>
    <row r="237" spans="1:4">
      <c r="A237" s="64"/>
      <c r="B237" s="64"/>
      <c r="C237" s="24" t="s">
        <v>469</v>
      </c>
      <c r="D237" s="24"/>
    </row>
    <row r="238" spans="1:4">
      <c r="A238" s="64"/>
      <c r="B238" s="64"/>
      <c r="C238" s="24" t="s">
        <v>470</v>
      </c>
      <c r="D238" s="24"/>
    </row>
    <row r="239" spans="1:4">
      <c r="A239" s="64"/>
      <c r="B239" s="64"/>
      <c r="C239" s="24" t="s">
        <v>471</v>
      </c>
      <c r="D239" s="24"/>
    </row>
    <row r="240" spans="1:4">
      <c r="A240" s="64"/>
      <c r="B240" s="64"/>
      <c r="C240" s="24" t="s">
        <v>472</v>
      </c>
      <c r="D240" s="24"/>
    </row>
    <row r="241" spans="1:4">
      <c r="A241" s="64"/>
      <c r="B241" s="64"/>
      <c r="C241" s="24" t="s">
        <v>473</v>
      </c>
      <c r="D241" s="24"/>
    </row>
    <row r="242" spans="1:4">
      <c r="A242" s="64"/>
      <c r="B242" s="64"/>
      <c r="C242" s="24" t="s">
        <v>474</v>
      </c>
      <c r="D242" s="24"/>
    </row>
    <row r="243" spans="1:4">
      <c r="A243" s="64"/>
      <c r="B243" s="64"/>
      <c r="C243" s="24" t="s">
        <v>475</v>
      </c>
      <c r="D243" s="24"/>
    </row>
    <row r="244" spans="1:4">
      <c r="A244" s="64"/>
      <c r="B244" s="64"/>
      <c r="C244" s="24" t="s">
        <v>476</v>
      </c>
      <c r="D244" s="24"/>
    </row>
    <row r="245" spans="1:4">
      <c r="A245" s="64"/>
      <c r="B245" s="64"/>
      <c r="C245" s="24" t="s">
        <v>477</v>
      </c>
      <c r="D245" s="24"/>
    </row>
    <row r="246" spans="1:4">
      <c r="A246" s="64"/>
      <c r="B246" s="64"/>
      <c r="C246" s="24" t="s">
        <v>478</v>
      </c>
      <c r="D246" s="24"/>
    </row>
    <row r="247" spans="1:4">
      <c r="A247" s="64"/>
      <c r="B247" s="64"/>
      <c r="C247" s="24" t="s">
        <v>479</v>
      </c>
      <c r="D247" s="24"/>
    </row>
    <row r="248" spans="1:4">
      <c r="A248" s="64"/>
      <c r="B248" s="64"/>
      <c r="C248" s="24" t="s">
        <v>480</v>
      </c>
      <c r="D248" s="24"/>
    </row>
    <row r="249" spans="1:4">
      <c r="A249" s="64"/>
      <c r="B249" s="64"/>
      <c r="C249" s="24" t="s">
        <v>481</v>
      </c>
      <c r="D249" s="24"/>
    </row>
    <row r="250" spans="1:4">
      <c r="A250" s="64"/>
      <c r="B250" s="64"/>
      <c r="C250" s="24" t="s">
        <v>482</v>
      </c>
      <c r="D250" s="24"/>
    </row>
    <row r="251" spans="1:4">
      <c r="A251" s="64"/>
      <c r="B251" s="64"/>
      <c r="C251" s="24" t="s">
        <v>483</v>
      </c>
      <c r="D251" s="24"/>
    </row>
    <row r="252" spans="1:4">
      <c r="A252" s="64"/>
      <c r="B252" s="64"/>
      <c r="C252" s="24" t="s">
        <v>164</v>
      </c>
      <c r="D252" s="24"/>
    </row>
    <row r="253" spans="1:4">
      <c r="A253" s="64"/>
      <c r="B253" s="64"/>
      <c r="C253" s="24" t="s">
        <v>484</v>
      </c>
      <c r="D253" s="24"/>
    </row>
    <row r="254" spans="1:4">
      <c r="A254" s="64"/>
      <c r="B254" s="64"/>
      <c r="C254" s="24" t="s">
        <v>485</v>
      </c>
      <c r="D254" s="24"/>
    </row>
    <row r="255" spans="1:4">
      <c r="A255" s="64"/>
      <c r="B255" s="64"/>
      <c r="C255" s="24" t="s">
        <v>486</v>
      </c>
      <c r="D255" s="24"/>
    </row>
    <row r="256" spans="1:4">
      <c r="A256" s="64"/>
      <c r="B256" s="64"/>
      <c r="C256" s="24" t="s">
        <v>487</v>
      </c>
      <c r="D256" s="24"/>
    </row>
    <row r="257" spans="1:5">
      <c r="A257" s="64"/>
      <c r="B257" s="64"/>
      <c r="C257" s="24" t="s">
        <v>488</v>
      </c>
      <c r="D257" s="24"/>
    </row>
    <row r="258" spans="1:5">
      <c r="A258" s="64"/>
      <c r="B258" s="64"/>
      <c r="C258" s="24" t="s">
        <v>489</v>
      </c>
      <c r="D258" s="24"/>
    </row>
    <row r="259" spans="1:5">
      <c r="A259" s="64"/>
      <c r="B259" s="64"/>
      <c r="C259" s="24" t="s">
        <v>490</v>
      </c>
      <c r="D259" s="24"/>
    </row>
    <row r="260" spans="1:5">
      <c r="A260" s="64"/>
      <c r="B260" s="64"/>
      <c r="C260" s="24" t="s">
        <v>491</v>
      </c>
      <c r="D260" s="24"/>
    </row>
    <row r="261" spans="1:5">
      <c r="A261" s="64"/>
      <c r="B261" s="64"/>
      <c r="C261" s="24" t="s">
        <v>492</v>
      </c>
      <c r="D261" s="24"/>
    </row>
    <row r="262" spans="1:5">
      <c r="A262" s="64"/>
      <c r="B262" s="64"/>
      <c r="C262" s="24" t="s">
        <v>493</v>
      </c>
      <c r="D262" s="24"/>
    </row>
    <row r="263" spans="1:5">
      <c r="A263" s="64"/>
      <c r="B263" s="64"/>
      <c r="C263" s="24" t="s">
        <v>494</v>
      </c>
      <c r="D263" s="24"/>
    </row>
    <row r="264" spans="1:5">
      <c r="A264" s="64"/>
      <c r="B264" s="64"/>
      <c r="C264" s="24" t="s">
        <v>495</v>
      </c>
      <c r="D264" s="24"/>
    </row>
    <row r="265" spans="1:5">
      <c r="A265" s="64"/>
      <c r="B265" s="64"/>
      <c r="C265" s="24" t="s">
        <v>496</v>
      </c>
      <c r="D265" s="24"/>
    </row>
    <row r="266" spans="1:5">
      <c r="A266" s="64"/>
      <c r="B266" s="64"/>
      <c r="C266" s="24" t="s">
        <v>497</v>
      </c>
      <c r="D266" s="24"/>
    </row>
    <row r="267" spans="1:5">
      <c r="A267" s="64"/>
      <c r="B267" s="64"/>
      <c r="C267" s="24" t="s">
        <v>498</v>
      </c>
      <c r="D267" s="24"/>
    </row>
    <row r="268" spans="1:5">
      <c r="A268" s="64"/>
      <c r="B268" s="64"/>
      <c r="C268" s="24" t="s">
        <v>499</v>
      </c>
      <c r="D268" s="24"/>
    </row>
    <row r="269" spans="1:5">
      <c r="A269" s="64"/>
      <c r="B269" s="64"/>
      <c r="C269" s="24" t="s">
        <v>500</v>
      </c>
      <c r="D269" s="24"/>
    </row>
    <row r="270" spans="1:5">
      <c r="A270" s="64"/>
      <c r="B270" s="64"/>
      <c r="C270" s="24" t="s">
        <v>501</v>
      </c>
      <c r="D270" s="24" t="s">
        <v>502</v>
      </c>
      <c r="E270" t="s">
        <v>215</v>
      </c>
    </row>
    <row r="271" spans="1:5">
      <c r="A271" s="64"/>
      <c r="B271" s="64"/>
      <c r="C271" s="24" t="s">
        <v>503</v>
      </c>
      <c r="D271" s="24" t="s">
        <v>504</v>
      </c>
      <c r="E271" t="s">
        <v>215</v>
      </c>
    </row>
    <row r="272" spans="1:5">
      <c r="A272" s="64"/>
      <c r="B272" s="64"/>
      <c r="C272" s="24" t="s">
        <v>505</v>
      </c>
      <c r="D272" s="24" t="s">
        <v>506</v>
      </c>
      <c r="E272" t="s">
        <v>215</v>
      </c>
    </row>
    <row r="273" spans="1:5">
      <c r="A273" s="64"/>
      <c r="B273" s="64"/>
      <c r="C273" s="24" t="s">
        <v>507</v>
      </c>
      <c r="D273" s="24"/>
    </row>
    <row r="274" spans="1:5">
      <c r="A274" s="64"/>
      <c r="B274" s="64"/>
      <c r="C274" s="24" t="s">
        <v>508</v>
      </c>
      <c r="D274" s="24" t="s">
        <v>509</v>
      </c>
      <c r="E274" t="s">
        <v>215</v>
      </c>
    </row>
    <row r="275" spans="1:5">
      <c r="A275" s="64"/>
      <c r="B275" s="64"/>
      <c r="C275" s="24" t="s">
        <v>510</v>
      </c>
      <c r="D275" s="24"/>
    </row>
    <row r="276" spans="1:5">
      <c r="A276" s="64"/>
      <c r="B276" s="64"/>
      <c r="C276" s="24" t="s">
        <v>511</v>
      </c>
      <c r="D276" s="24"/>
    </row>
    <row r="277" spans="1:5">
      <c r="A277" s="64"/>
      <c r="B277" s="64"/>
      <c r="C277" s="24" t="s">
        <v>512</v>
      </c>
      <c r="D277" s="24"/>
    </row>
    <row r="278" spans="1:5">
      <c r="A278" s="64"/>
      <c r="B278" s="64"/>
      <c r="C278" s="24" t="s">
        <v>513</v>
      </c>
      <c r="D278" s="24"/>
    </row>
    <row r="279" spans="1:5">
      <c r="A279" s="64"/>
      <c r="B279" s="64"/>
      <c r="C279" s="24" t="s">
        <v>514</v>
      </c>
      <c r="D279" s="24"/>
    </row>
    <row r="280" spans="1:5">
      <c r="A280" s="64"/>
      <c r="B280" s="64"/>
      <c r="C280" s="24" t="s">
        <v>515</v>
      </c>
      <c r="D280" s="24"/>
    </row>
    <row r="281" spans="1:5">
      <c r="A281" s="64"/>
      <c r="B281" s="64"/>
      <c r="C281" s="24" t="s">
        <v>516</v>
      </c>
      <c r="D281" s="24"/>
    </row>
    <row r="282" spans="1:5">
      <c r="A282" s="64"/>
      <c r="B282" s="64"/>
      <c r="C282" s="24" t="s">
        <v>517</v>
      </c>
      <c r="D282" s="24" t="s">
        <v>518</v>
      </c>
      <c r="E282" t="s">
        <v>215</v>
      </c>
    </row>
    <row r="283" spans="1:5">
      <c r="A283" s="64"/>
      <c r="B283" s="64"/>
      <c r="C283" s="24" t="s">
        <v>519</v>
      </c>
      <c r="D283" s="24"/>
    </row>
    <row r="284" spans="1:5">
      <c r="A284" s="64"/>
      <c r="B284" s="64"/>
      <c r="C284" s="24" t="s">
        <v>520</v>
      </c>
      <c r="D284" s="24" t="s">
        <v>521</v>
      </c>
      <c r="E284" t="s">
        <v>215</v>
      </c>
    </row>
    <row r="285" spans="1:5">
      <c r="A285" s="64"/>
      <c r="B285" s="64"/>
      <c r="C285" s="24" t="s">
        <v>522</v>
      </c>
      <c r="D285" s="24"/>
    </row>
    <row r="286" spans="1:5">
      <c r="A286" s="64"/>
      <c r="B286" s="64"/>
      <c r="C286" s="24" t="s">
        <v>523</v>
      </c>
      <c r="D286" s="24"/>
    </row>
    <row r="287" spans="1:5">
      <c r="A287" s="64"/>
      <c r="B287" s="64"/>
      <c r="C287" s="24" t="s">
        <v>524</v>
      </c>
      <c r="D287" s="24"/>
    </row>
    <row r="288" spans="1:5">
      <c r="A288" s="64"/>
      <c r="B288" s="64"/>
      <c r="C288" s="24" t="s">
        <v>525</v>
      </c>
      <c r="D288" s="24"/>
    </row>
    <row r="289" spans="1:5">
      <c r="A289" s="64"/>
      <c r="B289" s="64"/>
      <c r="C289" s="24" t="s">
        <v>526</v>
      </c>
      <c r="D289" s="24" t="s">
        <v>527</v>
      </c>
      <c r="E289" t="s">
        <v>215</v>
      </c>
    </row>
    <row r="290" spans="1:5">
      <c r="A290" s="64"/>
      <c r="B290" s="64"/>
      <c r="C290" s="24" t="s">
        <v>528</v>
      </c>
      <c r="D290" s="24"/>
    </row>
    <row r="291" spans="1:5">
      <c r="A291" s="64"/>
      <c r="B291" s="64"/>
      <c r="C291" s="24" t="s">
        <v>529</v>
      </c>
      <c r="D291" s="24"/>
    </row>
    <row r="292" spans="1:5">
      <c r="A292" s="64"/>
      <c r="B292" s="64"/>
      <c r="C292" s="24" t="s">
        <v>530</v>
      </c>
      <c r="D292" s="24"/>
    </row>
    <row r="293" spans="1:5">
      <c r="A293" s="64"/>
      <c r="B293" s="64"/>
      <c r="C293" s="24" t="s">
        <v>531</v>
      </c>
      <c r="D293" s="24"/>
    </row>
    <row r="294" spans="1:5">
      <c r="A294" s="64"/>
      <c r="B294" s="64"/>
      <c r="C294" s="24" t="s">
        <v>532</v>
      </c>
      <c r="D294" s="24"/>
    </row>
    <row r="295" spans="1:5">
      <c r="A295" s="64"/>
      <c r="B295" s="64"/>
      <c r="C295" s="24" t="s">
        <v>533</v>
      </c>
      <c r="D295" s="24"/>
    </row>
    <row r="296" spans="1:5">
      <c r="A296" s="64"/>
      <c r="B296" s="64"/>
      <c r="C296" s="24" t="s">
        <v>534</v>
      </c>
      <c r="D296" s="24"/>
    </row>
    <row r="297" spans="1:5">
      <c r="A297" s="64"/>
      <c r="B297" s="64"/>
      <c r="C297" s="24" t="s">
        <v>535</v>
      </c>
      <c r="D297" s="24" t="s">
        <v>536</v>
      </c>
      <c r="E297" t="s">
        <v>215</v>
      </c>
    </row>
    <row r="298" spans="1:5">
      <c r="A298" s="64"/>
      <c r="B298" s="64"/>
      <c r="C298" s="24" t="s">
        <v>537</v>
      </c>
      <c r="D298" s="24"/>
    </row>
    <row r="299" spans="1:5">
      <c r="A299" s="64"/>
      <c r="B299" s="64"/>
      <c r="C299" s="24" t="s">
        <v>538</v>
      </c>
      <c r="D299" s="24"/>
    </row>
    <row r="300" spans="1:5">
      <c r="A300" s="64"/>
      <c r="B300" s="64"/>
      <c r="C300" s="134" t="s">
        <v>539</v>
      </c>
      <c r="D300" s="24"/>
      <c r="E300" t="s">
        <v>215</v>
      </c>
    </row>
    <row r="301" spans="1:5">
      <c r="A301" s="64"/>
      <c r="B301" s="64"/>
      <c r="C301" s="24" t="s">
        <v>540</v>
      </c>
      <c r="D301" s="24"/>
    </row>
    <row r="302" spans="1:5">
      <c r="A302" s="64"/>
      <c r="B302" s="64"/>
      <c r="C302" s="24" t="s">
        <v>541</v>
      </c>
      <c r="D302" s="24"/>
    </row>
    <row r="303" spans="1:5">
      <c r="A303" s="64"/>
      <c r="B303" s="64"/>
      <c r="C303" s="24" t="s">
        <v>542</v>
      </c>
      <c r="D303" s="24"/>
    </row>
    <row r="304" spans="1:5">
      <c r="A304" s="64"/>
      <c r="B304" s="64"/>
      <c r="C304" s="24" t="s">
        <v>543</v>
      </c>
      <c r="D304" s="24"/>
    </row>
    <row r="305" spans="1:5">
      <c r="A305" s="64"/>
      <c r="B305" s="64"/>
      <c r="C305" s="24" t="s">
        <v>544</v>
      </c>
      <c r="D305" s="24"/>
    </row>
    <row r="306" spans="1:5">
      <c r="A306" s="64"/>
      <c r="B306" s="64"/>
      <c r="C306" s="24" t="s">
        <v>545</v>
      </c>
      <c r="D306" s="24"/>
    </row>
    <row r="307" spans="1:5">
      <c r="A307" s="64"/>
      <c r="B307" s="64"/>
      <c r="C307" s="24" t="s">
        <v>546</v>
      </c>
      <c r="D307" s="24"/>
    </row>
    <row r="308" spans="1:5">
      <c r="A308" s="64"/>
      <c r="B308" s="64"/>
      <c r="C308" s="24" t="s">
        <v>547</v>
      </c>
      <c r="D308" s="24"/>
    </row>
    <row r="309" spans="1:5">
      <c r="A309" s="64"/>
      <c r="B309" s="64"/>
      <c r="C309" s="24" t="s">
        <v>548</v>
      </c>
      <c r="D309" s="24"/>
    </row>
    <row r="310" spans="1:5">
      <c r="A310" s="64"/>
      <c r="B310" s="64"/>
      <c r="C310" s="134" t="s">
        <v>549</v>
      </c>
      <c r="D310" s="24"/>
      <c r="E310" t="s">
        <v>215</v>
      </c>
    </row>
    <row r="311" spans="1:5">
      <c r="A311" s="64"/>
      <c r="B311" s="64"/>
      <c r="C311" s="134" t="s">
        <v>550</v>
      </c>
      <c r="D311" s="24"/>
      <c r="E311" t="s">
        <v>215</v>
      </c>
    </row>
    <row r="312" spans="1:5">
      <c r="A312" s="64"/>
      <c r="B312" s="64"/>
      <c r="C312" s="134" t="s">
        <v>551</v>
      </c>
      <c r="D312" s="24"/>
      <c r="E312" t="s">
        <v>215</v>
      </c>
    </row>
    <row r="313" spans="1:5">
      <c r="A313" s="64"/>
      <c r="B313" s="64"/>
      <c r="C313" s="24" t="s">
        <v>552</v>
      </c>
      <c r="D313" s="24"/>
    </row>
    <row r="314" spans="1:5">
      <c r="A314" s="64"/>
      <c r="B314" s="64"/>
      <c r="C314" s="24" t="s">
        <v>553</v>
      </c>
      <c r="D314" s="24"/>
    </row>
    <row r="315" spans="1:5">
      <c r="A315" s="64"/>
      <c r="B315" s="64"/>
      <c r="C315" s="24" t="s">
        <v>554</v>
      </c>
      <c r="D315" s="24"/>
    </row>
    <row r="316" spans="1:5">
      <c r="A316" s="64"/>
      <c r="B316" s="64"/>
      <c r="C316" s="24" t="s">
        <v>555</v>
      </c>
      <c r="D316" s="24"/>
    </row>
    <row r="317" spans="1:5">
      <c r="A317" s="64"/>
      <c r="B317" s="64"/>
      <c r="C317" s="24" t="s">
        <v>556</v>
      </c>
      <c r="D317" s="24"/>
    </row>
    <row r="318" spans="1:5">
      <c r="A318" s="64"/>
      <c r="B318" s="64"/>
      <c r="C318" s="24" t="s">
        <v>557</v>
      </c>
      <c r="D318" s="129" t="s">
        <v>558</v>
      </c>
      <c r="E318" t="s">
        <v>215</v>
      </c>
    </row>
    <row r="319" spans="1:5">
      <c r="A319" s="64"/>
      <c r="B319" s="64"/>
      <c r="C319" s="24" t="s">
        <v>559</v>
      </c>
      <c r="D319" s="24"/>
    </row>
    <row r="320" spans="1:5">
      <c r="A320" s="64"/>
      <c r="B320" s="64"/>
      <c r="C320" s="24" t="s">
        <v>560</v>
      </c>
      <c r="D320" s="24"/>
    </row>
    <row r="321" spans="1:5">
      <c r="A321" s="64"/>
      <c r="B321" s="64"/>
      <c r="C321" s="24" t="s">
        <v>561</v>
      </c>
      <c r="D321" s="24"/>
    </row>
    <row r="322" spans="1:5">
      <c r="A322" s="64"/>
      <c r="B322" s="64"/>
      <c r="C322" s="24" t="s">
        <v>562</v>
      </c>
      <c r="D322" s="24"/>
    </row>
    <row r="323" spans="1:5">
      <c r="A323" s="64"/>
      <c r="B323" s="64"/>
      <c r="C323" s="24" t="s">
        <v>563</v>
      </c>
      <c r="D323" s="24"/>
    </row>
    <row r="324" spans="1:5">
      <c r="A324" s="64"/>
      <c r="B324" s="64"/>
      <c r="C324" s="24" t="s">
        <v>564</v>
      </c>
      <c r="D324" s="24"/>
    </row>
    <row r="325" spans="1:5">
      <c r="A325" s="64"/>
      <c r="B325" s="64"/>
      <c r="C325" s="24" t="s">
        <v>565</v>
      </c>
      <c r="D325" s="24"/>
    </row>
    <row r="326" spans="1:5">
      <c r="A326" s="64"/>
      <c r="B326" s="64"/>
      <c r="C326" s="24" t="s">
        <v>566</v>
      </c>
      <c r="D326" s="24"/>
    </row>
    <row r="327" spans="1:5">
      <c r="A327" s="64"/>
      <c r="B327" s="64"/>
      <c r="C327" s="24" t="s">
        <v>567</v>
      </c>
      <c r="D327" s="24"/>
    </row>
    <row r="328" spans="1:5">
      <c r="A328" s="81"/>
      <c r="B328" s="71" t="s">
        <v>568</v>
      </c>
      <c r="C328" s="57" t="s">
        <v>569</v>
      </c>
      <c r="D328" s="57"/>
      <c r="E328" t="s">
        <v>215</v>
      </c>
    </row>
    <row r="329" spans="1:5">
      <c r="A329" s="82"/>
      <c r="B329" s="72"/>
      <c r="C329" s="57" t="s">
        <v>570</v>
      </c>
      <c r="D329" s="57"/>
      <c r="E329" t="s">
        <v>215</v>
      </c>
    </row>
    <row r="330" spans="1:5">
      <c r="A330" s="82"/>
      <c r="B330" s="72"/>
      <c r="C330" s="131" t="s">
        <v>571</v>
      </c>
      <c r="D330" s="57"/>
      <c r="E330" t="s">
        <v>215</v>
      </c>
    </row>
    <row r="331" spans="1:5">
      <c r="A331" s="82"/>
      <c r="B331" s="72"/>
      <c r="C331" s="130" t="s">
        <v>572</v>
      </c>
      <c r="D331" s="57"/>
      <c r="E331" t="s">
        <v>215</v>
      </c>
    </row>
    <row r="332" spans="1:5">
      <c r="A332" s="82"/>
      <c r="B332" s="72"/>
      <c r="C332" s="130" t="s">
        <v>573</v>
      </c>
      <c r="D332" s="57"/>
      <c r="E332" t="s">
        <v>215</v>
      </c>
    </row>
    <row r="333" spans="1:5">
      <c r="A333" s="82"/>
      <c r="B333" s="72"/>
      <c r="C333" s="130" t="s">
        <v>574</v>
      </c>
      <c r="D333" s="57"/>
      <c r="E333" t="s">
        <v>215</v>
      </c>
    </row>
    <row r="334" spans="1:5">
      <c r="A334" s="82"/>
      <c r="B334" s="72"/>
      <c r="C334" s="130" t="s">
        <v>575</v>
      </c>
      <c r="D334" s="57"/>
      <c r="E334" t="s">
        <v>215</v>
      </c>
    </row>
    <row r="335" spans="1:5">
      <c r="A335" s="82"/>
      <c r="B335" s="72"/>
      <c r="C335" s="57" t="s">
        <v>576</v>
      </c>
      <c r="D335" s="57"/>
      <c r="E335" t="s">
        <v>215</v>
      </c>
    </row>
    <row r="336" spans="1:5">
      <c r="A336" s="82"/>
      <c r="B336" s="72"/>
      <c r="C336" s="57" t="s">
        <v>577</v>
      </c>
      <c r="D336" s="57"/>
      <c r="E336" t="s">
        <v>215</v>
      </c>
    </row>
    <row r="337" spans="1:5">
      <c r="A337" s="82"/>
      <c r="B337" s="72"/>
      <c r="C337" s="57" t="s">
        <v>578</v>
      </c>
      <c r="D337" s="57"/>
      <c r="E337" t="s">
        <v>215</v>
      </c>
    </row>
    <row r="338" spans="1:5">
      <c r="A338" s="82"/>
      <c r="B338" s="72"/>
      <c r="C338" s="57" t="s">
        <v>579</v>
      </c>
      <c r="D338" s="57"/>
      <c r="E338" t="s">
        <v>215</v>
      </c>
    </row>
    <row r="339" spans="1:5">
      <c r="A339" s="82"/>
      <c r="B339" s="72"/>
      <c r="C339" s="57" t="s">
        <v>580</v>
      </c>
      <c r="D339" s="57"/>
      <c r="E339" t="s">
        <v>215</v>
      </c>
    </row>
    <row r="340" spans="1:5">
      <c r="A340" s="82"/>
      <c r="B340" s="72"/>
      <c r="C340" s="57" t="s">
        <v>581</v>
      </c>
      <c r="D340" s="57"/>
      <c r="E340" t="s">
        <v>215</v>
      </c>
    </row>
    <row r="341" spans="1:5">
      <c r="A341" s="82"/>
      <c r="B341" s="72"/>
      <c r="C341" s="57" t="s">
        <v>582</v>
      </c>
      <c r="D341" s="57"/>
      <c r="E341" t="s">
        <v>215</v>
      </c>
    </row>
    <row r="342" spans="1:5">
      <c r="A342" s="82"/>
      <c r="B342" s="72"/>
      <c r="C342" s="57" t="s">
        <v>583</v>
      </c>
      <c r="D342" s="57"/>
      <c r="E342" t="s">
        <v>215</v>
      </c>
    </row>
    <row r="343" spans="1:5">
      <c r="A343" s="82"/>
      <c r="B343" s="72"/>
      <c r="C343" s="57" t="s">
        <v>584</v>
      </c>
      <c r="D343" s="57"/>
      <c r="E343" t="s">
        <v>215</v>
      </c>
    </row>
    <row r="344" spans="1:5">
      <c r="A344" s="82"/>
      <c r="B344" s="72"/>
      <c r="C344" s="57" t="s">
        <v>585</v>
      </c>
      <c r="D344" s="57"/>
      <c r="E344" t="s">
        <v>215</v>
      </c>
    </row>
    <row r="345" spans="1:5">
      <c r="A345" s="82"/>
      <c r="B345" s="72"/>
      <c r="C345" s="57" t="s">
        <v>586</v>
      </c>
      <c r="D345" s="57"/>
      <c r="E345" t="s">
        <v>215</v>
      </c>
    </row>
    <row r="346" spans="1:5">
      <c r="A346" s="82"/>
      <c r="B346" s="72"/>
      <c r="C346" s="57" t="s">
        <v>587</v>
      </c>
      <c r="D346" s="57"/>
      <c r="E346" t="s">
        <v>215</v>
      </c>
    </row>
    <row r="347" spans="1:5">
      <c r="A347" s="82"/>
      <c r="B347" s="72"/>
      <c r="C347" s="57" t="s">
        <v>588</v>
      </c>
      <c r="D347" s="57"/>
      <c r="E347" t="s">
        <v>215</v>
      </c>
    </row>
    <row r="348" spans="1:5">
      <c r="A348" s="82"/>
      <c r="B348" s="72"/>
      <c r="C348" s="57" t="s">
        <v>589</v>
      </c>
      <c r="D348" s="57"/>
      <c r="E348" t="s">
        <v>215</v>
      </c>
    </row>
    <row r="349" spans="1:5">
      <c r="A349" s="82"/>
      <c r="B349" s="72"/>
      <c r="C349" s="57" t="s">
        <v>590</v>
      </c>
      <c r="D349" s="57"/>
      <c r="E349" t="s">
        <v>215</v>
      </c>
    </row>
    <row r="350" spans="1:5">
      <c r="A350" s="82"/>
      <c r="B350" s="72"/>
      <c r="C350" s="57" t="s">
        <v>591</v>
      </c>
      <c r="D350" s="57"/>
      <c r="E350" t="s">
        <v>215</v>
      </c>
    </row>
    <row r="351" spans="1:5">
      <c r="A351" s="82"/>
      <c r="B351" s="72"/>
      <c r="C351" s="57" t="s">
        <v>592</v>
      </c>
      <c r="D351" s="57"/>
      <c r="E351" t="s">
        <v>215</v>
      </c>
    </row>
    <row r="352" spans="1:5">
      <c r="A352" s="82"/>
      <c r="B352" s="72"/>
      <c r="C352" s="57" t="s">
        <v>593</v>
      </c>
      <c r="D352" s="57"/>
      <c r="E352" t="s">
        <v>215</v>
      </c>
    </row>
    <row r="353" spans="1:5">
      <c r="A353" s="82"/>
      <c r="B353" s="72"/>
      <c r="C353" s="57" t="s">
        <v>594</v>
      </c>
      <c r="D353" s="57"/>
      <c r="E353" t="s">
        <v>215</v>
      </c>
    </row>
    <row r="354" spans="1:5">
      <c r="A354" s="82"/>
      <c r="B354" s="72"/>
      <c r="C354" s="57" t="s">
        <v>595</v>
      </c>
      <c r="D354" s="57"/>
      <c r="E354" t="s">
        <v>215</v>
      </c>
    </row>
    <row r="355" spans="1:5">
      <c r="A355" s="82"/>
      <c r="B355" s="72"/>
      <c r="C355" s="57" t="s">
        <v>596</v>
      </c>
      <c r="D355" s="57"/>
      <c r="E355" t="s">
        <v>215</v>
      </c>
    </row>
    <row r="356" spans="1:5">
      <c r="A356" s="82"/>
      <c r="B356" s="72"/>
      <c r="C356" s="57" t="s">
        <v>597</v>
      </c>
      <c r="D356" s="57"/>
      <c r="E356" t="s">
        <v>215</v>
      </c>
    </row>
    <row r="357" spans="1:5">
      <c r="A357" s="82"/>
      <c r="B357" s="72"/>
      <c r="C357" s="57" t="s">
        <v>598</v>
      </c>
      <c r="D357" s="57"/>
      <c r="E357" t="s">
        <v>215</v>
      </c>
    </row>
    <row r="358" spans="1:5">
      <c r="A358" s="82"/>
      <c r="B358" s="72"/>
      <c r="C358" s="57" t="s">
        <v>599</v>
      </c>
      <c r="D358" s="57"/>
      <c r="E358" t="s">
        <v>215</v>
      </c>
    </row>
    <row r="359" spans="1:5">
      <c r="A359" s="82"/>
      <c r="B359" s="72"/>
      <c r="C359" s="57" t="s">
        <v>600</v>
      </c>
      <c r="D359" s="57"/>
      <c r="E359" t="s">
        <v>215</v>
      </c>
    </row>
    <row r="360" spans="1:5">
      <c r="A360" s="82"/>
      <c r="B360" s="72"/>
      <c r="C360" s="57" t="s">
        <v>601</v>
      </c>
      <c r="D360" s="57"/>
      <c r="E360" t="s">
        <v>215</v>
      </c>
    </row>
    <row r="361" spans="1:5">
      <c r="A361" s="82"/>
      <c r="B361" s="72"/>
      <c r="C361" s="57" t="s">
        <v>602</v>
      </c>
      <c r="D361" s="57"/>
      <c r="E361" t="s">
        <v>215</v>
      </c>
    </row>
    <row r="362" spans="1:5">
      <c r="A362" s="82"/>
      <c r="B362" s="72"/>
      <c r="C362" s="57" t="s">
        <v>603</v>
      </c>
      <c r="D362" s="57"/>
      <c r="E362" t="s">
        <v>215</v>
      </c>
    </row>
    <row r="363" spans="1:5">
      <c r="A363" s="82"/>
      <c r="B363" s="72"/>
      <c r="C363" s="57" t="s">
        <v>604</v>
      </c>
      <c r="D363" s="57"/>
      <c r="E363" t="s">
        <v>215</v>
      </c>
    </row>
    <row r="364" spans="1:5">
      <c r="A364" s="82"/>
      <c r="B364" s="72"/>
      <c r="C364" s="57" t="s">
        <v>605</v>
      </c>
      <c r="D364" s="57"/>
      <c r="E364" t="s">
        <v>215</v>
      </c>
    </row>
    <row r="365" spans="1:5">
      <c r="A365" s="82"/>
      <c r="B365" s="72"/>
      <c r="C365" s="57" t="s">
        <v>606</v>
      </c>
      <c r="D365" s="57"/>
      <c r="E365" t="s">
        <v>215</v>
      </c>
    </row>
    <row r="366" spans="1:5">
      <c r="A366" s="82"/>
      <c r="B366" s="72"/>
      <c r="C366" s="57" t="s">
        <v>607</v>
      </c>
      <c r="D366" s="57"/>
      <c r="E366" t="s">
        <v>215</v>
      </c>
    </row>
    <row r="367" spans="1:5">
      <c r="A367" s="82"/>
      <c r="B367" s="72"/>
      <c r="C367" s="57" t="s">
        <v>608</v>
      </c>
      <c r="D367" s="57"/>
      <c r="E367" t="s">
        <v>215</v>
      </c>
    </row>
    <row r="368" spans="1:5">
      <c r="A368" s="82"/>
      <c r="B368" s="72"/>
      <c r="C368" s="57" t="s">
        <v>609</v>
      </c>
      <c r="D368" s="57"/>
      <c r="E368" t="s">
        <v>215</v>
      </c>
    </row>
    <row r="369" spans="1:5">
      <c r="A369" s="82"/>
      <c r="B369" s="72"/>
      <c r="C369" s="57" t="s">
        <v>610</v>
      </c>
      <c r="D369" s="57"/>
      <c r="E369" t="s">
        <v>215</v>
      </c>
    </row>
    <row r="370" spans="1:5">
      <c r="A370" s="82"/>
      <c r="B370" s="72"/>
      <c r="C370" s="57" t="s">
        <v>611</v>
      </c>
      <c r="D370" s="57"/>
      <c r="E370" t="s">
        <v>215</v>
      </c>
    </row>
    <row r="371" spans="1:5">
      <c r="A371" s="82"/>
      <c r="B371" s="72"/>
      <c r="C371" s="57" t="s">
        <v>612</v>
      </c>
      <c r="D371" s="57"/>
      <c r="E371" t="s">
        <v>215</v>
      </c>
    </row>
    <row r="372" spans="1:5">
      <c r="A372" s="82"/>
      <c r="B372" s="72"/>
      <c r="C372" s="57" t="s">
        <v>613</v>
      </c>
      <c r="D372" s="57"/>
      <c r="E372" t="s">
        <v>215</v>
      </c>
    </row>
    <row r="373" spans="1:5">
      <c r="A373" s="82"/>
      <c r="B373" s="72"/>
      <c r="C373" s="57" t="s">
        <v>614</v>
      </c>
      <c r="D373" s="57"/>
      <c r="E373" t="s">
        <v>215</v>
      </c>
    </row>
    <row r="374" spans="1:5">
      <c r="A374" s="82"/>
      <c r="B374" s="72"/>
      <c r="C374" s="57" t="s">
        <v>615</v>
      </c>
      <c r="D374" s="57"/>
      <c r="E374" t="s">
        <v>215</v>
      </c>
    </row>
    <row r="375" spans="1:5">
      <c r="A375" s="82"/>
      <c r="B375" s="72"/>
      <c r="C375" s="57" t="s">
        <v>616</v>
      </c>
      <c r="D375" s="57"/>
      <c r="E375" t="s">
        <v>215</v>
      </c>
    </row>
    <row r="376" spans="1:5">
      <c r="A376" s="82"/>
      <c r="B376" s="72"/>
      <c r="C376" s="57" t="s">
        <v>617</v>
      </c>
      <c r="D376" s="57"/>
      <c r="E376" t="s">
        <v>215</v>
      </c>
    </row>
    <row r="377" spans="1:5">
      <c r="A377" s="82"/>
      <c r="B377" s="72"/>
      <c r="C377" s="57" t="s">
        <v>618</v>
      </c>
      <c r="D377" s="57"/>
      <c r="E377" t="s">
        <v>215</v>
      </c>
    </row>
    <row r="378" spans="1:5">
      <c r="A378" s="82"/>
      <c r="B378" s="72"/>
      <c r="C378" s="57" t="s">
        <v>619</v>
      </c>
      <c r="D378" s="57"/>
      <c r="E378" t="s">
        <v>215</v>
      </c>
    </row>
    <row r="379" spans="1:5">
      <c r="A379" s="82"/>
      <c r="B379" s="72"/>
      <c r="C379" s="57" t="s">
        <v>620</v>
      </c>
      <c r="D379" s="57"/>
      <c r="E379" t="s">
        <v>215</v>
      </c>
    </row>
    <row r="380" spans="1:5">
      <c r="A380" s="82"/>
      <c r="B380" s="72"/>
      <c r="C380" s="57" t="s">
        <v>621</v>
      </c>
      <c r="D380" s="57"/>
      <c r="E380" t="s">
        <v>215</v>
      </c>
    </row>
    <row r="381" spans="1:5">
      <c r="A381" s="82"/>
      <c r="B381" s="72"/>
      <c r="C381" s="57" t="s">
        <v>622</v>
      </c>
      <c r="D381" s="57"/>
      <c r="E381" t="s">
        <v>215</v>
      </c>
    </row>
    <row r="382" spans="1:5">
      <c r="A382" s="82"/>
      <c r="B382" s="72"/>
      <c r="C382" s="57" t="s">
        <v>623</v>
      </c>
      <c r="D382" s="57"/>
      <c r="E382" t="s">
        <v>215</v>
      </c>
    </row>
    <row r="383" spans="1:5">
      <c r="A383" s="82"/>
      <c r="B383" s="72"/>
      <c r="C383" s="57" t="s">
        <v>624</v>
      </c>
      <c r="D383" s="57"/>
      <c r="E383" t="s">
        <v>215</v>
      </c>
    </row>
    <row r="384" spans="1:5">
      <c r="A384" s="82"/>
      <c r="B384" s="72"/>
      <c r="C384" s="57" t="s">
        <v>625</v>
      </c>
      <c r="D384" s="57"/>
      <c r="E384" t="s">
        <v>215</v>
      </c>
    </row>
    <row r="385" spans="1:5">
      <c r="A385" s="82"/>
      <c r="B385" s="72"/>
      <c r="C385" s="57" t="s">
        <v>626</v>
      </c>
      <c r="D385" s="57"/>
      <c r="E385" t="s">
        <v>215</v>
      </c>
    </row>
    <row r="386" spans="1:5">
      <c r="A386" s="82"/>
      <c r="B386" s="72"/>
      <c r="C386" s="57" t="s">
        <v>627</v>
      </c>
      <c r="D386" s="57"/>
      <c r="E386" t="s">
        <v>215</v>
      </c>
    </row>
    <row r="387" spans="1:5">
      <c r="A387" s="82"/>
      <c r="B387" s="72"/>
      <c r="C387" s="57" t="s">
        <v>628</v>
      </c>
      <c r="D387" s="57"/>
      <c r="E387" t="s">
        <v>215</v>
      </c>
    </row>
    <row r="388" spans="1:5">
      <c r="A388" s="82"/>
      <c r="B388" s="72"/>
      <c r="C388" s="57" t="s">
        <v>629</v>
      </c>
      <c r="D388" s="57"/>
      <c r="E388" t="s">
        <v>215</v>
      </c>
    </row>
    <row r="389" spans="1:5">
      <c r="A389" s="82"/>
      <c r="B389" s="72"/>
      <c r="C389" s="57" t="s">
        <v>630</v>
      </c>
      <c r="D389" s="57"/>
      <c r="E389" t="s">
        <v>215</v>
      </c>
    </row>
    <row r="390" spans="1:5">
      <c r="A390" s="82"/>
      <c r="B390" s="72"/>
      <c r="C390" s="57" t="s">
        <v>631</v>
      </c>
      <c r="D390" s="57"/>
      <c r="E390" t="s">
        <v>215</v>
      </c>
    </row>
    <row r="391" spans="1:5">
      <c r="A391" s="82"/>
      <c r="B391" s="72"/>
      <c r="C391" s="57" t="s">
        <v>632</v>
      </c>
      <c r="D391" s="57"/>
      <c r="E391" t="s">
        <v>215</v>
      </c>
    </row>
    <row r="392" spans="1:5">
      <c r="A392" s="82"/>
      <c r="B392" s="72"/>
      <c r="C392" s="57" t="s">
        <v>633</v>
      </c>
      <c r="D392" s="57"/>
      <c r="E392" t="s">
        <v>215</v>
      </c>
    </row>
    <row r="393" spans="1:5">
      <c r="A393" s="82"/>
      <c r="B393" s="72"/>
      <c r="C393" s="57" t="s">
        <v>634</v>
      </c>
      <c r="D393" s="57"/>
      <c r="E393" t="s">
        <v>215</v>
      </c>
    </row>
    <row r="394" spans="1:5">
      <c r="A394" s="82"/>
      <c r="B394" s="72"/>
      <c r="C394" s="57" t="s">
        <v>635</v>
      </c>
      <c r="D394" s="57"/>
      <c r="E394" t="s">
        <v>215</v>
      </c>
    </row>
    <row r="395" spans="1:5">
      <c r="A395" s="82"/>
      <c r="B395" s="72"/>
      <c r="C395" s="57" t="s">
        <v>636</v>
      </c>
      <c r="D395" s="57"/>
      <c r="E395" t="s">
        <v>215</v>
      </c>
    </row>
    <row r="396" spans="1:5">
      <c r="A396" s="82"/>
      <c r="B396" s="72"/>
      <c r="C396" s="57" t="s">
        <v>637</v>
      </c>
      <c r="D396" s="57"/>
      <c r="E396" t="s">
        <v>215</v>
      </c>
    </row>
    <row r="397" spans="1:5">
      <c r="A397" s="82"/>
      <c r="B397" s="72"/>
      <c r="C397" s="57" t="s">
        <v>638</v>
      </c>
      <c r="D397" s="57"/>
      <c r="E397" t="s">
        <v>215</v>
      </c>
    </row>
    <row r="398" spans="1:5">
      <c r="A398" s="82"/>
      <c r="B398" s="72"/>
      <c r="C398" s="57" t="s">
        <v>639</v>
      </c>
      <c r="D398" s="57"/>
      <c r="E398" t="s">
        <v>215</v>
      </c>
    </row>
    <row r="399" spans="1:5">
      <c r="A399" s="82"/>
      <c r="B399" s="72"/>
      <c r="C399" s="57" t="s">
        <v>640</v>
      </c>
      <c r="D399" s="57"/>
      <c r="E399" t="s">
        <v>215</v>
      </c>
    </row>
    <row r="400" spans="1:5">
      <c r="A400" s="82"/>
      <c r="B400" s="72"/>
      <c r="C400" s="57" t="s">
        <v>641</v>
      </c>
      <c r="D400" s="57"/>
      <c r="E400" t="s">
        <v>215</v>
      </c>
    </row>
    <row r="401" spans="1:5">
      <c r="A401" s="82"/>
      <c r="B401" s="72"/>
      <c r="C401" s="57" t="s">
        <v>642</v>
      </c>
      <c r="D401" s="57"/>
      <c r="E401" t="s">
        <v>215</v>
      </c>
    </row>
    <row r="402" spans="1:5">
      <c r="A402" s="82"/>
      <c r="B402" s="72"/>
      <c r="C402" s="57" t="s">
        <v>643</v>
      </c>
      <c r="D402" s="57"/>
      <c r="E402" t="s">
        <v>215</v>
      </c>
    </row>
    <row r="403" spans="1:5">
      <c r="A403" s="82"/>
      <c r="B403" s="72"/>
      <c r="C403" s="57" t="s">
        <v>644</v>
      </c>
      <c r="D403" s="57"/>
      <c r="E403" t="s">
        <v>215</v>
      </c>
    </row>
    <row r="404" spans="1:5">
      <c r="A404" s="82"/>
      <c r="B404" s="72"/>
      <c r="C404" s="57" t="s">
        <v>645</v>
      </c>
      <c r="D404" s="57"/>
      <c r="E404" t="s">
        <v>215</v>
      </c>
    </row>
    <row r="405" spans="1:5">
      <c r="A405" s="82"/>
      <c r="B405" s="72"/>
      <c r="C405" s="57" t="s">
        <v>646</v>
      </c>
      <c r="D405" s="57"/>
      <c r="E405" t="s">
        <v>215</v>
      </c>
    </row>
    <row r="406" spans="1:5">
      <c r="A406" s="82"/>
      <c r="B406" s="72"/>
      <c r="C406" s="57" t="s">
        <v>647</v>
      </c>
      <c r="D406" s="57"/>
      <c r="E406" t="s">
        <v>215</v>
      </c>
    </row>
    <row r="407" spans="1:5">
      <c r="A407" s="82"/>
      <c r="B407" s="72"/>
      <c r="C407" s="57" t="s">
        <v>648</v>
      </c>
      <c r="D407" s="57"/>
      <c r="E407" t="s">
        <v>215</v>
      </c>
    </row>
    <row r="408" spans="1:5">
      <c r="A408" s="82"/>
      <c r="B408" s="72"/>
      <c r="C408" s="57" t="s">
        <v>649</v>
      </c>
      <c r="D408" s="57"/>
      <c r="E408" t="s">
        <v>215</v>
      </c>
    </row>
    <row r="409" spans="1:5">
      <c r="A409" s="82"/>
      <c r="B409" s="72"/>
      <c r="C409" s="57" t="s">
        <v>650</v>
      </c>
      <c r="D409" s="57"/>
      <c r="E409" t="s">
        <v>215</v>
      </c>
    </row>
    <row r="410" spans="1:5">
      <c r="A410" s="82"/>
      <c r="B410" s="72"/>
      <c r="C410" s="57" t="s">
        <v>651</v>
      </c>
      <c r="D410" s="57"/>
      <c r="E410" t="s">
        <v>215</v>
      </c>
    </row>
    <row r="411" spans="1:5">
      <c r="A411" s="82"/>
      <c r="B411" s="72"/>
      <c r="C411" s="57" t="s">
        <v>652</v>
      </c>
      <c r="D411" s="57"/>
      <c r="E411" t="s">
        <v>215</v>
      </c>
    </row>
    <row r="412" spans="1:5">
      <c r="A412" s="82"/>
      <c r="B412" s="72"/>
      <c r="C412" s="57" t="s">
        <v>653</v>
      </c>
      <c r="D412" s="57"/>
      <c r="E412" t="s">
        <v>215</v>
      </c>
    </row>
    <row r="413" spans="1:5">
      <c r="A413" s="82"/>
      <c r="B413" s="72"/>
      <c r="C413" s="57" t="s">
        <v>654</v>
      </c>
      <c r="D413" s="57"/>
      <c r="E413" t="s">
        <v>215</v>
      </c>
    </row>
    <row r="414" spans="1:5">
      <c r="A414" s="82"/>
      <c r="B414" s="72"/>
      <c r="C414" s="57" t="s">
        <v>655</v>
      </c>
      <c r="D414" s="57"/>
      <c r="E414" t="s">
        <v>215</v>
      </c>
    </row>
    <row r="415" spans="1:5">
      <c r="A415" s="82"/>
      <c r="B415" s="72"/>
      <c r="C415" s="57" t="s">
        <v>656</v>
      </c>
      <c r="D415" s="57"/>
      <c r="E415" t="s">
        <v>215</v>
      </c>
    </row>
    <row r="416" spans="1:5">
      <c r="A416" s="82"/>
      <c r="B416" s="72"/>
      <c r="C416" s="57" t="s">
        <v>657</v>
      </c>
      <c r="D416" s="57"/>
      <c r="E416" t="s">
        <v>215</v>
      </c>
    </row>
    <row r="417" spans="1:5">
      <c r="A417" s="82"/>
      <c r="B417" s="72"/>
      <c r="C417" s="57" t="s">
        <v>658</v>
      </c>
      <c r="D417" s="57"/>
      <c r="E417" t="s">
        <v>215</v>
      </c>
    </row>
    <row r="418" spans="1:5">
      <c r="A418" s="82"/>
      <c r="B418" s="72"/>
      <c r="C418" s="57" t="s">
        <v>659</v>
      </c>
      <c r="D418" s="57"/>
      <c r="E418" t="s">
        <v>215</v>
      </c>
    </row>
    <row r="419" spans="1:5">
      <c r="A419" s="82"/>
      <c r="B419" s="72"/>
      <c r="C419" s="57" t="s">
        <v>660</v>
      </c>
      <c r="D419" s="57"/>
      <c r="E419" t="s">
        <v>215</v>
      </c>
    </row>
    <row r="420" spans="1:5">
      <c r="A420" s="82"/>
      <c r="B420" s="72"/>
      <c r="C420" s="57" t="s">
        <v>661</v>
      </c>
      <c r="D420" s="57"/>
      <c r="E420" t="s">
        <v>215</v>
      </c>
    </row>
    <row r="421" spans="1:5">
      <c r="A421" s="82"/>
      <c r="B421" s="72"/>
      <c r="C421" s="57" t="s">
        <v>662</v>
      </c>
      <c r="D421" s="57"/>
      <c r="E421" t="s">
        <v>215</v>
      </c>
    </row>
    <row r="422" spans="1:5">
      <c r="A422" s="82"/>
      <c r="B422" s="72"/>
      <c r="C422" s="57" t="s">
        <v>663</v>
      </c>
      <c r="D422" s="57"/>
      <c r="E422" t="s">
        <v>215</v>
      </c>
    </row>
    <row r="423" spans="1:5">
      <c r="A423" s="82"/>
      <c r="B423" s="72"/>
      <c r="C423" s="57" t="s">
        <v>664</v>
      </c>
      <c r="D423" s="57"/>
      <c r="E423" t="s">
        <v>215</v>
      </c>
    </row>
    <row r="424" spans="1:5">
      <c r="A424" s="82"/>
      <c r="B424" s="72"/>
      <c r="C424" s="57" t="s">
        <v>665</v>
      </c>
      <c r="D424" s="57"/>
      <c r="E424" t="s">
        <v>215</v>
      </c>
    </row>
    <row r="425" spans="1:5">
      <c r="A425" s="82"/>
      <c r="B425" s="72"/>
      <c r="C425" s="57" t="s">
        <v>666</v>
      </c>
      <c r="D425" s="57"/>
      <c r="E425" t="s">
        <v>215</v>
      </c>
    </row>
    <row r="426" spans="1:5">
      <c r="A426" s="82"/>
      <c r="B426" s="72"/>
      <c r="C426" s="57" t="s">
        <v>667</v>
      </c>
      <c r="D426" s="57"/>
      <c r="E426" t="s">
        <v>215</v>
      </c>
    </row>
    <row r="427" spans="1:5">
      <c r="A427" s="82"/>
      <c r="B427" s="72"/>
      <c r="C427" s="57" t="s">
        <v>668</v>
      </c>
      <c r="D427" s="57"/>
      <c r="E427" t="s">
        <v>215</v>
      </c>
    </row>
    <row r="428" spans="1:5">
      <c r="A428" s="82"/>
      <c r="B428" s="72"/>
      <c r="C428" s="57" t="s">
        <v>669</v>
      </c>
      <c r="D428" s="57"/>
      <c r="E428" t="s">
        <v>215</v>
      </c>
    </row>
    <row r="429" spans="1:5">
      <c r="A429" s="82"/>
      <c r="B429" s="72"/>
      <c r="C429" s="57" t="s">
        <v>670</v>
      </c>
      <c r="D429" s="57"/>
      <c r="E429" t="s">
        <v>215</v>
      </c>
    </row>
    <row r="430" spans="1:5">
      <c r="A430" s="82"/>
      <c r="B430" s="72"/>
      <c r="C430" s="57" t="s">
        <v>671</v>
      </c>
      <c r="D430" s="57"/>
      <c r="E430" t="s">
        <v>215</v>
      </c>
    </row>
    <row r="431" spans="1:5">
      <c r="A431" s="82"/>
      <c r="B431" s="72"/>
      <c r="C431" s="57" t="s">
        <v>672</v>
      </c>
      <c r="D431" s="57"/>
      <c r="E431" t="s">
        <v>215</v>
      </c>
    </row>
    <row r="432" spans="1:5">
      <c r="A432" s="82"/>
      <c r="B432" s="72"/>
      <c r="C432" s="57" t="s">
        <v>673</v>
      </c>
      <c r="D432" s="57"/>
      <c r="E432" t="s">
        <v>215</v>
      </c>
    </row>
    <row r="433" spans="1:5">
      <c r="A433" s="82"/>
      <c r="B433" s="72"/>
      <c r="C433" s="57" t="s">
        <v>674</v>
      </c>
      <c r="D433" s="57"/>
      <c r="E433" t="s">
        <v>215</v>
      </c>
    </row>
    <row r="434" spans="1:5">
      <c r="A434" s="82"/>
      <c r="B434" s="72"/>
      <c r="C434" s="57" t="s">
        <v>675</v>
      </c>
      <c r="D434" s="57"/>
      <c r="E434" t="s">
        <v>215</v>
      </c>
    </row>
    <row r="435" spans="1:5">
      <c r="A435" s="82"/>
      <c r="B435" s="72"/>
      <c r="C435" s="57" t="s">
        <v>676</v>
      </c>
      <c r="D435" s="57"/>
      <c r="E435" t="s">
        <v>215</v>
      </c>
    </row>
    <row r="436" spans="1:5">
      <c r="A436" s="82"/>
      <c r="B436" s="72"/>
      <c r="C436" s="57" t="s">
        <v>677</v>
      </c>
      <c r="D436" s="57"/>
      <c r="E436" t="s">
        <v>215</v>
      </c>
    </row>
    <row r="437" spans="1:5">
      <c r="A437" s="82"/>
      <c r="B437" s="72"/>
      <c r="C437" s="57" t="s">
        <v>678</v>
      </c>
      <c r="D437" s="57"/>
      <c r="E437" t="s">
        <v>215</v>
      </c>
    </row>
    <row r="438" spans="1:5">
      <c r="A438" s="82"/>
      <c r="B438" s="72"/>
      <c r="C438" s="57" t="s">
        <v>679</v>
      </c>
      <c r="D438" s="57"/>
      <c r="E438" t="s">
        <v>215</v>
      </c>
    </row>
    <row r="439" spans="1:5">
      <c r="A439" s="82"/>
      <c r="B439" s="72"/>
      <c r="C439" s="57" t="s">
        <v>680</v>
      </c>
      <c r="D439" s="57"/>
      <c r="E439" t="s">
        <v>215</v>
      </c>
    </row>
    <row r="440" spans="1:5">
      <c r="A440" s="82"/>
      <c r="B440" s="72"/>
      <c r="C440" s="57" t="s">
        <v>681</v>
      </c>
      <c r="D440" s="57"/>
      <c r="E440" t="s">
        <v>215</v>
      </c>
    </row>
    <row r="441" spans="1:5">
      <c r="A441" s="82"/>
      <c r="B441" s="72"/>
      <c r="C441" s="57" t="s">
        <v>682</v>
      </c>
      <c r="D441" s="57"/>
      <c r="E441" t="s">
        <v>215</v>
      </c>
    </row>
    <row r="442" spans="1:5">
      <c r="A442" s="82"/>
      <c r="B442" s="72"/>
      <c r="C442" s="57" t="s">
        <v>683</v>
      </c>
      <c r="D442" s="57"/>
      <c r="E442" t="s">
        <v>215</v>
      </c>
    </row>
    <row r="443" spans="1:5">
      <c r="A443" s="82"/>
      <c r="B443" s="72"/>
      <c r="C443" s="57" t="s">
        <v>684</v>
      </c>
      <c r="D443" s="57"/>
      <c r="E443" t="s">
        <v>215</v>
      </c>
    </row>
    <row r="444" spans="1:5">
      <c r="A444" s="82"/>
      <c r="B444" s="72"/>
      <c r="C444" s="57" t="s">
        <v>685</v>
      </c>
      <c r="D444" s="57"/>
      <c r="E444" t="s">
        <v>215</v>
      </c>
    </row>
    <row r="445" spans="1:5">
      <c r="A445" s="82"/>
      <c r="B445" s="72"/>
      <c r="C445" s="57" t="s">
        <v>686</v>
      </c>
      <c r="D445" s="57"/>
      <c r="E445" t="s">
        <v>215</v>
      </c>
    </row>
    <row r="446" spans="1:5">
      <c r="A446" s="82"/>
      <c r="B446" s="72"/>
      <c r="C446" s="57" t="s">
        <v>687</v>
      </c>
      <c r="D446" s="57"/>
      <c r="E446" t="s">
        <v>215</v>
      </c>
    </row>
    <row r="447" spans="1:5">
      <c r="A447" s="82"/>
      <c r="B447" s="72"/>
      <c r="C447" s="57" t="s">
        <v>688</v>
      </c>
      <c r="D447" s="57"/>
      <c r="E447" t="s">
        <v>215</v>
      </c>
    </row>
    <row r="448" spans="1:5">
      <c r="A448" s="82"/>
      <c r="B448" s="72"/>
      <c r="C448" s="57" t="s">
        <v>689</v>
      </c>
      <c r="D448" s="57"/>
      <c r="E448" t="s">
        <v>215</v>
      </c>
    </row>
    <row r="449" spans="1:5">
      <c r="A449" s="82"/>
      <c r="B449" s="72"/>
      <c r="C449" s="57" t="s">
        <v>690</v>
      </c>
      <c r="D449" s="57"/>
      <c r="E449" t="s">
        <v>215</v>
      </c>
    </row>
    <row r="450" spans="1:5">
      <c r="A450" s="82"/>
      <c r="B450" s="72"/>
      <c r="C450" s="57" t="s">
        <v>691</v>
      </c>
      <c r="D450" s="57"/>
      <c r="E450" t="s">
        <v>215</v>
      </c>
    </row>
    <row r="451" spans="1:5">
      <c r="A451" s="82"/>
      <c r="B451" s="72"/>
      <c r="C451" s="57" t="s">
        <v>692</v>
      </c>
      <c r="D451" s="57"/>
      <c r="E451" t="s">
        <v>215</v>
      </c>
    </row>
    <row r="452" spans="1:5">
      <c r="A452" s="82"/>
      <c r="B452" s="72"/>
      <c r="C452" s="57" t="s">
        <v>693</v>
      </c>
      <c r="D452" s="57"/>
      <c r="E452" t="s">
        <v>215</v>
      </c>
    </row>
    <row r="453" spans="1:5">
      <c r="A453" s="82"/>
      <c r="B453" s="72"/>
      <c r="C453" s="57" t="s">
        <v>694</v>
      </c>
      <c r="D453" s="57"/>
      <c r="E453" t="s">
        <v>215</v>
      </c>
    </row>
    <row r="454" spans="1:5">
      <c r="A454" s="82"/>
      <c r="B454" s="72"/>
      <c r="C454" s="57" t="s">
        <v>695</v>
      </c>
      <c r="D454" s="57"/>
      <c r="E454" t="s">
        <v>215</v>
      </c>
    </row>
    <row r="455" spans="1:5">
      <c r="A455" s="82"/>
      <c r="B455" s="72"/>
      <c r="C455" s="57" t="s">
        <v>696</v>
      </c>
      <c r="D455" s="57"/>
      <c r="E455" t="s">
        <v>215</v>
      </c>
    </row>
    <row r="456" spans="1:5">
      <c r="A456" s="82"/>
      <c r="B456" s="72"/>
      <c r="C456" s="57" t="s">
        <v>697</v>
      </c>
      <c r="D456" s="57"/>
      <c r="E456" t="s">
        <v>215</v>
      </c>
    </row>
    <row r="457" spans="1:5">
      <c r="A457" s="82"/>
      <c r="B457" s="72"/>
      <c r="C457" s="57" t="s">
        <v>698</v>
      </c>
      <c r="D457" s="57"/>
      <c r="E457" t="s">
        <v>215</v>
      </c>
    </row>
    <row r="458" spans="1:5">
      <c r="A458" s="82"/>
      <c r="B458" s="72"/>
      <c r="C458" s="57" t="s">
        <v>699</v>
      </c>
      <c r="D458" s="57"/>
      <c r="E458" t="s">
        <v>215</v>
      </c>
    </row>
    <row r="459" spans="1:5">
      <c r="A459" s="82"/>
      <c r="B459" s="72"/>
      <c r="C459" s="57" t="s">
        <v>700</v>
      </c>
      <c r="D459" s="57"/>
      <c r="E459" t="s">
        <v>215</v>
      </c>
    </row>
    <row r="460" spans="1:5">
      <c r="A460" s="82"/>
      <c r="B460" s="72"/>
      <c r="C460" s="57" t="s">
        <v>701</v>
      </c>
      <c r="D460" s="57"/>
      <c r="E460" t="s">
        <v>215</v>
      </c>
    </row>
    <row r="461" spans="1:5">
      <c r="A461" s="82"/>
      <c r="B461" s="72"/>
      <c r="C461" s="57" t="s">
        <v>702</v>
      </c>
      <c r="D461" s="57"/>
      <c r="E461" t="s">
        <v>215</v>
      </c>
    </row>
    <row r="462" spans="1:5">
      <c r="A462" s="82"/>
      <c r="B462" s="72"/>
      <c r="C462" s="57" t="s">
        <v>703</v>
      </c>
      <c r="D462" s="57"/>
      <c r="E462" t="s">
        <v>215</v>
      </c>
    </row>
    <row r="463" spans="1:5">
      <c r="A463" s="82"/>
      <c r="B463" s="72"/>
      <c r="C463" s="57" t="s">
        <v>704</v>
      </c>
      <c r="D463" s="57"/>
      <c r="E463" t="s">
        <v>215</v>
      </c>
    </row>
    <row r="464" spans="1:5">
      <c r="A464" s="82"/>
      <c r="B464" s="72"/>
      <c r="C464" s="57" t="s">
        <v>705</v>
      </c>
      <c r="D464" s="57"/>
      <c r="E464" t="s">
        <v>215</v>
      </c>
    </row>
    <row r="465" spans="1:5">
      <c r="A465" s="82"/>
      <c r="B465" s="72"/>
      <c r="C465" s="57" t="s">
        <v>706</v>
      </c>
      <c r="D465" s="57"/>
      <c r="E465" t="s">
        <v>215</v>
      </c>
    </row>
    <row r="466" spans="1:5">
      <c r="A466" s="82"/>
      <c r="B466" s="72"/>
      <c r="C466" s="57" t="s">
        <v>707</v>
      </c>
      <c r="D466" s="57"/>
      <c r="E466" t="s">
        <v>215</v>
      </c>
    </row>
    <row r="467" spans="1:5">
      <c r="A467" s="82"/>
      <c r="B467" s="72"/>
      <c r="C467" s="57" t="s">
        <v>708</v>
      </c>
      <c r="D467" s="57"/>
      <c r="E467" t="s">
        <v>215</v>
      </c>
    </row>
    <row r="468" spans="1:5">
      <c r="A468" s="82"/>
      <c r="B468" s="72"/>
      <c r="C468" s="57" t="s">
        <v>709</v>
      </c>
      <c r="D468" s="57"/>
      <c r="E468" t="s">
        <v>215</v>
      </c>
    </row>
    <row r="469" spans="1:5">
      <c r="A469" s="82"/>
      <c r="B469" s="72"/>
      <c r="C469" s="57" t="s">
        <v>710</v>
      </c>
      <c r="D469" s="57"/>
      <c r="E469" t="s">
        <v>215</v>
      </c>
    </row>
    <row r="470" spans="1:5">
      <c r="A470" s="82"/>
      <c r="B470" s="72"/>
      <c r="C470" s="57" t="s">
        <v>711</v>
      </c>
      <c r="D470" s="57"/>
      <c r="E470" t="s">
        <v>215</v>
      </c>
    </row>
    <row r="471" spans="1:5">
      <c r="A471" s="82"/>
      <c r="B471" s="72"/>
      <c r="C471" s="57" t="s">
        <v>712</v>
      </c>
      <c r="D471" s="57"/>
      <c r="E471" t="s">
        <v>215</v>
      </c>
    </row>
    <row r="472" spans="1:5">
      <c r="A472" s="82"/>
      <c r="B472" s="72"/>
      <c r="C472" s="57" t="s">
        <v>713</v>
      </c>
      <c r="D472" s="57"/>
      <c r="E472" t="s">
        <v>215</v>
      </c>
    </row>
    <row r="473" spans="1:5">
      <c r="A473" s="82"/>
      <c r="B473" s="72"/>
      <c r="C473" s="57" t="s">
        <v>714</v>
      </c>
      <c r="D473" s="57"/>
      <c r="E473" t="s">
        <v>215</v>
      </c>
    </row>
    <row r="474" spans="1:5">
      <c r="A474" s="82"/>
      <c r="B474" s="72"/>
      <c r="C474" s="57" t="s">
        <v>715</v>
      </c>
      <c r="D474" s="57"/>
      <c r="E474" t="s">
        <v>215</v>
      </c>
    </row>
    <row r="475" spans="1:5">
      <c r="A475" s="82"/>
      <c r="B475" s="72"/>
      <c r="C475" s="57" t="s">
        <v>716</v>
      </c>
      <c r="D475" s="57"/>
      <c r="E475" t="s">
        <v>215</v>
      </c>
    </row>
    <row r="476" spans="1:5">
      <c r="A476" s="82"/>
      <c r="B476" s="72"/>
      <c r="C476" s="57" t="s">
        <v>717</v>
      </c>
      <c r="D476" s="57"/>
      <c r="E476" t="s">
        <v>215</v>
      </c>
    </row>
    <row r="477" spans="1:5">
      <c r="A477" s="82"/>
      <c r="B477" s="72"/>
      <c r="C477" s="57" t="s">
        <v>718</v>
      </c>
      <c r="D477" s="57"/>
      <c r="E477" t="s">
        <v>215</v>
      </c>
    </row>
    <row r="478" spans="1:5">
      <c r="A478" s="82"/>
      <c r="B478" s="72"/>
      <c r="C478" s="57" t="s">
        <v>719</v>
      </c>
      <c r="D478" s="57"/>
      <c r="E478" t="s">
        <v>215</v>
      </c>
    </row>
    <row r="479" spans="1:5">
      <c r="A479" s="82"/>
      <c r="B479" s="72"/>
      <c r="C479" s="57" t="s">
        <v>720</v>
      </c>
      <c r="D479" s="57"/>
      <c r="E479" t="s">
        <v>215</v>
      </c>
    </row>
    <row r="480" spans="1:5">
      <c r="A480" s="82"/>
      <c r="B480" s="72"/>
      <c r="C480" s="57" t="s">
        <v>721</v>
      </c>
      <c r="D480" s="57"/>
      <c r="E480" t="s">
        <v>215</v>
      </c>
    </row>
    <row r="481" spans="1:5">
      <c r="A481" s="82"/>
      <c r="B481" s="72"/>
      <c r="C481" s="57" t="s">
        <v>722</v>
      </c>
      <c r="D481" s="57"/>
      <c r="E481" t="s">
        <v>215</v>
      </c>
    </row>
    <row r="482" spans="1:5">
      <c r="A482" s="82"/>
      <c r="B482" s="72"/>
      <c r="C482" s="57" t="s">
        <v>723</v>
      </c>
      <c r="D482" s="57"/>
      <c r="E482" t="s">
        <v>215</v>
      </c>
    </row>
    <row r="483" spans="1:5">
      <c r="A483" s="82"/>
      <c r="B483" s="72"/>
      <c r="C483" s="57" t="s">
        <v>724</v>
      </c>
      <c r="D483" s="57"/>
      <c r="E483" t="s">
        <v>215</v>
      </c>
    </row>
    <row r="484" spans="1:5">
      <c r="A484" s="82"/>
      <c r="B484" s="72"/>
      <c r="C484" s="57" t="s">
        <v>725</v>
      </c>
      <c r="D484" s="57"/>
      <c r="E484" t="s">
        <v>215</v>
      </c>
    </row>
    <row r="485" spans="1:5">
      <c r="A485" s="82"/>
      <c r="B485" s="72"/>
      <c r="C485" s="57" t="s">
        <v>726</v>
      </c>
      <c r="D485" s="57"/>
      <c r="E485" t="s">
        <v>215</v>
      </c>
    </row>
    <row r="486" spans="1:5">
      <c r="A486" s="82"/>
      <c r="B486" s="72"/>
      <c r="C486" s="57" t="s">
        <v>727</v>
      </c>
      <c r="D486" s="57"/>
      <c r="E486" t="s">
        <v>215</v>
      </c>
    </row>
    <row r="487" spans="1:5">
      <c r="A487" s="82"/>
      <c r="B487" s="72"/>
      <c r="C487" s="57" t="s">
        <v>728</v>
      </c>
      <c r="D487" s="57"/>
      <c r="E487" t="s">
        <v>215</v>
      </c>
    </row>
    <row r="488" spans="1:5">
      <c r="A488" s="82"/>
      <c r="B488" s="72"/>
      <c r="C488" s="57" t="s">
        <v>729</v>
      </c>
      <c r="D488" s="57"/>
      <c r="E488" t="s">
        <v>215</v>
      </c>
    </row>
    <row r="489" spans="1:5">
      <c r="A489" s="82"/>
      <c r="B489" s="72"/>
      <c r="C489" s="57" t="s">
        <v>164</v>
      </c>
      <c r="D489" s="57"/>
    </row>
    <row r="490" spans="1:5">
      <c r="A490" s="82"/>
      <c r="B490" s="72"/>
      <c r="C490" s="57" t="s">
        <v>730</v>
      </c>
      <c r="D490" s="57"/>
    </row>
    <row r="491" spans="1:5">
      <c r="A491" s="82"/>
      <c r="B491" s="72"/>
      <c r="C491" s="57" t="s">
        <v>731</v>
      </c>
      <c r="D491" s="57"/>
    </row>
    <row r="492" spans="1:5">
      <c r="A492" s="82"/>
      <c r="B492" s="72"/>
      <c r="C492" s="57" t="s">
        <v>732</v>
      </c>
      <c r="D492" s="57"/>
    </row>
    <row r="493" spans="1:5">
      <c r="A493" s="82"/>
      <c r="B493" s="72"/>
      <c r="C493" s="57" t="s">
        <v>733</v>
      </c>
      <c r="D493" s="57"/>
    </row>
    <row r="494" spans="1:5">
      <c r="A494" s="82"/>
      <c r="B494" s="72"/>
      <c r="C494" s="57" t="s">
        <v>734</v>
      </c>
      <c r="D494" s="57"/>
    </row>
    <row r="495" spans="1:5">
      <c r="A495" s="82"/>
      <c r="B495" s="72"/>
      <c r="C495" s="57" t="s">
        <v>735</v>
      </c>
      <c r="D495" s="57"/>
    </row>
    <row r="496" spans="1:5">
      <c r="A496" s="82"/>
      <c r="B496" s="72"/>
      <c r="C496" s="57" t="s">
        <v>736</v>
      </c>
      <c r="D496" s="57"/>
    </row>
    <row r="497" spans="1:4">
      <c r="A497" s="82"/>
      <c r="B497" s="72"/>
      <c r="C497" s="57" t="s">
        <v>737</v>
      </c>
      <c r="D497" s="57"/>
    </row>
    <row r="498" spans="1:4">
      <c r="A498" s="83"/>
      <c r="B498" s="73"/>
      <c r="C498" s="57" t="s">
        <v>567</v>
      </c>
      <c r="D498" s="57"/>
    </row>
    <row r="499" spans="1:4">
      <c r="A499" s="115"/>
      <c r="B499" s="119" t="s">
        <v>738</v>
      </c>
      <c r="C499" s="55" t="s">
        <v>437</v>
      </c>
      <c r="D499" s="55"/>
    </row>
    <row r="500" spans="1:4">
      <c r="A500" s="64"/>
      <c r="B500" s="119"/>
      <c r="C500" s="55" t="s">
        <v>739</v>
      </c>
      <c r="D500" s="55"/>
    </row>
    <row r="501" spans="1:4">
      <c r="A501" s="64"/>
      <c r="B501" s="119"/>
      <c r="C501" s="55" t="s">
        <v>740</v>
      </c>
      <c r="D501" s="55"/>
    </row>
    <row r="502" spans="1:4">
      <c r="A502" s="64"/>
      <c r="B502" s="119"/>
      <c r="C502" s="55" t="s">
        <v>741</v>
      </c>
      <c r="D502" s="55"/>
    </row>
    <row r="503" spans="1:4">
      <c r="A503" s="64"/>
      <c r="B503" s="119"/>
      <c r="C503" s="55" t="s">
        <v>742</v>
      </c>
      <c r="D503" s="55"/>
    </row>
    <row r="504" spans="1:4">
      <c r="A504" s="64"/>
      <c r="B504" s="119"/>
      <c r="C504" s="55" t="s">
        <v>743</v>
      </c>
      <c r="D504" s="55"/>
    </row>
    <row r="505" spans="1:4">
      <c r="A505" s="64"/>
      <c r="B505" s="119"/>
      <c r="C505" s="55" t="s">
        <v>744</v>
      </c>
      <c r="D505" s="55"/>
    </row>
    <row r="506" spans="1:4">
      <c r="A506" s="64"/>
      <c r="B506" s="119"/>
      <c r="C506" s="55" t="s">
        <v>745</v>
      </c>
      <c r="D506" s="55"/>
    </row>
    <row r="507" spans="1:4">
      <c r="A507" s="64"/>
      <c r="B507" s="119"/>
      <c r="C507" s="55" t="s">
        <v>746</v>
      </c>
      <c r="D507" s="55"/>
    </row>
    <row r="508" spans="1:4">
      <c r="A508" s="64"/>
      <c r="B508" s="119"/>
      <c r="C508" s="55" t="s">
        <v>747</v>
      </c>
      <c r="D508" s="55"/>
    </row>
    <row r="509" spans="1:4">
      <c r="A509" s="64"/>
      <c r="B509" s="119"/>
      <c r="C509" s="55" t="s">
        <v>748</v>
      </c>
      <c r="D509" s="55"/>
    </row>
    <row r="510" spans="1:4">
      <c r="A510" s="64"/>
      <c r="B510" s="119"/>
      <c r="C510" s="55" t="s">
        <v>749</v>
      </c>
      <c r="D510" s="55"/>
    </row>
    <row r="511" spans="1:4">
      <c r="A511" s="64"/>
      <c r="B511" s="119"/>
      <c r="C511" s="55" t="s">
        <v>750</v>
      </c>
      <c r="D511" s="55"/>
    </row>
    <row r="512" spans="1:4">
      <c r="A512" s="64"/>
      <c r="B512" s="119"/>
      <c r="C512" s="55" t="s">
        <v>483</v>
      </c>
      <c r="D512" s="55"/>
    </row>
    <row r="513" spans="1:4">
      <c r="A513" s="64"/>
      <c r="B513" s="119"/>
      <c r="C513" s="55" t="s">
        <v>164</v>
      </c>
      <c r="D513" s="55"/>
    </row>
    <row r="514" spans="1:4">
      <c r="A514" s="82"/>
      <c r="B514" s="68" t="s">
        <v>751</v>
      </c>
      <c r="C514" s="57" t="s">
        <v>338</v>
      </c>
      <c r="D514" s="57"/>
    </row>
    <row r="515" spans="1:4">
      <c r="A515" s="83"/>
      <c r="B515" s="70"/>
      <c r="C515" s="57" t="s">
        <v>136</v>
      </c>
      <c r="D515" s="57"/>
    </row>
    <row r="516" spans="1:4">
      <c r="A516" s="64"/>
      <c r="B516" s="119" t="s">
        <v>752</v>
      </c>
      <c r="C516" s="55" t="s">
        <v>753</v>
      </c>
      <c r="D516" s="55"/>
    </row>
    <row r="517" spans="1:4">
      <c r="A517" s="64"/>
      <c r="B517" s="119"/>
      <c r="C517" s="55" t="s">
        <v>754</v>
      </c>
      <c r="D517" s="55"/>
    </row>
    <row r="518" spans="1:4">
      <c r="A518" s="64"/>
      <c r="B518" s="119"/>
      <c r="C518" s="55" t="s">
        <v>755</v>
      </c>
      <c r="D518" s="55"/>
    </row>
    <row r="519" spans="1:4">
      <c r="A519" s="64"/>
      <c r="B519" s="119"/>
      <c r="C519" s="55" t="s">
        <v>756</v>
      </c>
      <c r="D519" s="55"/>
    </row>
    <row r="520" spans="1:4">
      <c r="A520" s="117"/>
      <c r="B520" s="68" t="s">
        <v>757</v>
      </c>
      <c r="C520" s="57" t="s">
        <v>758</v>
      </c>
      <c r="D520" s="57"/>
    </row>
    <row r="521" spans="1:4">
      <c r="A521" s="80"/>
      <c r="B521" s="69"/>
      <c r="C521" s="57" t="s">
        <v>759</v>
      </c>
      <c r="D521" s="57"/>
    </row>
    <row r="522" spans="1:4">
      <c r="A522" s="80"/>
      <c r="B522" s="69"/>
      <c r="C522" s="57" t="s">
        <v>760</v>
      </c>
      <c r="D522" s="57"/>
    </row>
    <row r="523" spans="1:4">
      <c r="A523" s="80"/>
      <c r="B523" s="69"/>
      <c r="C523" s="57" t="s">
        <v>761</v>
      </c>
      <c r="D523" s="57"/>
    </row>
    <row r="524" spans="1:4">
      <c r="A524" s="80"/>
      <c r="B524" s="69"/>
      <c r="C524" s="57" t="s">
        <v>762</v>
      </c>
      <c r="D524" s="57"/>
    </row>
    <row r="525" spans="1:4">
      <c r="A525" s="80"/>
      <c r="B525" s="69"/>
      <c r="C525" s="57" t="s">
        <v>763</v>
      </c>
      <c r="D525" s="57"/>
    </row>
    <row r="526" spans="1:4">
      <c r="A526" s="80"/>
      <c r="B526" s="69"/>
      <c r="C526" s="57" t="s">
        <v>764</v>
      </c>
      <c r="D526" s="57"/>
    </row>
    <row r="527" spans="1:4">
      <c r="A527" s="80"/>
      <c r="B527" s="69"/>
      <c r="C527" s="57" t="s">
        <v>765</v>
      </c>
      <c r="D527" s="57"/>
    </row>
    <row r="528" spans="1:4">
      <c r="A528" s="80"/>
      <c r="B528" s="69"/>
      <c r="C528" s="57" t="s">
        <v>766</v>
      </c>
      <c r="D528" s="57"/>
    </row>
    <row r="529" spans="1:4">
      <c r="A529" s="80"/>
      <c r="B529" s="69"/>
      <c r="C529" s="57" t="s">
        <v>747</v>
      </c>
      <c r="D529" s="57"/>
    </row>
    <row r="530" spans="1:4">
      <c r="B530" s="69"/>
      <c r="C530" s="57" t="s">
        <v>767</v>
      </c>
      <c r="D530" s="57"/>
    </row>
    <row r="531" spans="1:4" ht="15">
      <c r="A531" s="80"/>
      <c r="B531" s="69"/>
      <c r="C531" s="57" t="s">
        <v>768</v>
      </c>
      <c r="D531" s="57" t="s">
        <v>769</v>
      </c>
    </row>
    <row r="532" spans="1:4" ht="15">
      <c r="A532" s="80"/>
      <c r="B532" s="69"/>
      <c r="C532" s="57" t="s">
        <v>770</v>
      </c>
      <c r="D532" s="57" t="s">
        <v>769</v>
      </c>
    </row>
    <row r="533" spans="1:4" ht="15">
      <c r="A533" s="80"/>
      <c r="B533" s="69"/>
      <c r="C533" s="57" t="s">
        <v>771</v>
      </c>
      <c r="D533" s="57" t="s">
        <v>769</v>
      </c>
    </row>
    <row r="534" spans="1:4">
      <c r="A534" s="80"/>
      <c r="B534" s="69"/>
      <c r="C534" s="57" t="s">
        <v>772</v>
      </c>
      <c r="D534" s="57"/>
    </row>
    <row r="535" spans="1:4">
      <c r="A535" s="80"/>
      <c r="B535" s="69"/>
      <c r="C535" s="57" t="s">
        <v>773</v>
      </c>
      <c r="D535" s="57"/>
    </row>
    <row r="536" spans="1:4">
      <c r="A536" s="80"/>
      <c r="B536" s="69"/>
      <c r="C536" s="57" t="s">
        <v>774</v>
      </c>
      <c r="D536" s="57"/>
    </row>
    <row r="537" spans="1:4">
      <c r="A537" s="80"/>
      <c r="B537" s="69"/>
      <c r="C537" s="57" t="s">
        <v>775</v>
      </c>
      <c r="D537" s="57"/>
    </row>
    <row r="538" spans="1:4">
      <c r="A538" s="80"/>
      <c r="B538" s="69"/>
      <c r="C538" s="57" t="s">
        <v>776</v>
      </c>
      <c r="D538" s="57"/>
    </row>
    <row r="539" spans="1:4">
      <c r="A539" s="80"/>
      <c r="B539" s="69"/>
      <c r="C539" s="57" t="s">
        <v>777</v>
      </c>
      <c r="D539" s="57"/>
    </row>
    <row r="540" spans="1:4">
      <c r="A540" s="80"/>
      <c r="B540" s="69"/>
      <c r="C540" s="57" t="s">
        <v>778</v>
      </c>
      <c r="D540" s="57"/>
    </row>
    <row r="541" spans="1:4">
      <c r="A541" s="80"/>
      <c r="B541" s="69"/>
      <c r="C541" s="57" t="s">
        <v>779</v>
      </c>
      <c r="D541" s="57"/>
    </row>
    <row r="542" spans="1:4">
      <c r="A542" s="80"/>
      <c r="B542" s="69"/>
      <c r="C542" s="57" t="s">
        <v>483</v>
      </c>
      <c r="D542" s="57"/>
    </row>
    <row r="543" spans="1:4">
      <c r="A543" s="80"/>
      <c r="B543" s="69"/>
      <c r="C543" s="57" t="s">
        <v>164</v>
      </c>
      <c r="D543" s="58"/>
    </row>
    <row r="544" spans="1:4">
      <c r="A544" s="86"/>
      <c r="B544" s="59" t="s">
        <v>780</v>
      </c>
      <c r="C544" s="55" t="s">
        <v>338</v>
      </c>
      <c r="D544" s="55"/>
    </row>
    <row r="545" spans="1:4">
      <c r="A545" s="87"/>
      <c r="B545" s="118"/>
      <c r="C545" s="55" t="s">
        <v>136</v>
      </c>
      <c r="D545" s="55"/>
    </row>
    <row r="546" spans="1:4">
      <c r="A546" s="80"/>
      <c r="B546" s="68" t="s">
        <v>781</v>
      </c>
      <c r="C546" s="57" t="s">
        <v>782</v>
      </c>
      <c r="D546" s="57"/>
    </row>
    <row r="547" spans="1:4">
      <c r="A547" s="80"/>
      <c r="B547" s="69"/>
      <c r="C547" s="57" t="s">
        <v>783</v>
      </c>
      <c r="D547" s="57"/>
    </row>
    <row r="548" spans="1:4">
      <c r="A548" s="80"/>
      <c r="B548" s="69"/>
      <c r="C548" s="57" t="s">
        <v>784</v>
      </c>
      <c r="D548" s="57"/>
    </row>
    <row r="549" spans="1:4">
      <c r="A549" s="80"/>
      <c r="B549" s="69"/>
      <c r="C549" s="57" t="s">
        <v>785</v>
      </c>
      <c r="D549" s="57"/>
    </row>
    <row r="550" spans="1:4">
      <c r="A550" s="80"/>
      <c r="B550" s="69"/>
      <c r="C550" s="57" t="s">
        <v>786</v>
      </c>
      <c r="D550" s="57"/>
    </row>
    <row r="551" spans="1:4">
      <c r="A551" s="86"/>
      <c r="B551" s="59" t="s">
        <v>787</v>
      </c>
      <c r="C551" s="55" t="s">
        <v>338</v>
      </c>
      <c r="D551" s="55"/>
    </row>
    <row r="552" spans="1:4">
      <c r="A552" s="87"/>
      <c r="B552" s="118"/>
      <c r="C552" s="55" t="s">
        <v>136</v>
      </c>
      <c r="D552" s="55"/>
    </row>
    <row r="553" spans="1:4">
      <c r="A553" s="65"/>
      <c r="B553" s="68" t="s">
        <v>788</v>
      </c>
      <c r="C553" s="57" t="s">
        <v>789</v>
      </c>
      <c r="D553" s="57"/>
    </row>
    <row r="554" spans="1:4">
      <c r="A554" s="66"/>
      <c r="B554" s="66"/>
      <c r="C554" s="57" t="s">
        <v>790</v>
      </c>
      <c r="D554" s="57"/>
    </row>
    <row r="555" spans="1:4">
      <c r="A555" s="66"/>
      <c r="B555" s="66"/>
      <c r="C555" s="57" t="s">
        <v>791</v>
      </c>
      <c r="D555" s="57"/>
    </row>
    <row r="556" spans="1:4">
      <c r="A556" s="66"/>
      <c r="B556" s="66"/>
      <c r="C556" s="57" t="s">
        <v>792</v>
      </c>
      <c r="D556" s="57"/>
    </row>
    <row r="557" spans="1:4">
      <c r="A557" s="66"/>
      <c r="B557" s="66"/>
      <c r="C557" s="57" t="s">
        <v>793</v>
      </c>
      <c r="D557" s="57"/>
    </row>
    <row r="558" spans="1:4">
      <c r="A558" s="66"/>
      <c r="B558" s="66"/>
      <c r="C558" s="57" t="s">
        <v>794</v>
      </c>
      <c r="D558" s="57"/>
    </row>
    <row r="559" spans="1:4">
      <c r="A559" s="66"/>
      <c r="B559" s="66"/>
      <c r="C559" s="57" t="s">
        <v>795</v>
      </c>
      <c r="D559" s="57"/>
    </row>
    <row r="560" spans="1:4">
      <c r="A560" s="66"/>
      <c r="B560" s="66"/>
      <c r="C560" s="57" t="s">
        <v>796</v>
      </c>
      <c r="D560" s="57"/>
    </row>
    <row r="561" spans="1:4">
      <c r="A561" s="66"/>
      <c r="B561" s="66"/>
      <c r="C561" s="57" t="s">
        <v>797</v>
      </c>
      <c r="D561" s="57"/>
    </row>
    <row r="562" spans="1:4">
      <c r="A562" s="66"/>
      <c r="B562" s="66"/>
      <c r="C562" s="57" t="s">
        <v>798</v>
      </c>
      <c r="D562" s="57"/>
    </row>
    <row r="563" spans="1:4">
      <c r="A563" s="66"/>
      <c r="B563" s="66"/>
      <c r="C563" s="57" t="s">
        <v>799</v>
      </c>
      <c r="D563" s="57"/>
    </row>
    <row r="564" spans="1:4">
      <c r="A564" s="66"/>
      <c r="B564" s="66"/>
      <c r="C564" s="57" t="s">
        <v>800</v>
      </c>
      <c r="D564" s="57"/>
    </row>
    <row r="565" spans="1:4">
      <c r="A565" s="66"/>
      <c r="B565" s="66"/>
      <c r="C565" s="57" t="s">
        <v>801</v>
      </c>
      <c r="D565" s="57"/>
    </row>
    <row r="566" spans="1:4">
      <c r="A566" s="66"/>
      <c r="B566" s="66"/>
      <c r="C566" s="57" t="s">
        <v>802</v>
      </c>
      <c r="D566" s="57"/>
    </row>
    <row r="567" spans="1:4">
      <c r="A567" s="66"/>
      <c r="B567" s="66"/>
      <c r="C567" s="57" t="s">
        <v>803</v>
      </c>
      <c r="D567" s="57"/>
    </row>
    <row r="568" spans="1:4">
      <c r="A568" s="66"/>
      <c r="B568" s="66"/>
      <c r="C568" s="57" t="s">
        <v>804</v>
      </c>
      <c r="D568" s="57"/>
    </row>
    <row r="569" spans="1:4">
      <c r="A569" s="66"/>
      <c r="B569" s="66"/>
      <c r="C569" s="57" t="s">
        <v>805</v>
      </c>
      <c r="D569" s="57"/>
    </row>
    <row r="570" spans="1:4">
      <c r="A570" s="66"/>
      <c r="B570" s="66"/>
      <c r="C570" s="57" t="s">
        <v>806</v>
      </c>
      <c r="D570" s="57"/>
    </row>
    <row r="571" spans="1:4">
      <c r="A571" s="66"/>
      <c r="B571" s="66"/>
      <c r="C571" s="57" t="s">
        <v>807</v>
      </c>
      <c r="D571" s="57"/>
    </row>
    <row r="572" spans="1:4">
      <c r="A572" s="66"/>
      <c r="B572" s="66"/>
      <c r="C572" s="57" t="s">
        <v>808</v>
      </c>
      <c r="D572" s="57"/>
    </row>
    <row r="573" spans="1:4">
      <c r="A573" s="66"/>
      <c r="B573" s="66"/>
      <c r="C573" s="57" t="s">
        <v>809</v>
      </c>
      <c r="D573" s="57"/>
    </row>
    <row r="574" spans="1:4">
      <c r="A574" s="66"/>
      <c r="B574" s="66"/>
      <c r="C574" s="57" t="s">
        <v>810</v>
      </c>
      <c r="D574" s="57"/>
    </row>
    <row r="575" spans="1:4">
      <c r="A575" s="66"/>
      <c r="B575" s="66"/>
      <c r="C575" s="57" t="s">
        <v>811</v>
      </c>
      <c r="D575" s="57"/>
    </row>
    <row r="576" spans="1:4">
      <c r="A576" s="66"/>
      <c r="B576" s="66"/>
      <c r="C576" s="57" t="s">
        <v>812</v>
      </c>
      <c r="D576" s="57"/>
    </row>
    <row r="577" spans="1:5">
      <c r="A577" s="66"/>
      <c r="B577" s="66"/>
      <c r="C577" s="57" t="s">
        <v>813</v>
      </c>
      <c r="D577" s="57"/>
    </row>
    <row r="578" spans="1:5">
      <c r="A578" s="66"/>
      <c r="B578" s="66"/>
      <c r="C578" s="57" t="s">
        <v>814</v>
      </c>
      <c r="D578" s="57"/>
    </row>
    <row r="579" spans="1:5">
      <c r="A579" s="66"/>
      <c r="B579" s="66"/>
      <c r="C579" s="57" t="s">
        <v>815</v>
      </c>
      <c r="D579" s="57"/>
    </row>
    <row r="580" spans="1:5">
      <c r="A580" s="66"/>
      <c r="B580" s="66"/>
      <c r="C580" s="57" t="s">
        <v>816</v>
      </c>
      <c r="D580" s="57"/>
      <c r="E580" t="s">
        <v>215</v>
      </c>
    </row>
    <row r="581" spans="1:5">
      <c r="A581" s="66"/>
      <c r="B581" s="66"/>
      <c r="C581" s="57" t="s">
        <v>817</v>
      </c>
      <c r="D581" s="57"/>
      <c r="E581" t="s">
        <v>215</v>
      </c>
    </row>
    <row r="582" spans="1:5">
      <c r="A582" s="66"/>
      <c r="B582" s="66"/>
      <c r="C582" s="57" t="s">
        <v>818</v>
      </c>
      <c r="D582" s="57"/>
    </row>
    <row r="583" spans="1:5">
      <c r="A583" s="66"/>
      <c r="B583" s="66"/>
      <c r="C583" s="57" t="s">
        <v>819</v>
      </c>
      <c r="D583" s="57"/>
    </row>
    <row r="584" spans="1:5">
      <c r="A584" s="66"/>
      <c r="B584" s="66"/>
      <c r="C584" s="57" t="s">
        <v>820</v>
      </c>
      <c r="D584" s="57"/>
    </row>
    <row r="585" spans="1:5">
      <c r="A585" s="66"/>
      <c r="B585" s="66"/>
      <c r="C585" s="57" t="s">
        <v>821</v>
      </c>
      <c r="D585" s="57"/>
    </row>
    <row r="586" spans="1:5">
      <c r="A586" s="66"/>
      <c r="B586" s="66"/>
      <c r="C586" s="57" t="s">
        <v>822</v>
      </c>
      <c r="D586" s="57"/>
    </row>
    <row r="587" spans="1:5">
      <c r="A587" s="66"/>
      <c r="B587" s="66"/>
      <c r="C587" s="57" t="s">
        <v>823</v>
      </c>
      <c r="D587" s="57"/>
    </row>
    <row r="588" spans="1:5">
      <c r="A588" s="66"/>
      <c r="B588" s="66"/>
      <c r="C588" s="57" t="s">
        <v>824</v>
      </c>
      <c r="D588" s="57"/>
    </row>
    <row r="589" spans="1:5">
      <c r="A589" s="66"/>
      <c r="B589" s="66"/>
      <c r="C589" s="57" t="s">
        <v>825</v>
      </c>
      <c r="D589" s="57"/>
    </row>
    <row r="590" spans="1:5">
      <c r="A590" s="66"/>
      <c r="B590" s="66"/>
      <c r="C590" s="57" t="s">
        <v>826</v>
      </c>
      <c r="D590" s="57"/>
    </row>
    <row r="591" spans="1:5">
      <c r="A591" s="67"/>
      <c r="B591" s="67"/>
      <c r="C591" s="57" t="s">
        <v>827</v>
      </c>
      <c r="D591" s="57"/>
    </row>
    <row r="592" spans="1:5">
      <c r="A592" s="64"/>
      <c r="B592" s="119" t="s">
        <v>125</v>
      </c>
      <c r="C592" s="55" t="s">
        <v>828</v>
      </c>
      <c r="D592" s="55"/>
    </row>
    <row r="593" spans="1:4">
      <c r="A593" s="64"/>
      <c r="B593" s="119"/>
      <c r="C593" s="55" t="s">
        <v>829</v>
      </c>
      <c r="D593" s="55"/>
    </row>
    <row r="594" spans="1:4">
      <c r="A594" s="64"/>
      <c r="B594" s="119"/>
      <c r="C594" s="55" t="s">
        <v>164</v>
      </c>
      <c r="D594" s="55"/>
    </row>
    <row r="595" spans="1:4">
      <c r="A595" s="68"/>
      <c r="B595" s="74" t="s">
        <v>830</v>
      </c>
      <c r="C595" s="57" t="s">
        <v>338</v>
      </c>
      <c r="D595" s="57"/>
    </row>
    <row r="596" spans="1:4">
      <c r="A596" s="120"/>
      <c r="B596" s="122"/>
      <c r="C596" s="121" t="s">
        <v>136</v>
      </c>
      <c r="D596" s="57"/>
    </row>
    <row r="597" spans="1:4">
      <c r="A597" s="115"/>
      <c r="B597" s="115" t="s">
        <v>831</v>
      </c>
      <c r="C597" s="55" t="s">
        <v>832</v>
      </c>
      <c r="D597" s="55"/>
    </row>
    <row r="598" spans="1:4">
      <c r="A598" s="64"/>
      <c r="B598" s="64"/>
      <c r="C598" s="55" t="s">
        <v>833</v>
      </c>
      <c r="D598" s="55"/>
    </row>
    <row r="599" spans="1:4">
      <c r="A599" s="64"/>
      <c r="B599" s="64"/>
      <c r="C599" s="55" t="s">
        <v>834</v>
      </c>
      <c r="D599" s="55"/>
    </row>
    <row r="600" spans="1:4">
      <c r="A600" s="64"/>
      <c r="B600" s="64"/>
      <c r="C600" s="55" t="s">
        <v>835</v>
      </c>
      <c r="D600" s="55"/>
    </row>
    <row r="601" spans="1:4">
      <c r="A601" s="64"/>
      <c r="B601" s="64"/>
      <c r="C601" s="55" t="s">
        <v>836</v>
      </c>
      <c r="D601" s="55"/>
    </row>
    <row r="602" spans="1:4">
      <c r="A602" s="64"/>
      <c r="B602" s="64"/>
      <c r="C602" s="55" t="s">
        <v>837</v>
      </c>
      <c r="D602" s="55"/>
    </row>
    <row r="603" spans="1:4">
      <c r="A603" s="64"/>
      <c r="B603" s="64"/>
      <c r="C603" s="55" t="s">
        <v>838</v>
      </c>
      <c r="D603" s="55"/>
    </row>
    <row r="604" spans="1:4">
      <c r="A604" s="64"/>
      <c r="B604" s="64"/>
      <c r="C604" s="55" t="s">
        <v>839</v>
      </c>
      <c r="D604" s="55"/>
    </row>
    <row r="605" spans="1:4">
      <c r="A605" s="64"/>
      <c r="B605" s="64"/>
      <c r="C605" s="55" t="s">
        <v>840</v>
      </c>
      <c r="D605" s="55"/>
    </row>
    <row r="606" spans="1:4">
      <c r="A606" s="64"/>
      <c r="B606" s="64"/>
      <c r="C606" s="55" t="s">
        <v>841</v>
      </c>
      <c r="D606" s="55"/>
    </row>
    <row r="607" spans="1:4">
      <c r="A607" s="64"/>
      <c r="B607" s="64"/>
      <c r="C607" s="55" t="s">
        <v>842</v>
      </c>
      <c r="D607" s="55"/>
    </row>
    <row r="608" spans="1:4">
      <c r="A608" s="64"/>
      <c r="B608" s="64"/>
      <c r="C608" s="55" t="s">
        <v>843</v>
      </c>
      <c r="D608" s="55"/>
    </row>
    <row r="609" spans="1:5">
      <c r="A609" s="64"/>
      <c r="B609" s="64"/>
      <c r="C609" s="55" t="s">
        <v>844</v>
      </c>
      <c r="D609" s="55"/>
    </row>
    <row r="610" spans="1:5">
      <c r="A610" s="64"/>
      <c r="B610" s="64"/>
      <c r="C610" s="55" t="s">
        <v>845</v>
      </c>
      <c r="D610" s="55"/>
    </row>
    <row r="611" spans="1:5">
      <c r="A611" s="64"/>
      <c r="B611" s="64"/>
      <c r="C611" s="55" t="s">
        <v>846</v>
      </c>
      <c r="D611" s="55"/>
    </row>
    <row r="612" spans="1:5">
      <c r="A612" s="64"/>
      <c r="B612" s="64"/>
      <c r="C612" s="55" t="s">
        <v>847</v>
      </c>
      <c r="D612" s="55"/>
    </row>
    <row r="613" spans="1:5">
      <c r="A613" s="64"/>
      <c r="B613" s="64"/>
      <c r="C613" s="55" t="s">
        <v>848</v>
      </c>
      <c r="D613" s="55"/>
    </row>
    <row r="614" spans="1:5">
      <c r="A614" s="64"/>
      <c r="B614" s="64"/>
      <c r="C614" s="55" t="s">
        <v>849</v>
      </c>
      <c r="D614" s="55"/>
    </row>
    <row r="615" spans="1:5">
      <c r="A615" s="64"/>
      <c r="B615" s="64"/>
      <c r="C615" s="55" t="s">
        <v>850</v>
      </c>
      <c r="D615" s="55"/>
    </row>
    <row r="616" spans="1:5">
      <c r="A616" s="64"/>
      <c r="B616" s="64"/>
      <c r="C616" s="55" t="s">
        <v>851</v>
      </c>
      <c r="D616" s="55"/>
    </row>
    <row r="617" spans="1:5">
      <c r="A617" s="64"/>
      <c r="B617" s="64"/>
      <c r="C617" s="55" t="s">
        <v>852</v>
      </c>
      <c r="D617" s="55"/>
    </row>
    <row r="618" spans="1:5">
      <c r="A618" s="64"/>
      <c r="B618" s="64"/>
      <c r="C618" s="55" t="s">
        <v>853</v>
      </c>
      <c r="D618" s="55"/>
    </row>
    <row r="619" spans="1:5">
      <c r="A619" s="64"/>
      <c r="B619" s="64"/>
      <c r="C619" s="55" t="s">
        <v>854</v>
      </c>
      <c r="D619" s="55"/>
    </row>
    <row r="620" spans="1:5">
      <c r="A620" s="64"/>
      <c r="B620" s="64"/>
      <c r="C620" s="55" t="s">
        <v>567</v>
      </c>
      <c r="D620" s="55"/>
    </row>
    <row r="621" spans="1:5">
      <c r="A621" s="64"/>
      <c r="B621" s="64"/>
      <c r="C621" s="55" t="s">
        <v>855</v>
      </c>
      <c r="D621" s="55"/>
      <c r="E621" t="s">
        <v>215</v>
      </c>
    </row>
    <row r="622" spans="1:5">
      <c r="A622" s="68"/>
      <c r="B622" s="68" t="s">
        <v>153</v>
      </c>
      <c r="C622" s="57" t="s">
        <v>856</v>
      </c>
      <c r="D622" s="57"/>
    </row>
    <row r="623" spans="1:5">
      <c r="A623" s="69"/>
      <c r="B623" s="69"/>
      <c r="C623" s="57" t="s">
        <v>857</v>
      </c>
      <c r="D623" s="57"/>
    </row>
    <row r="624" spans="1:5">
      <c r="A624" s="69"/>
      <c r="B624" s="69"/>
      <c r="C624" s="57" t="s">
        <v>858</v>
      </c>
      <c r="D624" s="57"/>
    </row>
    <row r="625" spans="1:5">
      <c r="A625" s="69"/>
      <c r="B625" s="69"/>
      <c r="C625" s="57" t="s">
        <v>859</v>
      </c>
      <c r="D625" s="57"/>
    </row>
    <row r="626" spans="1:5">
      <c r="A626" s="69"/>
      <c r="B626" s="69"/>
      <c r="C626" s="57" t="s">
        <v>860</v>
      </c>
      <c r="D626" s="57"/>
      <c r="E626" t="s">
        <v>215</v>
      </c>
    </row>
    <row r="627" spans="1:5">
      <c r="A627" s="69"/>
      <c r="B627" s="69"/>
      <c r="C627" s="57" t="s">
        <v>861</v>
      </c>
      <c r="D627" s="57"/>
    </row>
    <row r="628" spans="1:5">
      <c r="A628" s="69"/>
      <c r="B628" s="69"/>
      <c r="C628" s="57" t="s">
        <v>862</v>
      </c>
      <c r="D628" s="57"/>
    </row>
    <row r="629" spans="1:5">
      <c r="A629" s="69"/>
      <c r="B629" s="69"/>
      <c r="C629" s="57" t="s">
        <v>459</v>
      </c>
      <c r="D629" s="57"/>
    </row>
    <row r="630" spans="1:5">
      <c r="A630" s="69"/>
      <c r="B630" s="69"/>
      <c r="C630" s="57" t="s">
        <v>863</v>
      </c>
      <c r="D630" s="57"/>
    </row>
    <row r="631" spans="1:5">
      <c r="A631" s="69"/>
      <c r="B631" s="69"/>
      <c r="C631" s="57" t="s">
        <v>864</v>
      </c>
      <c r="D631" s="57"/>
    </row>
    <row r="632" spans="1:5">
      <c r="A632" s="69"/>
      <c r="B632" s="69"/>
      <c r="C632" s="57" t="s">
        <v>865</v>
      </c>
      <c r="D632" s="57"/>
    </row>
    <row r="633" spans="1:5">
      <c r="A633" s="70"/>
      <c r="B633" s="70"/>
      <c r="C633" s="57" t="s">
        <v>164</v>
      </c>
      <c r="D633" s="57"/>
    </row>
    <row r="634" spans="1:5">
      <c r="A634" s="64"/>
      <c r="B634" s="119" t="s">
        <v>154</v>
      </c>
      <c r="C634" s="55" t="s">
        <v>866</v>
      </c>
      <c r="D634" s="55" t="s">
        <v>867</v>
      </c>
    </row>
    <row r="635" spans="1:5">
      <c r="A635" s="64"/>
      <c r="B635" s="119"/>
      <c r="C635" s="55" t="s">
        <v>868</v>
      </c>
      <c r="D635" s="55" t="s">
        <v>869</v>
      </c>
    </row>
    <row r="636" spans="1:5">
      <c r="A636" s="64"/>
      <c r="B636" s="119"/>
      <c r="C636" s="55" t="s">
        <v>870</v>
      </c>
      <c r="D636" s="55" t="s">
        <v>871</v>
      </c>
    </row>
    <row r="637" spans="1:5">
      <c r="A637" s="64"/>
      <c r="B637" s="119"/>
      <c r="C637" s="55" t="s">
        <v>872</v>
      </c>
      <c r="D637" s="55" t="s">
        <v>873</v>
      </c>
    </row>
    <row r="638" spans="1:5">
      <c r="A638" s="64"/>
      <c r="B638" s="119"/>
      <c r="C638" s="55" t="s">
        <v>874</v>
      </c>
      <c r="D638" s="55" t="s">
        <v>875</v>
      </c>
    </row>
    <row r="639" spans="1:5">
      <c r="A639" s="64"/>
      <c r="B639" s="119"/>
      <c r="C639" s="55" t="s">
        <v>876</v>
      </c>
      <c r="D639" s="55" t="s">
        <v>877</v>
      </c>
    </row>
    <row r="640" spans="1:5">
      <c r="A640" s="64"/>
      <c r="B640" s="119"/>
      <c r="C640" s="55" t="s">
        <v>878</v>
      </c>
      <c r="D640" s="55" t="s">
        <v>879</v>
      </c>
    </row>
    <row r="641" spans="1:4">
      <c r="A641" s="64"/>
      <c r="B641" s="119"/>
      <c r="C641" s="55" t="s">
        <v>880</v>
      </c>
      <c r="D641" s="55" t="s">
        <v>880</v>
      </c>
    </row>
    <row r="642" spans="1:4">
      <c r="A642" s="64"/>
      <c r="B642" s="119"/>
      <c r="C642" s="55" t="s">
        <v>164</v>
      </c>
      <c r="D642" s="55"/>
    </row>
    <row r="643" spans="1:4">
      <c r="A643" s="71"/>
      <c r="B643" s="71" t="s">
        <v>881</v>
      </c>
      <c r="C643" s="57" t="s">
        <v>882</v>
      </c>
      <c r="D643" s="57" t="s">
        <v>883</v>
      </c>
    </row>
    <row r="644" spans="1:4">
      <c r="A644" s="72"/>
      <c r="B644" s="72"/>
      <c r="C644" s="57" t="s">
        <v>884</v>
      </c>
      <c r="D644" s="57" t="s">
        <v>885</v>
      </c>
    </row>
    <row r="645" spans="1:4">
      <c r="A645" s="72"/>
      <c r="B645" s="72"/>
      <c r="C645" s="57" t="s">
        <v>886</v>
      </c>
      <c r="D645" s="57" t="s">
        <v>887</v>
      </c>
    </row>
    <row r="646" spans="1:4">
      <c r="A646" s="72"/>
      <c r="B646" s="72"/>
      <c r="C646" s="57" t="s">
        <v>888</v>
      </c>
      <c r="D646" s="57" t="s">
        <v>889</v>
      </c>
    </row>
    <row r="647" spans="1:4">
      <c r="A647" s="72"/>
      <c r="B647" s="72"/>
      <c r="C647" s="57" t="s">
        <v>890</v>
      </c>
      <c r="D647" s="57"/>
    </row>
    <row r="648" spans="1:4">
      <c r="A648" s="73"/>
      <c r="B648" s="73"/>
      <c r="C648" s="57" t="s">
        <v>164</v>
      </c>
      <c r="D648" s="57"/>
    </row>
    <row r="649" spans="1:4">
      <c r="A649" s="64"/>
      <c r="B649" s="119" t="s">
        <v>145</v>
      </c>
      <c r="C649" s="55" t="s">
        <v>891</v>
      </c>
      <c r="D649" s="55"/>
    </row>
    <row r="650" spans="1:4">
      <c r="A650" s="64"/>
      <c r="B650" s="119"/>
      <c r="C650" s="55" t="s">
        <v>892</v>
      </c>
      <c r="D650" s="55"/>
    </row>
    <row r="651" spans="1:4">
      <c r="A651" s="64"/>
      <c r="B651" s="119"/>
      <c r="C651" s="55" t="s">
        <v>893</v>
      </c>
      <c r="D651" s="55"/>
    </row>
    <row r="652" spans="1:4">
      <c r="A652" s="64"/>
      <c r="B652" s="119"/>
      <c r="C652" s="55" t="s">
        <v>894</v>
      </c>
      <c r="D652" s="55"/>
    </row>
    <row r="653" spans="1:4">
      <c r="A653" s="64"/>
      <c r="B653" s="119"/>
      <c r="C653" s="55" t="s">
        <v>164</v>
      </c>
      <c r="D653" s="55"/>
    </row>
    <row r="654" spans="1:4">
      <c r="A654" s="71"/>
      <c r="B654" s="71" t="s">
        <v>146</v>
      </c>
      <c r="C654" s="57" t="s">
        <v>895</v>
      </c>
      <c r="D654" s="57"/>
    </row>
    <row r="655" spans="1:4">
      <c r="A655" s="72"/>
      <c r="B655" s="72"/>
      <c r="C655" s="57" t="s">
        <v>896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897</v>
      </c>
      <c r="D657" s="55"/>
    </row>
    <row r="658" spans="1:6">
      <c r="A658" s="71"/>
      <c r="B658" s="71" t="s">
        <v>898</v>
      </c>
      <c r="C658" s="57" t="s">
        <v>899</v>
      </c>
      <c r="D658" s="57"/>
    </row>
    <row r="659" spans="1:6">
      <c r="A659" s="72"/>
      <c r="B659" s="72"/>
      <c r="C659" s="57" t="s">
        <v>900</v>
      </c>
      <c r="D659" s="57"/>
    </row>
    <row r="660" spans="1:6">
      <c r="A660" s="72"/>
      <c r="B660" s="72"/>
      <c r="C660" s="57" t="s">
        <v>901</v>
      </c>
      <c r="D660" s="57"/>
    </row>
    <row r="661" spans="1:6">
      <c r="A661" s="72"/>
      <c r="B661" s="72"/>
      <c r="C661" s="57" t="s">
        <v>902</v>
      </c>
      <c r="D661" s="57"/>
    </row>
    <row r="662" spans="1:6">
      <c r="A662" s="72"/>
      <c r="B662" s="72"/>
      <c r="C662" s="57" t="s">
        <v>903</v>
      </c>
      <c r="D662" s="57"/>
    </row>
    <row r="663" spans="1:6">
      <c r="A663" s="72"/>
      <c r="B663" s="72"/>
      <c r="C663" s="57" t="s">
        <v>904</v>
      </c>
      <c r="D663" s="57"/>
    </row>
    <row r="664" spans="1:6">
      <c r="A664" s="72"/>
      <c r="B664" s="72"/>
      <c r="C664" s="57" t="s">
        <v>164</v>
      </c>
      <c r="D664" s="57"/>
    </row>
    <row r="665" spans="1:6">
      <c r="A665" s="73"/>
      <c r="B665" s="73"/>
      <c r="C665" s="57" t="s">
        <v>905</v>
      </c>
      <c r="D665" s="57"/>
    </row>
    <row r="666" spans="1:6">
      <c r="A666" s="64"/>
      <c r="B666" s="119" t="s">
        <v>906</v>
      </c>
      <c r="C666" s="55" t="s">
        <v>907</v>
      </c>
      <c r="D666" s="55"/>
    </row>
    <row r="667" spans="1:6">
      <c r="A667" s="64"/>
      <c r="B667" s="119"/>
      <c r="C667" s="55" t="s">
        <v>908</v>
      </c>
      <c r="D667" s="55"/>
      <c r="F667" s="8"/>
    </row>
    <row r="668" spans="1:6">
      <c r="A668" s="71"/>
      <c r="B668" s="71" t="s">
        <v>909</v>
      </c>
      <c r="C668" s="57" t="s">
        <v>910</v>
      </c>
      <c r="D668" s="57"/>
    </row>
    <row r="669" spans="1:6">
      <c r="A669" s="72"/>
      <c r="B669" s="72"/>
      <c r="C669" s="57" t="s">
        <v>911</v>
      </c>
      <c r="D669" s="57"/>
    </row>
    <row r="670" spans="1:6">
      <c r="A670" s="72"/>
      <c r="B670" s="72"/>
      <c r="C670" s="57" t="s">
        <v>912</v>
      </c>
      <c r="D670" s="57"/>
    </row>
    <row r="671" spans="1:6">
      <c r="A671" s="72"/>
      <c r="B671" s="72"/>
      <c r="C671" s="57" t="s">
        <v>913</v>
      </c>
      <c r="D671" s="57"/>
    </row>
    <row r="672" spans="1:6">
      <c r="A672" s="72"/>
      <c r="B672" s="72"/>
      <c r="C672" s="57" t="s">
        <v>914</v>
      </c>
      <c r="D672" s="57"/>
    </row>
    <row r="673" spans="1:4">
      <c r="A673" s="72"/>
      <c r="B673" s="72"/>
      <c r="C673" s="57" t="s">
        <v>915</v>
      </c>
      <c r="D673" s="57"/>
    </row>
    <row r="674" spans="1:4">
      <c r="A674" s="72"/>
      <c r="B674" s="72"/>
      <c r="C674" s="57" t="s">
        <v>916</v>
      </c>
      <c r="D674" s="57"/>
    </row>
    <row r="675" spans="1:4">
      <c r="A675" s="72"/>
      <c r="B675" s="72"/>
      <c r="C675" s="57" t="s">
        <v>917</v>
      </c>
      <c r="D675" s="57"/>
    </row>
    <row r="676" spans="1:4">
      <c r="A676" s="72"/>
      <c r="B676" s="72"/>
      <c r="C676" s="57" t="s">
        <v>918</v>
      </c>
      <c r="D676" s="57"/>
    </row>
    <row r="677" spans="1:4">
      <c r="A677" s="72"/>
      <c r="B677" s="72"/>
      <c r="C677" s="57" t="s">
        <v>919</v>
      </c>
      <c r="D677" s="57"/>
    </row>
    <row r="678" spans="1:4">
      <c r="A678" s="72"/>
      <c r="B678" s="72"/>
      <c r="C678" s="57" t="s">
        <v>567</v>
      </c>
      <c r="D678" s="57"/>
    </row>
    <row r="679" spans="1:4">
      <c r="A679" s="73"/>
      <c r="B679" s="73"/>
      <c r="C679" s="57" t="s">
        <v>905</v>
      </c>
      <c r="D679" s="57"/>
    </row>
    <row r="680" spans="1:4">
      <c r="A680" s="93"/>
      <c r="B680" s="93" t="s">
        <v>920</v>
      </c>
      <c r="C680" s="55" t="s">
        <v>899</v>
      </c>
      <c r="D680" s="55"/>
    </row>
    <row r="681" spans="1:4">
      <c r="A681" s="95"/>
      <c r="B681" s="95"/>
      <c r="C681" s="55" t="s">
        <v>900</v>
      </c>
      <c r="D681" s="55"/>
    </row>
    <row r="682" spans="1:4">
      <c r="A682" s="95"/>
      <c r="B682" s="95"/>
      <c r="C682" s="55" t="s">
        <v>901</v>
      </c>
      <c r="D682" s="55"/>
    </row>
    <row r="683" spans="1:4">
      <c r="A683" s="95"/>
      <c r="B683" s="95"/>
      <c r="C683" s="55" t="s">
        <v>902</v>
      </c>
      <c r="D683" s="55"/>
    </row>
    <row r="684" spans="1:4">
      <c r="A684" s="95"/>
      <c r="B684" s="95"/>
      <c r="C684" s="55" t="s">
        <v>903</v>
      </c>
      <c r="D684" s="55"/>
    </row>
    <row r="685" spans="1:4">
      <c r="A685" s="95"/>
      <c r="B685" s="95"/>
      <c r="C685" s="55" t="s">
        <v>904</v>
      </c>
      <c r="D685" s="55"/>
    </row>
    <row r="686" spans="1:4">
      <c r="A686" s="95"/>
      <c r="B686" s="95"/>
      <c r="C686" s="55" t="s">
        <v>164</v>
      </c>
      <c r="D686" s="55"/>
    </row>
    <row r="687" spans="1:4">
      <c r="A687" s="95"/>
      <c r="B687" s="95"/>
      <c r="C687" s="55" t="s">
        <v>905</v>
      </c>
      <c r="D687" s="55"/>
    </row>
    <row r="688" spans="1:4">
      <c r="A688" s="71"/>
      <c r="B688" s="68" t="s">
        <v>921</v>
      </c>
      <c r="C688" s="57" t="s">
        <v>922</v>
      </c>
      <c r="D688" s="57"/>
    </row>
    <row r="689" spans="1:4">
      <c r="A689" s="72"/>
      <c r="B689" s="70"/>
      <c r="C689" s="57" t="s">
        <v>923</v>
      </c>
      <c r="D689" s="57"/>
    </row>
    <row r="690" spans="1:4">
      <c r="A690" s="93"/>
      <c r="B690" s="93" t="s">
        <v>924</v>
      </c>
      <c r="C690" s="55" t="s">
        <v>925</v>
      </c>
      <c r="D690" s="55"/>
    </row>
    <row r="691" spans="1:4">
      <c r="A691" s="95"/>
      <c r="B691" s="95"/>
      <c r="C691" s="55" t="s">
        <v>926</v>
      </c>
      <c r="D691" s="55"/>
    </row>
    <row r="692" spans="1:4">
      <c r="A692" s="71"/>
      <c r="B692" s="71" t="s">
        <v>927</v>
      </c>
      <c r="C692" s="57" t="s">
        <v>928</v>
      </c>
      <c r="D692" s="57"/>
    </row>
    <row r="693" spans="1:4">
      <c r="A693" s="72"/>
      <c r="B693" s="72"/>
      <c r="C693" s="57" t="s">
        <v>744</v>
      </c>
      <c r="D693" s="57"/>
    </row>
    <row r="694" spans="1:4">
      <c r="A694" s="72"/>
      <c r="B694" s="72"/>
      <c r="C694" s="57" t="s">
        <v>929</v>
      </c>
      <c r="D694" s="57"/>
    </row>
    <row r="695" spans="1:4">
      <c r="A695" s="72"/>
      <c r="B695" s="72"/>
      <c r="C695" s="57" t="s">
        <v>930</v>
      </c>
      <c r="D695" s="57"/>
    </row>
    <row r="696" spans="1:4">
      <c r="A696" s="72"/>
      <c r="B696" s="72"/>
      <c r="C696" s="57" t="s">
        <v>931</v>
      </c>
      <c r="D696" s="57"/>
    </row>
    <row r="697" spans="1:4">
      <c r="A697" s="72"/>
      <c r="B697" s="72"/>
      <c r="C697" s="57" t="s">
        <v>144</v>
      </c>
      <c r="D697" s="57"/>
    </row>
    <row r="698" spans="1:4">
      <c r="A698" s="72"/>
      <c r="B698" s="72"/>
      <c r="C698" s="57" t="s">
        <v>932</v>
      </c>
      <c r="D698" s="57"/>
    </row>
    <row r="699" spans="1:4">
      <c r="A699" s="72"/>
      <c r="B699" s="72"/>
      <c r="C699" s="57" t="s">
        <v>933</v>
      </c>
      <c r="D699" s="57"/>
    </row>
    <row r="700" spans="1:4">
      <c r="A700" s="72"/>
      <c r="B700" s="72"/>
      <c r="C700" s="57" t="s">
        <v>164</v>
      </c>
      <c r="D700" s="57"/>
    </row>
    <row r="701" spans="1:4">
      <c r="A701" s="93"/>
      <c r="B701" s="93" t="s">
        <v>934</v>
      </c>
      <c r="C701" s="55" t="s">
        <v>433</v>
      </c>
      <c r="D701" s="55"/>
    </row>
    <row r="702" spans="1:4">
      <c r="A702" s="95"/>
      <c r="B702" s="95"/>
      <c r="C702" s="55" t="s">
        <v>434</v>
      </c>
      <c r="D702" s="55"/>
    </row>
    <row r="703" spans="1:4">
      <c r="A703" s="95"/>
      <c r="B703" s="95"/>
      <c r="C703" s="55" t="s">
        <v>435</v>
      </c>
      <c r="D703" s="55"/>
    </row>
    <row r="704" spans="1:4">
      <c r="A704" s="95"/>
      <c r="B704" s="95"/>
      <c r="C704" s="55" t="s">
        <v>436</v>
      </c>
      <c r="D704" s="55"/>
    </row>
    <row r="705" spans="1:5">
      <c r="A705" s="95"/>
      <c r="B705" s="95"/>
      <c r="C705" s="55" t="s">
        <v>437</v>
      </c>
      <c r="D705" s="55"/>
    </row>
    <row r="706" spans="1:5">
      <c r="A706" s="95"/>
      <c r="B706" s="95"/>
      <c r="C706" s="55" t="s">
        <v>438</v>
      </c>
      <c r="D706" s="55"/>
    </row>
    <row r="707" spans="1:5">
      <c r="A707" s="95"/>
      <c r="B707" s="95"/>
      <c r="C707" s="55" t="s">
        <v>440</v>
      </c>
      <c r="D707" s="55"/>
    </row>
    <row r="708" spans="1:5">
      <c r="A708" s="95"/>
      <c r="B708" s="95"/>
      <c r="C708" s="55" t="s">
        <v>441</v>
      </c>
      <c r="D708" s="55"/>
    </row>
    <row r="709" spans="1:5">
      <c r="A709" s="95"/>
      <c r="B709" s="95"/>
      <c r="C709" s="55" t="s">
        <v>442</v>
      </c>
      <c r="D709" s="55"/>
    </row>
    <row r="710" spans="1:5">
      <c r="A710" s="95"/>
      <c r="B710" s="95"/>
      <c r="C710" s="55" t="s">
        <v>443</v>
      </c>
      <c r="D710" s="55"/>
    </row>
    <row r="711" spans="1:5">
      <c r="A711" s="95"/>
      <c r="B711" s="95"/>
      <c r="C711" s="55" t="s">
        <v>444</v>
      </c>
      <c r="D711" s="55"/>
    </row>
    <row r="712" spans="1:5">
      <c r="A712" s="95"/>
      <c r="B712" s="95"/>
      <c r="C712" s="55" t="s">
        <v>445</v>
      </c>
      <c r="D712" s="55"/>
    </row>
    <row r="713" spans="1:5">
      <c r="A713" s="95"/>
      <c r="B713" s="95"/>
      <c r="C713" s="55" t="s">
        <v>446</v>
      </c>
      <c r="D713" s="55"/>
    </row>
    <row r="714" spans="1:5">
      <c r="A714" s="95"/>
      <c r="B714" s="95"/>
      <c r="C714" s="55" t="s">
        <v>447</v>
      </c>
      <c r="D714" s="55"/>
    </row>
    <row r="715" spans="1:5">
      <c r="A715" s="95"/>
      <c r="B715" s="95"/>
      <c r="C715" s="55" t="s">
        <v>448</v>
      </c>
      <c r="D715" s="55"/>
    </row>
    <row r="716" spans="1:5">
      <c r="A716" s="95"/>
      <c r="B716" s="95"/>
      <c r="C716" s="55" t="s">
        <v>449</v>
      </c>
      <c r="D716" s="55" t="s">
        <v>450</v>
      </c>
      <c r="E716" t="s">
        <v>215</v>
      </c>
    </row>
    <row r="717" spans="1:5">
      <c r="A717" s="95"/>
      <c r="B717" s="95"/>
      <c r="C717" s="55" t="s">
        <v>451</v>
      </c>
      <c r="D717" s="55"/>
    </row>
    <row r="718" spans="1:5">
      <c r="A718" s="95"/>
      <c r="B718" s="95"/>
      <c r="C718" s="55" t="s">
        <v>452</v>
      </c>
      <c r="D718" s="55"/>
    </row>
    <row r="719" spans="1:5">
      <c r="A719" s="95"/>
      <c r="B719" s="95"/>
      <c r="C719" s="55" t="s">
        <v>453</v>
      </c>
      <c r="D719" s="55"/>
    </row>
    <row r="720" spans="1:5">
      <c r="A720" s="95"/>
      <c r="B720" s="95"/>
      <c r="C720" s="55" t="s">
        <v>454</v>
      </c>
      <c r="D720" s="55"/>
    </row>
    <row r="721" spans="1:4">
      <c r="A721" s="95"/>
      <c r="B721" s="95"/>
      <c r="C721" s="55" t="s">
        <v>455</v>
      </c>
      <c r="D721" s="55"/>
    </row>
    <row r="722" spans="1:4">
      <c r="A722" s="95"/>
      <c r="B722" s="95"/>
      <c r="C722" s="55" t="s">
        <v>456</v>
      </c>
      <c r="D722" s="55"/>
    </row>
    <row r="723" spans="1:4">
      <c r="A723" s="95"/>
      <c r="B723" s="95"/>
      <c r="C723" s="55" t="s">
        <v>457</v>
      </c>
      <c r="D723" s="55"/>
    </row>
    <row r="724" spans="1:4">
      <c r="A724" s="95"/>
      <c r="B724" s="95"/>
      <c r="C724" s="55" t="s">
        <v>458</v>
      </c>
      <c r="D724" s="55"/>
    </row>
    <row r="725" spans="1:4">
      <c r="A725" s="95"/>
      <c r="B725" s="95"/>
      <c r="C725" s="55" t="s">
        <v>459</v>
      </c>
      <c r="D725" s="55"/>
    </row>
    <row r="726" spans="1:4">
      <c r="A726" s="95"/>
      <c r="B726" s="95"/>
      <c r="C726" s="55" t="s">
        <v>460</v>
      </c>
      <c r="D726" s="55"/>
    </row>
    <row r="727" spans="1:4">
      <c r="A727" s="95"/>
      <c r="B727" s="95"/>
      <c r="C727" s="55" t="s">
        <v>461</v>
      </c>
      <c r="D727" s="55"/>
    </row>
    <row r="728" spans="1:4">
      <c r="A728" s="95"/>
      <c r="B728" s="95"/>
      <c r="C728" s="55" t="s">
        <v>462</v>
      </c>
      <c r="D728" s="55"/>
    </row>
    <row r="729" spans="1:4">
      <c r="A729" s="95"/>
      <c r="B729" s="95"/>
      <c r="C729" s="55" t="s">
        <v>463</v>
      </c>
      <c r="D729" s="55"/>
    </row>
    <row r="730" spans="1:4">
      <c r="A730" s="95"/>
      <c r="B730" s="95"/>
      <c r="C730" s="55" t="s">
        <v>464</v>
      </c>
      <c r="D730" s="55"/>
    </row>
    <row r="731" spans="1:4">
      <c r="A731" s="95"/>
      <c r="B731" s="95"/>
      <c r="C731" s="55" t="s">
        <v>465</v>
      </c>
      <c r="D731" s="55"/>
    </row>
    <row r="732" spans="1:4">
      <c r="A732" s="95"/>
      <c r="B732" s="95"/>
      <c r="C732" s="55" t="s">
        <v>466</v>
      </c>
      <c r="D732" s="55"/>
    </row>
    <row r="733" spans="1:4">
      <c r="A733" s="95"/>
      <c r="B733" s="95"/>
      <c r="C733" s="55" t="s">
        <v>467</v>
      </c>
      <c r="D733" s="55"/>
    </row>
    <row r="734" spans="1:4">
      <c r="A734" s="95"/>
      <c r="B734" s="95"/>
      <c r="C734" s="55" t="s">
        <v>468</v>
      </c>
      <c r="D734" s="55"/>
    </row>
    <row r="735" spans="1:4">
      <c r="A735" s="95"/>
      <c r="B735" s="95"/>
      <c r="C735" s="55" t="s">
        <v>469</v>
      </c>
      <c r="D735" s="55"/>
    </row>
    <row r="736" spans="1:4">
      <c r="A736" s="95"/>
      <c r="B736" s="95"/>
      <c r="C736" s="55" t="s">
        <v>470</v>
      </c>
      <c r="D736" s="55"/>
    </row>
    <row r="737" spans="1:4">
      <c r="A737" s="95"/>
      <c r="B737" s="95"/>
      <c r="C737" s="55" t="s">
        <v>471</v>
      </c>
      <c r="D737" s="55"/>
    </row>
    <row r="738" spans="1:4">
      <c r="A738" s="95"/>
      <c r="B738" s="95"/>
      <c r="C738" s="55" t="s">
        <v>472</v>
      </c>
      <c r="D738" s="55"/>
    </row>
    <row r="739" spans="1:4">
      <c r="A739" s="95"/>
      <c r="B739" s="95"/>
      <c r="C739" s="55" t="s">
        <v>473</v>
      </c>
      <c r="D739" s="55"/>
    </row>
    <row r="740" spans="1:4">
      <c r="A740" s="95"/>
      <c r="B740" s="95"/>
      <c r="C740" s="55" t="s">
        <v>474</v>
      </c>
      <c r="D740" s="55"/>
    </row>
    <row r="741" spans="1:4">
      <c r="A741" s="95"/>
      <c r="B741" s="95"/>
      <c r="C741" s="55" t="s">
        <v>475</v>
      </c>
      <c r="D741" s="55"/>
    </row>
    <row r="742" spans="1:4">
      <c r="A742" s="95"/>
      <c r="B742" s="95"/>
      <c r="C742" s="55" t="s">
        <v>476</v>
      </c>
      <c r="D742" s="55"/>
    </row>
    <row r="743" spans="1:4">
      <c r="A743" s="95"/>
      <c r="B743" s="95"/>
      <c r="C743" s="55" t="s">
        <v>477</v>
      </c>
      <c r="D743" s="55"/>
    </row>
    <row r="744" spans="1:4">
      <c r="A744" s="95"/>
      <c r="B744" s="95"/>
      <c r="C744" s="55" t="s">
        <v>478</v>
      </c>
      <c r="D744" s="55"/>
    </row>
    <row r="745" spans="1:4">
      <c r="A745" s="95"/>
      <c r="B745" s="95"/>
      <c r="C745" s="55" t="s">
        <v>479</v>
      </c>
      <c r="D745" s="55"/>
    </row>
    <row r="746" spans="1:4">
      <c r="A746" s="95"/>
      <c r="B746" s="95"/>
      <c r="C746" s="55" t="s">
        <v>480</v>
      </c>
      <c r="D746" s="55"/>
    </row>
    <row r="747" spans="1:4">
      <c r="A747" s="95"/>
      <c r="B747" s="95"/>
      <c r="C747" s="55" t="s">
        <v>481</v>
      </c>
      <c r="D747" s="55"/>
    </row>
    <row r="748" spans="1:4">
      <c r="A748" s="95"/>
      <c r="B748" s="95"/>
      <c r="C748" s="55" t="s">
        <v>482</v>
      </c>
      <c r="D748" s="55"/>
    </row>
    <row r="749" spans="1:4">
      <c r="A749" s="95"/>
      <c r="B749" s="95"/>
      <c r="C749" s="55" t="s">
        <v>483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208</v>
      </c>
      <c r="D751" s="55"/>
    </row>
    <row r="752" spans="1:4">
      <c r="A752" s="95"/>
      <c r="B752" s="95"/>
      <c r="C752" s="55" t="s">
        <v>209</v>
      </c>
      <c r="D752" s="55"/>
    </row>
    <row r="753" spans="1:4">
      <c r="A753" s="95"/>
      <c r="B753" s="95"/>
      <c r="C753" s="55" t="s">
        <v>210</v>
      </c>
      <c r="D753" s="55"/>
    </row>
    <row r="754" spans="1:4">
      <c r="A754" s="95"/>
      <c r="B754" s="95"/>
      <c r="C754" s="55" t="s">
        <v>211</v>
      </c>
      <c r="D754" s="55"/>
    </row>
    <row r="755" spans="1:4">
      <c r="A755" s="95"/>
      <c r="B755" s="95"/>
      <c r="C755" s="55" t="s">
        <v>212</v>
      </c>
      <c r="D755" s="55"/>
    </row>
    <row r="756" spans="1:4">
      <c r="A756" s="95"/>
      <c r="B756" s="95"/>
      <c r="C756" s="55" t="s">
        <v>213</v>
      </c>
      <c r="D756" s="55"/>
    </row>
    <row r="757" spans="1:4">
      <c r="A757" s="95"/>
      <c r="B757" s="95"/>
      <c r="C757" s="55" t="s">
        <v>214</v>
      </c>
      <c r="D757" s="55"/>
    </row>
    <row r="758" spans="1:4">
      <c r="A758" s="95"/>
      <c r="B758" s="95"/>
      <c r="C758" s="55" t="s">
        <v>216</v>
      </c>
      <c r="D758" s="55"/>
    </row>
    <row r="759" spans="1:4">
      <c r="A759" s="95"/>
      <c r="B759" s="95"/>
      <c r="C759" s="55" t="s">
        <v>217</v>
      </c>
      <c r="D759" s="55"/>
    </row>
    <row r="760" spans="1:4">
      <c r="A760" s="95"/>
      <c r="B760" s="95"/>
      <c r="C760" s="55" t="s">
        <v>218</v>
      </c>
      <c r="D760" s="55"/>
    </row>
    <row r="761" spans="1:4">
      <c r="A761" s="95"/>
      <c r="B761" s="95"/>
      <c r="C761" s="55" t="s">
        <v>219</v>
      </c>
      <c r="D761" s="55"/>
    </row>
    <row r="762" spans="1:4">
      <c r="A762" s="95"/>
      <c r="B762" s="95"/>
      <c r="C762" s="55" t="s">
        <v>220</v>
      </c>
      <c r="D762" s="55"/>
    </row>
    <row r="763" spans="1:4">
      <c r="A763" s="95"/>
      <c r="B763" s="95"/>
      <c r="C763" s="55" t="s">
        <v>221</v>
      </c>
      <c r="D763" s="55"/>
    </row>
    <row r="764" spans="1:4">
      <c r="A764" s="95"/>
      <c r="B764" s="95"/>
      <c r="C764" s="55" t="s">
        <v>222</v>
      </c>
      <c r="D764" s="55"/>
    </row>
    <row r="765" spans="1:4">
      <c r="A765" s="95"/>
      <c r="B765" s="95"/>
      <c r="C765" s="55" t="s">
        <v>223</v>
      </c>
      <c r="D765" s="55"/>
    </row>
    <row r="766" spans="1:4">
      <c r="A766" s="95"/>
      <c r="B766" s="95"/>
      <c r="C766" s="55" t="s">
        <v>224</v>
      </c>
      <c r="D766" s="55"/>
    </row>
    <row r="767" spans="1:4">
      <c r="A767" s="95"/>
      <c r="B767" s="95"/>
      <c r="C767" s="55" t="s">
        <v>74</v>
      </c>
      <c r="D767" s="55"/>
    </row>
    <row r="768" spans="1:4">
      <c r="A768" s="95"/>
      <c r="B768" s="95"/>
      <c r="C768" s="55" t="s">
        <v>225</v>
      </c>
      <c r="D768" s="55"/>
    </row>
    <row r="769" spans="1:5">
      <c r="A769" s="95"/>
      <c r="B769" s="95"/>
      <c r="C769" s="55" t="s">
        <v>226</v>
      </c>
      <c r="D769" s="55"/>
    </row>
    <row r="770" spans="1:5">
      <c r="A770" s="95"/>
      <c r="B770" s="95"/>
      <c r="C770" s="55" t="s">
        <v>227</v>
      </c>
      <c r="D770" s="55"/>
    </row>
    <row r="771" spans="1:5">
      <c r="A771" s="95"/>
      <c r="B771" s="95"/>
      <c r="C771" s="55" t="s">
        <v>228</v>
      </c>
      <c r="D771" s="55"/>
    </row>
    <row r="772" spans="1:5">
      <c r="A772" s="95"/>
      <c r="B772" s="95"/>
      <c r="C772" s="55" t="s">
        <v>229</v>
      </c>
      <c r="D772" s="55"/>
    </row>
    <row r="773" spans="1:5">
      <c r="A773" s="95"/>
      <c r="B773" s="95"/>
      <c r="C773" s="55" t="s">
        <v>230</v>
      </c>
      <c r="D773" s="55"/>
    </row>
    <row r="774" spans="1:5">
      <c r="A774" s="95"/>
      <c r="B774" s="95"/>
      <c r="C774" s="55" t="s">
        <v>231</v>
      </c>
      <c r="D774" s="55"/>
    </row>
    <row r="775" spans="1:5">
      <c r="A775" s="95"/>
      <c r="B775" s="95"/>
      <c r="C775" s="55" t="s">
        <v>232</v>
      </c>
      <c r="D775" s="55"/>
    </row>
    <row r="776" spans="1:5">
      <c r="A776" s="95"/>
      <c r="B776" s="95"/>
      <c r="C776" s="55" t="s">
        <v>233</v>
      </c>
      <c r="D776" s="55"/>
    </row>
    <row r="777" spans="1:5">
      <c r="A777" s="95"/>
      <c r="B777" s="95"/>
      <c r="C777" s="55" t="s">
        <v>234</v>
      </c>
      <c r="D777" s="55"/>
    </row>
    <row r="778" spans="1:5">
      <c r="A778" s="95"/>
      <c r="B778" s="95"/>
      <c r="C778" s="55" t="s">
        <v>235</v>
      </c>
      <c r="D778" s="55"/>
    </row>
    <row r="779" spans="1:5">
      <c r="A779" s="95"/>
      <c r="B779" s="95"/>
      <c r="C779" s="55" t="s">
        <v>236</v>
      </c>
      <c r="D779" s="55"/>
    </row>
    <row r="780" spans="1:5">
      <c r="A780" s="95"/>
      <c r="B780" s="95"/>
      <c r="C780" s="55" t="s">
        <v>237</v>
      </c>
      <c r="D780" s="55"/>
    </row>
    <row r="781" spans="1:5">
      <c r="A781" s="95"/>
      <c r="B781" s="95"/>
      <c r="C781" s="55" t="s">
        <v>238</v>
      </c>
      <c r="D781" s="55"/>
    </row>
    <row r="782" spans="1:5">
      <c r="A782" s="95"/>
      <c r="B782" s="95"/>
      <c r="C782" s="55" t="s">
        <v>239</v>
      </c>
      <c r="D782" s="55"/>
      <c r="E782" t="s">
        <v>215</v>
      </c>
    </row>
    <row r="783" spans="1:5">
      <c r="A783" s="95"/>
      <c r="B783" s="95"/>
      <c r="C783" s="55" t="s">
        <v>240</v>
      </c>
      <c r="D783" s="55"/>
      <c r="E783" t="s">
        <v>215</v>
      </c>
    </row>
    <row r="784" spans="1:5">
      <c r="A784" s="95"/>
      <c r="B784" s="95"/>
      <c r="C784" s="55" t="s">
        <v>243</v>
      </c>
      <c r="D784" s="55"/>
      <c r="E784" t="s">
        <v>215</v>
      </c>
    </row>
    <row r="785" spans="1:5">
      <c r="A785" s="95"/>
      <c r="B785" s="95"/>
      <c r="C785" s="55" t="s">
        <v>244</v>
      </c>
      <c r="D785" s="55"/>
    </row>
    <row r="786" spans="1:5">
      <c r="A786" s="95"/>
      <c r="B786" s="95"/>
      <c r="C786" s="55" t="s">
        <v>245</v>
      </c>
      <c r="D786" s="55"/>
    </row>
    <row r="787" spans="1:5">
      <c r="A787" s="95"/>
      <c r="B787" s="95"/>
      <c r="C787" s="55" t="s">
        <v>246</v>
      </c>
      <c r="D787" s="55"/>
    </row>
    <row r="788" spans="1:5">
      <c r="A788" s="95"/>
      <c r="B788" s="95"/>
      <c r="C788" s="55" t="s">
        <v>247</v>
      </c>
      <c r="D788" s="55"/>
    </row>
    <row r="789" spans="1:5">
      <c r="A789" s="95"/>
      <c r="B789" s="95"/>
      <c r="C789" s="55" t="s">
        <v>248</v>
      </c>
      <c r="D789" s="55"/>
    </row>
    <row r="790" spans="1:5">
      <c r="A790" s="95"/>
      <c r="B790" s="95"/>
      <c r="C790" s="55" t="s">
        <v>249</v>
      </c>
      <c r="D790" s="55"/>
      <c r="E790" t="s">
        <v>215</v>
      </c>
    </row>
    <row r="791" spans="1:5">
      <c r="A791" s="95"/>
      <c r="B791" s="95"/>
      <c r="C791" s="55" t="s">
        <v>250</v>
      </c>
      <c r="D791" s="55"/>
    </row>
    <row r="792" spans="1:5">
      <c r="A792" s="95"/>
      <c r="B792" s="95"/>
      <c r="C792" s="55" t="s">
        <v>251</v>
      </c>
      <c r="D792" s="55"/>
    </row>
    <row r="793" spans="1:5">
      <c r="A793" s="95"/>
      <c r="B793" s="95"/>
      <c r="C793" s="55" t="s">
        <v>252</v>
      </c>
      <c r="D793" s="55"/>
    </row>
    <row r="794" spans="1:5">
      <c r="A794" s="95"/>
      <c r="B794" s="95"/>
      <c r="C794" s="55" t="s">
        <v>935</v>
      </c>
      <c r="D794" s="55"/>
    </row>
    <row r="795" spans="1:5">
      <c r="A795" s="95"/>
      <c r="B795" s="95"/>
      <c r="C795" s="55" t="s">
        <v>253</v>
      </c>
      <c r="D795" s="55"/>
    </row>
    <row r="796" spans="1:5">
      <c r="A796" s="95"/>
      <c r="B796" s="95"/>
      <c r="C796" s="55" t="s">
        <v>254</v>
      </c>
      <c r="D796" s="55"/>
    </row>
    <row r="797" spans="1:5">
      <c r="A797" s="95"/>
      <c r="B797" s="95"/>
      <c r="C797" s="55" t="s">
        <v>255</v>
      </c>
      <c r="D797" s="55"/>
    </row>
    <row r="798" spans="1:5">
      <c r="A798" s="95"/>
      <c r="B798" s="95"/>
      <c r="C798" s="55" t="s">
        <v>256</v>
      </c>
      <c r="D798" s="55"/>
    </row>
    <row r="799" spans="1:5">
      <c r="A799" s="95"/>
      <c r="B799" s="95"/>
      <c r="C799" s="55" t="s">
        <v>257</v>
      </c>
      <c r="D799" s="55"/>
    </row>
    <row r="800" spans="1:5">
      <c r="A800" s="95"/>
      <c r="B800" s="95"/>
      <c r="C800" s="55" t="s">
        <v>258</v>
      </c>
      <c r="D800" s="55"/>
    </row>
    <row r="801" spans="1:5">
      <c r="A801" s="95"/>
      <c r="B801" s="95"/>
      <c r="C801" s="55" t="s">
        <v>259</v>
      </c>
      <c r="D801" s="55"/>
    </row>
    <row r="802" spans="1:5">
      <c r="A802" s="95"/>
      <c r="B802" s="95"/>
      <c r="C802" s="55" t="s">
        <v>260</v>
      </c>
      <c r="D802" s="55"/>
    </row>
    <row r="803" spans="1:5">
      <c r="A803" s="95"/>
      <c r="B803" s="95"/>
      <c r="C803" s="55" t="s">
        <v>261</v>
      </c>
      <c r="D803" s="55"/>
    </row>
    <row r="804" spans="1:5">
      <c r="A804" s="95"/>
      <c r="B804" s="95"/>
      <c r="C804" s="55" t="s">
        <v>262</v>
      </c>
      <c r="D804" s="55"/>
    </row>
    <row r="805" spans="1:5">
      <c r="A805" s="95"/>
      <c r="B805" s="95"/>
      <c r="C805" s="55" t="s">
        <v>263</v>
      </c>
      <c r="D805" s="55"/>
    </row>
    <row r="806" spans="1:5">
      <c r="A806" s="95"/>
      <c r="B806" s="95"/>
      <c r="C806" s="55" t="s">
        <v>264</v>
      </c>
      <c r="D806" s="55"/>
    </row>
    <row r="807" spans="1:5">
      <c r="A807" s="95"/>
      <c r="B807" s="95"/>
      <c r="C807" s="55" t="s">
        <v>265</v>
      </c>
      <c r="D807" s="55"/>
    </row>
    <row r="808" spans="1:5">
      <c r="A808" s="95"/>
      <c r="B808" s="95"/>
      <c r="C808" s="55" t="s">
        <v>267</v>
      </c>
      <c r="D808" s="55"/>
    </row>
    <row r="809" spans="1:5">
      <c r="A809" s="95"/>
      <c r="B809" s="95"/>
      <c r="C809" s="55" t="s">
        <v>266</v>
      </c>
      <c r="D809" s="55"/>
      <c r="E809" t="s">
        <v>215</v>
      </c>
    </row>
    <row r="810" spans="1:5">
      <c r="A810" s="95"/>
      <c r="B810" s="95"/>
      <c r="C810" s="55" t="s">
        <v>268</v>
      </c>
      <c r="D810" s="55"/>
    </row>
    <row r="811" spans="1:5">
      <c r="A811" s="95"/>
      <c r="B811" s="95"/>
      <c r="C811" s="55" t="s">
        <v>269</v>
      </c>
      <c r="D811" s="55"/>
    </row>
    <row r="812" spans="1:5">
      <c r="A812" s="95"/>
      <c r="B812" s="95"/>
      <c r="C812" s="55" t="s">
        <v>270</v>
      </c>
      <c r="D812" s="55"/>
    </row>
    <row r="813" spans="1:5">
      <c r="A813" s="95"/>
      <c r="B813" s="95"/>
      <c r="C813" s="55" t="s">
        <v>271</v>
      </c>
      <c r="D813" s="55"/>
    </row>
    <row r="814" spans="1:5">
      <c r="A814" s="95"/>
      <c r="B814" s="95"/>
      <c r="C814" s="55" t="s">
        <v>272</v>
      </c>
      <c r="D814" s="55"/>
    </row>
    <row r="815" spans="1:5">
      <c r="A815" s="95"/>
      <c r="B815" s="95"/>
      <c r="C815" s="55" t="s">
        <v>273</v>
      </c>
      <c r="D815" s="55"/>
    </row>
    <row r="816" spans="1:5">
      <c r="A816" s="95"/>
      <c r="B816" s="95"/>
      <c r="C816" s="55" t="s">
        <v>274</v>
      </c>
      <c r="D816" s="55"/>
    </row>
    <row r="817" spans="1:4">
      <c r="A817" s="95"/>
      <c r="B817" s="95"/>
      <c r="C817" s="55" t="s">
        <v>275</v>
      </c>
      <c r="D817" s="55"/>
    </row>
    <row r="818" spans="1:4">
      <c r="A818" s="95"/>
      <c r="B818" s="95"/>
      <c r="C818" s="55" t="s">
        <v>276</v>
      </c>
      <c r="D818" s="55"/>
    </row>
    <row r="819" spans="1:4">
      <c r="A819" s="95"/>
      <c r="B819" s="95"/>
      <c r="C819" s="55" t="s">
        <v>277</v>
      </c>
      <c r="D819" s="55"/>
    </row>
    <row r="820" spans="1:4">
      <c r="A820" s="95"/>
      <c r="B820" s="95"/>
      <c r="C820" s="55" t="s">
        <v>278</v>
      </c>
      <c r="D820" s="55"/>
    </row>
    <row r="821" spans="1:4">
      <c r="A821" s="95"/>
      <c r="B821" s="95"/>
      <c r="C821" s="55" t="s">
        <v>279</v>
      </c>
      <c r="D821" s="55"/>
    </row>
    <row r="822" spans="1:4">
      <c r="A822" s="95"/>
      <c r="B822" s="95"/>
      <c r="C822" s="55" t="s">
        <v>280</v>
      </c>
      <c r="D822" s="55"/>
    </row>
    <row r="823" spans="1:4">
      <c r="A823" s="95"/>
      <c r="B823" s="95"/>
      <c r="C823" s="55" t="s">
        <v>281</v>
      </c>
      <c r="D823" s="55"/>
    </row>
    <row r="824" spans="1:4">
      <c r="A824" s="95"/>
      <c r="B824" s="95"/>
      <c r="C824" s="55" t="s">
        <v>282</v>
      </c>
      <c r="D824" s="55"/>
    </row>
    <row r="825" spans="1:4">
      <c r="A825" s="95"/>
      <c r="B825" s="95"/>
      <c r="C825" s="55" t="s">
        <v>283</v>
      </c>
      <c r="D825" s="55"/>
    </row>
    <row r="826" spans="1:4">
      <c r="A826" s="95"/>
      <c r="B826" s="95"/>
      <c r="C826" s="55" t="s">
        <v>284</v>
      </c>
      <c r="D826" s="55"/>
    </row>
    <row r="827" spans="1:4">
      <c r="A827" s="95"/>
      <c r="B827" s="95"/>
      <c r="C827" s="55" t="s">
        <v>285</v>
      </c>
      <c r="D827" s="55"/>
    </row>
    <row r="828" spans="1:4">
      <c r="A828" s="95"/>
      <c r="B828" s="95"/>
      <c r="C828" s="55" t="s">
        <v>286</v>
      </c>
      <c r="D828" s="55"/>
    </row>
    <row r="829" spans="1:4">
      <c r="A829" s="95"/>
      <c r="B829" s="95"/>
      <c r="C829" s="55" t="s">
        <v>287</v>
      </c>
      <c r="D829" s="55"/>
    </row>
    <row r="830" spans="1:4">
      <c r="A830" s="95"/>
      <c r="B830" s="95"/>
      <c r="C830" s="55" t="s">
        <v>288</v>
      </c>
      <c r="D830" s="55"/>
    </row>
    <row r="831" spans="1:4">
      <c r="A831" s="95"/>
      <c r="B831" s="95"/>
      <c r="C831" s="55" t="s">
        <v>936</v>
      </c>
      <c r="D831" s="127" t="s">
        <v>937</v>
      </c>
    </row>
    <row r="832" spans="1:4">
      <c r="A832" s="95"/>
      <c r="B832" s="95"/>
      <c r="C832" s="55" t="s">
        <v>938</v>
      </c>
      <c r="D832" s="127" t="s">
        <v>300</v>
      </c>
    </row>
    <row r="833" spans="1:4">
      <c r="A833" s="95"/>
      <c r="B833" s="95"/>
      <c r="C833" s="55" t="s">
        <v>939</v>
      </c>
      <c r="D833" s="127" t="s">
        <v>300</v>
      </c>
    </row>
    <row r="834" spans="1:4" ht="15">
      <c r="A834" s="95"/>
      <c r="B834" s="95"/>
      <c r="C834" s="55" t="s">
        <v>940</v>
      </c>
      <c r="D834" s="125"/>
    </row>
    <row r="835" spans="1:4">
      <c r="A835" s="95"/>
      <c r="B835" s="95"/>
      <c r="C835" s="55" t="s">
        <v>296</v>
      </c>
      <c r="D835" s="55"/>
    </row>
    <row r="836" spans="1:4">
      <c r="A836" s="95"/>
      <c r="B836" s="95"/>
      <c r="C836" s="55" t="s">
        <v>291</v>
      </c>
      <c r="D836" s="55"/>
    </row>
    <row r="837" spans="1:4">
      <c r="A837" s="95"/>
      <c r="B837" s="95"/>
      <c r="C837" s="55" t="s">
        <v>292</v>
      </c>
      <c r="D837" s="55"/>
    </row>
    <row r="838" spans="1:4">
      <c r="A838" s="95"/>
      <c r="B838" s="95"/>
      <c r="C838" s="55" t="s">
        <v>289</v>
      </c>
      <c r="D838" s="55"/>
    </row>
    <row r="839" spans="1:4">
      <c r="A839" s="95"/>
      <c r="B839" s="95"/>
      <c r="C839" s="55" t="s">
        <v>293</v>
      </c>
      <c r="D839" s="55"/>
    </row>
    <row r="840" spans="1:4">
      <c r="A840" s="95"/>
      <c r="B840" s="95"/>
      <c r="C840" s="55" t="s">
        <v>290</v>
      </c>
      <c r="D840" s="55"/>
    </row>
    <row r="841" spans="1:4">
      <c r="A841" s="95"/>
      <c r="B841" s="95"/>
      <c r="C841" s="55" t="s">
        <v>294</v>
      </c>
      <c r="D841" s="55"/>
    </row>
    <row r="842" spans="1:4">
      <c r="A842" s="95"/>
      <c r="B842" s="95"/>
      <c r="C842" s="55" t="s">
        <v>941</v>
      </c>
      <c r="D842" s="55"/>
    </row>
    <row r="843" spans="1:4">
      <c r="A843" s="95"/>
      <c r="B843" s="95"/>
      <c r="C843" s="55" t="s">
        <v>942</v>
      </c>
      <c r="D843" s="55"/>
    </row>
    <row r="844" spans="1:4">
      <c r="A844" s="95"/>
      <c r="B844" s="95"/>
      <c r="C844" s="55" t="s">
        <v>943</v>
      </c>
      <c r="D844" s="55"/>
    </row>
    <row r="845" spans="1:4">
      <c r="A845" s="95"/>
      <c r="B845" s="95"/>
      <c r="C845" s="55" t="s">
        <v>944</v>
      </c>
      <c r="D845" s="55"/>
    </row>
    <row r="846" spans="1:4">
      <c r="A846" s="95"/>
      <c r="B846" s="95"/>
      <c r="C846" s="55" t="s">
        <v>945</v>
      </c>
      <c r="D846" s="55"/>
    </row>
    <row r="847" spans="1:4">
      <c r="A847" s="95"/>
      <c r="B847" s="95"/>
      <c r="C847" s="55" t="s">
        <v>946</v>
      </c>
      <c r="D847" s="55"/>
    </row>
    <row r="848" spans="1:4">
      <c r="A848" s="95"/>
      <c r="B848" s="95"/>
      <c r="C848" s="55" t="s">
        <v>947</v>
      </c>
      <c r="D848" s="55"/>
    </row>
    <row r="849" spans="1:4">
      <c r="A849" s="95"/>
      <c r="B849" s="95"/>
      <c r="C849" s="55" t="s">
        <v>948</v>
      </c>
      <c r="D849" s="55"/>
    </row>
    <row r="850" spans="1:4">
      <c r="A850" s="95"/>
      <c r="B850" s="95"/>
      <c r="C850" s="55" t="s">
        <v>164</v>
      </c>
      <c r="D850" s="55"/>
    </row>
    <row r="851" spans="1:4">
      <c r="A851" s="68" t="s">
        <v>949</v>
      </c>
      <c r="B851" s="68"/>
      <c r="C851" s="57" t="s">
        <v>338</v>
      </c>
      <c r="D851" s="57"/>
    </row>
    <row r="852" spans="1:4">
      <c r="A852" s="69"/>
      <c r="B852" s="69"/>
      <c r="C852" s="57" t="s">
        <v>136</v>
      </c>
      <c r="D852" s="57"/>
    </row>
    <row r="853" spans="1:4">
      <c r="A853" s="95" t="s">
        <v>950</v>
      </c>
      <c r="B853" s="95" t="s">
        <v>5</v>
      </c>
      <c r="C853" s="55" t="s">
        <v>951</v>
      </c>
      <c r="D853" s="55"/>
    </row>
    <row r="854" spans="1:4">
      <c r="A854" s="95"/>
      <c r="B854" s="95"/>
      <c r="C854" s="55" t="s">
        <v>952</v>
      </c>
      <c r="D854" s="55"/>
    </row>
    <row r="855" spans="1:4">
      <c r="A855" s="95"/>
      <c r="B855" s="95"/>
      <c r="C855" s="55" t="s">
        <v>953</v>
      </c>
      <c r="D855" s="55"/>
    </row>
    <row r="856" spans="1:4">
      <c r="A856" s="95"/>
      <c r="B856" s="95"/>
      <c r="C856" s="55" t="s">
        <v>954</v>
      </c>
      <c r="D856" s="55"/>
    </row>
    <row r="857" spans="1:4">
      <c r="A857" s="95"/>
      <c r="B857" s="95"/>
      <c r="C857" s="55" t="s">
        <v>955</v>
      </c>
      <c r="D857" s="55"/>
    </row>
    <row r="858" spans="1:4">
      <c r="A858" s="95"/>
      <c r="B858" s="95"/>
      <c r="C858" s="55" t="s">
        <v>956</v>
      </c>
      <c r="D858" s="55"/>
    </row>
    <row r="859" spans="1:4">
      <c r="A859" s="95"/>
      <c r="B859" s="95"/>
      <c r="C859" s="55" t="s">
        <v>957</v>
      </c>
      <c r="D859" s="55"/>
    </row>
    <row r="860" spans="1:4">
      <c r="A860" s="95"/>
      <c r="B860" s="95"/>
      <c r="C860" s="55" t="s">
        <v>958</v>
      </c>
      <c r="D860" s="55"/>
    </row>
    <row r="861" spans="1:4">
      <c r="A861" s="95"/>
      <c r="B861" s="95"/>
      <c r="C861" s="55" t="s">
        <v>959</v>
      </c>
      <c r="D861" s="55"/>
    </row>
    <row r="862" spans="1:4">
      <c r="A862" s="68" t="s">
        <v>960</v>
      </c>
      <c r="B862" s="68" t="s">
        <v>5</v>
      </c>
      <c r="C862" s="57" t="s">
        <v>45</v>
      </c>
      <c r="D862" s="57"/>
    </row>
    <row r="863" spans="1:4">
      <c r="A863" s="69"/>
      <c r="B863" s="69"/>
      <c r="C863" s="57" t="s">
        <v>961</v>
      </c>
      <c r="D863" s="57"/>
    </row>
    <row r="864" spans="1:4">
      <c r="A864" s="69"/>
      <c r="B864" s="69"/>
      <c r="C864" s="57" t="s">
        <v>50</v>
      </c>
      <c r="D864" s="57"/>
    </row>
    <row r="865" spans="1:4">
      <c r="A865" s="69"/>
      <c r="B865" s="69"/>
      <c r="C865" s="57" t="s">
        <v>55</v>
      </c>
      <c r="D865" s="57"/>
    </row>
    <row r="866" spans="1:4">
      <c r="A866" s="69"/>
      <c r="B866" s="69"/>
      <c r="C866" s="57" t="s">
        <v>72</v>
      </c>
      <c r="D866" s="57"/>
    </row>
    <row r="867" spans="1:4">
      <c r="A867" s="69"/>
      <c r="B867" s="69"/>
      <c r="C867" s="57" t="s">
        <v>962</v>
      </c>
      <c r="D867" s="57"/>
    </row>
    <row r="868" spans="1:4">
      <c r="A868" s="69"/>
      <c r="B868" s="69"/>
      <c r="C868" s="57" t="s">
        <v>30</v>
      </c>
      <c r="D868" s="57"/>
    </row>
    <row r="869" spans="1:4">
      <c r="A869" s="69"/>
      <c r="B869" s="69"/>
      <c r="C869" s="57" t="s">
        <v>963</v>
      </c>
      <c r="D869" s="57"/>
    </row>
    <row r="870" spans="1:4">
      <c r="A870" s="95" t="s">
        <v>964</v>
      </c>
      <c r="B870" s="95" t="s">
        <v>5</v>
      </c>
      <c r="C870" s="55" t="s">
        <v>45</v>
      </c>
      <c r="D870" s="55"/>
    </row>
    <row r="871" spans="1:4">
      <c r="A871" s="95"/>
      <c r="B871" s="95"/>
      <c r="C871" s="55" t="s">
        <v>50</v>
      </c>
      <c r="D871" s="55"/>
    </row>
    <row r="872" spans="1:4">
      <c r="A872" s="95"/>
      <c r="B872" s="95"/>
      <c r="C872" s="55" t="s">
        <v>72</v>
      </c>
      <c r="D872" s="55"/>
    </row>
    <row r="873" spans="1:4">
      <c r="A873" s="95"/>
      <c r="B873" s="95"/>
      <c r="C873" s="55" t="s">
        <v>164</v>
      </c>
      <c r="D873" s="55"/>
    </row>
    <row r="874" spans="1:4">
      <c r="A874" s="68" t="s">
        <v>965</v>
      </c>
      <c r="B874" s="68" t="s">
        <v>5</v>
      </c>
      <c r="C874" s="57" t="s">
        <v>966</v>
      </c>
      <c r="D874" s="57"/>
    </row>
    <row r="875" spans="1:4">
      <c r="A875" s="69"/>
      <c r="B875" s="69"/>
      <c r="C875" s="57" t="s">
        <v>754</v>
      </c>
      <c r="D875" s="57"/>
    </row>
    <row r="876" spans="1:4">
      <c r="A876" s="69"/>
      <c r="B876" s="69"/>
      <c r="C876" s="57" t="s">
        <v>755</v>
      </c>
      <c r="D876" s="57"/>
    </row>
    <row r="877" spans="1:4">
      <c r="A877" s="69"/>
      <c r="B877" s="69"/>
      <c r="C877" s="57" t="s">
        <v>756</v>
      </c>
      <c r="D877" s="57"/>
    </row>
    <row r="878" spans="1:4">
      <c r="A878" s="69"/>
      <c r="B878" s="69"/>
      <c r="C878" s="57" t="s">
        <v>967</v>
      </c>
      <c r="D878" s="57"/>
    </row>
    <row r="879" spans="1:4">
      <c r="A879" s="69"/>
      <c r="B879" s="69"/>
      <c r="C879" s="57" t="s">
        <v>968</v>
      </c>
      <c r="D879" s="57"/>
    </row>
    <row r="880" spans="1:4">
      <c r="A880" s="69"/>
      <c r="B880" s="69"/>
      <c r="C880" s="57" t="s">
        <v>969</v>
      </c>
      <c r="D880" s="57"/>
    </row>
    <row r="881" spans="1:5">
      <c r="A881" s="69"/>
      <c r="B881" s="69"/>
      <c r="C881" s="57" t="s">
        <v>970</v>
      </c>
      <c r="D881" s="57"/>
    </row>
    <row r="882" spans="1:5">
      <c r="A882" s="69"/>
      <c r="B882" s="69"/>
      <c r="C882" s="57" t="s">
        <v>971</v>
      </c>
      <c r="D882" s="57" t="s">
        <v>971</v>
      </c>
      <c r="E882" t="s">
        <v>215</v>
      </c>
    </row>
    <row r="883" spans="1:5">
      <c r="A883" s="70"/>
      <c r="B883" s="70"/>
      <c r="C883" s="57" t="s">
        <v>164</v>
      </c>
      <c r="D883" s="57"/>
    </row>
    <row r="884" spans="1:5">
      <c r="A884" s="84" t="s">
        <v>972</v>
      </c>
      <c r="B884" s="84" t="s">
        <v>5</v>
      </c>
      <c r="C884" s="55" t="s">
        <v>931</v>
      </c>
      <c r="D884" s="55"/>
    </row>
    <row r="885" spans="1:5">
      <c r="A885" s="85"/>
      <c r="B885" s="85"/>
      <c r="C885" s="55" t="s">
        <v>973</v>
      </c>
      <c r="D885" s="55"/>
    </row>
    <row r="886" spans="1:5">
      <c r="A886" s="85"/>
      <c r="B886" s="85"/>
      <c r="C886" s="55" t="s">
        <v>974</v>
      </c>
      <c r="D886" s="55"/>
    </row>
    <row r="887" spans="1:5">
      <c r="A887" s="85"/>
      <c r="B887" s="85"/>
      <c r="C887" s="55" t="s">
        <v>975</v>
      </c>
      <c r="D887" s="55"/>
    </row>
    <row r="888" spans="1:5">
      <c r="A888" s="85"/>
      <c r="B888" s="85"/>
      <c r="C888" s="55" t="s">
        <v>976</v>
      </c>
      <c r="D888" s="55"/>
    </row>
    <row r="889" spans="1:5">
      <c r="A889" s="85"/>
      <c r="B889" s="85"/>
      <c r="C889" s="55" t="s">
        <v>977</v>
      </c>
      <c r="D889" s="55" t="s">
        <v>978</v>
      </c>
    </row>
    <row r="890" spans="1:5">
      <c r="A890" s="85"/>
      <c r="B890" s="85"/>
      <c r="C890" s="55" t="s">
        <v>979</v>
      </c>
      <c r="D890" s="55"/>
    </row>
    <row r="891" spans="1:5">
      <c r="A891" s="68" t="s">
        <v>470</v>
      </c>
      <c r="B891" s="68" t="s">
        <v>5</v>
      </c>
      <c r="C891" s="57" t="s">
        <v>980</v>
      </c>
      <c r="D891" s="57"/>
    </row>
    <row r="892" spans="1:5">
      <c r="A892" s="69"/>
      <c r="B892" s="69"/>
      <c r="C892" s="57" t="s">
        <v>981</v>
      </c>
      <c r="D892" s="57"/>
    </row>
    <row r="893" spans="1:5">
      <c r="A893" s="69"/>
      <c r="B893" s="69"/>
      <c r="C893" s="57" t="s">
        <v>982</v>
      </c>
      <c r="D893" s="57"/>
    </row>
    <row r="894" spans="1:5">
      <c r="A894" s="69"/>
      <c r="B894" s="69"/>
      <c r="C894" s="57" t="s">
        <v>983</v>
      </c>
      <c r="D894" s="57"/>
    </row>
    <row r="895" spans="1:5">
      <c r="A895" s="69"/>
      <c r="B895" s="69"/>
      <c r="C895" s="57" t="s">
        <v>984</v>
      </c>
      <c r="D895" s="57"/>
    </row>
    <row r="896" spans="1:5">
      <c r="A896" s="69"/>
      <c r="B896" s="69"/>
      <c r="C896" s="57" t="s">
        <v>164</v>
      </c>
      <c r="D896" s="57"/>
    </row>
    <row r="897" spans="1:4">
      <c r="A897" s="84" t="s">
        <v>985</v>
      </c>
      <c r="B897" s="84" t="s">
        <v>5</v>
      </c>
      <c r="C897" s="55" t="s">
        <v>986</v>
      </c>
      <c r="D897" s="55"/>
    </row>
    <row r="898" spans="1:4">
      <c r="A898" s="85"/>
      <c r="B898" s="85"/>
      <c r="C898" s="55" t="s">
        <v>987</v>
      </c>
      <c r="D898" s="55"/>
    </row>
    <row r="899" spans="1:4">
      <c r="A899" s="85"/>
      <c r="B899" s="85"/>
      <c r="C899" s="55" t="s">
        <v>931</v>
      </c>
      <c r="D899" s="55"/>
    </row>
    <row r="900" spans="1:4">
      <c r="A900" s="85"/>
      <c r="B900" s="85"/>
      <c r="C900" s="55" t="s">
        <v>164</v>
      </c>
      <c r="D900" s="55"/>
    </row>
    <row r="901" spans="1:4">
      <c r="A901" s="68" t="s">
        <v>988</v>
      </c>
      <c r="B901" s="68" t="s">
        <v>5</v>
      </c>
      <c r="C901" s="57" t="s">
        <v>989</v>
      </c>
      <c r="D901" s="57"/>
    </row>
    <row r="902" spans="1:4">
      <c r="A902" s="69"/>
      <c r="B902" s="69"/>
      <c r="C902" s="57" t="s">
        <v>990</v>
      </c>
      <c r="D902" s="57"/>
    </row>
    <row r="903" spans="1:4">
      <c r="A903" s="69"/>
      <c r="B903" s="69"/>
      <c r="C903" s="57" t="s">
        <v>745</v>
      </c>
      <c r="D903" s="57"/>
    </row>
    <row r="904" spans="1:4">
      <c r="A904" s="69"/>
      <c r="B904" s="69"/>
      <c r="C904" s="57" t="s">
        <v>991</v>
      </c>
      <c r="D904" s="57"/>
    </row>
    <row r="905" spans="1:4">
      <c r="A905" s="69"/>
      <c r="B905" s="69"/>
      <c r="C905" s="57" t="s">
        <v>992</v>
      </c>
      <c r="D905" s="57"/>
    </row>
    <row r="906" spans="1:4">
      <c r="A906" s="94" t="s">
        <v>993</v>
      </c>
      <c r="B906" s="94" t="s">
        <v>5</v>
      </c>
      <c r="C906" s="60" t="s">
        <v>994</v>
      </c>
      <c r="D906" s="60"/>
    </row>
    <row r="907" spans="1:4">
      <c r="A907" s="95"/>
      <c r="B907" s="95"/>
      <c r="C907" s="60" t="s">
        <v>995</v>
      </c>
      <c r="D907" s="60"/>
    </row>
    <row r="908" spans="1:4">
      <c r="A908" s="95"/>
      <c r="B908" s="95"/>
      <c r="C908" s="55" t="s">
        <v>996</v>
      </c>
      <c r="D908" s="55"/>
    </row>
    <row r="909" spans="1:4">
      <c r="A909" s="95"/>
      <c r="B909" s="95"/>
      <c r="C909" s="55" t="s">
        <v>997</v>
      </c>
      <c r="D909" s="55"/>
    </row>
    <row r="910" spans="1:4">
      <c r="A910" s="95"/>
      <c r="B910" s="95"/>
      <c r="C910" s="55" t="s">
        <v>998</v>
      </c>
      <c r="D910" s="55"/>
    </row>
    <row r="911" spans="1:4">
      <c r="A911" s="95"/>
      <c r="B911" s="95"/>
      <c r="C911" s="55" t="s">
        <v>999</v>
      </c>
      <c r="D911" s="55"/>
    </row>
    <row r="912" spans="1:4">
      <c r="A912" s="90" t="s">
        <v>1000</v>
      </c>
      <c r="B912" s="90" t="s">
        <v>5</v>
      </c>
      <c r="C912" s="62" t="s">
        <v>45</v>
      </c>
      <c r="D912" s="62"/>
    </row>
    <row r="913" spans="1:5">
      <c r="A913" s="72"/>
      <c r="B913" s="72"/>
      <c r="C913" s="62" t="s">
        <v>961</v>
      </c>
      <c r="D913" s="62"/>
    </row>
    <row r="914" spans="1:5">
      <c r="A914" s="72"/>
      <c r="B914" s="72"/>
      <c r="C914" s="57" t="s">
        <v>50</v>
      </c>
      <c r="D914" s="57"/>
    </row>
    <row r="915" spans="1:5">
      <c r="A915" s="72"/>
      <c r="B915" s="72"/>
      <c r="C915" s="57" t="s">
        <v>55</v>
      </c>
      <c r="D915" s="57"/>
    </row>
    <row r="916" spans="1:5">
      <c r="A916" s="72"/>
      <c r="B916" s="72"/>
      <c r="C916" s="57" t="s">
        <v>72</v>
      </c>
      <c r="D916" s="57"/>
    </row>
    <row r="917" spans="1:5">
      <c r="A917" s="72"/>
      <c r="B917" s="72"/>
      <c r="C917" s="57" t="s">
        <v>962</v>
      </c>
      <c r="D917" s="57"/>
    </row>
    <row r="918" spans="1:5">
      <c r="A918" s="72"/>
      <c r="B918" s="72"/>
      <c r="C918" s="62" t="s">
        <v>30</v>
      </c>
      <c r="D918" s="62"/>
    </row>
    <row r="919" spans="1:5">
      <c r="A919" s="72"/>
      <c r="B919" s="72"/>
      <c r="C919" s="62" t="s">
        <v>963</v>
      </c>
      <c r="D919" s="62"/>
    </row>
    <row r="920" spans="1:5" ht="15">
      <c r="A920" s="94" t="s">
        <v>1001</v>
      </c>
      <c r="B920" s="94" t="s">
        <v>5</v>
      </c>
      <c r="C920" s="60" t="s">
        <v>1002</v>
      </c>
      <c r="D920" s="60"/>
      <c r="E920" s="61"/>
    </row>
    <row r="921" spans="1:5" ht="15">
      <c r="A921" s="95"/>
      <c r="B921" s="95"/>
      <c r="C921" s="60" t="s">
        <v>1003</v>
      </c>
      <c r="D921" s="60"/>
      <c r="E921" s="61"/>
    </row>
    <row r="922" spans="1:5" ht="15">
      <c r="A922" s="95"/>
      <c r="B922" s="95"/>
      <c r="C922" s="55" t="s">
        <v>1004</v>
      </c>
      <c r="D922" s="55"/>
      <c r="E922" s="61"/>
    </row>
    <row r="923" spans="1:5" ht="15">
      <c r="A923" s="95"/>
      <c r="B923" s="95"/>
      <c r="C923" s="55" t="s">
        <v>1005</v>
      </c>
      <c r="D923" s="55"/>
      <c r="E923" s="61"/>
    </row>
    <row r="924" spans="1:5" ht="15">
      <c r="A924" s="95"/>
      <c r="B924" s="95"/>
      <c r="C924" s="55" t="s">
        <v>1006</v>
      </c>
      <c r="D924" s="55"/>
      <c r="E924" s="61"/>
    </row>
    <row r="925" spans="1:5">
      <c r="A925" s="95"/>
      <c r="B925" s="95"/>
      <c r="C925" s="55" t="s">
        <v>164</v>
      </c>
      <c r="D925" s="55"/>
    </row>
    <row r="926" spans="1:5">
      <c r="A926" s="90" t="s">
        <v>1007</v>
      </c>
      <c r="B926" s="90" t="s">
        <v>5</v>
      </c>
      <c r="C926" s="57" t="s">
        <v>1008</v>
      </c>
      <c r="D926" s="57"/>
    </row>
    <row r="927" spans="1:5">
      <c r="A927" s="72"/>
      <c r="B927" s="72"/>
      <c r="C927" s="57" t="s">
        <v>1009</v>
      </c>
      <c r="D927" s="57"/>
    </row>
    <row r="928" spans="1:5">
      <c r="A928" s="72"/>
      <c r="B928" s="72"/>
      <c r="C928" s="57" t="s">
        <v>1010</v>
      </c>
      <c r="D928" s="57"/>
    </row>
    <row r="929" spans="1:5">
      <c r="A929" s="91" t="s">
        <v>1011</v>
      </c>
      <c r="B929" s="91" t="s">
        <v>5</v>
      </c>
      <c r="C929" s="60" t="s">
        <v>1012</v>
      </c>
      <c r="D929" s="60"/>
    </row>
    <row r="930" spans="1:5">
      <c r="A930" s="92"/>
      <c r="B930" s="92"/>
      <c r="C930" s="60" t="s">
        <v>754</v>
      </c>
      <c r="D930" s="60"/>
    </row>
    <row r="931" spans="1:5">
      <c r="A931" s="92"/>
      <c r="B931" s="92"/>
      <c r="C931" s="55" t="s">
        <v>966</v>
      </c>
      <c r="D931" s="55"/>
    </row>
    <row r="932" spans="1:5">
      <c r="A932" s="92"/>
      <c r="B932" s="92"/>
      <c r="C932" s="55" t="s">
        <v>755</v>
      </c>
      <c r="D932" s="55"/>
    </row>
    <row r="933" spans="1:5">
      <c r="A933" s="92"/>
      <c r="B933" s="92"/>
      <c r="C933" s="55" t="s">
        <v>164</v>
      </c>
      <c r="D933" s="55"/>
    </row>
    <row r="934" spans="1:5">
      <c r="A934" s="98" t="s">
        <v>1013</v>
      </c>
      <c r="B934" s="98" t="s">
        <v>5</v>
      </c>
      <c r="C934" s="62" t="s">
        <v>966</v>
      </c>
      <c r="D934" s="62"/>
    </row>
    <row r="935" spans="1:5">
      <c r="A935" s="99"/>
      <c r="B935" s="99"/>
      <c r="C935" s="62" t="s">
        <v>754</v>
      </c>
      <c r="D935" s="62"/>
    </row>
    <row r="936" spans="1:5">
      <c r="A936" s="99"/>
      <c r="B936" s="99"/>
      <c r="C936" s="57" t="s">
        <v>755</v>
      </c>
      <c r="D936" s="57"/>
    </row>
    <row r="937" spans="1:5">
      <c r="A937" s="99"/>
      <c r="B937" s="99"/>
      <c r="C937" s="57" t="s">
        <v>756</v>
      </c>
      <c r="D937" s="57"/>
    </row>
    <row r="938" spans="1:5">
      <c r="A938" s="99"/>
      <c r="B938" s="99"/>
      <c r="C938" s="57" t="s">
        <v>1014</v>
      </c>
      <c r="D938" s="57"/>
    </row>
    <row r="939" spans="1:5">
      <c r="A939" s="99"/>
      <c r="B939" s="99"/>
      <c r="C939" s="62" t="s">
        <v>1014</v>
      </c>
      <c r="D939" s="62"/>
    </row>
    <row r="940" spans="1:5">
      <c r="A940" s="99"/>
      <c r="B940" s="99"/>
      <c r="C940" s="62" t="s">
        <v>968</v>
      </c>
      <c r="D940" s="62"/>
    </row>
    <row r="941" spans="1:5">
      <c r="A941" s="99"/>
      <c r="B941" s="99"/>
      <c r="C941" s="57" t="s">
        <v>969</v>
      </c>
      <c r="D941" s="57"/>
    </row>
    <row r="942" spans="1:5">
      <c r="A942" s="99"/>
      <c r="B942" s="99"/>
      <c r="C942" s="62" t="s">
        <v>970</v>
      </c>
      <c r="D942" s="62"/>
    </row>
    <row r="943" spans="1:5">
      <c r="A943" s="99"/>
      <c r="B943" s="99"/>
      <c r="C943" s="62" t="s">
        <v>1012</v>
      </c>
      <c r="D943" s="62"/>
    </row>
    <row r="944" spans="1:5">
      <c r="A944" s="99"/>
      <c r="B944" s="99"/>
      <c r="C944" s="57" t="s">
        <v>1015</v>
      </c>
      <c r="D944" s="57" t="s">
        <v>1015</v>
      </c>
      <c r="E944" t="s">
        <v>215</v>
      </c>
    </row>
    <row r="945" spans="1:4">
      <c r="A945" s="123"/>
      <c r="B945" s="123"/>
      <c r="C945" s="57" t="s">
        <v>164</v>
      </c>
      <c r="D945" s="57"/>
    </row>
    <row r="946" spans="1:4" ht="14.25" customHeight="1">
      <c r="A946" s="91" t="s">
        <v>1016</v>
      </c>
      <c r="B946" s="91" t="s">
        <v>5</v>
      </c>
      <c r="C946" s="60" t="s">
        <v>1017</v>
      </c>
      <c r="D946" s="60"/>
    </row>
    <row r="947" spans="1:4">
      <c r="A947" s="92"/>
      <c r="B947" s="92"/>
      <c r="C947" s="60" t="s">
        <v>1018</v>
      </c>
      <c r="D947" s="60"/>
    </row>
    <row r="948" spans="1:4">
      <c r="A948" s="92"/>
      <c r="B948" s="92"/>
      <c r="C948" s="55" t="s">
        <v>1019</v>
      </c>
      <c r="D948" s="55"/>
    </row>
    <row r="949" spans="1:4">
      <c r="A949" s="92"/>
      <c r="B949" s="92"/>
      <c r="C949" s="55" t="s">
        <v>1020</v>
      </c>
      <c r="D949" s="55"/>
    </row>
    <row r="950" spans="1:4">
      <c r="A950" s="92"/>
      <c r="B950" s="92"/>
      <c r="C950" s="55" t="s">
        <v>1021</v>
      </c>
      <c r="D950" s="55"/>
    </row>
    <row r="951" spans="1:4">
      <c r="A951" s="92"/>
      <c r="B951" s="92"/>
      <c r="C951" s="60" t="s">
        <v>766</v>
      </c>
      <c r="D951" s="60"/>
    </row>
    <row r="952" spans="1:4">
      <c r="A952" s="92"/>
      <c r="B952" s="92"/>
      <c r="C952" s="60" t="s">
        <v>1012</v>
      </c>
      <c r="D952" s="60"/>
    </row>
    <row r="953" spans="1:4">
      <c r="A953" s="92"/>
      <c r="B953" s="92"/>
      <c r="C953" s="55" t="s">
        <v>1022</v>
      </c>
      <c r="D953" s="55" t="s">
        <v>1023</v>
      </c>
    </row>
    <row r="954" spans="1:4">
      <c r="A954" s="92"/>
      <c r="B954" s="92"/>
      <c r="C954" s="55" t="s">
        <v>977</v>
      </c>
      <c r="D954" s="55" t="s">
        <v>978</v>
      </c>
    </row>
    <row r="955" spans="1:4">
      <c r="A955" s="92"/>
      <c r="B955" s="92"/>
      <c r="C955" s="55" t="s">
        <v>164</v>
      </c>
      <c r="D955" s="55"/>
    </row>
    <row r="956" spans="1:4">
      <c r="A956" s="98" t="s">
        <v>774</v>
      </c>
      <c r="B956" s="98" t="s">
        <v>5</v>
      </c>
      <c r="C956" s="57" t="s">
        <v>1024</v>
      </c>
      <c r="D956" s="57"/>
    </row>
    <row r="957" spans="1:4">
      <c r="A957" s="99"/>
      <c r="B957" s="99"/>
      <c r="C957" s="57" t="s">
        <v>1025</v>
      </c>
      <c r="D957" s="57"/>
    </row>
    <row r="958" spans="1:4">
      <c r="A958" s="99"/>
      <c r="B958" s="99"/>
      <c r="C958" s="57" t="s">
        <v>1026</v>
      </c>
      <c r="D958" s="57"/>
    </row>
    <row r="959" spans="1:4">
      <c r="A959" s="99"/>
      <c r="B959" s="99"/>
      <c r="C959" s="57" t="s">
        <v>1027</v>
      </c>
      <c r="D959" s="57"/>
    </row>
    <row r="960" spans="1:4">
      <c r="A960" s="99"/>
      <c r="B960" s="99"/>
      <c r="C960" s="57" t="s">
        <v>1028</v>
      </c>
      <c r="D960" s="57"/>
    </row>
    <row r="961" spans="1:5">
      <c r="A961" s="99"/>
      <c r="B961" s="99"/>
      <c r="C961" s="57" t="s">
        <v>1029</v>
      </c>
      <c r="D961" s="57"/>
    </row>
    <row r="962" spans="1:5">
      <c r="A962" s="99"/>
      <c r="B962" s="99"/>
      <c r="C962" s="57" t="s">
        <v>1030</v>
      </c>
      <c r="D962" s="57"/>
    </row>
    <row r="963" spans="1:5">
      <c r="A963" s="99"/>
      <c r="B963" s="99"/>
      <c r="C963" s="57" t="s">
        <v>855</v>
      </c>
      <c r="D963" s="57"/>
      <c r="E963" t="s">
        <v>215</v>
      </c>
    </row>
    <row r="964" spans="1:5">
      <c r="A964" s="100" t="s">
        <v>1031</v>
      </c>
      <c r="B964" s="91" t="s">
        <v>5</v>
      </c>
      <c r="C964" s="55" t="s">
        <v>989</v>
      </c>
      <c r="D964" s="55"/>
    </row>
    <row r="965" spans="1:5">
      <c r="A965" s="101"/>
      <c r="B965" s="92"/>
      <c r="C965" s="55" t="s">
        <v>990</v>
      </c>
      <c r="D965" s="55"/>
    </row>
    <row r="966" spans="1:5">
      <c r="A966" s="101"/>
      <c r="B966" s="92"/>
      <c r="C966" s="55" t="s">
        <v>745</v>
      </c>
      <c r="D966" s="55"/>
    </row>
    <row r="967" spans="1:5">
      <c r="A967" s="101"/>
      <c r="B967" s="92"/>
      <c r="C967" s="55" t="s">
        <v>991</v>
      </c>
      <c r="D967" s="55"/>
    </row>
    <row r="968" spans="1:5">
      <c r="A968" s="101"/>
      <c r="B968" s="92"/>
      <c r="C968" s="55" t="s">
        <v>992</v>
      </c>
      <c r="D968" s="55"/>
    </row>
    <row r="969" spans="1:5">
      <c r="A969" s="101"/>
      <c r="B969" s="92"/>
      <c r="C969" s="55" t="s">
        <v>1032</v>
      </c>
      <c r="D969" s="55"/>
      <c r="E969" t="s">
        <v>215</v>
      </c>
    </row>
    <row r="970" spans="1:5">
      <c r="A970" s="102" t="s">
        <v>1033</v>
      </c>
      <c r="B970" s="98" t="s">
        <v>5</v>
      </c>
      <c r="C970" s="57" t="s">
        <v>1034</v>
      </c>
      <c r="D970" s="57"/>
    </row>
    <row r="971" spans="1:5">
      <c r="A971" s="103"/>
      <c r="B971" s="99"/>
      <c r="C971" s="57" t="s">
        <v>1035</v>
      </c>
      <c r="D971" s="57"/>
    </row>
    <row r="972" spans="1:5">
      <c r="A972" s="103"/>
      <c r="B972" s="99"/>
      <c r="C972" s="57" t="s">
        <v>1036</v>
      </c>
      <c r="D972" s="57"/>
    </row>
    <row r="973" spans="1:5">
      <c r="A973" s="103"/>
      <c r="B973" s="99"/>
      <c r="C973" s="57" t="s">
        <v>1037</v>
      </c>
      <c r="D973" s="57"/>
    </row>
    <row r="974" spans="1:5">
      <c r="A974" s="103"/>
      <c r="B974" s="99"/>
      <c r="C974" s="57" t="s">
        <v>1038</v>
      </c>
      <c r="D974" s="57"/>
    </row>
    <row r="975" spans="1:5">
      <c r="A975" s="103"/>
      <c r="B975" s="99"/>
      <c r="C975" s="57" t="s">
        <v>1039</v>
      </c>
      <c r="D975" s="57"/>
    </row>
    <row r="976" spans="1:5">
      <c r="A976" s="124"/>
      <c r="B976" s="123"/>
      <c r="C976" s="57" t="s">
        <v>164</v>
      </c>
      <c r="D976" s="57"/>
    </row>
    <row r="977" spans="1:5">
      <c r="A977" s="91" t="s">
        <v>1040</v>
      </c>
      <c r="B977" s="91" t="s">
        <v>5</v>
      </c>
      <c r="C977" s="55" t="s">
        <v>1041</v>
      </c>
      <c r="D977" s="55"/>
      <c r="E977" t="s">
        <v>1042</v>
      </c>
    </row>
    <row r="978" spans="1:5">
      <c r="A978" s="92"/>
      <c r="B978" s="92"/>
      <c r="C978" s="55" t="s">
        <v>1043</v>
      </c>
      <c r="D978" s="55"/>
    </row>
    <row r="979" spans="1:5">
      <c r="A979" s="92"/>
      <c r="B979" s="92"/>
      <c r="C979" s="55" t="s">
        <v>1044</v>
      </c>
      <c r="D979" s="55"/>
    </row>
    <row r="980" spans="1:5">
      <c r="A980" s="92"/>
      <c r="B980" s="92"/>
      <c r="C980" s="55" t="s">
        <v>1045</v>
      </c>
      <c r="D980" s="55"/>
    </row>
    <row r="981" spans="1:5">
      <c r="A981" s="92"/>
      <c r="B981" s="92"/>
      <c r="C981" s="55" t="s">
        <v>1046</v>
      </c>
      <c r="D981" s="55"/>
    </row>
    <row r="982" spans="1:5">
      <c r="A982" s="92"/>
      <c r="B982" s="92"/>
      <c r="C982" s="55" t="s">
        <v>1047</v>
      </c>
      <c r="D982" s="55"/>
    </row>
    <row r="983" spans="1:5">
      <c r="A983" s="92"/>
      <c r="B983" s="92"/>
      <c r="C983" s="55" t="s">
        <v>1048</v>
      </c>
      <c r="D983" s="55"/>
    </row>
    <row r="984" spans="1:5">
      <c r="A984" s="92"/>
      <c r="B984" s="92"/>
      <c r="C984" s="55" t="s">
        <v>1049</v>
      </c>
      <c r="D984" s="55"/>
    </row>
    <row r="985" spans="1:5">
      <c r="A985" s="92"/>
      <c r="B985" s="92"/>
      <c r="C985" s="55" t="s">
        <v>1050</v>
      </c>
      <c r="D985" s="55" t="s">
        <v>1051</v>
      </c>
      <c r="E985" t="s">
        <v>215</v>
      </c>
    </row>
    <row r="986" spans="1:5">
      <c r="A986" s="102" t="s">
        <v>1052</v>
      </c>
      <c r="B986" s="98" t="s">
        <v>5</v>
      </c>
      <c r="C986" s="57" t="s">
        <v>994</v>
      </c>
      <c r="D986" s="57"/>
    </row>
    <row r="987" spans="1:5">
      <c r="A987" s="103"/>
      <c r="B987" s="99"/>
      <c r="C987" s="57" t="s">
        <v>995</v>
      </c>
      <c r="D987" s="57"/>
    </row>
    <row r="988" spans="1:5">
      <c r="A988" s="103"/>
      <c r="B988" s="99"/>
      <c r="C988" s="57" t="s">
        <v>1053</v>
      </c>
      <c r="D988" s="57"/>
    </row>
    <row r="989" spans="1:5">
      <c r="A989" s="103"/>
      <c r="B989" s="99"/>
      <c r="C989" s="57" t="s">
        <v>1054</v>
      </c>
      <c r="D989" s="57"/>
    </row>
    <row r="990" spans="1:5">
      <c r="A990" s="103"/>
      <c r="B990" s="99"/>
      <c r="C990" s="57" t="s">
        <v>1055</v>
      </c>
      <c r="D990" s="57"/>
    </row>
    <row r="991" spans="1:5">
      <c r="A991" s="103"/>
      <c r="B991" s="99"/>
      <c r="C991" s="57" t="s">
        <v>1056</v>
      </c>
      <c r="D991" s="57"/>
    </row>
    <row r="992" spans="1:5">
      <c r="A992" s="91" t="s">
        <v>1057</v>
      </c>
      <c r="B992" s="91" t="s">
        <v>5</v>
      </c>
      <c r="C992" s="55" t="s">
        <v>754</v>
      </c>
      <c r="D992" s="55"/>
    </row>
    <row r="993" spans="1:5">
      <c r="A993" s="92"/>
      <c r="B993" s="92"/>
      <c r="C993" s="55" t="s">
        <v>966</v>
      </c>
      <c r="D993" s="55"/>
    </row>
    <row r="994" spans="1:5">
      <c r="A994" s="92"/>
      <c r="B994" s="92"/>
      <c r="C994" s="55" t="s">
        <v>963</v>
      </c>
      <c r="D994" s="55"/>
    </row>
    <row r="995" spans="1:5">
      <c r="A995" s="92"/>
      <c r="B995" s="92"/>
      <c r="C995" s="55" t="s">
        <v>755</v>
      </c>
      <c r="D995" s="55"/>
    </row>
    <row r="996" spans="1:5">
      <c r="A996" s="92"/>
      <c r="B996" s="92"/>
      <c r="C996" s="55" t="s">
        <v>1058</v>
      </c>
      <c r="D996" s="55" t="s">
        <v>1059</v>
      </c>
    </row>
    <row r="997" spans="1:5">
      <c r="A997" s="92"/>
      <c r="B997" s="92"/>
      <c r="C997" s="55" t="s">
        <v>164</v>
      </c>
      <c r="D997" s="55"/>
    </row>
    <row r="998" spans="1:5">
      <c r="A998" s="98" t="s">
        <v>1060</v>
      </c>
      <c r="B998" s="98" t="s">
        <v>5</v>
      </c>
      <c r="C998" s="57" t="s">
        <v>1061</v>
      </c>
      <c r="D998" s="57"/>
      <c r="E998" t="s">
        <v>1042</v>
      </c>
    </row>
    <row r="999" spans="1:5">
      <c r="A999" s="99"/>
      <c r="B999" s="99"/>
      <c r="C999" s="57" t="s">
        <v>162</v>
      </c>
      <c r="D999" s="57"/>
    </row>
    <row r="1000" spans="1:5">
      <c r="A1000" s="91" t="s">
        <v>1062</v>
      </c>
      <c r="B1000" s="91" t="s">
        <v>5</v>
      </c>
      <c r="C1000" s="55" t="s">
        <v>1063</v>
      </c>
      <c r="D1000" s="55"/>
    </row>
    <row r="1001" spans="1:5">
      <c r="A1001" s="92"/>
      <c r="B1001" s="92"/>
      <c r="C1001" s="55" t="s">
        <v>1064</v>
      </c>
      <c r="D1001" s="55"/>
    </row>
    <row r="1002" spans="1:5">
      <c r="A1002" s="92"/>
      <c r="B1002" s="92"/>
      <c r="C1002" s="55" t="s">
        <v>1065</v>
      </c>
      <c r="D1002" s="55"/>
    </row>
    <row r="1003" spans="1:5">
      <c r="A1003" s="92"/>
      <c r="B1003" s="92"/>
      <c r="C1003" s="55" t="s">
        <v>1066</v>
      </c>
      <c r="D1003" s="55"/>
      <c r="E1003" t="s">
        <v>215</v>
      </c>
    </row>
    <row r="1004" spans="1:5">
      <c r="A1004" s="92"/>
      <c r="B1004" s="92"/>
      <c r="C1004" s="55" t="s">
        <v>1067</v>
      </c>
      <c r="D1004" s="55"/>
    </row>
    <row r="1005" spans="1:5">
      <c r="A1005" s="92"/>
      <c r="B1005" s="92"/>
      <c r="C1005" s="55" t="s">
        <v>1068</v>
      </c>
      <c r="D1005" s="55"/>
    </row>
    <row r="1006" spans="1:5">
      <c r="A1006" s="92"/>
      <c r="B1006" s="92"/>
      <c r="C1006" s="55" t="s">
        <v>1069</v>
      </c>
      <c r="D1006" s="55"/>
      <c r="E1006" t="s">
        <v>215</v>
      </c>
    </row>
    <row r="1007" spans="1:5">
      <c r="A1007" s="92"/>
      <c r="B1007" s="92"/>
      <c r="C1007" s="55" t="s">
        <v>1070</v>
      </c>
      <c r="D1007" s="55"/>
    </row>
    <row r="1008" spans="1:5">
      <c r="A1008" s="92"/>
      <c r="B1008" s="92"/>
      <c r="C1008" s="55" t="s">
        <v>1071</v>
      </c>
      <c r="D1008" s="55"/>
    </row>
    <row r="1009" spans="1:4">
      <c r="A1009" s="92"/>
      <c r="B1009" s="92"/>
      <c r="C1009" s="55" t="s">
        <v>1072</v>
      </c>
      <c r="D1009" s="55"/>
    </row>
    <row r="1010" spans="1:4">
      <c r="A1010" s="92"/>
      <c r="B1010" s="92"/>
      <c r="C1010" s="55" t="s">
        <v>1073</v>
      </c>
      <c r="D1010" s="55"/>
    </row>
    <row r="1011" spans="1:4">
      <c r="A1011" s="92"/>
      <c r="B1011" s="92"/>
      <c r="C1011" s="55" t="s">
        <v>1074</v>
      </c>
      <c r="D1011" s="55"/>
    </row>
    <row r="1012" spans="1:4">
      <c r="A1012" s="92"/>
      <c r="B1012" s="92"/>
      <c r="C1012" s="55" t="s">
        <v>1075</v>
      </c>
      <c r="D1012" s="55"/>
    </row>
    <row r="1013" spans="1:4">
      <c r="A1013" s="92"/>
      <c r="B1013" s="92"/>
      <c r="C1013" s="55" t="s">
        <v>1076</v>
      </c>
      <c r="D1013" s="55"/>
    </row>
    <row r="1014" spans="1:4">
      <c r="A1014" s="92"/>
      <c r="B1014" s="92"/>
      <c r="C1014" s="55" t="s">
        <v>1077</v>
      </c>
      <c r="D1014" s="55"/>
    </row>
    <row r="1015" spans="1:4">
      <c r="A1015" s="92"/>
      <c r="B1015" s="92"/>
      <c r="C1015" s="55" t="s">
        <v>135</v>
      </c>
      <c r="D1015" s="55"/>
    </row>
    <row r="1016" spans="1:4">
      <c r="A1016" s="92"/>
      <c r="B1016" s="92"/>
      <c r="C1016" s="55" t="s">
        <v>1078</v>
      </c>
      <c r="D1016" s="55"/>
    </row>
    <row r="1017" spans="1:4">
      <c r="A1017" s="92"/>
      <c r="B1017" s="92"/>
      <c r="C1017" s="55" t="s">
        <v>140</v>
      </c>
      <c r="D1017" s="55"/>
    </row>
    <row r="1018" spans="1:4">
      <c r="A1018" s="92"/>
      <c r="B1018" s="92"/>
      <c r="C1018" s="55" t="s">
        <v>1079</v>
      </c>
      <c r="D1018" s="55"/>
    </row>
    <row r="1019" spans="1:4">
      <c r="A1019" s="92"/>
      <c r="B1019" s="92"/>
      <c r="C1019" s="55" t="s">
        <v>1080</v>
      </c>
      <c r="D1019" s="55"/>
    </row>
    <row r="1020" spans="1:4">
      <c r="A1020" s="92"/>
      <c r="B1020" s="92"/>
      <c r="C1020" s="55" t="s">
        <v>1081</v>
      </c>
      <c r="D1020" s="55"/>
    </row>
    <row r="1021" spans="1:4">
      <c r="A1021" s="92"/>
      <c r="B1021" s="92"/>
      <c r="C1021" s="55" t="s">
        <v>1082</v>
      </c>
      <c r="D1021" s="55"/>
    </row>
    <row r="1022" spans="1:4">
      <c r="A1022" s="92"/>
      <c r="B1022" s="92"/>
      <c r="C1022" s="55" t="s">
        <v>1083</v>
      </c>
      <c r="D1022" s="55"/>
    </row>
    <row r="1023" spans="1:4">
      <c r="A1023" s="92"/>
      <c r="B1023" s="92"/>
      <c r="C1023" s="55" t="s">
        <v>1084</v>
      </c>
      <c r="D1023" s="55"/>
    </row>
    <row r="1024" spans="1:4">
      <c r="A1024" s="92"/>
      <c r="B1024" s="92"/>
      <c r="C1024" s="55" t="s">
        <v>1085</v>
      </c>
      <c r="D1024" s="55"/>
    </row>
    <row r="1025" spans="1:5">
      <c r="A1025" s="92"/>
      <c r="B1025" s="92"/>
      <c r="C1025" s="55" t="s">
        <v>1086</v>
      </c>
      <c r="D1025" s="55"/>
    </row>
    <row r="1026" spans="1:5">
      <c r="A1026" s="92"/>
      <c r="B1026" s="92"/>
      <c r="C1026" s="55" t="s">
        <v>1087</v>
      </c>
      <c r="D1026" s="55"/>
    </row>
    <row r="1027" spans="1:5">
      <c r="A1027" s="92"/>
      <c r="B1027" s="92"/>
      <c r="C1027" s="55" t="s">
        <v>1088</v>
      </c>
      <c r="D1027" s="55"/>
    </row>
    <row r="1028" spans="1:5">
      <c r="A1028" s="92"/>
      <c r="B1028" s="92"/>
      <c r="C1028" s="55" t="s">
        <v>1089</v>
      </c>
      <c r="D1028" s="55"/>
    </row>
    <row r="1029" spans="1:5">
      <c r="A1029" s="92"/>
      <c r="B1029" s="92"/>
      <c r="C1029" s="55" t="s">
        <v>1090</v>
      </c>
      <c r="D1029" s="55"/>
    </row>
    <row r="1030" spans="1:5">
      <c r="A1030" s="92"/>
      <c r="B1030" s="92"/>
      <c r="C1030" s="55" t="s">
        <v>1091</v>
      </c>
      <c r="D1030" s="55"/>
    </row>
    <row r="1031" spans="1:5">
      <c r="A1031" s="92"/>
      <c r="B1031" s="92"/>
      <c r="C1031" s="133" t="s">
        <v>1092</v>
      </c>
      <c r="D1031" s="55"/>
      <c r="E1031" t="s">
        <v>215</v>
      </c>
    </row>
    <row r="1032" spans="1:5">
      <c r="A1032" s="92"/>
      <c r="B1032" s="92"/>
      <c r="C1032" s="55" t="s">
        <v>1093</v>
      </c>
      <c r="D1032" s="55"/>
    </row>
    <row r="1033" spans="1:5">
      <c r="A1033" s="92"/>
      <c r="B1033" s="92"/>
      <c r="C1033" s="55" t="s">
        <v>164</v>
      </c>
      <c r="D1033" s="55"/>
    </row>
    <row r="1034" spans="1:5">
      <c r="A1034" s="68" t="s">
        <v>1094</v>
      </c>
      <c r="B1034" s="68" t="s">
        <v>5</v>
      </c>
      <c r="C1034" s="57" t="s">
        <v>1095</v>
      </c>
      <c r="D1034" s="57"/>
      <c r="E1034" t="s">
        <v>1042</v>
      </c>
    </row>
    <row r="1035" spans="1:5">
      <c r="A1035" s="69"/>
      <c r="B1035" s="69"/>
      <c r="C1035" s="57" t="s">
        <v>1096</v>
      </c>
      <c r="D1035" s="57"/>
    </row>
    <row r="1036" spans="1:5">
      <c r="A1036" s="69"/>
      <c r="B1036" s="69"/>
      <c r="C1036" s="57" t="s">
        <v>164</v>
      </c>
      <c r="D1036" s="57"/>
    </row>
    <row r="1037" spans="1:5">
      <c r="A1037" s="91" t="s">
        <v>1097</v>
      </c>
      <c r="B1037" s="91" t="s">
        <v>5</v>
      </c>
      <c r="C1037" s="55" t="s">
        <v>1098</v>
      </c>
      <c r="D1037" s="55"/>
    </row>
    <row r="1038" spans="1:5">
      <c r="A1038" s="92"/>
      <c r="B1038" s="92"/>
      <c r="C1038" s="55" t="s">
        <v>1099</v>
      </c>
      <c r="D1038" s="55" t="s">
        <v>1100</v>
      </c>
    </row>
    <row r="1039" spans="1:5">
      <c r="A1039" s="92"/>
      <c r="B1039" s="92"/>
      <c r="C1039" s="55" t="s">
        <v>1101</v>
      </c>
      <c r="D1039" s="55" t="s">
        <v>1102</v>
      </c>
    </row>
    <row r="1040" spans="1:5">
      <c r="A1040" s="92"/>
      <c r="B1040" s="92"/>
      <c r="C1040" s="55" t="s">
        <v>1103</v>
      </c>
      <c r="D1040" s="55" t="s">
        <v>1104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309</v>
      </c>
    </row>
    <row r="1077" spans="1:3" s="11" customFormat="1">
      <c r="C1077" s="18" t="s">
        <v>141</v>
      </c>
    </row>
    <row r="1078" spans="1:3" s="11" customFormat="1">
      <c r="C1078" s="18" t="s">
        <v>310</v>
      </c>
    </row>
    <row r="1079" spans="1:3" s="11" customFormat="1">
      <c r="C1079" s="18" t="s">
        <v>312</v>
      </c>
    </row>
    <row r="1080" spans="1:3" s="11" customFormat="1">
      <c r="C1080" s="18"/>
    </row>
    <row r="1081" spans="1:3" s="11" customFormat="1">
      <c r="C1081" s="18" t="s">
        <v>309</v>
      </c>
    </row>
    <row r="1082" spans="1:3" s="11" customFormat="1">
      <c r="C1082" s="18" t="s">
        <v>141</v>
      </c>
    </row>
    <row r="1083" spans="1:3" s="11" customFormat="1">
      <c r="C1083" s="18" t="s">
        <v>310</v>
      </c>
    </row>
    <row r="1084" spans="1:3" s="11" customFormat="1">
      <c r="C1084" s="18" t="s">
        <v>312</v>
      </c>
    </row>
    <row r="1085" spans="1:3" s="11" customFormat="1">
      <c r="C1085" s="18" t="s">
        <v>311</v>
      </c>
    </row>
    <row r="1086" spans="1:3" s="11" customFormat="1">
      <c r="C1086" s="18"/>
    </row>
    <row r="1087" spans="1:3" s="11" customFormat="1">
      <c r="C1087" s="18" t="s">
        <v>309</v>
      </c>
    </row>
    <row r="1088" spans="1:3" s="11" customFormat="1">
      <c r="C1088" s="18" t="s">
        <v>141</v>
      </c>
    </row>
    <row r="1089" spans="3:3" s="11" customFormat="1">
      <c r="C1089" s="18" t="s">
        <v>312</v>
      </c>
    </row>
    <row r="1090" spans="3:3" s="11" customFormat="1">
      <c r="C1090" s="18"/>
    </row>
    <row r="1091" spans="3:3" s="11" customFormat="1">
      <c r="C1091" s="18" t="s">
        <v>893</v>
      </c>
    </row>
    <row r="1092" spans="3:3" s="11" customFormat="1">
      <c r="C1092" s="18" t="s">
        <v>164</v>
      </c>
    </row>
    <row r="1093" spans="3:3" s="11" customFormat="1">
      <c r="C1093" s="18"/>
    </row>
    <row r="1094" spans="3:3" s="11" customFormat="1">
      <c r="C1094" s="18" t="s">
        <v>437</v>
      </c>
    </row>
    <row r="1095" spans="3:3" s="11" customFormat="1">
      <c r="C1095" s="18" t="s">
        <v>739</v>
      </c>
    </row>
    <row r="1096" spans="3:3" s="11" customFormat="1">
      <c r="C1096" s="18" t="s">
        <v>740</v>
      </c>
    </row>
    <row r="1097" spans="3:3" s="11" customFormat="1">
      <c r="C1097" s="18" t="s">
        <v>743</v>
      </c>
    </row>
    <row r="1098" spans="3:3" s="11" customFormat="1">
      <c r="C1098" s="18" t="s">
        <v>744</v>
      </c>
    </row>
    <row r="1099" spans="3:3" s="11" customFormat="1">
      <c r="C1099" s="18" t="s">
        <v>745</v>
      </c>
    </row>
    <row r="1100" spans="3:3" s="11" customFormat="1">
      <c r="C1100" s="18" t="s">
        <v>746</v>
      </c>
    </row>
    <row r="1101" spans="3:3" s="11" customFormat="1">
      <c r="C1101" s="18" t="s">
        <v>747</v>
      </c>
    </row>
    <row r="1102" spans="3:3" s="11" customFormat="1">
      <c r="C1102" s="18" t="s">
        <v>748</v>
      </c>
    </row>
    <row r="1103" spans="3:3" s="11" customFormat="1">
      <c r="C1103" s="18" t="s">
        <v>750</v>
      </c>
    </row>
    <row r="1104" spans="3:3" s="11" customFormat="1">
      <c r="C1104" s="18" t="s">
        <v>483</v>
      </c>
    </row>
    <row r="1105" spans="3:3" s="11" customFormat="1">
      <c r="C1105" s="18" t="s">
        <v>164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891</v>
      </c>
    </row>
    <row r="1109" spans="3:3" s="11" customFormat="1">
      <c r="C1109" s="18" t="s">
        <v>892</v>
      </c>
    </row>
    <row r="1110" spans="3:3" s="11" customFormat="1">
      <c r="C1110" s="18" t="s">
        <v>894</v>
      </c>
    </row>
    <row r="1111" spans="3:3" s="11" customFormat="1">
      <c r="C1111" s="18" t="s">
        <v>164</v>
      </c>
    </row>
    <row r="1112" spans="3:3" s="11" customFormat="1">
      <c r="C1112" s="18"/>
    </row>
    <row r="1113" spans="3:3" s="11" customFormat="1">
      <c r="C1113" s="18" t="s">
        <v>319</v>
      </c>
    </row>
    <row r="1114" spans="3:3" s="11" customFormat="1">
      <c r="C1114" s="18" t="s">
        <v>320</v>
      </c>
    </row>
    <row r="1115" spans="3:3" s="11" customFormat="1">
      <c r="C1115" s="18" t="s">
        <v>34</v>
      </c>
    </row>
    <row r="1116" spans="3:3" s="11" customFormat="1">
      <c r="C1116" s="18" t="s">
        <v>164</v>
      </c>
    </row>
    <row r="1117" spans="3:3" s="11" customFormat="1">
      <c r="C1117" s="18"/>
    </row>
    <row r="1118" spans="3:3" s="11" customFormat="1">
      <c r="C1118" s="18" t="s">
        <v>325</v>
      </c>
    </row>
    <row r="1119" spans="3:3" s="11" customFormat="1">
      <c r="C1119" s="18" t="s">
        <v>1105</v>
      </c>
    </row>
    <row r="1120" spans="3:3" s="11" customFormat="1">
      <c r="C1120" s="18"/>
    </row>
    <row r="1121" spans="3:3">
      <c r="C1121" s="18" t="s">
        <v>325</v>
      </c>
    </row>
    <row r="1122" spans="3:3" s="11" customFormat="1">
      <c r="C1122" s="18" t="s">
        <v>327</v>
      </c>
    </row>
    <row r="1123" spans="3:3" s="11" customFormat="1">
      <c r="C1123" s="18" t="s">
        <v>329</v>
      </c>
    </row>
    <row r="1124" spans="3:3" s="11" customFormat="1">
      <c r="C1124" s="18" t="s">
        <v>331</v>
      </c>
    </row>
    <row r="1125" spans="3:3">
      <c r="C1125" s="18" t="s">
        <v>336</v>
      </c>
    </row>
    <row r="1126" spans="3:3">
      <c r="C1126" s="18" t="s">
        <v>164</v>
      </c>
    </row>
    <row r="1129" spans="3:3">
      <c r="C1129" s="18" t="s">
        <v>433</v>
      </c>
    </row>
    <row r="1130" spans="3:3">
      <c r="C1130" s="18" t="s">
        <v>434</v>
      </c>
    </row>
    <row r="1131" spans="3:3">
      <c r="C1131" s="18" t="s">
        <v>436</v>
      </c>
    </row>
    <row r="1132" spans="3:3">
      <c r="C1132" s="18" t="s">
        <v>437</v>
      </c>
    </row>
    <row r="1133" spans="3:3">
      <c r="C1133" s="18" t="s">
        <v>438</v>
      </c>
    </row>
    <row r="1134" spans="3:3">
      <c r="C1134" s="18" t="s">
        <v>440</v>
      </c>
    </row>
    <row r="1135" spans="3:3">
      <c r="C1135" s="18" t="s">
        <v>441</v>
      </c>
    </row>
    <row r="1136" spans="3:3">
      <c r="C1136" s="18" t="s">
        <v>442</v>
      </c>
    </row>
    <row r="1137" spans="3:3">
      <c r="C1137" s="18" t="s">
        <v>443</v>
      </c>
    </row>
    <row r="1138" spans="3:3">
      <c r="C1138" s="18" t="s">
        <v>444</v>
      </c>
    </row>
    <row r="1139" spans="3:3">
      <c r="C1139" s="18" t="s">
        <v>445</v>
      </c>
    </row>
    <row r="1140" spans="3:3">
      <c r="C1140" s="18" t="s">
        <v>446</v>
      </c>
    </row>
    <row r="1141" spans="3:3">
      <c r="C1141" s="18" t="s">
        <v>447</v>
      </c>
    </row>
    <row r="1142" spans="3:3">
      <c r="C1142" s="18" t="s">
        <v>448</v>
      </c>
    </row>
    <row r="1143" spans="3:3">
      <c r="C1143" s="18" t="s">
        <v>449</v>
      </c>
    </row>
    <row r="1144" spans="3:3">
      <c r="C1144" s="18" t="s">
        <v>451</v>
      </c>
    </row>
    <row r="1145" spans="3:3">
      <c r="C1145" s="18" t="s">
        <v>452</v>
      </c>
    </row>
    <row r="1146" spans="3:3">
      <c r="C1146" s="18" t="s">
        <v>453</v>
      </c>
    </row>
    <row r="1147" spans="3:3">
      <c r="C1147" s="18" t="s">
        <v>455</v>
      </c>
    </row>
    <row r="1148" spans="3:3">
      <c r="C1148" s="18" t="s">
        <v>456</v>
      </c>
    </row>
    <row r="1149" spans="3:3">
      <c r="C1149" s="18" t="s">
        <v>457</v>
      </c>
    </row>
    <row r="1150" spans="3:3">
      <c r="C1150" s="18" t="s">
        <v>458</v>
      </c>
    </row>
    <row r="1151" spans="3:3">
      <c r="C1151" s="18" t="s">
        <v>459</v>
      </c>
    </row>
    <row r="1152" spans="3:3">
      <c r="C1152" s="18" t="s">
        <v>460</v>
      </c>
    </row>
    <row r="1153" spans="3:3">
      <c r="C1153" s="18" t="s">
        <v>461</v>
      </c>
    </row>
    <row r="1154" spans="3:3">
      <c r="C1154" s="18" t="s">
        <v>462</v>
      </c>
    </row>
    <row r="1155" spans="3:3">
      <c r="C1155" s="18" t="s">
        <v>463</v>
      </c>
    </row>
    <row r="1156" spans="3:3">
      <c r="C1156" s="18" t="s">
        <v>464</v>
      </c>
    </row>
    <row r="1157" spans="3:3">
      <c r="C1157" s="18" t="s">
        <v>465</v>
      </c>
    </row>
    <row r="1158" spans="3:3">
      <c r="C1158" s="18" t="s">
        <v>466</v>
      </c>
    </row>
    <row r="1159" spans="3:3">
      <c r="C1159" s="18" t="s">
        <v>467</v>
      </c>
    </row>
    <row r="1160" spans="3:3">
      <c r="C1160" s="18" t="s">
        <v>468</v>
      </c>
    </row>
    <row r="1161" spans="3:3">
      <c r="C1161" s="18" t="s">
        <v>469</v>
      </c>
    </row>
    <row r="1162" spans="3:3">
      <c r="C1162" s="18" t="s">
        <v>470</v>
      </c>
    </row>
    <row r="1163" spans="3:3" ht="14.45" customHeight="1">
      <c r="C1163" s="18" t="s">
        <v>471</v>
      </c>
    </row>
    <row r="1164" spans="3:3">
      <c r="C1164" s="18" t="s">
        <v>473</v>
      </c>
    </row>
    <row r="1165" spans="3:3">
      <c r="C1165" s="18" t="s">
        <v>474</v>
      </c>
    </row>
    <row r="1166" spans="3:3">
      <c r="C1166" s="18" t="s">
        <v>475</v>
      </c>
    </row>
    <row r="1167" spans="3:3">
      <c r="C1167" s="18" t="s">
        <v>476</v>
      </c>
    </row>
    <row r="1168" spans="3:3">
      <c r="C1168" s="18" t="s">
        <v>478</v>
      </c>
    </row>
    <row r="1169" spans="3:3">
      <c r="C1169" s="18" t="s">
        <v>482</v>
      </c>
    </row>
    <row r="1170" spans="3:3">
      <c r="C1170" s="18" t="s">
        <v>164</v>
      </c>
    </row>
    <row r="1171" spans="3:3">
      <c r="C1171" s="18" t="s">
        <v>484</v>
      </c>
    </row>
    <row r="1172" spans="3:3">
      <c r="C1172" s="18" t="s">
        <v>485</v>
      </c>
    </row>
    <row r="1173" spans="3:3">
      <c r="C1173" s="18" t="s">
        <v>486</v>
      </c>
    </row>
    <row r="1174" spans="3:3">
      <c r="C1174" s="18" t="s">
        <v>487</v>
      </c>
    </row>
    <row r="1175" spans="3:3">
      <c r="C1175" s="18" t="s">
        <v>488</v>
      </c>
    </row>
    <row r="1176" spans="3:3">
      <c r="C1176" s="18" t="s">
        <v>489</v>
      </c>
    </row>
    <row r="1177" spans="3:3">
      <c r="C1177" s="18" t="s">
        <v>490</v>
      </c>
    </row>
    <row r="1178" spans="3:3">
      <c r="C1178" s="18" t="s">
        <v>491</v>
      </c>
    </row>
    <row r="1179" spans="3:3">
      <c r="C1179" s="18" t="s">
        <v>492</v>
      </c>
    </row>
    <row r="1180" spans="3:3">
      <c r="C1180" s="18" t="s">
        <v>493</v>
      </c>
    </row>
    <row r="1181" spans="3:3">
      <c r="C1181" s="18" t="s">
        <v>494</v>
      </c>
    </row>
    <row r="1182" spans="3:3">
      <c r="C1182" s="18" t="s">
        <v>495</v>
      </c>
    </row>
    <row r="1183" spans="3:3">
      <c r="C1183" s="18" t="s">
        <v>496</v>
      </c>
    </row>
    <row r="1184" spans="3:3">
      <c r="C1184" s="18" t="s">
        <v>497</v>
      </c>
    </row>
    <row r="1185" spans="3:3">
      <c r="C1185" s="18" t="s">
        <v>498</v>
      </c>
    </row>
    <row r="1186" spans="3:3">
      <c r="C1186" s="18" t="s">
        <v>499</v>
      </c>
    </row>
    <row r="1187" spans="3:3">
      <c r="C1187" s="18" t="s">
        <v>500</v>
      </c>
    </row>
    <row r="1188" spans="3:3">
      <c r="C1188" s="18" t="s">
        <v>501</v>
      </c>
    </row>
    <row r="1189" spans="3:3">
      <c r="C1189" s="18" t="s">
        <v>503</v>
      </c>
    </row>
    <row r="1190" spans="3:3">
      <c r="C1190" s="18" t="s">
        <v>505</v>
      </c>
    </row>
    <row r="1191" spans="3:3">
      <c r="C1191" s="18" t="s">
        <v>507</v>
      </c>
    </row>
    <row r="1192" spans="3:3">
      <c r="C1192" s="132" t="s">
        <v>508</v>
      </c>
    </row>
    <row r="1193" spans="3:3">
      <c r="C1193" s="18" t="s">
        <v>510</v>
      </c>
    </row>
    <row r="1194" spans="3:3">
      <c r="C1194" s="18" t="s">
        <v>511</v>
      </c>
    </row>
    <row r="1195" spans="3:3">
      <c r="C1195" s="18" t="s">
        <v>512</v>
      </c>
    </row>
    <row r="1196" spans="3:3">
      <c r="C1196" s="18" t="s">
        <v>513</v>
      </c>
    </row>
    <row r="1197" spans="3:3">
      <c r="C1197" s="18" t="s">
        <v>514</v>
      </c>
    </row>
    <row r="1198" spans="3:3">
      <c r="C1198" s="18" t="s">
        <v>515</v>
      </c>
    </row>
    <row r="1199" spans="3:3">
      <c r="C1199" s="18" t="s">
        <v>516</v>
      </c>
    </row>
    <row r="1200" spans="3:3">
      <c r="C1200" s="18" t="s">
        <v>517</v>
      </c>
    </row>
    <row r="1201" spans="3:3">
      <c r="C1201" s="18" t="s">
        <v>519</v>
      </c>
    </row>
    <row r="1202" spans="3:3">
      <c r="C1202" s="18" t="s">
        <v>520</v>
      </c>
    </row>
    <row r="1203" spans="3:3">
      <c r="C1203" s="18" t="s">
        <v>522</v>
      </c>
    </row>
    <row r="1204" spans="3:3">
      <c r="C1204" s="18" t="s">
        <v>523</v>
      </c>
    </row>
    <row r="1205" spans="3:3">
      <c r="C1205" s="18" t="s">
        <v>524</v>
      </c>
    </row>
    <row r="1206" spans="3:3">
      <c r="C1206" s="18" t="s">
        <v>525</v>
      </c>
    </row>
    <row r="1207" spans="3:3">
      <c r="C1207" s="18" t="s">
        <v>526</v>
      </c>
    </row>
    <row r="1208" spans="3:3">
      <c r="C1208" s="18" t="s">
        <v>528</v>
      </c>
    </row>
    <row r="1209" spans="3:3">
      <c r="C1209" s="18" t="s">
        <v>529</v>
      </c>
    </row>
    <row r="1210" spans="3:3">
      <c r="C1210" s="18" t="s">
        <v>530</v>
      </c>
    </row>
    <row r="1211" spans="3:3">
      <c r="C1211" s="18" t="s">
        <v>531</v>
      </c>
    </row>
    <row r="1212" spans="3:3">
      <c r="C1212" s="18" t="s">
        <v>532</v>
      </c>
    </row>
    <row r="1213" spans="3:3">
      <c r="C1213" s="18" t="s">
        <v>533</v>
      </c>
    </row>
    <row r="1214" spans="3:3">
      <c r="C1214" s="18" t="s">
        <v>534</v>
      </c>
    </row>
    <row r="1215" spans="3:3">
      <c r="C1215" s="18" t="s">
        <v>535</v>
      </c>
    </row>
    <row r="1216" spans="3:3">
      <c r="C1216" s="18" t="s">
        <v>537</v>
      </c>
    </row>
    <row r="1217" spans="3:3">
      <c r="C1217" s="18" t="s">
        <v>538</v>
      </c>
    </row>
    <row r="1218" spans="3:3">
      <c r="C1218" s="18" t="s">
        <v>539</v>
      </c>
    </row>
    <row r="1219" spans="3:3">
      <c r="C1219" s="18" t="s">
        <v>540</v>
      </c>
    </row>
    <row r="1220" spans="3:3">
      <c r="C1220" s="18" t="s">
        <v>541</v>
      </c>
    </row>
    <row r="1221" spans="3:3">
      <c r="C1221" s="18" t="s">
        <v>542</v>
      </c>
    </row>
    <row r="1222" spans="3:3">
      <c r="C1222" s="18" t="s">
        <v>543</v>
      </c>
    </row>
    <row r="1223" spans="3:3">
      <c r="C1223" s="18" t="s">
        <v>544</v>
      </c>
    </row>
    <row r="1224" spans="3:3">
      <c r="C1224" s="18" t="s">
        <v>545</v>
      </c>
    </row>
    <row r="1225" spans="3:3">
      <c r="C1225" s="18" t="s">
        <v>546</v>
      </c>
    </row>
    <row r="1226" spans="3:3">
      <c r="C1226" s="18" t="s">
        <v>547</v>
      </c>
    </row>
    <row r="1227" spans="3:3">
      <c r="C1227" s="18" t="s">
        <v>548</v>
      </c>
    </row>
    <row r="1228" spans="3:3">
      <c r="C1228" s="18" t="s">
        <v>549</v>
      </c>
    </row>
    <row r="1229" spans="3:3">
      <c r="C1229" s="18" t="s">
        <v>550</v>
      </c>
    </row>
    <row r="1230" spans="3:3">
      <c r="C1230" s="18" t="s">
        <v>551</v>
      </c>
    </row>
    <row r="1231" spans="3:3">
      <c r="C1231" s="18" t="s">
        <v>552</v>
      </c>
    </row>
    <row r="1232" spans="3:3">
      <c r="C1232" s="18" t="s">
        <v>553</v>
      </c>
    </row>
    <row r="1233" spans="3:3">
      <c r="C1233" s="18" t="s">
        <v>554</v>
      </c>
    </row>
    <row r="1234" spans="3:3">
      <c r="C1234" s="18" t="s">
        <v>555</v>
      </c>
    </row>
    <row r="1235" spans="3:3">
      <c r="C1235" s="18" t="s">
        <v>556</v>
      </c>
    </row>
    <row r="1236" spans="3:3">
      <c r="C1236" s="18" t="s">
        <v>557</v>
      </c>
    </row>
    <row r="1237" spans="3:3">
      <c r="C1237" s="18" t="s">
        <v>559</v>
      </c>
    </row>
    <row r="1238" spans="3:3">
      <c r="C1238" s="18" t="s">
        <v>560</v>
      </c>
    </row>
    <row r="1239" spans="3:3">
      <c r="C1239" s="18" t="s">
        <v>561</v>
      </c>
    </row>
    <row r="1240" spans="3:3">
      <c r="C1240" s="18" t="s">
        <v>562</v>
      </c>
    </row>
    <row r="1241" spans="3:3">
      <c r="C1241" s="18" t="s">
        <v>563</v>
      </c>
    </row>
    <row r="1242" spans="3:3">
      <c r="C1242" s="18" t="s">
        <v>564</v>
      </c>
    </row>
    <row r="1243" spans="3:3">
      <c r="C1243" s="18" t="s">
        <v>565</v>
      </c>
    </row>
    <row r="1244" spans="3:3">
      <c r="C1244" s="18" t="s">
        <v>566</v>
      </c>
    </row>
    <row r="1245" spans="3:3">
      <c r="C1245" s="18" t="s">
        <v>567</v>
      </c>
    </row>
    <row r="1248" spans="3:3">
      <c r="C1248" s="18" t="s">
        <v>326</v>
      </c>
    </row>
    <row r="1249" spans="3:3">
      <c r="C1249" s="18" t="s">
        <v>327</v>
      </c>
    </row>
    <row r="1250" spans="3:3">
      <c r="C1250" s="18" t="s">
        <v>329</v>
      </c>
    </row>
    <row r="1251" spans="3:3">
      <c r="C1251" s="18" t="s">
        <v>332</v>
      </c>
    </row>
    <row r="1252" spans="3:3">
      <c r="C1252" s="18" t="s">
        <v>334</v>
      </c>
    </row>
    <row r="1253" spans="3:3">
      <c r="C1253" s="18" t="s">
        <v>164</v>
      </c>
    </row>
    <row r="1255" spans="3:3">
      <c r="C1255" s="18" t="s">
        <v>326</v>
      </c>
    </row>
    <row r="1256" spans="3:3">
      <c r="C1256" s="18" t="s">
        <v>331</v>
      </c>
    </row>
    <row r="1257" spans="3:3">
      <c r="C1257" s="18" t="s">
        <v>336</v>
      </c>
    </row>
    <row r="1258" spans="3:3">
      <c r="C1258" s="18" t="s">
        <v>327</v>
      </c>
    </row>
    <row r="1259" spans="3:3">
      <c r="C1259" s="18" t="s">
        <v>164</v>
      </c>
    </row>
    <row r="1261" spans="3:3">
      <c r="C1261" s="18" t="s">
        <v>325</v>
      </c>
    </row>
    <row r="1262" spans="3:3">
      <c r="C1262" s="18" t="s">
        <v>327</v>
      </c>
    </row>
    <row r="1263" spans="3:3">
      <c r="C1263" s="18" t="s">
        <v>334</v>
      </c>
    </row>
    <row r="1264" spans="3:3">
      <c r="C1264" s="18" t="s">
        <v>332</v>
      </c>
    </row>
    <row r="1265" spans="3:3">
      <c r="C1265" s="18" t="s">
        <v>164</v>
      </c>
    </row>
    <row r="1267" spans="3:3">
      <c r="C1267" s="18" t="s">
        <v>326</v>
      </c>
    </row>
    <row r="1268" spans="3:3">
      <c r="C1268" s="18" t="s">
        <v>327</v>
      </c>
    </row>
    <row r="1269" spans="3:3">
      <c r="C1269" s="18" t="s">
        <v>164</v>
      </c>
    </row>
    <row r="1272" spans="3:3">
      <c r="C1272" s="18" t="s">
        <v>325</v>
      </c>
    </row>
    <row r="1273" spans="3:3">
      <c r="C1273" s="18" t="s">
        <v>327</v>
      </c>
    </row>
    <row r="1274" spans="3:3">
      <c r="C1274" s="18" t="s">
        <v>329</v>
      </c>
    </row>
    <row r="1275" spans="3:3">
      <c r="C1275" s="18" t="s">
        <v>331</v>
      </c>
    </row>
    <row r="1276" spans="3:3">
      <c r="C1276" s="18" t="s">
        <v>332</v>
      </c>
    </row>
    <row r="1277" spans="3:3">
      <c r="C1277" s="18" t="s">
        <v>333</v>
      </c>
    </row>
    <row r="1278" spans="3:3">
      <c r="C1278" s="18" t="s">
        <v>334</v>
      </c>
    </row>
    <row r="1279" spans="3:3">
      <c r="C1279" s="18" t="s">
        <v>335</v>
      </c>
    </row>
    <row r="1280" spans="3:3">
      <c r="C1280" s="18" t="s">
        <v>336</v>
      </c>
    </row>
    <row r="1281" spans="3:3">
      <c r="C1281" s="18" t="s">
        <v>164</v>
      </c>
    </row>
    <row r="1283" spans="3:3">
      <c r="C1283" s="18" t="s">
        <v>40</v>
      </c>
    </row>
    <row r="1284" spans="3:3">
      <c r="C1284" s="18" t="s">
        <v>340</v>
      </c>
    </row>
    <row r="1285" spans="3:3">
      <c r="C1285" s="18" t="s">
        <v>342</v>
      </c>
    </row>
    <row r="1286" spans="3:3">
      <c r="C1286" s="18" t="s">
        <v>344</v>
      </c>
    </row>
    <row r="1287" spans="3:3">
      <c r="C1287" s="18" t="s">
        <v>346</v>
      </c>
    </row>
    <row r="1288" spans="3:3">
      <c r="C1288" s="18" t="s">
        <v>348</v>
      </c>
    </row>
    <row r="1289" spans="3:3">
      <c r="C1289" s="18" t="s">
        <v>350</v>
      </c>
    </row>
    <row r="1290" spans="3:3">
      <c r="C1290" s="18" t="s">
        <v>352</v>
      </c>
    </row>
    <row r="1291" spans="3:3">
      <c r="C1291" s="18" t="s">
        <v>354</v>
      </c>
    </row>
    <row r="1292" spans="3:3">
      <c r="C1292" s="18" t="s">
        <v>356</v>
      </c>
    </row>
    <row r="1293" spans="3:3">
      <c r="C1293" s="18" t="s">
        <v>358</v>
      </c>
    </row>
    <row r="1294" spans="3:3">
      <c r="C1294" s="18" t="s">
        <v>360</v>
      </c>
    </row>
    <row r="1295" spans="3:3">
      <c r="C1295" s="18" t="s">
        <v>362</v>
      </c>
    </row>
    <row r="1296" spans="3:3">
      <c r="C1296" s="18" t="s">
        <v>364</v>
      </c>
    </row>
    <row r="1297" spans="3:3">
      <c r="C1297" s="18" t="s">
        <v>366</v>
      </c>
    </row>
    <row r="1298" spans="3:3">
      <c r="C1298" s="18" t="s">
        <v>368</v>
      </c>
    </row>
    <row r="1299" spans="3:3">
      <c r="C1299" s="18" t="s">
        <v>370</v>
      </c>
    </row>
    <row r="1300" spans="3:3">
      <c r="C1300" s="18" t="s">
        <v>372</v>
      </c>
    </row>
    <row r="1301" spans="3:3">
      <c r="C1301" s="18" t="s">
        <v>374</v>
      </c>
    </row>
    <row r="1302" spans="3:3">
      <c r="C1302" s="18" t="s">
        <v>376</v>
      </c>
    </row>
    <row r="1303" spans="3:3">
      <c r="C1303" s="18" t="s">
        <v>378</v>
      </c>
    </row>
    <row r="1304" spans="3:3">
      <c r="C1304" s="18" t="s">
        <v>380</v>
      </c>
    </row>
    <row r="1305" spans="3:3">
      <c r="C1305" s="18" t="s">
        <v>382</v>
      </c>
    </row>
    <row r="1306" spans="3:3">
      <c r="C1306" s="18" t="s">
        <v>384</v>
      </c>
    </row>
    <row r="1307" spans="3:3">
      <c r="C1307" s="18" t="s">
        <v>386</v>
      </c>
    </row>
    <row r="1308" spans="3:3">
      <c r="C1308" s="18" t="s">
        <v>388</v>
      </c>
    </row>
    <row r="1309" spans="3:3">
      <c r="C1309" s="18" t="s">
        <v>390</v>
      </c>
    </row>
    <row r="1310" spans="3:3">
      <c r="C1310" s="18" t="s">
        <v>392</v>
      </c>
    </row>
    <row r="1311" spans="3:3">
      <c r="C1311" s="18" t="s">
        <v>394</v>
      </c>
    </row>
    <row r="1312" spans="3:3">
      <c r="C1312" s="18" t="s">
        <v>396</v>
      </c>
    </row>
    <row r="1313" spans="3:3">
      <c r="C1313" s="18" t="s">
        <v>398</v>
      </c>
    </row>
    <row r="1314" spans="3:3">
      <c r="C1314" s="18" t="s">
        <v>400</v>
      </c>
    </row>
    <row r="1315" spans="3:3">
      <c r="C1315" s="18" t="s">
        <v>164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1106</v>
      </c>
      <c r="B1" s="111" t="s">
        <v>1107</v>
      </c>
      <c r="C1" s="111" t="s">
        <v>1108</v>
      </c>
      <c r="D1" s="112" t="s">
        <v>1109</v>
      </c>
      <c r="E1" s="126"/>
    </row>
    <row r="2" spans="1:5" ht="15.75" outlineLevel="1">
      <c r="A2" s="40" t="s">
        <v>950</v>
      </c>
      <c r="B2" s="41" t="s">
        <v>0</v>
      </c>
      <c r="C2" s="40">
        <v>5.0999999999999996</v>
      </c>
      <c r="D2" s="114"/>
    </row>
    <row r="3" spans="1:5" ht="15.75" outlineLevel="1">
      <c r="A3" s="40" t="s">
        <v>950</v>
      </c>
      <c r="B3" s="41" t="s">
        <v>1</v>
      </c>
      <c r="C3" s="40">
        <v>5.2</v>
      </c>
      <c r="D3" s="114"/>
    </row>
    <row r="4" spans="1:5" ht="15.75" outlineLevel="1">
      <c r="A4" s="40" t="s">
        <v>950</v>
      </c>
      <c r="B4" s="41" t="s">
        <v>166</v>
      </c>
      <c r="C4" s="40">
        <v>5.4</v>
      </c>
      <c r="D4" s="114"/>
    </row>
    <row r="5" spans="1:5" ht="15.75" outlineLevel="1">
      <c r="A5" s="40" t="s">
        <v>950</v>
      </c>
      <c r="B5" s="41" t="s">
        <v>167</v>
      </c>
      <c r="C5" s="40">
        <v>5.7</v>
      </c>
      <c r="D5" s="114"/>
    </row>
    <row r="6" spans="1:5" ht="15.75" outlineLevel="1">
      <c r="A6" s="40" t="s">
        <v>950</v>
      </c>
      <c r="B6" s="41" t="s">
        <v>168</v>
      </c>
      <c r="C6" s="40">
        <v>5.1100000000000003</v>
      </c>
      <c r="D6" s="114"/>
    </row>
    <row r="7" spans="1:5" ht="15.75" outlineLevel="1">
      <c r="A7" s="40" t="s">
        <v>950</v>
      </c>
      <c r="B7" s="41" t="s">
        <v>5</v>
      </c>
      <c r="C7" s="40">
        <v>5.26</v>
      </c>
      <c r="D7" s="114"/>
    </row>
    <row r="8" spans="1:5" ht="15.75" outlineLevel="1">
      <c r="A8" s="40" t="s">
        <v>950</v>
      </c>
      <c r="B8" s="41" t="s">
        <v>6</v>
      </c>
      <c r="C8" s="40">
        <v>5.27</v>
      </c>
      <c r="D8" s="114"/>
    </row>
    <row r="9" spans="1:5" ht="15.75" outlineLevel="1">
      <c r="A9" s="40" t="s">
        <v>950</v>
      </c>
      <c r="B9" s="41" t="s">
        <v>123</v>
      </c>
      <c r="C9" s="40">
        <v>5.36</v>
      </c>
      <c r="D9" s="114"/>
    </row>
    <row r="10" spans="1:5" ht="15.75" outlineLevel="1">
      <c r="A10" s="40" t="s">
        <v>950</v>
      </c>
      <c r="B10" s="41" t="s">
        <v>170</v>
      </c>
      <c r="C10" s="42">
        <v>5.5</v>
      </c>
      <c r="D10" s="114"/>
    </row>
    <row r="11" spans="1:5" ht="15.75" outlineLevel="1">
      <c r="A11" s="40" t="s">
        <v>950</v>
      </c>
      <c r="B11" s="41" t="s">
        <v>10</v>
      </c>
      <c r="C11" s="40">
        <v>5.51</v>
      </c>
      <c r="D11" s="114"/>
    </row>
    <row r="12" spans="1:5" ht="15.75" outlineLevel="1">
      <c r="A12" s="40" t="s">
        <v>950</v>
      </c>
      <c r="B12" s="41" t="s">
        <v>11</v>
      </c>
      <c r="C12" s="40">
        <v>5.53</v>
      </c>
      <c r="D12" s="114"/>
    </row>
    <row r="13" spans="1:5" ht="15.75" outlineLevel="1">
      <c r="A13" s="40" t="s">
        <v>950</v>
      </c>
      <c r="B13" s="41" t="s">
        <v>133</v>
      </c>
      <c r="C13" s="40">
        <v>5.59</v>
      </c>
      <c r="D13" s="114"/>
    </row>
    <row r="14" spans="1:5" ht="15.75" outlineLevel="1">
      <c r="A14" s="40" t="s">
        <v>950</v>
      </c>
      <c r="B14" s="41" t="s">
        <v>18</v>
      </c>
      <c r="C14" s="40">
        <v>5.54</v>
      </c>
      <c r="D14" s="114"/>
    </row>
    <row r="15" spans="1:5" ht="15.75" outlineLevel="1">
      <c r="A15" s="40" t="s">
        <v>950</v>
      </c>
      <c r="B15" s="41" t="s">
        <v>14</v>
      </c>
      <c r="C15" s="42">
        <v>5.7</v>
      </c>
      <c r="D15" s="113" t="s">
        <v>1110</v>
      </c>
    </row>
    <row r="16" spans="1:5" ht="15.75" outlineLevel="1">
      <c r="A16" s="40" t="s">
        <v>950</v>
      </c>
      <c r="B16" s="41" t="s">
        <v>20</v>
      </c>
      <c r="C16" s="40">
        <v>5.63</v>
      </c>
      <c r="D16" s="114"/>
    </row>
    <row r="17" spans="1:4" ht="15.75" outlineLevel="1">
      <c r="A17" s="40" t="s">
        <v>950</v>
      </c>
      <c r="B17" s="41" t="s">
        <v>24</v>
      </c>
      <c r="C17" s="40">
        <v>5.47</v>
      </c>
      <c r="D17" s="114"/>
    </row>
    <row r="18" spans="1:4" ht="15.75" outlineLevel="1">
      <c r="A18" s="40" t="s">
        <v>950</v>
      </c>
      <c r="B18" s="41" t="s">
        <v>25</v>
      </c>
      <c r="C18" s="40">
        <v>5.48</v>
      </c>
      <c r="D18" s="114"/>
    </row>
    <row r="19" spans="1:4" ht="15.75">
      <c r="A19" s="46" t="s">
        <v>950</v>
      </c>
      <c r="B19" s="41"/>
      <c r="C19" s="40"/>
      <c r="D19" s="114"/>
    </row>
    <row r="20" spans="1:4" ht="15.75" outlineLevel="1">
      <c r="A20" s="40" t="s">
        <v>960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960</v>
      </c>
      <c r="B21" s="41" t="s">
        <v>1</v>
      </c>
      <c r="C21" s="40">
        <v>5.2</v>
      </c>
      <c r="D21" s="114"/>
    </row>
    <row r="22" spans="1:4" ht="15.75" outlineLevel="1">
      <c r="A22" s="40" t="s">
        <v>960</v>
      </c>
      <c r="B22" s="41" t="s">
        <v>2</v>
      </c>
      <c r="C22" s="40">
        <v>5.3</v>
      </c>
      <c r="D22" s="114"/>
    </row>
    <row r="23" spans="1:4" ht="15.75" outlineLevel="1">
      <c r="A23" s="40" t="s">
        <v>960</v>
      </c>
      <c r="B23" s="41" t="s">
        <v>1111</v>
      </c>
      <c r="C23" s="40">
        <v>5.14</v>
      </c>
      <c r="D23" s="114"/>
    </row>
    <row r="24" spans="1:4" ht="15.75" outlineLevel="1">
      <c r="A24" s="40" t="s">
        <v>960</v>
      </c>
      <c r="B24" s="41" t="s">
        <v>4</v>
      </c>
      <c r="C24" s="40">
        <v>5.19</v>
      </c>
      <c r="D24" s="114"/>
    </row>
    <row r="25" spans="1:4" ht="15.75" outlineLevel="1">
      <c r="A25" s="40" t="s">
        <v>960</v>
      </c>
      <c r="B25" s="41" t="s">
        <v>5</v>
      </c>
      <c r="C25" s="40">
        <v>5.26</v>
      </c>
      <c r="D25" s="114"/>
    </row>
    <row r="26" spans="1:4" ht="15.75" outlineLevel="1">
      <c r="A26" s="40" t="s">
        <v>960</v>
      </c>
      <c r="B26" s="41" t="s">
        <v>6</v>
      </c>
      <c r="C26" s="40">
        <v>5.27</v>
      </c>
      <c r="D26" s="114"/>
    </row>
    <row r="27" spans="1:4" ht="15.75" outlineLevel="1">
      <c r="A27" s="40" t="s">
        <v>960</v>
      </c>
      <c r="B27" s="41" t="s">
        <v>7</v>
      </c>
      <c r="C27" s="40">
        <v>5.28</v>
      </c>
      <c r="D27" s="114"/>
    </row>
    <row r="28" spans="1:4" ht="15.75" outlineLevel="1">
      <c r="A28" s="40" t="s">
        <v>960</v>
      </c>
      <c r="B28" s="41" t="s">
        <v>8</v>
      </c>
      <c r="C28" s="42">
        <v>5.3</v>
      </c>
      <c r="D28" s="114"/>
    </row>
    <row r="29" spans="1:4" ht="15.75" outlineLevel="1">
      <c r="A29" s="40" t="s">
        <v>960</v>
      </c>
      <c r="B29" s="41" t="s">
        <v>9</v>
      </c>
      <c r="C29" s="40">
        <v>5.49</v>
      </c>
      <c r="D29" s="114"/>
    </row>
    <row r="30" spans="1:4" ht="15.75" outlineLevel="1">
      <c r="A30" s="40" t="s">
        <v>960</v>
      </c>
      <c r="B30" s="41" t="s">
        <v>10</v>
      </c>
      <c r="C30" s="40">
        <v>5.51</v>
      </c>
      <c r="D30" s="114"/>
    </row>
    <row r="31" spans="1:4" ht="15.75" outlineLevel="1">
      <c r="A31" s="40" t="s">
        <v>960</v>
      </c>
      <c r="B31" s="41" t="s">
        <v>11</v>
      </c>
      <c r="C31" s="40">
        <v>5.53</v>
      </c>
      <c r="D31" s="114"/>
    </row>
    <row r="32" spans="1:4" ht="15.75" outlineLevel="1">
      <c r="A32" s="40" t="s">
        <v>960</v>
      </c>
      <c r="B32" s="41" t="s">
        <v>12</v>
      </c>
      <c r="C32" s="40">
        <v>5.69</v>
      </c>
      <c r="D32" s="114"/>
    </row>
    <row r="33" spans="1:4" ht="15.75" outlineLevel="1">
      <c r="A33" s="40" t="s">
        <v>960</v>
      </c>
      <c r="B33" s="41" t="s">
        <v>13</v>
      </c>
      <c r="C33" s="40">
        <v>5.75</v>
      </c>
      <c r="D33" s="114"/>
    </row>
    <row r="34" spans="1:4" ht="15.75" outlineLevel="1">
      <c r="A34" s="40" t="s">
        <v>960</v>
      </c>
      <c r="B34" s="41" t="s">
        <v>14</v>
      </c>
      <c r="C34" s="42">
        <v>5.7</v>
      </c>
      <c r="D34" s="114"/>
    </row>
    <row r="35" spans="1:4" ht="15.75" outlineLevel="1">
      <c r="A35" s="40" t="s">
        <v>960</v>
      </c>
      <c r="B35" s="41" t="s">
        <v>15</v>
      </c>
      <c r="C35" s="40">
        <v>5.74</v>
      </c>
      <c r="D35" s="114"/>
    </row>
    <row r="36" spans="1:4" ht="15.75" outlineLevel="1">
      <c r="A36" s="40" t="s">
        <v>960</v>
      </c>
      <c r="B36" s="41" t="s">
        <v>16</v>
      </c>
      <c r="C36" s="40">
        <v>5.62</v>
      </c>
      <c r="D36" s="114"/>
    </row>
    <row r="37" spans="1:4" ht="15.75" outlineLevel="1">
      <c r="A37" s="40" t="s">
        <v>960</v>
      </c>
      <c r="B37" s="41" t="s">
        <v>17</v>
      </c>
      <c r="C37" s="40">
        <v>5.58</v>
      </c>
      <c r="D37" s="114"/>
    </row>
    <row r="38" spans="1:4" ht="15.75" outlineLevel="1">
      <c r="A38" s="40" t="s">
        <v>960</v>
      </c>
      <c r="B38" s="41" t="s">
        <v>18</v>
      </c>
      <c r="C38" s="40">
        <v>5.54</v>
      </c>
      <c r="D38" s="114"/>
    </row>
    <row r="39" spans="1:4" ht="15.75" outlineLevel="1">
      <c r="A39" s="40" t="s">
        <v>960</v>
      </c>
      <c r="B39" s="41" t="s">
        <v>19</v>
      </c>
      <c r="C39" s="40">
        <v>5.55</v>
      </c>
      <c r="D39" s="114"/>
    </row>
    <row r="40" spans="1:4" ht="15.75" outlineLevel="1">
      <c r="A40" s="40" t="s">
        <v>960</v>
      </c>
      <c r="B40" s="41" t="s">
        <v>20</v>
      </c>
      <c r="C40" s="40">
        <v>5.63</v>
      </c>
      <c r="D40" s="114"/>
    </row>
    <row r="41" spans="1:4" ht="15.75" outlineLevel="1">
      <c r="A41" s="40" t="s">
        <v>960</v>
      </c>
      <c r="B41" s="41" t="s">
        <v>21</v>
      </c>
      <c r="C41" s="40">
        <v>5.65</v>
      </c>
      <c r="D41" s="114"/>
    </row>
    <row r="42" spans="1:4" ht="15.75" outlineLevel="1">
      <c r="A42" s="40" t="s">
        <v>960</v>
      </c>
      <c r="B42" s="41" t="s">
        <v>22</v>
      </c>
      <c r="C42" s="40">
        <v>5.68</v>
      </c>
      <c r="D42" s="114"/>
    </row>
    <row r="43" spans="1:4" ht="15.75" outlineLevel="1">
      <c r="A43" s="40" t="s">
        <v>960</v>
      </c>
      <c r="B43" s="41" t="s">
        <v>23</v>
      </c>
      <c r="C43" s="40">
        <v>5.45</v>
      </c>
      <c r="D43" s="114"/>
    </row>
    <row r="44" spans="1:4" ht="15.75" outlineLevel="1">
      <c r="A44" s="40" t="s">
        <v>960</v>
      </c>
      <c r="B44" s="41" t="s">
        <v>24</v>
      </c>
      <c r="C44" s="40">
        <v>5.47</v>
      </c>
      <c r="D44" s="114"/>
    </row>
    <row r="45" spans="1:4" ht="15.75" outlineLevel="1">
      <c r="A45" s="40" t="s">
        <v>960</v>
      </c>
      <c r="B45" s="41" t="s">
        <v>25</v>
      </c>
      <c r="C45" s="40">
        <v>5.48</v>
      </c>
      <c r="D45" s="114"/>
    </row>
    <row r="46" spans="1:4" ht="15.75">
      <c r="A46" s="46" t="s">
        <v>960</v>
      </c>
      <c r="B46" s="41"/>
      <c r="C46" s="40"/>
      <c r="D46" s="114"/>
    </row>
    <row r="47" spans="1:4" ht="15.75" outlineLevel="1">
      <c r="A47" s="40" t="s">
        <v>964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964</v>
      </c>
      <c r="B48" s="41" t="s">
        <v>1</v>
      </c>
      <c r="C48" s="40">
        <v>5.2</v>
      </c>
      <c r="D48" s="114"/>
    </row>
    <row r="49" spans="1:4" ht="15.75" outlineLevel="1">
      <c r="A49" s="40" t="s">
        <v>964</v>
      </c>
      <c r="B49" s="41" t="s">
        <v>2</v>
      </c>
      <c r="C49" s="40">
        <v>5.3</v>
      </c>
      <c r="D49" s="114"/>
    </row>
    <row r="50" spans="1:4" ht="15.75" outlineLevel="1">
      <c r="A50" s="40" t="s">
        <v>964</v>
      </c>
      <c r="B50" s="41" t="s">
        <v>141</v>
      </c>
      <c r="C50" s="40">
        <v>5.6</v>
      </c>
      <c r="D50" s="114"/>
    </row>
    <row r="51" spans="1:4" ht="15.75" outlineLevel="1">
      <c r="A51" s="40" t="s">
        <v>964</v>
      </c>
      <c r="B51" s="41" t="s">
        <v>1112</v>
      </c>
      <c r="C51" s="42">
        <v>5.0999999999999996</v>
      </c>
      <c r="D51" s="114"/>
    </row>
    <row r="52" spans="1:4" ht="15.75" outlineLevel="1">
      <c r="A52" s="40" t="s">
        <v>964</v>
      </c>
      <c r="B52" s="41" t="s">
        <v>1111</v>
      </c>
      <c r="C52" s="40">
        <v>5.14</v>
      </c>
      <c r="D52" s="114"/>
    </row>
    <row r="53" spans="1:4" ht="15.75" outlineLevel="1">
      <c r="A53" s="40" t="s">
        <v>964</v>
      </c>
      <c r="B53" s="41" t="s">
        <v>4</v>
      </c>
      <c r="C53" s="40">
        <v>5.19</v>
      </c>
      <c r="D53" s="114"/>
    </row>
    <row r="54" spans="1:4" ht="15.75" outlineLevel="1">
      <c r="A54" s="40" t="s">
        <v>964</v>
      </c>
      <c r="B54" s="41" t="s">
        <v>143</v>
      </c>
      <c r="C54" s="40">
        <v>5.24</v>
      </c>
      <c r="D54" s="114"/>
    </row>
    <row r="55" spans="1:4" ht="15.75" outlineLevel="1">
      <c r="A55" s="40" t="s">
        <v>964</v>
      </c>
      <c r="B55" s="41" t="s">
        <v>5</v>
      </c>
      <c r="C55" s="40">
        <v>5.26</v>
      </c>
      <c r="D55" s="114"/>
    </row>
    <row r="56" spans="1:4" ht="15.75" outlineLevel="1">
      <c r="A56" s="40" t="s">
        <v>964</v>
      </c>
      <c r="B56" s="41" t="s">
        <v>6</v>
      </c>
      <c r="C56" s="40">
        <v>5.27</v>
      </c>
      <c r="D56" s="114"/>
    </row>
    <row r="57" spans="1:4" ht="15.75" outlineLevel="1">
      <c r="A57" s="40" t="s">
        <v>964</v>
      </c>
      <c r="B57" s="41" t="s">
        <v>7</v>
      </c>
      <c r="C57" s="40">
        <v>5.28</v>
      </c>
      <c r="D57" s="114"/>
    </row>
    <row r="58" spans="1:4" ht="15.75" outlineLevel="1">
      <c r="A58" s="40" t="s">
        <v>964</v>
      </c>
      <c r="B58" s="41" t="s">
        <v>8</v>
      </c>
      <c r="C58" s="42">
        <v>5.3</v>
      </c>
      <c r="D58" s="114"/>
    </row>
    <row r="59" spans="1:4" ht="15.75" outlineLevel="1">
      <c r="A59" s="40" t="s">
        <v>964</v>
      </c>
      <c r="B59" s="41" t="s">
        <v>144</v>
      </c>
      <c r="C59" s="40">
        <v>5.31</v>
      </c>
      <c r="D59" s="114"/>
    </row>
    <row r="60" spans="1:4" ht="15.75" outlineLevel="1">
      <c r="A60" s="40" t="s">
        <v>964</v>
      </c>
      <c r="B60" s="41" t="s">
        <v>123</v>
      </c>
      <c r="C60" s="40">
        <v>5.36</v>
      </c>
      <c r="D60" s="114"/>
    </row>
    <row r="61" spans="1:4" ht="15.75" outlineLevel="1">
      <c r="A61" s="40" t="s">
        <v>964</v>
      </c>
      <c r="B61" s="41" t="s">
        <v>9</v>
      </c>
      <c r="C61" s="40">
        <v>5.49</v>
      </c>
      <c r="D61" s="114"/>
    </row>
    <row r="62" spans="1:4" ht="15.75" outlineLevel="1">
      <c r="A62" s="40" t="s">
        <v>964</v>
      </c>
      <c r="B62" s="41" t="s">
        <v>10</v>
      </c>
      <c r="C62" s="40">
        <v>5.51</v>
      </c>
      <c r="D62" s="114"/>
    </row>
    <row r="63" spans="1:4" ht="15.75" outlineLevel="1">
      <c r="A63" s="40" t="s">
        <v>964</v>
      </c>
      <c r="B63" s="41" t="s">
        <v>1113</v>
      </c>
      <c r="C63" s="40">
        <v>5.52</v>
      </c>
      <c r="D63" s="114"/>
    </row>
    <row r="64" spans="1:4" ht="15.75" outlineLevel="1">
      <c r="A64" s="40" t="s">
        <v>964</v>
      </c>
      <c r="B64" s="41" t="s">
        <v>11</v>
      </c>
      <c r="C64" s="40">
        <v>5.53</v>
      </c>
      <c r="D64" s="114"/>
    </row>
    <row r="65" spans="1:4" ht="15.75" outlineLevel="1">
      <c r="A65" s="40" t="s">
        <v>964</v>
      </c>
      <c r="B65" s="41" t="s">
        <v>12</v>
      </c>
      <c r="C65" s="40">
        <v>5.69</v>
      </c>
      <c r="D65" s="114"/>
    </row>
    <row r="66" spans="1:4" ht="15.75" outlineLevel="1">
      <c r="A66" s="40" t="s">
        <v>964</v>
      </c>
      <c r="B66" s="41" t="s">
        <v>909</v>
      </c>
      <c r="C66" s="42">
        <v>5.72</v>
      </c>
      <c r="D66" s="114"/>
    </row>
    <row r="67" spans="1:4" ht="15.75" outlineLevel="1">
      <c r="A67" s="40" t="s">
        <v>964</v>
      </c>
      <c r="B67" s="41" t="s">
        <v>13</v>
      </c>
      <c r="C67" s="40">
        <v>5.75</v>
      </c>
      <c r="D67" s="114"/>
    </row>
    <row r="68" spans="1:4" ht="15.75" outlineLevel="1">
      <c r="A68" s="40" t="s">
        <v>964</v>
      </c>
      <c r="B68" s="41" t="s">
        <v>14</v>
      </c>
      <c r="C68" s="42">
        <v>5.7</v>
      </c>
      <c r="D68" s="114"/>
    </row>
    <row r="69" spans="1:4" ht="15.75" outlineLevel="1">
      <c r="A69" s="40" t="s">
        <v>964</v>
      </c>
      <c r="B69" s="41" t="s">
        <v>15</v>
      </c>
      <c r="C69" s="40">
        <v>5.74</v>
      </c>
      <c r="D69" s="114"/>
    </row>
    <row r="70" spans="1:4" ht="15.75" outlineLevel="1">
      <c r="A70" s="40" t="s">
        <v>964</v>
      </c>
      <c r="B70" s="41" t="s">
        <v>409</v>
      </c>
      <c r="C70" s="40">
        <v>5.76</v>
      </c>
      <c r="D70" s="114"/>
    </row>
    <row r="71" spans="1:4" ht="15.75" outlineLevel="1">
      <c r="A71" s="40" t="s">
        <v>964</v>
      </c>
      <c r="B71" s="41" t="s">
        <v>830</v>
      </c>
      <c r="C71" s="40">
        <v>5.89</v>
      </c>
      <c r="D71" s="113" t="s">
        <v>1110</v>
      </c>
    </row>
    <row r="72" spans="1:4" ht="15.75" outlineLevel="1">
      <c r="A72" s="40" t="s">
        <v>964</v>
      </c>
      <c r="B72" s="41" t="s">
        <v>17</v>
      </c>
      <c r="C72" s="40">
        <v>5.58</v>
      </c>
      <c r="D72" s="114"/>
    </row>
    <row r="73" spans="1:4" ht="15.75" outlineLevel="1">
      <c r="A73" s="40" t="s">
        <v>964</v>
      </c>
      <c r="B73" s="41" t="s">
        <v>16</v>
      </c>
      <c r="C73" s="40">
        <v>5.62</v>
      </c>
      <c r="D73" s="114"/>
    </row>
    <row r="74" spans="1:4" ht="15.75" outlineLevel="1">
      <c r="A74" s="40" t="s">
        <v>964</v>
      </c>
      <c r="B74" s="41" t="s">
        <v>18</v>
      </c>
      <c r="C74" s="40">
        <v>5.54</v>
      </c>
      <c r="D74" s="114"/>
    </row>
    <row r="75" spans="1:4" ht="15.75" outlineLevel="1">
      <c r="A75" s="40" t="s">
        <v>964</v>
      </c>
      <c r="B75" s="41" t="s">
        <v>19</v>
      </c>
      <c r="C75" s="40">
        <v>5.55</v>
      </c>
      <c r="D75" s="114"/>
    </row>
    <row r="76" spans="1:4" ht="15.75" outlineLevel="1">
      <c r="A76" s="40" t="s">
        <v>964</v>
      </c>
      <c r="B76" s="41" t="s">
        <v>20</v>
      </c>
      <c r="C76" s="40">
        <v>5.63</v>
      </c>
      <c r="D76" s="114"/>
    </row>
    <row r="77" spans="1:4" ht="15.75" outlineLevel="1">
      <c r="A77" s="40" t="s">
        <v>964</v>
      </c>
      <c r="B77" s="41" t="s">
        <v>21</v>
      </c>
      <c r="C77" s="40">
        <v>5.65</v>
      </c>
      <c r="D77" s="114"/>
    </row>
    <row r="78" spans="1:4" ht="15.75" outlineLevel="1">
      <c r="A78" s="40" t="s">
        <v>964</v>
      </c>
      <c r="B78" s="41" t="s">
        <v>160</v>
      </c>
      <c r="C78" s="40">
        <v>5.66</v>
      </c>
      <c r="D78" s="114"/>
    </row>
    <row r="79" spans="1:4" ht="15.75" outlineLevel="1">
      <c r="A79" s="40" t="s">
        <v>964</v>
      </c>
      <c r="B79" s="41" t="s">
        <v>22</v>
      </c>
      <c r="C79" s="40">
        <v>5.68</v>
      </c>
      <c r="D79" s="114"/>
    </row>
    <row r="80" spans="1:4" ht="15.75" outlineLevel="1">
      <c r="A80" s="40" t="s">
        <v>964</v>
      </c>
      <c r="B80" s="41" t="s">
        <v>23</v>
      </c>
      <c r="C80" s="40">
        <v>5.45</v>
      </c>
      <c r="D80" s="114"/>
    </row>
    <row r="81" spans="1:4" ht="15.75" outlineLevel="1">
      <c r="A81" s="40" t="s">
        <v>964</v>
      </c>
      <c r="B81" s="41" t="s">
        <v>24</v>
      </c>
      <c r="C81" s="40">
        <v>5.47</v>
      </c>
      <c r="D81" s="114"/>
    </row>
    <row r="82" spans="1:4" ht="15.75" outlineLevel="1">
      <c r="A82" s="40" t="s">
        <v>964</v>
      </c>
      <c r="B82" s="41" t="s">
        <v>25</v>
      </c>
      <c r="C82" s="40">
        <v>5.48</v>
      </c>
      <c r="D82" s="114"/>
    </row>
    <row r="83" spans="1:4" ht="15.75">
      <c r="A83" s="46" t="s">
        <v>964</v>
      </c>
      <c r="B83" s="41"/>
      <c r="C83" s="40"/>
      <c r="D83" s="114"/>
    </row>
    <row r="84" spans="1:4" ht="15.75" outlineLevel="1">
      <c r="A84" s="40" t="s">
        <v>965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965</v>
      </c>
      <c r="B85" s="41" t="s">
        <v>1</v>
      </c>
      <c r="C85" s="40">
        <v>5.2</v>
      </c>
      <c r="D85" s="114"/>
    </row>
    <row r="86" spans="1:4" ht="15.75" outlineLevel="1">
      <c r="A86" s="40" t="s">
        <v>965</v>
      </c>
      <c r="B86" s="41" t="s">
        <v>2</v>
      </c>
      <c r="C86" s="40">
        <v>5.3</v>
      </c>
      <c r="D86" s="114"/>
    </row>
    <row r="87" spans="1:4" ht="15.75" outlineLevel="1">
      <c r="A87" s="40" t="s">
        <v>965</v>
      </c>
      <c r="B87" s="41" t="s">
        <v>141</v>
      </c>
      <c r="C87" s="40">
        <v>5.6</v>
      </c>
      <c r="D87" s="114"/>
    </row>
    <row r="88" spans="1:4" ht="15.75" outlineLevel="1">
      <c r="A88" s="40" t="s">
        <v>965</v>
      </c>
      <c r="B88" s="41" t="s">
        <v>1112</v>
      </c>
      <c r="C88" s="42">
        <v>5.0999999999999996</v>
      </c>
      <c r="D88" s="114"/>
    </row>
    <row r="89" spans="1:4" ht="15.75" outlineLevel="1">
      <c r="A89" s="40" t="s">
        <v>965</v>
      </c>
      <c r="B89" s="41" t="s">
        <v>1111</v>
      </c>
      <c r="C89" s="40">
        <v>5.14</v>
      </c>
      <c r="D89" s="114"/>
    </row>
    <row r="90" spans="1:4" ht="15.75" outlineLevel="1">
      <c r="A90" s="40" t="s">
        <v>965</v>
      </c>
      <c r="B90" s="41" t="s">
        <v>4</v>
      </c>
      <c r="C90" s="40">
        <v>5.19</v>
      </c>
      <c r="D90" s="114"/>
    </row>
    <row r="91" spans="1:4" ht="15.75" outlineLevel="1">
      <c r="A91" s="40" t="s">
        <v>965</v>
      </c>
      <c r="B91" s="41" t="s">
        <v>143</v>
      </c>
      <c r="C91" s="40">
        <v>5.24</v>
      </c>
      <c r="D91" s="114"/>
    </row>
    <row r="92" spans="1:4" ht="15.75" outlineLevel="1">
      <c r="A92" s="40" t="s">
        <v>965</v>
      </c>
      <c r="B92" s="41" t="s">
        <v>5</v>
      </c>
      <c r="C92" s="40">
        <v>5.26</v>
      </c>
      <c r="D92" s="114"/>
    </row>
    <row r="93" spans="1:4" ht="15.75" outlineLevel="1">
      <c r="A93" s="40" t="s">
        <v>965</v>
      </c>
      <c r="B93" s="41" t="s">
        <v>6</v>
      </c>
      <c r="C93" s="40">
        <v>5.27</v>
      </c>
      <c r="D93" s="114"/>
    </row>
    <row r="94" spans="1:4" ht="15.75" outlineLevel="1">
      <c r="A94" s="40" t="s">
        <v>965</v>
      </c>
      <c r="B94" s="41" t="s">
        <v>7</v>
      </c>
      <c r="C94" s="40">
        <v>5.28</v>
      </c>
      <c r="D94" s="114"/>
    </row>
    <row r="95" spans="1:4" ht="15.75" outlineLevel="1">
      <c r="A95" s="40" t="s">
        <v>965</v>
      </c>
      <c r="B95" s="41" t="s">
        <v>324</v>
      </c>
      <c r="C95" s="40">
        <v>5.29</v>
      </c>
      <c r="D95" s="114"/>
    </row>
    <row r="96" spans="1:4" ht="15.75" outlineLevel="1">
      <c r="A96" s="40" t="s">
        <v>965</v>
      </c>
      <c r="B96" s="41" t="s">
        <v>8</v>
      </c>
      <c r="C96" s="42">
        <v>5.3</v>
      </c>
      <c r="D96" s="114"/>
    </row>
    <row r="97" spans="1:4" ht="15.75" outlineLevel="1">
      <c r="A97" s="40" t="s">
        <v>965</v>
      </c>
      <c r="B97" s="41" t="s">
        <v>144</v>
      </c>
      <c r="C97" s="40">
        <v>5.31</v>
      </c>
      <c r="D97" s="114"/>
    </row>
    <row r="98" spans="1:4" ht="15.75" outlineLevel="1">
      <c r="A98" s="40" t="s">
        <v>965</v>
      </c>
      <c r="B98" s="41" t="s">
        <v>123</v>
      </c>
      <c r="C98" s="40">
        <v>5.36</v>
      </c>
      <c r="D98" s="114"/>
    </row>
    <row r="99" spans="1:4" ht="15.75" outlineLevel="1">
      <c r="A99" s="40" t="s">
        <v>965</v>
      </c>
      <c r="B99" s="41" t="s">
        <v>9</v>
      </c>
      <c r="C99" s="40">
        <v>5.49</v>
      </c>
      <c r="D99" s="114"/>
    </row>
    <row r="100" spans="1:4" ht="15.75" outlineLevel="1">
      <c r="A100" s="40" t="s">
        <v>965</v>
      </c>
      <c r="B100" s="41" t="s">
        <v>10</v>
      </c>
      <c r="C100" s="40">
        <v>5.51</v>
      </c>
      <c r="D100" s="114"/>
    </row>
    <row r="101" spans="1:4" ht="15.75" outlineLevel="1">
      <c r="A101" s="40" t="s">
        <v>965</v>
      </c>
      <c r="B101" s="41" t="s">
        <v>1113</v>
      </c>
      <c r="C101" s="40">
        <v>5.52</v>
      </c>
      <c r="D101" s="114"/>
    </row>
    <row r="102" spans="1:4" ht="15.75" outlineLevel="1">
      <c r="A102" s="40" t="s">
        <v>965</v>
      </c>
      <c r="B102" s="41" t="s">
        <v>11</v>
      </c>
      <c r="C102" s="40">
        <v>5.53</v>
      </c>
      <c r="D102" s="114"/>
    </row>
    <row r="103" spans="1:4" ht="15.75" outlineLevel="1">
      <c r="A103" s="40" t="s">
        <v>965</v>
      </c>
      <c r="B103" s="41" t="s">
        <v>12</v>
      </c>
      <c r="C103" s="40">
        <v>5.69</v>
      </c>
      <c r="D103" s="114"/>
    </row>
    <row r="104" spans="1:4" ht="15.75" outlineLevel="1">
      <c r="A104" s="40" t="s">
        <v>965</v>
      </c>
      <c r="B104" s="41" t="s">
        <v>13</v>
      </c>
      <c r="C104" s="40">
        <v>5.75</v>
      </c>
      <c r="D104" s="114"/>
    </row>
    <row r="105" spans="1:4" ht="15.75" outlineLevel="1">
      <c r="A105" s="40" t="s">
        <v>965</v>
      </c>
      <c r="B105" s="41" t="s">
        <v>14</v>
      </c>
      <c r="C105" s="42">
        <v>5.7</v>
      </c>
      <c r="D105" s="114"/>
    </row>
    <row r="106" spans="1:4" ht="15.75" outlineLevel="1">
      <c r="A106" s="40" t="s">
        <v>965</v>
      </c>
      <c r="B106" s="41" t="s">
        <v>15</v>
      </c>
      <c r="C106" s="40">
        <v>5.74</v>
      </c>
      <c r="D106" s="114"/>
    </row>
    <row r="107" spans="1:4" ht="15.75" outlineLevel="1">
      <c r="A107" s="40" t="s">
        <v>965</v>
      </c>
      <c r="B107" s="41" t="s">
        <v>409</v>
      </c>
      <c r="C107" s="40">
        <v>5.76</v>
      </c>
      <c r="D107" s="114"/>
    </row>
    <row r="108" spans="1:4" ht="15.75" outlineLevel="1">
      <c r="A108" s="40" t="s">
        <v>965</v>
      </c>
      <c r="B108" s="41" t="s">
        <v>830</v>
      </c>
      <c r="C108" s="40">
        <v>5.89</v>
      </c>
      <c r="D108" s="113" t="s">
        <v>1110</v>
      </c>
    </row>
    <row r="109" spans="1:4" ht="15.75" outlineLevel="1">
      <c r="A109" s="40" t="s">
        <v>965</v>
      </c>
      <c r="B109" s="41" t="s">
        <v>17</v>
      </c>
      <c r="C109" s="40">
        <v>5.58</v>
      </c>
      <c r="D109" s="114"/>
    </row>
    <row r="110" spans="1:4" ht="15.75" outlineLevel="1">
      <c r="A110" s="40" t="s">
        <v>965</v>
      </c>
      <c r="B110" s="41" t="s">
        <v>16</v>
      </c>
      <c r="C110" s="40">
        <v>5.62</v>
      </c>
      <c r="D110" s="114"/>
    </row>
    <row r="111" spans="1:4" ht="15.75" outlineLevel="1">
      <c r="A111" s="40" t="s">
        <v>965</v>
      </c>
      <c r="B111" s="41" t="s">
        <v>18</v>
      </c>
      <c r="C111" s="40">
        <v>5.54</v>
      </c>
      <c r="D111" s="114"/>
    </row>
    <row r="112" spans="1:4" ht="15.75" outlineLevel="1">
      <c r="A112" s="40" t="s">
        <v>965</v>
      </c>
      <c r="B112" s="41" t="s">
        <v>19</v>
      </c>
      <c r="C112" s="40">
        <v>5.55</v>
      </c>
      <c r="D112" s="114"/>
    </row>
    <row r="113" spans="1:4" ht="15.75" outlineLevel="1">
      <c r="A113" s="40" t="s">
        <v>965</v>
      </c>
      <c r="B113" s="41" t="s">
        <v>21</v>
      </c>
      <c r="C113" s="40">
        <v>5.65</v>
      </c>
      <c r="D113" s="114"/>
    </row>
    <row r="114" spans="1:4" ht="15.75" outlineLevel="1">
      <c r="A114" s="40" t="s">
        <v>965</v>
      </c>
      <c r="B114" s="41" t="s">
        <v>160</v>
      </c>
      <c r="C114" s="40">
        <v>5.66</v>
      </c>
      <c r="D114" s="114"/>
    </row>
    <row r="115" spans="1:4" ht="15.75" outlineLevel="1">
      <c r="A115" s="40" t="s">
        <v>965</v>
      </c>
      <c r="B115" s="41" t="s">
        <v>22</v>
      </c>
      <c r="C115" s="40">
        <v>5.68</v>
      </c>
      <c r="D115" s="114"/>
    </row>
    <row r="116" spans="1:4" ht="15.75" outlineLevel="1">
      <c r="A116" s="40" t="s">
        <v>965</v>
      </c>
      <c r="B116" s="41" t="s">
        <v>23</v>
      </c>
      <c r="C116" s="40">
        <v>5.45</v>
      </c>
      <c r="D116" s="114"/>
    </row>
    <row r="117" spans="1:4" ht="15.75" outlineLevel="1">
      <c r="A117" s="40" t="s">
        <v>965</v>
      </c>
      <c r="B117" s="41" t="s">
        <v>24</v>
      </c>
      <c r="C117" s="40">
        <v>5.47</v>
      </c>
      <c r="D117" s="114"/>
    </row>
    <row r="118" spans="1:4" ht="15.75" outlineLevel="1">
      <c r="A118" s="40" t="s">
        <v>965</v>
      </c>
      <c r="B118" s="41" t="s">
        <v>25</v>
      </c>
      <c r="C118" s="40">
        <v>5.48</v>
      </c>
      <c r="D118" s="114"/>
    </row>
    <row r="119" spans="1:4" ht="15.75">
      <c r="A119" s="46" t="s">
        <v>965</v>
      </c>
      <c r="B119" s="41"/>
      <c r="C119" s="40"/>
      <c r="D119" s="114"/>
    </row>
    <row r="120" spans="1:4" ht="15.75" outlineLevel="1">
      <c r="A120" s="40" t="s">
        <v>1114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1114</v>
      </c>
      <c r="B121" s="41" t="s">
        <v>1</v>
      </c>
      <c r="C121" s="40">
        <v>5.2</v>
      </c>
      <c r="D121" s="114"/>
    </row>
    <row r="122" spans="1:4" ht="15.75" outlineLevel="1">
      <c r="A122" s="40" t="s">
        <v>1114</v>
      </c>
      <c r="B122" s="41" t="s">
        <v>2</v>
      </c>
      <c r="C122" s="40">
        <v>5.3</v>
      </c>
      <c r="D122" s="114"/>
    </row>
    <row r="123" spans="1:4" ht="15.75" outlineLevel="1">
      <c r="A123" s="40" t="s">
        <v>1114</v>
      </c>
      <c r="B123" s="41" t="s">
        <v>141</v>
      </c>
      <c r="C123" s="40">
        <v>5.6</v>
      </c>
      <c r="D123" s="114"/>
    </row>
    <row r="124" spans="1:4" ht="15.75" outlineLevel="1">
      <c r="A124" s="40" t="s">
        <v>1114</v>
      </c>
      <c r="B124" s="41" t="s">
        <v>1112</v>
      </c>
      <c r="C124" s="42">
        <v>5.0999999999999996</v>
      </c>
      <c r="D124" s="114"/>
    </row>
    <row r="125" spans="1:4" ht="15.75" outlineLevel="1">
      <c r="A125" s="40" t="s">
        <v>1114</v>
      </c>
      <c r="B125" s="41" t="s">
        <v>1111</v>
      </c>
      <c r="C125" s="40">
        <v>5.14</v>
      </c>
      <c r="D125" s="114"/>
    </row>
    <row r="126" spans="1:4" ht="15.75" outlineLevel="1">
      <c r="A126" s="40" t="s">
        <v>1114</v>
      </c>
      <c r="B126" s="41" t="s">
        <v>4</v>
      </c>
      <c r="C126" s="40">
        <v>5.19</v>
      </c>
      <c r="D126" s="114"/>
    </row>
    <row r="127" spans="1:4" ht="15.75" outlineLevel="1">
      <c r="A127" s="40" t="s">
        <v>1114</v>
      </c>
      <c r="B127" s="41" t="s">
        <v>143</v>
      </c>
      <c r="C127" s="40">
        <v>5.24</v>
      </c>
      <c r="D127" s="114"/>
    </row>
    <row r="128" spans="1:4" ht="15.75" outlineLevel="1">
      <c r="A128" s="40" t="s">
        <v>1114</v>
      </c>
      <c r="B128" s="41" t="s">
        <v>5</v>
      </c>
      <c r="C128" s="40">
        <v>5.26</v>
      </c>
      <c r="D128" s="114"/>
    </row>
    <row r="129" spans="1:4" ht="15.75" outlineLevel="1">
      <c r="A129" s="40" t="s">
        <v>1114</v>
      </c>
      <c r="B129" s="41" t="s">
        <v>6</v>
      </c>
      <c r="C129" s="40">
        <v>5.27</v>
      </c>
      <c r="D129" s="114"/>
    </row>
    <row r="130" spans="1:4" ht="15.75" outlineLevel="1">
      <c r="A130" s="40" t="s">
        <v>1114</v>
      </c>
      <c r="B130" s="41" t="s">
        <v>7</v>
      </c>
      <c r="C130" s="40">
        <v>5.28</v>
      </c>
      <c r="D130" s="114"/>
    </row>
    <row r="131" spans="1:4" ht="15.75" outlineLevel="1">
      <c r="A131" s="40" t="s">
        <v>1114</v>
      </c>
      <c r="B131" s="41" t="s">
        <v>324</v>
      </c>
      <c r="C131" s="40">
        <v>5.29</v>
      </c>
      <c r="D131" s="114"/>
    </row>
    <row r="132" spans="1:4" ht="15.75" outlineLevel="1">
      <c r="A132" s="40" t="s">
        <v>1114</v>
      </c>
      <c r="B132" s="41" t="s">
        <v>8</v>
      </c>
      <c r="C132" s="42">
        <v>5.3</v>
      </c>
      <c r="D132" s="114"/>
    </row>
    <row r="133" spans="1:4" ht="15.75" outlineLevel="1">
      <c r="A133" s="40" t="s">
        <v>1114</v>
      </c>
      <c r="B133" s="41" t="s">
        <v>144</v>
      </c>
      <c r="C133" s="40">
        <v>5.31</v>
      </c>
      <c r="D133" s="114"/>
    </row>
    <row r="134" spans="1:4" ht="15.75" outlineLevel="1">
      <c r="A134" s="40" t="s">
        <v>1114</v>
      </c>
      <c r="B134" s="41" t="s">
        <v>123</v>
      </c>
      <c r="C134" s="40">
        <v>5.36</v>
      </c>
      <c r="D134" s="114"/>
    </row>
    <row r="135" spans="1:4" ht="15.75" outlineLevel="1">
      <c r="A135" s="40" t="s">
        <v>1114</v>
      </c>
      <c r="B135" s="41" t="s">
        <v>11</v>
      </c>
      <c r="C135" s="40">
        <v>5.53</v>
      </c>
      <c r="D135" s="114"/>
    </row>
    <row r="136" spans="1:4" ht="15.75" outlineLevel="1">
      <c r="A136" s="40" t="s">
        <v>1114</v>
      </c>
      <c r="B136" s="41" t="s">
        <v>17</v>
      </c>
      <c r="C136" s="40">
        <v>5.58</v>
      </c>
      <c r="D136" s="114"/>
    </row>
    <row r="137" spans="1:4" ht="15.75" outlineLevel="1">
      <c r="A137" s="40" t="s">
        <v>1114</v>
      </c>
      <c r="B137" s="41" t="s">
        <v>16</v>
      </c>
      <c r="C137" s="40">
        <v>5.62</v>
      </c>
      <c r="D137" s="114"/>
    </row>
    <row r="138" spans="1:4" ht="15.75" outlineLevel="1">
      <c r="A138" s="40" t="s">
        <v>1114</v>
      </c>
      <c r="B138" s="41" t="s">
        <v>18</v>
      </c>
      <c r="C138" s="40">
        <v>5.54</v>
      </c>
      <c r="D138" s="114"/>
    </row>
    <row r="139" spans="1:4" ht="15.75" outlineLevel="1">
      <c r="A139" s="40" t="s">
        <v>1114</v>
      </c>
      <c r="B139" s="41" t="s">
        <v>19</v>
      </c>
      <c r="C139" s="40">
        <v>5.55</v>
      </c>
      <c r="D139" s="114"/>
    </row>
    <row r="140" spans="1:4" ht="15.75" outlineLevel="1">
      <c r="A140" s="40" t="s">
        <v>1114</v>
      </c>
      <c r="B140" s="41" t="s">
        <v>20</v>
      </c>
      <c r="C140" s="40">
        <v>5.63</v>
      </c>
      <c r="D140" s="114"/>
    </row>
    <row r="141" spans="1:4" ht="15.75" outlineLevel="1">
      <c r="A141" s="40" t="s">
        <v>1114</v>
      </c>
      <c r="B141" s="41" t="s">
        <v>23</v>
      </c>
      <c r="C141" s="40">
        <v>5.45</v>
      </c>
      <c r="D141" s="114"/>
    </row>
    <row r="142" spans="1:4" ht="15.75" outlineLevel="1">
      <c r="A142" s="40" t="s">
        <v>1114</v>
      </c>
      <c r="B142" s="41" t="s">
        <v>24</v>
      </c>
      <c r="C142" s="40">
        <v>5.47</v>
      </c>
      <c r="D142" s="114"/>
    </row>
    <row r="143" spans="1:4" ht="15.75" outlineLevel="1">
      <c r="A143" s="40" t="s">
        <v>1114</v>
      </c>
      <c r="B143" s="41" t="s">
        <v>25</v>
      </c>
      <c r="C143" s="40">
        <v>5.48</v>
      </c>
      <c r="D143" s="114"/>
    </row>
    <row r="144" spans="1:4" ht="15.75">
      <c r="A144" s="46" t="s">
        <v>1114</v>
      </c>
      <c r="B144" s="41"/>
      <c r="C144" s="40"/>
      <c r="D144" s="114"/>
    </row>
    <row r="145" spans="1:4" ht="15.75" outlineLevel="1">
      <c r="A145" s="40" t="s">
        <v>470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470</v>
      </c>
      <c r="B146" s="41" t="s">
        <v>1</v>
      </c>
      <c r="C146" s="40">
        <v>5.2</v>
      </c>
      <c r="D146" s="114"/>
    </row>
    <row r="147" spans="1:4" ht="15.75" outlineLevel="1">
      <c r="A147" s="40" t="s">
        <v>470</v>
      </c>
      <c r="B147" s="41" t="s">
        <v>2</v>
      </c>
      <c r="C147" s="40">
        <v>5.3</v>
      </c>
      <c r="D147" s="114"/>
    </row>
    <row r="148" spans="1:4" ht="15.75" outlineLevel="1">
      <c r="A148" s="40" t="s">
        <v>470</v>
      </c>
      <c r="B148" s="41" t="s">
        <v>141</v>
      </c>
      <c r="C148" s="40">
        <v>5.6</v>
      </c>
      <c r="D148" s="114"/>
    </row>
    <row r="149" spans="1:4" ht="15.75" outlineLevel="1">
      <c r="A149" s="40" t="s">
        <v>470</v>
      </c>
      <c r="B149" s="41" t="s">
        <v>1112</v>
      </c>
      <c r="C149" s="42">
        <v>5.0999999999999996</v>
      </c>
      <c r="D149" s="114"/>
    </row>
    <row r="150" spans="1:4" ht="15.75" outlineLevel="1">
      <c r="A150" s="40" t="s">
        <v>470</v>
      </c>
      <c r="B150" s="41" t="s">
        <v>1111</v>
      </c>
      <c r="C150" s="40">
        <v>5.14</v>
      </c>
      <c r="D150" s="114"/>
    </row>
    <row r="151" spans="1:4" ht="15.75" outlineLevel="1">
      <c r="A151" s="40" t="s">
        <v>470</v>
      </c>
      <c r="B151" s="41" t="s">
        <v>4</v>
      </c>
      <c r="C151" s="40">
        <v>5.19</v>
      </c>
      <c r="D151" s="114"/>
    </row>
    <row r="152" spans="1:4" ht="15.75" outlineLevel="1">
      <c r="A152" s="40" t="s">
        <v>470</v>
      </c>
      <c r="B152" s="41" t="s">
        <v>143</v>
      </c>
      <c r="C152" s="40">
        <v>5.24</v>
      </c>
      <c r="D152" s="114"/>
    </row>
    <row r="153" spans="1:4" ht="15.75" outlineLevel="1">
      <c r="A153" s="40" t="s">
        <v>470</v>
      </c>
      <c r="B153" s="41" t="s">
        <v>5</v>
      </c>
      <c r="C153" s="40">
        <v>5.26</v>
      </c>
      <c r="D153" s="114"/>
    </row>
    <row r="154" spans="1:4" ht="15.75" outlineLevel="1">
      <c r="A154" s="40" t="s">
        <v>470</v>
      </c>
      <c r="B154" s="41" t="s">
        <v>6</v>
      </c>
      <c r="C154" s="40">
        <v>5.27</v>
      </c>
      <c r="D154" s="114"/>
    </row>
    <row r="155" spans="1:4" ht="15.75" outlineLevel="1">
      <c r="A155" s="40" t="s">
        <v>470</v>
      </c>
      <c r="B155" s="41" t="s">
        <v>7</v>
      </c>
      <c r="C155" s="40">
        <v>5.28</v>
      </c>
      <c r="D155" s="114"/>
    </row>
    <row r="156" spans="1:4" ht="15.75" outlineLevel="1">
      <c r="A156" s="40" t="s">
        <v>470</v>
      </c>
      <c r="B156" s="41" t="s">
        <v>8</v>
      </c>
      <c r="C156" s="42">
        <v>5.3</v>
      </c>
      <c r="D156" s="114"/>
    </row>
    <row r="157" spans="1:4" ht="15.75" outlineLevel="1">
      <c r="A157" s="40" t="s">
        <v>470</v>
      </c>
      <c r="B157" s="41" t="s">
        <v>568</v>
      </c>
      <c r="C157" s="40">
        <v>5.32</v>
      </c>
      <c r="D157" s="114"/>
    </row>
    <row r="158" spans="1:4" ht="15.75" outlineLevel="1">
      <c r="A158" s="40" t="s">
        <v>470</v>
      </c>
      <c r="B158" s="41" t="s">
        <v>123</v>
      </c>
      <c r="C158" s="40">
        <v>5.36</v>
      </c>
      <c r="D158" s="114"/>
    </row>
    <row r="159" spans="1:4" ht="15.75" outlineLevel="1">
      <c r="A159" s="40" t="s">
        <v>470</v>
      </c>
      <c r="B159" s="41" t="s">
        <v>11</v>
      </c>
      <c r="C159" s="40">
        <v>5.53</v>
      </c>
      <c r="D159" s="114"/>
    </row>
    <row r="160" spans="1:4" ht="15.75" outlineLevel="1">
      <c r="A160" s="40" t="s">
        <v>470</v>
      </c>
      <c r="B160" s="41" t="s">
        <v>17</v>
      </c>
      <c r="C160" s="40">
        <v>5.58</v>
      </c>
      <c r="D160" s="114"/>
    </row>
    <row r="161" spans="1:5" ht="15.75" outlineLevel="1">
      <c r="A161" s="40" t="s">
        <v>470</v>
      </c>
      <c r="B161" s="41" t="s">
        <v>18</v>
      </c>
      <c r="C161" s="40">
        <v>5.54</v>
      </c>
      <c r="D161" s="114"/>
    </row>
    <row r="162" spans="1:5" ht="15.75" outlineLevel="1">
      <c r="A162" s="40" t="s">
        <v>470</v>
      </c>
      <c r="B162" s="41" t="s">
        <v>19</v>
      </c>
      <c r="C162" s="40">
        <v>5.55</v>
      </c>
      <c r="D162" s="114"/>
    </row>
    <row r="163" spans="1:5" ht="15.75" outlineLevel="1">
      <c r="A163" s="40" t="s">
        <v>470</v>
      </c>
      <c r="B163" s="41" t="s">
        <v>16</v>
      </c>
      <c r="C163" s="40">
        <v>5.62</v>
      </c>
      <c r="D163" s="114"/>
      <c r="E163" t="s">
        <v>1115</v>
      </c>
    </row>
    <row r="164" spans="1:5" ht="15.75" outlineLevel="1">
      <c r="A164" s="40" t="s">
        <v>470</v>
      </c>
      <c r="B164" s="41" t="s">
        <v>20</v>
      </c>
      <c r="C164" s="40">
        <v>5.63</v>
      </c>
      <c r="D164" s="114"/>
    </row>
    <row r="165" spans="1:5" ht="15.75" outlineLevel="1">
      <c r="A165" s="40" t="s">
        <v>470</v>
      </c>
      <c r="B165" s="41" t="s">
        <v>23</v>
      </c>
      <c r="C165" s="40">
        <v>5.45</v>
      </c>
      <c r="D165" s="114"/>
    </row>
    <row r="166" spans="1:5" ht="15.75" outlineLevel="1">
      <c r="A166" s="40" t="s">
        <v>470</v>
      </c>
      <c r="B166" s="41" t="s">
        <v>24</v>
      </c>
      <c r="C166" s="40">
        <v>5.47</v>
      </c>
      <c r="D166" s="114"/>
    </row>
    <row r="167" spans="1:5" ht="15.75" outlineLevel="1">
      <c r="A167" s="40" t="s">
        <v>470</v>
      </c>
      <c r="B167" s="41" t="s">
        <v>25</v>
      </c>
      <c r="C167" s="40">
        <v>5.48</v>
      </c>
      <c r="D167" s="114"/>
    </row>
    <row r="168" spans="1:5" ht="15.75">
      <c r="A168" s="46" t="s">
        <v>470</v>
      </c>
      <c r="B168" s="41"/>
      <c r="C168" s="40"/>
      <c r="D168" s="114"/>
    </row>
    <row r="169" spans="1:5" ht="15.75" outlineLevel="1">
      <c r="A169" s="40" t="s">
        <v>985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985</v>
      </c>
      <c r="B170" s="41" t="s">
        <v>1</v>
      </c>
      <c r="C170" s="40">
        <v>5.2</v>
      </c>
      <c r="D170" s="114"/>
    </row>
    <row r="171" spans="1:5" ht="15.75" outlineLevel="1">
      <c r="A171" s="40" t="s">
        <v>985</v>
      </c>
      <c r="B171" s="41" t="s">
        <v>2</v>
      </c>
      <c r="C171" s="40">
        <v>5.3</v>
      </c>
      <c r="D171" s="114"/>
    </row>
    <row r="172" spans="1:5" ht="15.75" outlineLevel="1">
      <c r="A172" s="40" t="s">
        <v>985</v>
      </c>
      <c r="B172" s="41" t="s">
        <v>141</v>
      </c>
      <c r="C172" s="40">
        <v>5.6</v>
      </c>
      <c r="D172" s="114"/>
    </row>
    <row r="173" spans="1:5" ht="15.75" outlineLevel="1">
      <c r="A173" s="40" t="s">
        <v>985</v>
      </c>
      <c r="B173" s="41" t="s">
        <v>1112</v>
      </c>
      <c r="C173" s="42">
        <v>5.0999999999999996</v>
      </c>
      <c r="D173" s="114"/>
    </row>
    <row r="174" spans="1:5" ht="15.75" outlineLevel="1">
      <c r="A174" s="40" t="s">
        <v>985</v>
      </c>
      <c r="B174" s="41" t="s">
        <v>1111</v>
      </c>
      <c r="C174" s="40">
        <v>5.14</v>
      </c>
      <c r="D174" s="114"/>
    </row>
    <row r="175" spans="1:5" ht="15.75" outlineLevel="1">
      <c r="A175" s="40" t="s">
        <v>985</v>
      </c>
      <c r="B175" s="41" t="s">
        <v>4</v>
      </c>
      <c r="C175" s="40">
        <v>5.19</v>
      </c>
      <c r="D175" s="114"/>
    </row>
    <row r="176" spans="1:5" ht="15.75" outlineLevel="1">
      <c r="A176" s="40" t="s">
        <v>985</v>
      </c>
      <c r="B176" s="41" t="s">
        <v>143</v>
      </c>
      <c r="C176" s="40">
        <v>5.24</v>
      </c>
      <c r="D176" s="114"/>
    </row>
    <row r="177" spans="1:4" ht="15.75" outlineLevel="1">
      <c r="A177" s="40" t="s">
        <v>985</v>
      </c>
      <c r="B177" s="41" t="s">
        <v>5</v>
      </c>
      <c r="C177" s="40">
        <v>5.26</v>
      </c>
      <c r="D177" s="114"/>
    </row>
    <row r="178" spans="1:4" ht="15.75" outlineLevel="1">
      <c r="A178" s="40" t="s">
        <v>985</v>
      </c>
      <c r="B178" s="41" t="s">
        <v>6</v>
      </c>
      <c r="C178" s="40">
        <v>5.27</v>
      </c>
      <c r="D178" s="114"/>
    </row>
    <row r="179" spans="1:4" ht="15.75" outlineLevel="1">
      <c r="A179" s="40" t="s">
        <v>985</v>
      </c>
      <c r="B179" s="41" t="s">
        <v>7</v>
      </c>
      <c r="C179" s="40">
        <v>5.28</v>
      </c>
      <c r="D179" s="114"/>
    </row>
    <row r="180" spans="1:4" ht="15.75" outlineLevel="1">
      <c r="A180" s="40" t="s">
        <v>985</v>
      </c>
      <c r="B180" s="41" t="s">
        <v>324</v>
      </c>
      <c r="C180" s="40">
        <v>5.29</v>
      </c>
      <c r="D180" s="114"/>
    </row>
    <row r="181" spans="1:4" ht="15.75" outlineLevel="1">
      <c r="A181" s="40" t="s">
        <v>985</v>
      </c>
      <c r="B181" s="41" t="s">
        <v>8</v>
      </c>
      <c r="C181" s="42">
        <v>5.3</v>
      </c>
      <c r="D181" s="114"/>
    </row>
    <row r="182" spans="1:4" ht="15.75" outlineLevel="1">
      <c r="A182" s="40" t="s">
        <v>985</v>
      </c>
      <c r="B182" s="41" t="s">
        <v>568</v>
      </c>
      <c r="C182" s="40">
        <v>5.32</v>
      </c>
      <c r="D182" s="114"/>
    </row>
    <row r="183" spans="1:4" ht="15.75" outlineLevel="1">
      <c r="A183" s="40" t="s">
        <v>985</v>
      </c>
      <c r="B183" s="41" t="s">
        <v>123</v>
      </c>
      <c r="C183" s="40">
        <v>5.36</v>
      </c>
      <c r="D183" s="114"/>
    </row>
    <row r="184" spans="1:4" ht="15.75" outlineLevel="1">
      <c r="A184" s="40" t="s">
        <v>985</v>
      </c>
      <c r="B184" s="41" t="s">
        <v>11</v>
      </c>
      <c r="C184" s="40">
        <v>5.53</v>
      </c>
      <c r="D184" s="114"/>
    </row>
    <row r="185" spans="1:4" ht="15.75" outlineLevel="1">
      <c r="A185" s="40" t="s">
        <v>985</v>
      </c>
      <c r="B185" s="41" t="s">
        <v>17</v>
      </c>
      <c r="C185" s="40">
        <v>5.58</v>
      </c>
      <c r="D185" s="114"/>
    </row>
    <row r="186" spans="1:4" ht="15.75" outlineLevel="1">
      <c r="A186" s="40" t="s">
        <v>985</v>
      </c>
      <c r="B186" s="41" t="s">
        <v>18</v>
      </c>
      <c r="C186" s="40">
        <v>5.54</v>
      </c>
      <c r="D186" s="114"/>
    </row>
    <row r="187" spans="1:4" ht="15.75" outlineLevel="1">
      <c r="A187" s="40" t="s">
        <v>985</v>
      </c>
      <c r="B187" s="41" t="s">
        <v>19</v>
      </c>
      <c r="C187" s="40">
        <v>5.55</v>
      </c>
      <c r="D187" s="114"/>
    </row>
    <row r="188" spans="1:4" ht="15.75" outlineLevel="1">
      <c r="A188" s="40" t="s">
        <v>985</v>
      </c>
      <c r="B188" s="41" t="s">
        <v>20</v>
      </c>
      <c r="C188" s="40">
        <v>5.63</v>
      </c>
      <c r="D188" s="114"/>
    </row>
    <row r="189" spans="1:4" ht="15.75" outlineLevel="1">
      <c r="A189" s="40" t="s">
        <v>985</v>
      </c>
      <c r="B189" s="41" t="s">
        <v>23</v>
      </c>
      <c r="C189" s="40">
        <v>5.45</v>
      </c>
      <c r="D189" s="114"/>
    </row>
    <row r="190" spans="1:4" ht="15.75" outlineLevel="1">
      <c r="A190" s="40" t="s">
        <v>985</v>
      </c>
      <c r="B190" s="41" t="s">
        <v>24</v>
      </c>
      <c r="C190" s="40">
        <v>5.47</v>
      </c>
      <c r="D190" s="114"/>
    </row>
    <row r="191" spans="1:4" ht="15.75" outlineLevel="1">
      <c r="A191" s="40" t="s">
        <v>985</v>
      </c>
      <c r="B191" s="41" t="s">
        <v>25</v>
      </c>
      <c r="C191" s="40">
        <v>5.48</v>
      </c>
      <c r="D191" s="114"/>
    </row>
    <row r="192" spans="1:4" ht="15.75">
      <c r="A192" s="46" t="s">
        <v>985</v>
      </c>
      <c r="B192" s="41"/>
      <c r="C192" s="40"/>
      <c r="D192" s="114"/>
    </row>
    <row r="193" spans="1:4" ht="15.75" outlineLevel="1">
      <c r="A193" s="40" t="s">
        <v>1116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1116</v>
      </c>
      <c r="B194" s="41" t="s">
        <v>1</v>
      </c>
      <c r="C194" s="40">
        <v>5.2</v>
      </c>
      <c r="D194" s="114"/>
    </row>
    <row r="195" spans="1:4" ht="15.75" outlineLevel="1">
      <c r="A195" s="40" t="s">
        <v>1116</v>
      </c>
      <c r="B195" s="41" t="s">
        <v>2</v>
      </c>
      <c r="C195" s="40">
        <v>5.3</v>
      </c>
      <c r="D195" s="114"/>
    </row>
    <row r="196" spans="1:4" ht="15.75" outlineLevel="1">
      <c r="A196" s="40" t="s">
        <v>1116</v>
      </c>
      <c r="B196" s="41" t="s">
        <v>141</v>
      </c>
      <c r="C196" s="40">
        <v>5.6</v>
      </c>
      <c r="D196" s="114"/>
    </row>
    <row r="197" spans="1:4" ht="15.75" outlineLevel="1">
      <c r="A197" s="40" t="s">
        <v>1116</v>
      </c>
      <c r="B197" s="41" t="s">
        <v>1112</v>
      </c>
      <c r="C197" s="42">
        <v>5.0999999999999996</v>
      </c>
      <c r="D197" s="114"/>
    </row>
    <row r="198" spans="1:4" ht="15.75" outlineLevel="1">
      <c r="A198" s="40" t="s">
        <v>1116</v>
      </c>
      <c r="B198" s="41" t="s">
        <v>1111</v>
      </c>
      <c r="C198" s="40">
        <v>5.14</v>
      </c>
      <c r="D198" s="114"/>
    </row>
    <row r="199" spans="1:4" ht="15.75" outlineLevel="1">
      <c r="A199" s="40" t="s">
        <v>1116</v>
      </c>
      <c r="B199" s="41" t="s">
        <v>4</v>
      </c>
      <c r="C199" s="40">
        <v>5.19</v>
      </c>
      <c r="D199" s="114"/>
    </row>
    <row r="200" spans="1:4" ht="15.75" outlineLevel="1">
      <c r="A200" s="40" t="s">
        <v>1116</v>
      </c>
      <c r="B200" s="41" t="s">
        <v>143</v>
      </c>
      <c r="C200" s="40">
        <v>5.24</v>
      </c>
      <c r="D200" s="114"/>
    </row>
    <row r="201" spans="1:4" ht="15.75" outlineLevel="1">
      <c r="A201" s="40" t="s">
        <v>1116</v>
      </c>
      <c r="B201" s="41" t="s">
        <v>6</v>
      </c>
      <c r="C201" s="40">
        <v>5.27</v>
      </c>
      <c r="D201" s="114"/>
    </row>
    <row r="202" spans="1:4" ht="15.75" outlineLevel="1">
      <c r="A202" s="40" t="s">
        <v>1116</v>
      </c>
      <c r="B202" s="41" t="s">
        <v>7</v>
      </c>
      <c r="C202" s="40">
        <v>5.28</v>
      </c>
      <c r="D202" s="114"/>
    </row>
    <row r="203" spans="1:4" ht="15.75" outlineLevel="1">
      <c r="A203" s="40" t="s">
        <v>1116</v>
      </c>
      <c r="B203" s="41" t="s">
        <v>324</v>
      </c>
      <c r="C203" s="40">
        <v>5.29</v>
      </c>
      <c r="D203" s="114"/>
    </row>
    <row r="204" spans="1:4" ht="15.75" outlineLevel="1">
      <c r="A204" s="40" t="s">
        <v>1116</v>
      </c>
      <c r="B204" s="41" t="s">
        <v>8</v>
      </c>
      <c r="C204" s="42">
        <v>5.3</v>
      </c>
      <c r="D204" s="114"/>
    </row>
    <row r="205" spans="1:4" ht="15.75" outlineLevel="1">
      <c r="A205" s="40" t="s">
        <v>1116</v>
      </c>
      <c r="B205" s="41" t="s">
        <v>1117</v>
      </c>
      <c r="C205" s="40">
        <v>5.34</v>
      </c>
      <c r="D205" s="114"/>
    </row>
    <row r="206" spans="1:4" ht="15.75" outlineLevel="1">
      <c r="A206" s="40" t="s">
        <v>1116</v>
      </c>
      <c r="B206" s="41" t="s">
        <v>144</v>
      </c>
      <c r="C206" s="40">
        <v>5.31</v>
      </c>
      <c r="D206" s="114"/>
    </row>
    <row r="207" spans="1:4" ht="15.75" outlineLevel="1">
      <c r="A207" s="40" t="s">
        <v>1116</v>
      </c>
      <c r="B207" s="41" t="s">
        <v>1118</v>
      </c>
      <c r="C207" s="40">
        <v>5.101</v>
      </c>
      <c r="D207" s="114"/>
    </row>
    <row r="208" spans="1:4" ht="15.75" outlineLevel="1">
      <c r="A208" s="40" t="s">
        <v>1116</v>
      </c>
      <c r="B208" s="41" t="s">
        <v>123</v>
      </c>
      <c r="C208" s="40">
        <v>5.36</v>
      </c>
      <c r="D208" s="114"/>
    </row>
    <row r="209" spans="1:4" ht="15.75" outlineLevel="1">
      <c r="A209" s="40" t="s">
        <v>1116</v>
      </c>
      <c r="B209" s="41" t="s">
        <v>11</v>
      </c>
      <c r="C209" s="40">
        <v>5.53</v>
      </c>
      <c r="D209" s="114"/>
    </row>
    <row r="210" spans="1:4" ht="15.75" outlineLevel="1">
      <c r="A210" s="40" t="s">
        <v>1116</v>
      </c>
      <c r="B210" s="41" t="s">
        <v>1119</v>
      </c>
      <c r="C210" s="40">
        <v>5.1020000000000003</v>
      </c>
      <c r="D210" s="114"/>
    </row>
    <row r="211" spans="1:4" ht="15.75" outlineLevel="1">
      <c r="A211" s="40" t="s">
        <v>1116</v>
      </c>
      <c r="B211" s="41" t="s">
        <v>1120</v>
      </c>
      <c r="C211" s="43">
        <v>5.0999999999999996</v>
      </c>
      <c r="D211" s="114"/>
    </row>
    <row r="212" spans="1:4" ht="15.75" outlineLevel="1">
      <c r="A212" s="40" t="s">
        <v>1116</v>
      </c>
      <c r="B212" s="41" t="s">
        <v>17</v>
      </c>
      <c r="C212" s="40">
        <v>5.58</v>
      </c>
      <c r="D212" s="114"/>
    </row>
    <row r="213" spans="1:4" ht="15.75" outlineLevel="1">
      <c r="A213" s="40" t="s">
        <v>1116</v>
      </c>
      <c r="B213" s="41" t="s">
        <v>18</v>
      </c>
      <c r="C213" s="40">
        <v>5.54</v>
      </c>
      <c r="D213" s="114"/>
    </row>
    <row r="214" spans="1:4" ht="15.75" outlineLevel="1">
      <c r="A214" s="40" t="s">
        <v>1116</v>
      </c>
      <c r="B214" s="41" t="s">
        <v>19</v>
      </c>
      <c r="C214" s="40">
        <v>5.55</v>
      </c>
      <c r="D214" s="114"/>
    </row>
    <row r="215" spans="1:4" ht="15.75" outlineLevel="1">
      <c r="A215" s="40" t="s">
        <v>1116</v>
      </c>
      <c r="B215" s="41" t="s">
        <v>20</v>
      </c>
      <c r="C215" s="40">
        <v>5.63</v>
      </c>
      <c r="D215" s="114"/>
    </row>
    <row r="216" spans="1:4" ht="15.75" outlineLevel="1">
      <c r="A216" s="40" t="s">
        <v>1116</v>
      </c>
      <c r="B216" s="41" t="s">
        <v>24</v>
      </c>
      <c r="C216" s="40">
        <v>5.47</v>
      </c>
      <c r="D216" s="114"/>
    </row>
    <row r="217" spans="1:4" ht="15.75" outlineLevel="1">
      <c r="A217" s="40" t="s">
        <v>1116</v>
      </c>
      <c r="B217" s="41" t="s">
        <v>25</v>
      </c>
      <c r="C217" s="40">
        <v>5.48</v>
      </c>
      <c r="D217" s="114"/>
    </row>
    <row r="218" spans="1:4" ht="15.75">
      <c r="A218" s="46" t="s">
        <v>1116</v>
      </c>
      <c r="B218" s="41"/>
      <c r="C218" s="40"/>
      <c r="D218" s="114"/>
    </row>
    <row r="219" spans="1:4" ht="15.75" outlineLevel="1">
      <c r="A219" s="40" t="s">
        <v>988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988</v>
      </c>
      <c r="B220" s="41" t="s">
        <v>1</v>
      </c>
      <c r="C220" s="40">
        <v>5.2</v>
      </c>
      <c r="D220" s="114"/>
    </row>
    <row r="221" spans="1:4" ht="15.75" outlineLevel="1">
      <c r="A221" s="40" t="s">
        <v>988</v>
      </c>
      <c r="B221" s="41" t="s">
        <v>2</v>
      </c>
      <c r="C221" s="40">
        <v>5.3</v>
      </c>
      <c r="D221" s="114"/>
    </row>
    <row r="222" spans="1:4" ht="15.75" outlineLevel="1">
      <c r="A222" s="40" t="s">
        <v>988</v>
      </c>
      <c r="B222" s="41" t="s">
        <v>141</v>
      </c>
      <c r="C222" s="40">
        <v>5.6</v>
      </c>
      <c r="D222" s="114"/>
    </row>
    <row r="223" spans="1:4" ht="15.75" outlineLevel="1">
      <c r="A223" s="40" t="s">
        <v>988</v>
      </c>
      <c r="B223" s="41" t="s">
        <v>1112</v>
      </c>
      <c r="C223" s="42">
        <v>5.0999999999999996</v>
      </c>
      <c r="D223" s="114"/>
    </row>
    <row r="224" spans="1:4" ht="15.75" outlineLevel="1">
      <c r="A224" s="40" t="s">
        <v>988</v>
      </c>
      <c r="B224" s="41" t="s">
        <v>1111</v>
      </c>
      <c r="C224" s="40">
        <v>5.14</v>
      </c>
      <c r="D224" s="114"/>
    </row>
    <row r="225" spans="1:4" ht="15.75" outlineLevel="1">
      <c r="A225" s="40" t="s">
        <v>988</v>
      </c>
      <c r="B225" s="41" t="s">
        <v>4</v>
      </c>
      <c r="C225" s="40">
        <v>5.19</v>
      </c>
      <c r="D225" s="114"/>
    </row>
    <row r="226" spans="1:4" ht="15.75" outlineLevel="1">
      <c r="A226" s="40" t="s">
        <v>988</v>
      </c>
      <c r="B226" s="41" t="s">
        <v>143</v>
      </c>
      <c r="C226" s="40">
        <v>5.24</v>
      </c>
      <c r="D226" s="114"/>
    </row>
    <row r="227" spans="1:4" ht="15.75" outlineLevel="1">
      <c r="A227" s="40" t="s">
        <v>988</v>
      </c>
      <c r="B227" s="41" t="s">
        <v>5</v>
      </c>
      <c r="C227" s="40">
        <v>5.26</v>
      </c>
      <c r="D227" s="114"/>
    </row>
    <row r="228" spans="1:4" ht="15.75" outlineLevel="1">
      <c r="A228" s="40" t="s">
        <v>988</v>
      </c>
      <c r="B228" s="41" t="s">
        <v>6</v>
      </c>
      <c r="C228" s="40">
        <v>5.27</v>
      </c>
      <c r="D228" s="114"/>
    </row>
    <row r="229" spans="1:4" ht="15.75" outlineLevel="1">
      <c r="A229" s="40" t="s">
        <v>988</v>
      </c>
      <c r="B229" s="41" t="s">
        <v>7</v>
      </c>
      <c r="C229" s="40">
        <v>5.28</v>
      </c>
      <c r="D229" s="114"/>
    </row>
    <row r="230" spans="1:4" ht="15.75" outlineLevel="1">
      <c r="A230" s="40" t="s">
        <v>988</v>
      </c>
      <c r="B230" s="41" t="s">
        <v>324</v>
      </c>
      <c r="C230" s="40">
        <v>5.29</v>
      </c>
      <c r="D230" s="114"/>
    </row>
    <row r="231" spans="1:4" ht="15.75" outlineLevel="1">
      <c r="A231" s="40" t="s">
        <v>988</v>
      </c>
      <c r="B231" s="41" t="s">
        <v>8</v>
      </c>
      <c r="C231" s="42">
        <v>5.3</v>
      </c>
      <c r="D231" s="114"/>
    </row>
    <row r="232" spans="1:4" ht="15.75" outlineLevel="1">
      <c r="A232" s="40" t="s">
        <v>988</v>
      </c>
      <c r="B232" s="41" t="s">
        <v>144</v>
      </c>
      <c r="C232" s="40">
        <v>5.31</v>
      </c>
      <c r="D232" s="114"/>
    </row>
    <row r="233" spans="1:4" ht="15.75" outlineLevel="1">
      <c r="A233" s="40" t="s">
        <v>988</v>
      </c>
      <c r="B233" s="41" t="s">
        <v>172</v>
      </c>
      <c r="C233" s="40">
        <v>5.33</v>
      </c>
      <c r="D233" s="114"/>
    </row>
    <row r="234" spans="1:4" ht="15.75" outlineLevel="1">
      <c r="A234" s="40" t="s">
        <v>988</v>
      </c>
      <c r="B234" s="41" t="s">
        <v>1118</v>
      </c>
      <c r="C234" s="40">
        <v>5.101</v>
      </c>
      <c r="D234" s="114"/>
    </row>
    <row r="235" spans="1:4" ht="15.75" outlineLevel="1">
      <c r="A235" s="40" t="s">
        <v>988</v>
      </c>
      <c r="B235" s="41" t="s">
        <v>123</v>
      </c>
      <c r="C235" s="40">
        <v>5.36</v>
      </c>
      <c r="D235" s="114"/>
    </row>
    <row r="236" spans="1:4" ht="15.75" outlineLevel="1">
      <c r="A236" s="40" t="s">
        <v>988</v>
      </c>
      <c r="B236" s="41" t="s">
        <v>11</v>
      </c>
      <c r="C236" s="40">
        <v>5.53</v>
      </c>
      <c r="D236" s="114"/>
    </row>
    <row r="237" spans="1:4" ht="15.75" outlineLevel="1">
      <c r="A237" s="40" t="s">
        <v>988</v>
      </c>
      <c r="B237" s="41" t="s">
        <v>1119</v>
      </c>
      <c r="C237" s="40">
        <v>5.1020000000000003</v>
      </c>
      <c r="D237" s="114"/>
    </row>
    <row r="238" spans="1:4" ht="15.75" outlineLevel="1">
      <c r="A238" s="40" t="s">
        <v>988</v>
      </c>
      <c r="B238" s="41" t="s">
        <v>17</v>
      </c>
      <c r="C238" s="40">
        <v>5.58</v>
      </c>
      <c r="D238" s="114"/>
    </row>
    <row r="239" spans="1:4" ht="15.75" outlineLevel="1">
      <c r="A239" s="40" t="s">
        <v>988</v>
      </c>
      <c r="B239" s="41" t="s">
        <v>18</v>
      </c>
      <c r="C239" s="40">
        <v>5.54</v>
      </c>
      <c r="D239" s="114"/>
    </row>
    <row r="240" spans="1:4" ht="15.75" outlineLevel="1">
      <c r="A240" s="40" t="s">
        <v>988</v>
      </c>
      <c r="B240" s="41" t="s">
        <v>19</v>
      </c>
      <c r="C240" s="40">
        <v>5.55</v>
      </c>
      <c r="D240" s="114"/>
    </row>
    <row r="241" spans="1:4" ht="15.75" outlineLevel="1">
      <c r="A241" s="40" t="s">
        <v>988</v>
      </c>
      <c r="B241" s="41" t="s">
        <v>20</v>
      </c>
      <c r="C241" s="40">
        <v>5.63</v>
      </c>
      <c r="D241" s="114"/>
    </row>
    <row r="242" spans="1:4" ht="15.75" outlineLevel="1">
      <c r="A242" s="40" t="s">
        <v>988</v>
      </c>
      <c r="B242" s="41" t="s">
        <v>24</v>
      </c>
      <c r="C242" s="40">
        <v>5.47</v>
      </c>
      <c r="D242" s="114"/>
    </row>
    <row r="243" spans="1:4" ht="15.75" outlineLevel="1">
      <c r="A243" s="40" t="s">
        <v>988</v>
      </c>
      <c r="B243" s="41" t="s">
        <v>25</v>
      </c>
      <c r="C243" s="40">
        <v>5.48</v>
      </c>
      <c r="D243" s="114"/>
    </row>
    <row r="244" spans="1:4" ht="15.75">
      <c r="A244" s="46" t="s">
        <v>988</v>
      </c>
      <c r="B244" s="41"/>
      <c r="C244" s="40"/>
      <c r="D244" s="114"/>
    </row>
    <row r="245" spans="1:4" ht="15.75" outlineLevel="1">
      <c r="A245" s="40" t="s">
        <v>1121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1121</v>
      </c>
      <c r="B246" s="41" t="s">
        <v>1</v>
      </c>
      <c r="C246" s="40">
        <v>5.2</v>
      </c>
      <c r="D246" s="114"/>
    </row>
    <row r="247" spans="1:4" ht="15.75" outlineLevel="1">
      <c r="A247" s="40" t="s">
        <v>1121</v>
      </c>
      <c r="B247" s="41" t="s">
        <v>2</v>
      </c>
      <c r="C247" s="40">
        <v>5.3</v>
      </c>
      <c r="D247" s="114"/>
    </row>
    <row r="248" spans="1:4" ht="15.75" outlineLevel="1">
      <c r="A248" s="40" t="s">
        <v>1121</v>
      </c>
      <c r="B248" s="41" t="s">
        <v>141</v>
      </c>
      <c r="C248" s="40">
        <v>5.6</v>
      </c>
      <c r="D248" s="114"/>
    </row>
    <row r="249" spans="1:4" ht="15.75" outlineLevel="1">
      <c r="A249" s="40" t="s">
        <v>1121</v>
      </c>
      <c r="B249" s="41" t="s">
        <v>1112</v>
      </c>
      <c r="C249" s="42">
        <v>5.0999999999999996</v>
      </c>
      <c r="D249" s="114"/>
    </row>
    <row r="250" spans="1:4" ht="15.75" outlineLevel="1">
      <c r="A250" s="40" t="s">
        <v>1121</v>
      </c>
      <c r="B250" s="41" t="s">
        <v>1111</v>
      </c>
      <c r="C250" s="40">
        <v>5.14</v>
      </c>
      <c r="D250" s="114"/>
    </row>
    <row r="251" spans="1:4" ht="15.75" outlineLevel="1">
      <c r="A251" s="40" t="s">
        <v>1121</v>
      </c>
      <c r="B251" s="41" t="s">
        <v>4</v>
      </c>
      <c r="C251" s="40">
        <v>5.19</v>
      </c>
      <c r="D251" s="114"/>
    </row>
    <row r="252" spans="1:4" ht="15.75" outlineLevel="1">
      <c r="A252" s="40" t="s">
        <v>1121</v>
      </c>
      <c r="B252" s="41" t="s">
        <v>143</v>
      </c>
      <c r="C252" s="40">
        <v>5.24</v>
      </c>
      <c r="D252" s="114"/>
    </row>
    <row r="253" spans="1:4" ht="15.75" outlineLevel="1">
      <c r="A253" s="40" t="s">
        <v>1121</v>
      </c>
      <c r="B253" s="41" t="s">
        <v>6</v>
      </c>
      <c r="C253" s="40">
        <v>5.27</v>
      </c>
      <c r="D253" s="114"/>
    </row>
    <row r="254" spans="1:4" ht="15.75" outlineLevel="1">
      <c r="A254" s="40" t="s">
        <v>1121</v>
      </c>
      <c r="B254" s="41" t="s">
        <v>7</v>
      </c>
      <c r="C254" s="40">
        <v>5.28</v>
      </c>
      <c r="D254" s="114"/>
    </row>
    <row r="255" spans="1:4" ht="15.75" outlineLevel="1">
      <c r="A255" s="40" t="s">
        <v>1121</v>
      </c>
      <c r="B255" s="41" t="s">
        <v>8</v>
      </c>
      <c r="C255" s="42">
        <v>5.3</v>
      </c>
      <c r="D255" s="114"/>
    </row>
    <row r="256" spans="1:4" ht="15.75" outlineLevel="1">
      <c r="A256" s="40" t="s">
        <v>1121</v>
      </c>
      <c r="B256" s="41" t="s">
        <v>172</v>
      </c>
      <c r="C256" s="40">
        <v>5.33</v>
      </c>
      <c r="D256" s="114"/>
    </row>
    <row r="257" spans="1:4" ht="15.75" outlineLevel="1">
      <c r="A257" s="40" t="s">
        <v>1121</v>
      </c>
      <c r="B257" s="41" t="s">
        <v>123</v>
      </c>
      <c r="C257" s="40">
        <v>5.36</v>
      </c>
      <c r="D257" s="114"/>
    </row>
    <row r="258" spans="1:4" ht="15.75" outlineLevel="1">
      <c r="A258" s="40" t="s">
        <v>1121</v>
      </c>
      <c r="B258" s="41" t="s">
        <v>11</v>
      </c>
      <c r="C258" s="40">
        <v>5.53</v>
      </c>
      <c r="D258" s="114"/>
    </row>
    <row r="259" spans="1:4" ht="15.75" outlineLevel="1">
      <c r="A259" s="40" t="s">
        <v>1121</v>
      </c>
      <c r="B259" s="41" t="s">
        <v>17</v>
      </c>
      <c r="C259" s="40">
        <v>5.58</v>
      </c>
      <c r="D259" s="114"/>
    </row>
    <row r="260" spans="1:4" ht="15.75" outlineLevel="1">
      <c r="A260" s="40" t="s">
        <v>1121</v>
      </c>
      <c r="B260" s="41" t="s">
        <v>18</v>
      </c>
      <c r="C260" s="40">
        <v>5.54</v>
      </c>
      <c r="D260" s="114"/>
    </row>
    <row r="261" spans="1:4" ht="15.75" outlineLevel="1">
      <c r="A261" s="40" t="s">
        <v>1121</v>
      </c>
      <c r="B261" s="41" t="s">
        <v>19</v>
      </c>
      <c r="C261" s="40">
        <v>5.55</v>
      </c>
      <c r="D261" s="114"/>
    </row>
    <row r="262" spans="1:4" ht="15.75" outlineLevel="1">
      <c r="A262" s="40" t="s">
        <v>1121</v>
      </c>
      <c r="B262" s="41" t="s">
        <v>20</v>
      </c>
      <c r="C262" s="40">
        <v>5.63</v>
      </c>
      <c r="D262" s="114"/>
    </row>
    <row r="263" spans="1:4" ht="15.75" outlineLevel="1">
      <c r="A263" s="40" t="s">
        <v>1121</v>
      </c>
      <c r="B263" s="41" t="s">
        <v>24</v>
      </c>
      <c r="C263" s="40">
        <v>5.47</v>
      </c>
      <c r="D263" s="114"/>
    </row>
    <row r="264" spans="1:4" ht="15.75" outlineLevel="1">
      <c r="A264" s="40" t="s">
        <v>1121</v>
      </c>
      <c r="B264" s="41" t="s">
        <v>25</v>
      </c>
      <c r="C264" s="40">
        <v>5.48</v>
      </c>
      <c r="D264" s="114"/>
    </row>
    <row r="265" spans="1:4" ht="15.75">
      <c r="A265" s="46" t="s">
        <v>1121</v>
      </c>
      <c r="B265" s="41"/>
      <c r="C265" s="40"/>
      <c r="D265" s="114"/>
    </row>
    <row r="266" spans="1:4" ht="15.75" outlineLevel="1">
      <c r="A266" s="40" t="s">
        <v>993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993</v>
      </c>
      <c r="B267" s="41" t="s">
        <v>1</v>
      </c>
      <c r="C267" s="40">
        <v>5.2</v>
      </c>
      <c r="D267" s="114"/>
    </row>
    <row r="268" spans="1:4" ht="15.75" outlineLevel="1">
      <c r="A268" s="40" t="s">
        <v>993</v>
      </c>
      <c r="B268" s="41" t="s">
        <v>2</v>
      </c>
      <c r="C268" s="40">
        <v>5.3</v>
      </c>
      <c r="D268" s="114"/>
    </row>
    <row r="269" spans="1:4" ht="15.75" outlineLevel="1">
      <c r="A269" s="40" t="s">
        <v>993</v>
      </c>
      <c r="B269" s="41" t="s">
        <v>141</v>
      </c>
      <c r="C269" s="40">
        <v>5.6</v>
      </c>
      <c r="D269" s="114"/>
    </row>
    <row r="270" spans="1:4" ht="15.75" outlineLevel="1">
      <c r="A270" s="40" t="s">
        <v>993</v>
      </c>
      <c r="B270" s="41" t="s">
        <v>1112</v>
      </c>
      <c r="C270" s="42">
        <v>5.0999999999999996</v>
      </c>
      <c r="D270" s="114"/>
    </row>
    <row r="271" spans="1:4" ht="15.75" outlineLevel="1">
      <c r="A271" s="40" t="s">
        <v>993</v>
      </c>
      <c r="B271" s="41" t="s">
        <v>1111</v>
      </c>
      <c r="C271" s="40">
        <v>5.14</v>
      </c>
      <c r="D271" s="114"/>
    </row>
    <row r="272" spans="1:4" ht="15.75" outlineLevel="1">
      <c r="A272" s="40" t="s">
        <v>993</v>
      </c>
      <c r="B272" s="41" t="s">
        <v>4</v>
      </c>
      <c r="C272" s="40">
        <v>5.19</v>
      </c>
      <c r="D272" s="114"/>
    </row>
    <row r="273" spans="1:4" ht="15.75" outlineLevel="1">
      <c r="A273" s="40" t="s">
        <v>993</v>
      </c>
      <c r="B273" s="41" t="s">
        <v>143</v>
      </c>
      <c r="C273" s="40">
        <v>5.24</v>
      </c>
      <c r="D273" s="114"/>
    </row>
    <row r="274" spans="1:4" ht="15.75" outlineLevel="1">
      <c r="A274" s="40" t="s">
        <v>993</v>
      </c>
      <c r="B274" s="41" t="s">
        <v>5</v>
      </c>
      <c r="C274" s="40">
        <v>5.26</v>
      </c>
      <c r="D274" s="114"/>
    </row>
    <row r="275" spans="1:4" ht="15.75" outlineLevel="1">
      <c r="A275" s="40" t="s">
        <v>993</v>
      </c>
      <c r="B275" s="41" t="s">
        <v>6</v>
      </c>
      <c r="C275" s="40">
        <v>5.27</v>
      </c>
      <c r="D275" s="114"/>
    </row>
    <row r="276" spans="1:4" ht="15.75" outlineLevel="1">
      <c r="A276" s="40" t="s">
        <v>993</v>
      </c>
      <c r="B276" s="41" t="s">
        <v>7</v>
      </c>
      <c r="C276" s="40">
        <v>5.28</v>
      </c>
      <c r="D276" s="114"/>
    </row>
    <row r="277" spans="1:4" ht="15.75" outlineLevel="1">
      <c r="A277" s="40" t="s">
        <v>993</v>
      </c>
      <c r="B277" s="41" t="s">
        <v>324</v>
      </c>
      <c r="C277" s="40">
        <v>5.29</v>
      </c>
      <c r="D277" s="114"/>
    </row>
    <row r="278" spans="1:4" ht="15.75" outlineLevel="1">
      <c r="A278" s="40" t="s">
        <v>993</v>
      </c>
      <c r="B278" s="41" t="s">
        <v>8</v>
      </c>
      <c r="C278" s="42">
        <v>5.3</v>
      </c>
      <c r="D278" s="114"/>
    </row>
    <row r="279" spans="1:4" ht="15.75" outlineLevel="1">
      <c r="A279" s="40" t="s">
        <v>993</v>
      </c>
      <c r="B279" s="41" t="s">
        <v>172</v>
      </c>
      <c r="C279" s="40">
        <v>5.33</v>
      </c>
      <c r="D279" s="114"/>
    </row>
    <row r="280" spans="1:4" ht="15.75" outlineLevel="1">
      <c r="A280" s="40" t="s">
        <v>993</v>
      </c>
      <c r="B280" s="41" t="s">
        <v>123</v>
      </c>
      <c r="C280" s="40">
        <v>5.36</v>
      </c>
      <c r="D280" s="114"/>
    </row>
    <row r="281" spans="1:4" ht="15.75" outlineLevel="1">
      <c r="A281" s="40" t="s">
        <v>993</v>
      </c>
      <c r="B281" s="41" t="s">
        <v>12</v>
      </c>
      <c r="C281" s="40">
        <v>5.69</v>
      </c>
      <c r="D281" s="114"/>
    </row>
    <row r="282" spans="1:4" ht="15.75" outlineLevel="1">
      <c r="A282" s="40" t="s">
        <v>993</v>
      </c>
      <c r="B282" s="41" t="s">
        <v>14</v>
      </c>
      <c r="C282" s="42">
        <v>5.7</v>
      </c>
      <c r="D282" s="114"/>
    </row>
    <row r="283" spans="1:4" ht="15.75" outlineLevel="1">
      <c r="A283" s="40" t="s">
        <v>993</v>
      </c>
      <c r="B283" s="41" t="s">
        <v>15</v>
      </c>
      <c r="C283" s="40">
        <v>5.74</v>
      </c>
      <c r="D283" s="114"/>
    </row>
    <row r="284" spans="1:4" ht="15.75" outlineLevel="1">
      <c r="A284" s="40" t="s">
        <v>993</v>
      </c>
      <c r="B284" s="41" t="s">
        <v>9</v>
      </c>
      <c r="C284" s="40">
        <v>5.49</v>
      </c>
      <c r="D284" s="114"/>
    </row>
    <row r="285" spans="1:4" ht="15.75" outlineLevel="1">
      <c r="A285" s="40" t="s">
        <v>993</v>
      </c>
      <c r="B285" s="41" t="s">
        <v>10</v>
      </c>
      <c r="C285" s="40">
        <v>5.51</v>
      </c>
      <c r="D285" s="114"/>
    </row>
    <row r="286" spans="1:4" ht="15.75" outlineLevel="1">
      <c r="A286" s="40" t="s">
        <v>993</v>
      </c>
      <c r="B286" s="41" t="s">
        <v>1113</v>
      </c>
      <c r="C286" s="40">
        <v>5.52</v>
      </c>
      <c r="D286" s="114"/>
    </row>
    <row r="287" spans="1:4" ht="15.75" outlineLevel="1">
      <c r="A287" s="40" t="s">
        <v>993</v>
      </c>
      <c r="B287" s="41" t="s">
        <v>11</v>
      </c>
      <c r="C287" s="40">
        <v>5.53</v>
      </c>
      <c r="D287" s="114"/>
    </row>
    <row r="288" spans="1:4" ht="15.75" outlineLevel="1">
      <c r="A288" s="40" t="s">
        <v>993</v>
      </c>
      <c r="B288" s="41" t="s">
        <v>17</v>
      </c>
      <c r="C288" s="40">
        <v>5.58</v>
      </c>
      <c r="D288" s="114"/>
    </row>
    <row r="289" spans="1:4" ht="15.75" outlineLevel="1">
      <c r="A289" s="40" t="s">
        <v>993</v>
      </c>
      <c r="B289" s="41" t="s">
        <v>18</v>
      </c>
      <c r="C289" s="40">
        <v>5.54</v>
      </c>
      <c r="D289" s="114"/>
    </row>
    <row r="290" spans="1:4" ht="15.75" outlineLevel="1">
      <c r="A290" s="40" t="s">
        <v>993</v>
      </c>
      <c r="B290" s="41" t="s">
        <v>19</v>
      </c>
      <c r="C290" s="40">
        <v>5.55</v>
      </c>
      <c r="D290" s="114"/>
    </row>
    <row r="291" spans="1:4" ht="15.75" outlineLevel="1">
      <c r="A291" s="40" t="s">
        <v>993</v>
      </c>
      <c r="B291" s="41" t="s">
        <v>20</v>
      </c>
      <c r="C291" s="40">
        <v>5.63</v>
      </c>
      <c r="D291" s="114"/>
    </row>
    <row r="292" spans="1:4" ht="15.75" outlineLevel="1">
      <c r="A292" s="40" t="s">
        <v>993</v>
      </c>
      <c r="B292" s="41" t="s">
        <v>24</v>
      </c>
      <c r="C292" s="40">
        <v>5.47</v>
      </c>
      <c r="D292" s="114"/>
    </row>
    <row r="293" spans="1:4" ht="15.75" outlineLevel="1">
      <c r="A293" s="40" t="s">
        <v>993</v>
      </c>
      <c r="B293" s="41" t="s">
        <v>25</v>
      </c>
      <c r="C293" s="40">
        <v>5.48</v>
      </c>
      <c r="D293" s="114"/>
    </row>
    <row r="294" spans="1:4" ht="15.75">
      <c r="A294" s="46" t="s">
        <v>993</v>
      </c>
      <c r="B294" s="41"/>
      <c r="C294" s="40"/>
      <c r="D294" s="114"/>
    </row>
    <row r="295" spans="1:4" ht="15.75" outlineLevel="1">
      <c r="A295" s="40" t="s">
        <v>1000</v>
      </c>
      <c r="B295" s="41" t="s">
        <v>0</v>
      </c>
      <c r="C295" s="40">
        <v>5.0999999999999996</v>
      </c>
      <c r="D295" s="114"/>
    </row>
    <row r="296" spans="1:4" ht="15.75" outlineLevel="1">
      <c r="A296" s="40" t="s">
        <v>1000</v>
      </c>
      <c r="B296" s="41" t="s">
        <v>1</v>
      </c>
      <c r="C296" s="40">
        <v>5.2</v>
      </c>
      <c r="D296" s="114"/>
    </row>
    <row r="297" spans="1:4" ht="15.75" outlineLevel="1">
      <c r="A297" s="40" t="s">
        <v>1000</v>
      </c>
      <c r="B297" s="41" t="s">
        <v>2</v>
      </c>
      <c r="C297" s="40">
        <v>5.3</v>
      </c>
      <c r="D297" s="114"/>
    </row>
    <row r="298" spans="1:4" ht="15.75" outlineLevel="1">
      <c r="A298" s="40" t="s">
        <v>1000</v>
      </c>
      <c r="B298" s="41" t="s">
        <v>1111</v>
      </c>
      <c r="C298" s="40">
        <v>5.14</v>
      </c>
      <c r="D298" s="114"/>
    </row>
    <row r="299" spans="1:4" ht="15.75" outlineLevel="1">
      <c r="A299" s="40" t="s">
        <v>1000</v>
      </c>
      <c r="B299" s="41" t="s">
        <v>4</v>
      </c>
      <c r="C299" s="40">
        <v>5.19</v>
      </c>
      <c r="D299" s="114"/>
    </row>
    <row r="300" spans="1:4" ht="15.75" outlineLevel="1">
      <c r="A300" s="40" t="s">
        <v>1000</v>
      </c>
      <c r="B300" s="41" t="s">
        <v>143</v>
      </c>
      <c r="C300" s="40">
        <v>5.24</v>
      </c>
      <c r="D300" s="114"/>
    </row>
    <row r="301" spans="1:4" ht="15.75" outlineLevel="1">
      <c r="A301" s="40" t="s">
        <v>1000</v>
      </c>
      <c r="B301" s="41" t="s">
        <v>5</v>
      </c>
      <c r="C301" s="40">
        <v>5.26</v>
      </c>
      <c r="D301" s="114"/>
    </row>
    <row r="302" spans="1:4" ht="15.75" outlineLevel="1">
      <c r="A302" s="40" t="s">
        <v>1000</v>
      </c>
      <c r="B302" s="41" t="s">
        <v>6</v>
      </c>
      <c r="C302" s="40">
        <v>5.27</v>
      </c>
      <c r="D302" s="114"/>
    </row>
    <row r="303" spans="1:4" ht="15.75" outlineLevel="1">
      <c r="A303" s="40" t="s">
        <v>1000</v>
      </c>
      <c r="B303" s="41" t="s">
        <v>7</v>
      </c>
      <c r="C303" s="40">
        <v>5.28</v>
      </c>
      <c r="D303" s="114"/>
    </row>
    <row r="304" spans="1:4" ht="15.75" outlineLevel="1">
      <c r="A304" s="40" t="s">
        <v>1000</v>
      </c>
      <c r="B304" s="41" t="s">
        <v>152</v>
      </c>
      <c r="C304" s="40">
        <v>5.37</v>
      </c>
      <c r="D304" s="114"/>
    </row>
    <row r="305" spans="1:4" ht="15.75" outlineLevel="1">
      <c r="A305" s="40" t="s">
        <v>1000</v>
      </c>
      <c r="B305" s="41" t="s">
        <v>9</v>
      </c>
      <c r="C305" s="40">
        <v>5.49</v>
      </c>
      <c r="D305" s="114"/>
    </row>
    <row r="306" spans="1:4" ht="15.75" outlineLevel="1">
      <c r="A306" s="40" t="s">
        <v>1000</v>
      </c>
      <c r="B306" s="41" t="s">
        <v>10</v>
      </c>
      <c r="C306" s="40">
        <v>5.51</v>
      </c>
      <c r="D306" s="114"/>
    </row>
    <row r="307" spans="1:4" ht="15.75" outlineLevel="1">
      <c r="A307" s="40" t="s">
        <v>1000</v>
      </c>
      <c r="B307" s="41" t="s">
        <v>11</v>
      </c>
      <c r="C307" s="40">
        <v>5.53</v>
      </c>
      <c r="D307" s="114"/>
    </row>
    <row r="308" spans="1:4" ht="15.75" outlineLevel="1">
      <c r="A308" s="40" t="s">
        <v>1000</v>
      </c>
      <c r="B308" s="41" t="s">
        <v>12</v>
      </c>
      <c r="C308" s="40">
        <v>5.69</v>
      </c>
      <c r="D308" s="114"/>
    </row>
    <row r="309" spans="1:4" ht="15.75" outlineLevel="1">
      <c r="A309" s="40" t="s">
        <v>1000</v>
      </c>
      <c r="B309" s="41" t="s">
        <v>13</v>
      </c>
      <c r="C309" s="40">
        <v>5.75</v>
      </c>
      <c r="D309" s="114"/>
    </row>
    <row r="310" spans="1:4" ht="15.75" outlineLevel="1">
      <c r="A310" s="40" t="s">
        <v>1000</v>
      </c>
      <c r="B310" s="41" t="s">
        <v>14</v>
      </c>
      <c r="C310" s="42">
        <v>5.7</v>
      </c>
      <c r="D310" s="114"/>
    </row>
    <row r="311" spans="1:4" ht="15.75" outlineLevel="1">
      <c r="A311" s="40" t="s">
        <v>1000</v>
      </c>
      <c r="B311" s="41" t="s">
        <v>15</v>
      </c>
      <c r="C311" s="40">
        <v>5.74</v>
      </c>
      <c r="D311" s="114"/>
    </row>
    <row r="312" spans="1:4" ht="15.75" outlineLevel="1">
      <c r="A312" s="40" t="s">
        <v>1000</v>
      </c>
      <c r="B312" s="41" t="s">
        <v>17</v>
      </c>
      <c r="C312" s="40">
        <v>5.58</v>
      </c>
      <c r="D312" s="114"/>
    </row>
    <row r="313" spans="1:4" ht="15.75" outlineLevel="1">
      <c r="A313" s="40" t="s">
        <v>1000</v>
      </c>
      <c r="B313" s="41" t="s">
        <v>18</v>
      </c>
      <c r="C313" s="40">
        <v>5.54</v>
      </c>
      <c r="D313" s="114"/>
    </row>
    <row r="314" spans="1:4" ht="15.75" outlineLevel="1">
      <c r="A314" s="40" t="s">
        <v>1000</v>
      </c>
      <c r="B314" s="41" t="s">
        <v>19</v>
      </c>
      <c r="C314" s="40">
        <v>5.55</v>
      </c>
      <c r="D314" s="114"/>
    </row>
    <row r="315" spans="1:4" ht="15.75" outlineLevel="1">
      <c r="A315" s="40" t="s">
        <v>1000</v>
      </c>
      <c r="B315" s="41" t="s">
        <v>20</v>
      </c>
      <c r="C315" s="40">
        <v>5.63</v>
      </c>
      <c r="D315" s="114"/>
    </row>
    <row r="316" spans="1:4" ht="15.75" outlineLevel="1">
      <c r="A316" s="40" t="s">
        <v>1000</v>
      </c>
      <c r="B316" s="41" t="s">
        <v>21</v>
      </c>
      <c r="C316" s="40">
        <v>5.65</v>
      </c>
      <c r="D316" s="114"/>
    </row>
    <row r="317" spans="1:4" ht="15.75" outlineLevel="1">
      <c r="A317" s="40" t="s">
        <v>1000</v>
      </c>
      <c r="B317" s="41" t="s">
        <v>22</v>
      </c>
      <c r="C317" s="40">
        <v>5.68</v>
      </c>
      <c r="D317" s="114"/>
    </row>
    <row r="318" spans="1:4" ht="15.75" outlineLevel="1">
      <c r="A318" s="40" t="s">
        <v>1000</v>
      </c>
      <c r="B318" s="41" t="s">
        <v>24</v>
      </c>
      <c r="C318" s="40">
        <v>5.47</v>
      </c>
      <c r="D318" s="114"/>
    </row>
    <row r="319" spans="1:4" ht="15.75" outlineLevel="1">
      <c r="A319" s="40" t="s">
        <v>1000</v>
      </c>
      <c r="B319" s="41" t="s">
        <v>25</v>
      </c>
      <c r="C319" s="40">
        <v>5.48</v>
      </c>
      <c r="D319" s="114"/>
    </row>
    <row r="320" spans="1:4" ht="15.75">
      <c r="A320" s="46" t="s">
        <v>1000</v>
      </c>
      <c r="B320" s="41"/>
      <c r="C320" s="40"/>
      <c r="D320" s="114"/>
    </row>
    <row r="321" spans="1:4" ht="15.75" outlineLevel="1">
      <c r="A321" s="40" t="s">
        <v>1001</v>
      </c>
      <c r="B321" s="41" t="s">
        <v>0</v>
      </c>
      <c r="C321" s="40">
        <v>5.0999999999999996</v>
      </c>
      <c r="D321" s="114"/>
    </row>
    <row r="322" spans="1:4" ht="15.75" outlineLevel="1">
      <c r="A322" s="40" t="s">
        <v>1001</v>
      </c>
      <c r="B322" s="41" t="s">
        <v>1</v>
      </c>
      <c r="C322" s="40">
        <v>5.2</v>
      </c>
      <c r="D322" s="114"/>
    </row>
    <row r="323" spans="1:4" ht="15.75" outlineLevel="1">
      <c r="A323" s="40" t="s">
        <v>1001</v>
      </c>
      <c r="B323" s="41" t="s">
        <v>5</v>
      </c>
      <c r="C323" s="40">
        <v>5.26</v>
      </c>
      <c r="D323" s="114"/>
    </row>
    <row r="324" spans="1:4" ht="15.75" outlineLevel="1">
      <c r="A324" s="40" t="s">
        <v>1001</v>
      </c>
      <c r="B324" s="41" t="s">
        <v>1111</v>
      </c>
      <c r="C324" s="40">
        <v>5.14</v>
      </c>
      <c r="D324" s="114"/>
    </row>
    <row r="325" spans="1:4" ht="15.75" outlineLevel="1">
      <c r="A325" s="40" t="s">
        <v>1001</v>
      </c>
      <c r="B325" s="41" t="s">
        <v>4</v>
      </c>
      <c r="C325" s="40">
        <v>5.19</v>
      </c>
      <c r="D325" s="114"/>
    </row>
    <row r="326" spans="1:4" ht="15.75" outlineLevel="1">
      <c r="A326" s="40" t="s">
        <v>1001</v>
      </c>
      <c r="B326" s="41" t="s">
        <v>152</v>
      </c>
      <c r="C326" s="40">
        <v>5.37</v>
      </c>
      <c r="D326" s="114"/>
    </row>
    <row r="327" spans="1:4" ht="15.75" outlineLevel="1">
      <c r="A327" s="40" t="s">
        <v>1001</v>
      </c>
      <c r="B327" s="41" t="s">
        <v>12</v>
      </c>
      <c r="C327" s="40">
        <v>5.69</v>
      </c>
      <c r="D327" s="114"/>
    </row>
    <row r="328" spans="1:4" ht="15.75" outlineLevel="1">
      <c r="A328" s="40" t="s">
        <v>1001</v>
      </c>
      <c r="B328" s="41" t="s">
        <v>752</v>
      </c>
      <c r="C328" s="42">
        <v>5.8</v>
      </c>
      <c r="D328" s="114"/>
    </row>
    <row r="329" spans="1:4" ht="15.75" outlineLevel="1">
      <c r="A329" s="40" t="s">
        <v>1001</v>
      </c>
      <c r="B329" s="41" t="s">
        <v>13</v>
      </c>
      <c r="C329" s="40">
        <v>5.75</v>
      </c>
      <c r="D329" s="114"/>
    </row>
    <row r="330" spans="1:4" ht="15.75" outlineLevel="1">
      <c r="A330" s="40" t="s">
        <v>1001</v>
      </c>
      <c r="B330" s="41" t="s">
        <v>14</v>
      </c>
      <c r="C330" s="42">
        <v>5.7</v>
      </c>
      <c r="D330" s="114"/>
    </row>
    <row r="331" spans="1:4" ht="15.75" outlineLevel="1">
      <c r="A331" s="40" t="s">
        <v>1001</v>
      </c>
      <c r="B331" s="41" t="s">
        <v>15</v>
      </c>
      <c r="C331" s="40">
        <v>5.74</v>
      </c>
      <c r="D331" s="114"/>
    </row>
    <row r="332" spans="1:4" ht="15.75" outlineLevel="1">
      <c r="A332" s="40" t="s">
        <v>1001</v>
      </c>
      <c r="B332" s="41" t="s">
        <v>17</v>
      </c>
      <c r="C332" s="40">
        <v>5.58</v>
      </c>
      <c r="D332" s="114"/>
    </row>
    <row r="333" spans="1:4" ht="15.75" outlineLevel="1">
      <c r="A333" s="40" t="s">
        <v>1001</v>
      </c>
      <c r="B333" s="41" t="s">
        <v>19</v>
      </c>
      <c r="C333" s="40">
        <v>5.55</v>
      </c>
      <c r="D333" s="114"/>
    </row>
    <row r="334" spans="1:4" ht="15.75" outlineLevel="1">
      <c r="A334" s="40" t="s">
        <v>1001</v>
      </c>
      <c r="B334" s="41" t="s">
        <v>20</v>
      </c>
      <c r="C334" s="40">
        <v>5.63</v>
      </c>
      <c r="D334" s="114"/>
    </row>
    <row r="335" spans="1:4" ht="15.75" outlineLevel="1">
      <c r="A335" s="40" t="s">
        <v>1001</v>
      </c>
      <c r="B335" s="41" t="s">
        <v>21</v>
      </c>
      <c r="C335" s="40">
        <v>5.65</v>
      </c>
      <c r="D335" s="114"/>
    </row>
    <row r="336" spans="1:4" ht="15.75" outlineLevel="1">
      <c r="A336" s="40" t="s">
        <v>1001</v>
      </c>
      <c r="B336" s="41" t="s">
        <v>22</v>
      </c>
      <c r="C336" s="40">
        <v>5.68</v>
      </c>
      <c r="D336" s="114"/>
    </row>
    <row r="337" spans="1:4" ht="15.75" outlineLevel="1">
      <c r="A337" s="40" t="s">
        <v>1001</v>
      </c>
      <c r="B337" s="41" t="s">
        <v>24</v>
      </c>
      <c r="C337" s="40">
        <v>5.47</v>
      </c>
      <c r="D337" s="114"/>
    </row>
    <row r="338" spans="1:4" ht="15.75" outlineLevel="1">
      <c r="A338" s="40" t="s">
        <v>1001</v>
      </c>
      <c r="B338" s="41" t="s">
        <v>25</v>
      </c>
      <c r="C338" s="40">
        <v>5.48</v>
      </c>
      <c r="D338" s="114"/>
    </row>
    <row r="339" spans="1:4" ht="15.75">
      <c r="A339" s="46" t="s">
        <v>1001</v>
      </c>
      <c r="B339" s="41"/>
      <c r="C339" s="40"/>
      <c r="D339" s="114"/>
    </row>
    <row r="340" spans="1:4" ht="15.75" outlineLevel="1">
      <c r="A340" s="40" t="s">
        <v>1007</v>
      </c>
      <c r="B340" s="41" t="s">
        <v>1122</v>
      </c>
      <c r="C340" s="40">
        <v>5.0999999999999996</v>
      </c>
      <c r="D340" s="114"/>
    </row>
    <row r="341" spans="1:4" ht="15.75" outlineLevel="1">
      <c r="A341" s="40" t="s">
        <v>1007</v>
      </c>
      <c r="B341" s="41" t="s">
        <v>1</v>
      </c>
      <c r="C341" s="40">
        <v>5.2</v>
      </c>
      <c r="D341" s="114"/>
    </row>
    <row r="342" spans="1:4" ht="15.75" outlineLevel="1">
      <c r="A342" s="40" t="s">
        <v>1007</v>
      </c>
      <c r="B342" s="41" t="s">
        <v>5</v>
      </c>
      <c r="C342" s="40">
        <v>5.26</v>
      </c>
      <c r="D342" s="114"/>
    </row>
    <row r="343" spans="1:4" ht="15.75" outlineLevel="1">
      <c r="A343" s="40" t="s">
        <v>1007</v>
      </c>
      <c r="B343" s="41" t="s">
        <v>1123</v>
      </c>
      <c r="C343" s="40">
        <v>5.38</v>
      </c>
      <c r="D343" s="114"/>
    </row>
    <row r="344" spans="1:4" ht="15.75" outlineLevel="1">
      <c r="A344" s="40" t="s">
        <v>1007</v>
      </c>
      <c r="B344" s="41" t="s">
        <v>1124</v>
      </c>
      <c r="C344" s="40">
        <v>5.39</v>
      </c>
      <c r="D344" s="114"/>
    </row>
    <row r="345" spans="1:4" ht="15.75" outlineLevel="1">
      <c r="A345" s="40" t="s">
        <v>1007</v>
      </c>
      <c r="B345" s="41" t="s">
        <v>1125</v>
      </c>
      <c r="C345" s="42">
        <v>5.6</v>
      </c>
      <c r="D345" s="114"/>
    </row>
    <row r="346" spans="1:4" ht="15.75" outlineLevel="1">
      <c r="A346" s="40" t="s">
        <v>1007</v>
      </c>
      <c r="B346" s="41" t="s">
        <v>25</v>
      </c>
      <c r="C346" s="40">
        <v>5.48</v>
      </c>
      <c r="D346" s="114"/>
    </row>
    <row r="347" spans="1:4" ht="15.75">
      <c r="A347" s="46" t="s">
        <v>1007</v>
      </c>
      <c r="B347" s="41"/>
      <c r="C347" s="40"/>
      <c r="D347" s="114"/>
    </row>
    <row r="348" spans="1:4" ht="15.75" outlineLevel="1">
      <c r="A348" s="40" t="s">
        <v>1011</v>
      </c>
      <c r="B348" s="41" t="s">
        <v>0</v>
      </c>
      <c r="C348" s="40">
        <v>5.0999999999999996</v>
      </c>
      <c r="D348" s="114"/>
    </row>
    <row r="349" spans="1:4" ht="15.75" outlineLevel="1">
      <c r="A349" s="40" t="s">
        <v>1011</v>
      </c>
      <c r="B349" s="41" t="s">
        <v>1</v>
      </c>
      <c r="C349" s="40">
        <v>5.2</v>
      </c>
      <c r="D349" s="114"/>
    </row>
    <row r="350" spans="1:4" ht="15.75" outlineLevel="1">
      <c r="A350" s="40" t="s">
        <v>1011</v>
      </c>
      <c r="B350" s="41" t="s">
        <v>2</v>
      </c>
      <c r="C350" s="40">
        <v>5.3</v>
      </c>
      <c r="D350" s="114"/>
    </row>
    <row r="351" spans="1:4" ht="15.75" outlineLevel="1">
      <c r="A351" s="40" t="s">
        <v>1011</v>
      </c>
      <c r="B351" s="41" t="s">
        <v>141</v>
      </c>
      <c r="C351" s="40">
        <v>5.6</v>
      </c>
      <c r="D351" s="114"/>
    </row>
    <row r="352" spans="1:4" ht="15.75" outlineLevel="1">
      <c r="A352" s="40" t="s">
        <v>1011</v>
      </c>
      <c r="B352" s="41" t="s">
        <v>1112</v>
      </c>
      <c r="C352" s="42">
        <v>5.0999999999999996</v>
      </c>
      <c r="D352" s="114"/>
    </row>
    <row r="353" spans="1:4" ht="15.75" outlineLevel="1">
      <c r="A353" s="40" t="s">
        <v>1011</v>
      </c>
      <c r="B353" s="41" t="s">
        <v>1111</v>
      </c>
      <c r="C353" s="40">
        <v>5.14</v>
      </c>
      <c r="D353" s="114"/>
    </row>
    <row r="354" spans="1:4" ht="15.75" outlineLevel="1">
      <c r="A354" s="40" t="s">
        <v>1011</v>
      </c>
      <c r="B354" s="41" t="s">
        <v>4</v>
      </c>
      <c r="C354" s="40">
        <v>5.19</v>
      </c>
      <c r="D354" s="114"/>
    </row>
    <row r="355" spans="1:4" ht="15.75" outlineLevel="1">
      <c r="A355" s="40" t="s">
        <v>1011</v>
      </c>
      <c r="B355" s="41" t="s">
        <v>143</v>
      </c>
      <c r="C355" s="40">
        <v>5.24</v>
      </c>
      <c r="D355" s="114"/>
    </row>
    <row r="356" spans="1:4" ht="15.75" outlineLevel="1">
      <c r="A356" s="40" t="s">
        <v>1011</v>
      </c>
      <c r="B356" s="41" t="s">
        <v>5</v>
      </c>
      <c r="C356" s="40">
        <v>5.26</v>
      </c>
      <c r="D356" s="114"/>
    </row>
    <row r="357" spans="1:4" ht="15.75" outlineLevel="1">
      <c r="A357" s="40" t="s">
        <v>1011</v>
      </c>
      <c r="B357" s="41" t="s">
        <v>6</v>
      </c>
      <c r="C357" s="40">
        <v>5.27</v>
      </c>
      <c r="D357" s="114"/>
    </row>
    <row r="358" spans="1:4" ht="15.75" outlineLevel="1">
      <c r="A358" s="40" t="s">
        <v>1011</v>
      </c>
      <c r="B358" s="41" t="s">
        <v>7</v>
      </c>
      <c r="C358" s="40">
        <v>5.28</v>
      </c>
      <c r="D358" s="114"/>
    </row>
    <row r="359" spans="1:4" ht="15.75" outlineLevel="1">
      <c r="A359" s="40" t="s">
        <v>1011</v>
      </c>
      <c r="B359" s="41" t="s">
        <v>144</v>
      </c>
      <c r="C359" s="40">
        <v>5.31</v>
      </c>
      <c r="D359" s="114"/>
    </row>
    <row r="360" spans="1:4" ht="15.75" outlineLevel="1">
      <c r="A360" s="40" t="s">
        <v>1011</v>
      </c>
      <c r="B360" s="41" t="s">
        <v>123</v>
      </c>
      <c r="C360" s="40">
        <v>5.36</v>
      </c>
      <c r="D360" s="114"/>
    </row>
    <row r="361" spans="1:4" ht="15.75" outlineLevel="1">
      <c r="A361" s="40" t="s">
        <v>1011</v>
      </c>
      <c r="B361" s="41" t="s">
        <v>152</v>
      </c>
      <c r="C361" s="40">
        <v>5.37</v>
      </c>
      <c r="D361" s="114"/>
    </row>
    <row r="362" spans="1:4" ht="15.75" outlineLevel="1">
      <c r="A362" s="40" t="s">
        <v>1011</v>
      </c>
      <c r="B362" s="41" t="s">
        <v>9</v>
      </c>
      <c r="C362" s="40">
        <v>5.49</v>
      </c>
      <c r="D362" s="114"/>
    </row>
    <row r="363" spans="1:4" ht="15.75" outlineLevel="1">
      <c r="A363" s="40" t="s">
        <v>1011</v>
      </c>
      <c r="B363" s="41" t="s">
        <v>10</v>
      </c>
      <c r="C363" s="40">
        <v>5.51</v>
      </c>
      <c r="D363" s="114"/>
    </row>
    <row r="364" spans="1:4" ht="15.75" outlineLevel="1">
      <c r="A364" s="40" t="s">
        <v>1011</v>
      </c>
      <c r="B364" s="41" t="s">
        <v>1113</v>
      </c>
      <c r="C364" s="40">
        <v>5.52</v>
      </c>
      <c r="D364" s="114"/>
    </row>
    <row r="365" spans="1:4" ht="15.75" outlineLevel="1">
      <c r="A365" s="40" t="s">
        <v>1011</v>
      </c>
      <c r="B365" s="41" t="s">
        <v>11</v>
      </c>
      <c r="C365" s="40">
        <v>5.53</v>
      </c>
      <c r="D365" s="114"/>
    </row>
    <row r="366" spans="1:4" ht="15.75" outlineLevel="1">
      <c r="A366" s="40" t="s">
        <v>1011</v>
      </c>
      <c r="B366" s="41" t="s">
        <v>12</v>
      </c>
      <c r="C366" s="40">
        <v>5.69</v>
      </c>
      <c r="D366" s="114"/>
    </row>
    <row r="367" spans="1:4" ht="15.75" outlineLevel="1">
      <c r="A367" s="40" t="s">
        <v>1011</v>
      </c>
      <c r="B367" s="41" t="s">
        <v>752</v>
      </c>
      <c r="C367" s="42">
        <v>5.8</v>
      </c>
      <c r="D367" s="114"/>
    </row>
    <row r="368" spans="1:4" ht="15.75" outlineLevel="1">
      <c r="A368" s="40" t="s">
        <v>1011</v>
      </c>
      <c r="B368" s="41" t="s">
        <v>909</v>
      </c>
      <c r="C368" s="42">
        <v>5.72</v>
      </c>
      <c r="D368" s="114"/>
    </row>
    <row r="369" spans="1:4" ht="15.75" outlineLevel="1">
      <c r="A369" s="40" t="s">
        <v>1011</v>
      </c>
      <c r="B369" s="41" t="s">
        <v>13</v>
      </c>
      <c r="C369" s="40">
        <v>5.75</v>
      </c>
      <c r="D369" s="114"/>
    </row>
    <row r="370" spans="1:4" ht="15.75" outlineLevel="1">
      <c r="A370" s="40" t="s">
        <v>1011</v>
      </c>
      <c r="B370" s="41" t="s">
        <v>14</v>
      </c>
      <c r="C370" s="42">
        <v>5.7</v>
      </c>
      <c r="D370" s="114"/>
    </row>
    <row r="371" spans="1:4" ht="15.75" outlineLevel="1">
      <c r="A371" s="40" t="s">
        <v>1011</v>
      </c>
      <c r="B371" s="41" t="s">
        <v>15</v>
      </c>
      <c r="C371" s="40">
        <v>5.74</v>
      </c>
      <c r="D371" s="114"/>
    </row>
    <row r="372" spans="1:4" ht="15.75" outlineLevel="1">
      <c r="A372" s="40" t="s">
        <v>1011</v>
      </c>
      <c r="B372" s="41" t="s">
        <v>409</v>
      </c>
      <c r="C372" s="40">
        <v>5.76</v>
      </c>
      <c r="D372" s="114"/>
    </row>
    <row r="373" spans="1:4" ht="15.75" outlineLevel="1">
      <c r="A373" s="40" t="s">
        <v>1011</v>
      </c>
      <c r="B373" s="41" t="s">
        <v>830</v>
      </c>
      <c r="C373" s="40">
        <v>5.89</v>
      </c>
      <c r="D373" s="113" t="s">
        <v>1110</v>
      </c>
    </row>
    <row r="374" spans="1:4" ht="15.75" outlineLevel="1">
      <c r="A374" s="40" t="s">
        <v>1011</v>
      </c>
      <c r="B374" s="41" t="s">
        <v>145</v>
      </c>
      <c r="C374" s="40">
        <v>5.109</v>
      </c>
      <c r="D374" s="113"/>
    </row>
    <row r="375" spans="1:4" ht="15.75" outlineLevel="1">
      <c r="A375" s="40" t="s">
        <v>1011</v>
      </c>
      <c r="B375" s="41" t="s">
        <v>146</v>
      </c>
      <c r="C375" s="40">
        <v>5.1109999999999998</v>
      </c>
      <c r="D375" s="114"/>
    </row>
    <row r="376" spans="1:4" ht="15.75" outlineLevel="1">
      <c r="A376" s="40" t="s">
        <v>1011</v>
      </c>
      <c r="B376" s="41" t="s">
        <v>132</v>
      </c>
      <c r="C376" s="40">
        <v>5.1120000000000001</v>
      </c>
      <c r="D376" s="114"/>
    </row>
    <row r="377" spans="1:4" ht="15.75" outlineLevel="1">
      <c r="A377" s="40" t="s">
        <v>1011</v>
      </c>
      <c r="B377" s="41" t="s">
        <v>1126</v>
      </c>
      <c r="C377" s="40">
        <v>5.1130000000000004</v>
      </c>
      <c r="D377" s="114"/>
    </row>
    <row r="378" spans="1:4" ht="15.75" outlineLevel="1">
      <c r="A378" s="40" t="s">
        <v>1011</v>
      </c>
      <c r="B378" s="41" t="s">
        <v>17</v>
      </c>
      <c r="C378" s="40">
        <v>5.58</v>
      </c>
      <c r="D378" s="114"/>
    </row>
    <row r="379" spans="1:4" ht="15.75" outlineLevel="1">
      <c r="A379" s="40" t="s">
        <v>1011</v>
      </c>
      <c r="B379" s="41" t="s">
        <v>18</v>
      </c>
      <c r="C379" s="40">
        <v>5.54</v>
      </c>
      <c r="D379" s="114"/>
    </row>
    <row r="380" spans="1:4" ht="15.75" outlineLevel="1">
      <c r="A380" s="40" t="s">
        <v>1011</v>
      </c>
      <c r="B380" s="41" t="s">
        <v>19</v>
      </c>
      <c r="C380" s="40">
        <v>5.55</v>
      </c>
      <c r="D380" s="114"/>
    </row>
    <row r="381" spans="1:4" ht="15.75" outlineLevel="1">
      <c r="A381" s="40" t="s">
        <v>1011</v>
      </c>
      <c r="B381" s="41" t="s">
        <v>20</v>
      </c>
      <c r="C381" s="40">
        <v>5.63</v>
      </c>
      <c r="D381" s="114"/>
    </row>
    <row r="382" spans="1:4" ht="15.75" outlineLevel="1">
      <c r="A382" s="40" t="s">
        <v>1011</v>
      </c>
      <c r="B382" s="41" t="s">
        <v>21</v>
      </c>
      <c r="C382" s="40">
        <v>5.65</v>
      </c>
      <c r="D382" s="114"/>
    </row>
    <row r="383" spans="1:4" ht="15.75" outlineLevel="1">
      <c r="A383" s="40" t="s">
        <v>1011</v>
      </c>
      <c r="B383" s="41" t="s">
        <v>160</v>
      </c>
      <c r="C383" s="40">
        <v>5.66</v>
      </c>
      <c r="D383" s="114"/>
    </row>
    <row r="384" spans="1:4" ht="15.75" outlineLevel="1">
      <c r="A384" s="40" t="s">
        <v>1011</v>
      </c>
      <c r="B384" s="41" t="s">
        <v>22</v>
      </c>
      <c r="C384" s="40">
        <v>5.68</v>
      </c>
      <c r="D384" s="114"/>
    </row>
    <row r="385" spans="1:4" ht="15.75" outlineLevel="1">
      <c r="A385" s="40" t="s">
        <v>1011</v>
      </c>
      <c r="B385" s="41" t="s">
        <v>24</v>
      </c>
      <c r="C385" s="40">
        <v>5.47</v>
      </c>
      <c r="D385" s="114"/>
    </row>
    <row r="386" spans="1:4" ht="15.75" outlineLevel="1">
      <c r="A386" s="40" t="s">
        <v>1011</v>
      </c>
      <c r="B386" s="41" t="s">
        <v>25</v>
      </c>
      <c r="C386" s="40">
        <v>5.48</v>
      </c>
      <c r="D386" s="114"/>
    </row>
    <row r="387" spans="1:4" ht="15.75">
      <c r="A387" s="46" t="s">
        <v>1011</v>
      </c>
      <c r="B387" s="41"/>
      <c r="C387" s="40"/>
      <c r="D387" s="114"/>
    </row>
    <row r="388" spans="1:4" ht="15.75" outlineLevel="1">
      <c r="A388" s="40" t="s">
        <v>1013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1013</v>
      </c>
      <c r="B389" s="41" t="s">
        <v>1</v>
      </c>
      <c r="C389" s="40">
        <v>5.2</v>
      </c>
      <c r="D389" s="114"/>
    </row>
    <row r="390" spans="1:4" ht="15.75" outlineLevel="1">
      <c r="A390" s="40" t="s">
        <v>1013</v>
      </c>
      <c r="B390" s="41" t="s">
        <v>2</v>
      </c>
      <c r="C390" s="40">
        <v>5.3</v>
      </c>
      <c r="D390" s="114"/>
    </row>
    <row r="391" spans="1:4" ht="15.75" outlineLevel="1">
      <c r="A391" s="40" t="s">
        <v>1013</v>
      </c>
      <c r="B391" s="41" t="s">
        <v>141</v>
      </c>
      <c r="C391" s="40">
        <v>5.6</v>
      </c>
      <c r="D391" s="114"/>
    </row>
    <row r="392" spans="1:4" ht="15.75" outlineLevel="1">
      <c r="A392" s="40" t="s">
        <v>1013</v>
      </c>
      <c r="B392" s="41" t="s">
        <v>1112</v>
      </c>
      <c r="C392" s="42">
        <v>5.0999999999999996</v>
      </c>
      <c r="D392" s="114"/>
    </row>
    <row r="393" spans="1:4" ht="15.75" outlineLevel="1">
      <c r="A393" s="40" t="s">
        <v>1013</v>
      </c>
      <c r="B393" s="41" t="s">
        <v>1111</v>
      </c>
      <c r="C393" s="40">
        <v>5.14</v>
      </c>
      <c r="D393" s="114"/>
    </row>
    <row r="394" spans="1:4" ht="15.75" outlineLevel="1">
      <c r="A394" s="40" t="s">
        <v>1013</v>
      </c>
      <c r="B394" s="41" t="s">
        <v>4</v>
      </c>
      <c r="C394" s="40">
        <v>5.19</v>
      </c>
      <c r="D394" s="114"/>
    </row>
    <row r="395" spans="1:4" ht="15.75" outlineLevel="1">
      <c r="A395" s="40" t="s">
        <v>1013</v>
      </c>
      <c r="B395" s="41" t="s">
        <v>143</v>
      </c>
      <c r="C395" s="40">
        <v>5.24</v>
      </c>
      <c r="D395" s="114"/>
    </row>
    <row r="396" spans="1:4" ht="15.75" outlineLevel="1">
      <c r="A396" s="40" t="s">
        <v>1013</v>
      </c>
      <c r="B396" s="41" t="s">
        <v>5</v>
      </c>
      <c r="C396" s="40">
        <v>5.26</v>
      </c>
      <c r="D396" s="114"/>
    </row>
    <row r="397" spans="1:4" ht="15.75" outlineLevel="1">
      <c r="A397" s="40" t="s">
        <v>1013</v>
      </c>
      <c r="B397" s="41" t="s">
        <v>6</v>
      </c>
      <c r="C397" s="40">
        <v>5.27</v>
      </c>
      <c r="D397" s="114"/>
    </row>
    <row r="398" spans="1:4" ht="15.75" outlineLevel="1">
      <c r="A398" s="40" t="s">
        <v>1013</v>
      </c>
      <c r="B398" s="41" t="s">
        <v>7</v>
      </c>
      <c r="C398" s="40">
        <v>5.28</v>
      </c>
      <c r="D398" s="114"/>
    </row>
    <row r="399" spans="1:4" ht="15.75" outlineLevel="1">
      <c r="A399" s="40" t="s">
        <v>1013</v>
      </c>
      <c r="B399" s="41" t="s">
        <v>324</v>
      </c>
      <c r="C399" s="40">
        <v>5.29</v>
      </c>
      <c r="D399" s="114"/>
    </row>
    <row r="400" spans="1:4" ht="15.75" outlineLevel="1">
      <c r="A400" s="40" t="s">
        <v>1013</v>
      </c>
      <c r="B400" s="41" t="s">
        <v>144</v>
      </c>
      <c r="C400" s="40">
        <v>5.31</v>
      </c>
      <c r="D400" s="114"/>
    </row>
    <row r="401" spans="1:4" ht="15.75" outlineLevel="1">
      <c r="A401" s="40" t="s">
        <v>1013</v>
      </c>
      <c r="B401" s="41" t="s">
        <v>123</v>
      </c>
      <c r="C401" s="40">
        <v>5.36</v>
      </c>
      <c r="D401" s="114"/>
    </row>
    <row r="402" spans="1:4" ht="15.75" outlineLevel="1">
      <c r="A402" s="40" t="s">
        <v>1013</v>
      </c>
      <c r="B402" s="41" t="s">
        <v>152</v>
      </c>
      <c r="C402" s="40">
        <v>5.37</v>
      </c>
      <c r="D402" s="114"/>
    </row>
    <row r="403" spans="1:4" ht="15.75" outlineLevel="1">
      <c r="A403" s="40" t="s">
        <v>1013</v>
      </c>
      <c r="B403" s="41" t="s">
        <v>9</v>
      </c>
      <c r="C403" s="40">
        <v>5.49</v>
      </c>
      <c r="D403" s="114"/>
    </row>
    <row r="404" spans="1:4" ht="15.75" outlineLevel="1">
      <c r="A404" s="40" t="s">
        <v>1013</v>
      </c>
      <c r="B404" s="41" t="s">
        <v>10</v>
      </c>
      <c r="C404" s="40">
        <v>5.51</v>
      </c>
      <c r="D404" s="114"/>
    </row>
    <row r="405" spans="1:4" ht="15.75" outlineLevel="1">
      <c r="A405" s="40" t="s">
        <v>1013</v>
      </c>
      <c r="B405" s="41" t="s">
        <v>1113</v>
      </c>
      <c r="C405" s="40">
        <v>5.52</v>
      </c>
      <c r="D405" s="114"/>
    </row>
    <row r="406" spans="1:4" ht="15.75" outlineLevel="1">
      <c r="A406" s="40" t="s">
        <v>1013</v>
      </c>
      <c r="B406" s="41" t="s">
        <v>11</v>
      </c>
      <c r="C406" s="40">
        <v>5.53</v>
      </c>
      <c r="D406" s="114"/>
    </row>
    <row r="407" spans="1:4" ht="15.75" outlineLevel="1">
      <c r="A407" s="40" t="s">
        <v>1013</v>
      </c>
      <c r="B407" s="41" t="s">
        <v>12</v>
      </c>
      <c r="C407" s="40">
        <v>5.69</v>
      </c>
      <c r="D407" s="114"/>
    </row>
    <row r="408" spans="1:4" ht="15.75" outlineLevel="1">
      <c r="A408" s="40" t="s">
        <v>1013</v>
      </c>
      <c r="B408" s="41" t="s">
        <v>13</v>
      </c>
      <c r="C408" s="40">
        <v>5.75</v>
      </c>
      <c r="D408" s="114"/>
    </row>
    <row r="409" spans="1:4" ht="15.75" outlineLevel="1">
      <c r="A409" s="40" t="s">
        <v>1013</v>
      </c>
      <c r="B409" s="41" t="s">
        <v>15</v>
      </c>
      <c r="C409" s="40">
        <v>5.74</v>
      </c>
      <c r="D409" s="114"/>
    </row>
    <row r="410" spans="1:4" ht="15.75" outlineLevel="1">
      <c r="A410" s="40" t="s">
        <v>1013</v>
      </c>
      <c r="B410" s="41" t="s">
        <v>14</v>
      </c>
      <c r="C410" s="42">
        <v>5.7</v>
      </c>
      <c r="D410" s="114"/>
    </row>
    <row r="411" spans="1:4" ht="15.75" outlineLevel="1">
      <c r="A411" s="40" t="s">
        <v>1013</v>
      </c>
      <c r="B411" s="41" t="s">
        <v>409</v>
      </c>
      <c r="C411" s="40">
        <v>5.76</v>
      </c>
      <c r="D411" s="114"/>
    </row>
    <row r="412" spans="1:4" ht="15.75" outlineLevel="1">
      <c r="A412" s="40" t="s">
        <v>1013</v>
      </c>
      <c r="B412" s="41" t="s">
        <v>830</v>
      </c>
      <c r="C412" s="40">
        <v>5.89</v>
      </c>
      <c r="D412" s="113" t="s">
        <v>1110</v>
      </c>
    </row>
    <row r="413" spans="1:4" ht="15.75" outlineLevel="1">
      <c r="A413" s="40" t="s">
        <v>1013</v>
      </c>
      <c r="B413" s="41" t="s">
        <v>145</v>
      </c>
      <c r="C413" s="40">
        <v>5.109</v>
      </c>
      <c r="D413" s="114"/>
    </row>
    <row r="414" spans="1:4" ht="15.75" outlineLevel="1">
      <c r="A414" s="40" t="s">
        <v>1013</v>
      </c>
      <c r="B414" s="41" t="s">
        <v>146</v>
      </c>
      <c r="C414" s="40">
        <v>5.1109999999999998</v>
      </c>
      <c r="D414" s="114"/>
    </row>
    <row r="415" spans="1:4" ht="15.75" outlineLevel="1">
      <c r="A415" s="40" t="s">
        <v>1013</v>
      </c>
      <c r="B415" s="41" t="s">
        <v>132</v>
      </c>
      <c r="C415" s="40">
        <v>5.1120000000000001</v>
      </c>
      <c r="D415" s="114"/>
    </row>
    <row r="416" spans="1:4" ht="15.75" outlineLevel="1">
      <c r="A416" s="40" t="s">
        <v>1013</v>
      </c>
      <c r="B416" s="41" t="s">
        <v>1126</v>
      </c>
      <c r="C416" s="40">
        <v>5.1130000000000004</v>
      </c>
      <c r="D416" s="114"/>
    </row>
    <row r="417" spans="1:4" ht="15.75" outlineLevel="1">
      <c r="A417" s="40" t="s">
        <v>1013</v>
      </c>
      <c r="B417" s="41" t="s">
        <v>17</v>
      </c>
      <c r="C417" s="40">
        <v>5.58</v>
      </c>
      <c r="D417" s="114"/>
    </row>
    <row r="418" spans="1:4" ht="15.75" outlineLevel="1">
      <c r="A418" s="40" t="s">
        <v>1013</v>
      </c>
      <c r="B418" s="41" t="s">
        <v>18</v>
      </c>
      <c r="C418" s="40">
        <v>5.54</v>
      </c>
      <c r="D418" s="114"/>
    </row>
    <row r="419" spans="1:4" ht="15.75" outlineLevel="1">
      <c r="A419" s="40" t="s">
        <v>1013</v>
      </c>
      <c r="B419" s="41" t="s">
        <v>19</v>
      </c>
      <c r="C419" s="40">
        <v>5.55</v>
      </c>
      <c r="D419" s="114"/>
    </row>
    <row r="420" spans="1:4" ht="15.75" outlineLevel="1">
      <c r="A420" s="40" t="s">
        <v>1013</v>
      </c>
      <c r="B420" s="41" t="s">
        <v>20</v>
      </c>
      <c r="C420" s="40">
        <v>5.63</v>
      </c>
      <c r="D420" s="114"/>
    </row>
    <row r="421" spans="1:4" ht="15.75" outlineLevel="1">
      <c r="A421" s="40" t="s">
        <v>1013</v>
      </c>
      <c r="B421" s="41" t="s">
        <v>21</v>
      </c>
      <c r="C421" s="40">
        <v>5.65</v>
      </c>
      <c r="D421" s="114"/>
    </row>
    <row r="422" spans="1:4" ht="15.75" outlineLevel="1">
      <c r="A422" s="40" t="s">
        <v>1013</v>
      </c>
      <c r="B422" s="41" t="s">
        <v>160</v>
      </c>
      <c r="C422" s="40">
        <v>5.66</v>
      </c>
      <c r="D422" s="114"/>
    </row>
    <row r="423" spans="1:4" ht="15.75" outlineLevel="1">
      <c r="A423" s="40" t="s">
        <v>1013</v>
      </c>
      <c r="B423" s="41" t="s">
        <v>22</v>
      </c>
      <c r="C423" s="40">
        <v>5.68</v>
      </c>
      <c r="D423" s="114"/>
    </row>
    <row r="424" spans="1:4" ht="15.75" outlineLevel="1">
      <c r="A424" s="40" t="s">
        <v>1013</v>
      </c>
      <c r="B424" s="41" t="s">
        <v>24</v>
      </c>
      <c r="C424" s="40">
        <v>5.47</v>
      </c>
      <c r="D424" s="114"/>
    </row>
    <row r="425" spans="1:4" ht="15.75" outlineLevel="1">
      <c r="A425" s="40" t="s">
        <v>1013</v>
      </c>
      <c r="B425" s="41" t="s">
        <v>25</v>
      </c>
      <c r="C425" s="40">
        <v>5.48</v>
      </c>
      <c r="D425" s="114"/>
    </row>
    <row r="426" spans="1:4" ht="15.75">
      <c r="A426" s="46" t="s">
        <v>1013</v>
      </c>
      <c r="B426" s="41"/>
      <c r="C426" s="40"/>
      <c r="D426" s="114"/>
    </row>
    <row r="427" spans="1:4" ht="15.75" outlineLevel="1">
      <c r="A427" s="40" t="s">
        <v>1127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1127</v>
      </c>
      <c r="B428" s="41" t="s">
        <v>1</v>
      </c>
      <c r="C428" s="40">
        <v>5.2</v>
      </c>
      <c r="D428" s="114"/>
    </row>
    <row r="429" spans="1:4" ht="15.75" outlineLevel="1">
      <c r="A429" s="40" t="s">
        <v>1127</v>
      </c>
      <c r="B429" s="41" t="s">
        <v>2</v>
      </c>
      <c r="C429" s="40">
        <v>5.3</v>
      </c>
      <c r="D429" s="114"/>
    </row>
    <row r="430" spans="1:4" ht="15.75" outlineLevel="1">
      <c r="A430" s="40" t="s">
        <v>1127</v>
      </c>
      <c r="B430" s="41" t="s">
        <v>141</v>
      </c>
      <c r="C430" s="40">
        <v>5.6</v>
      </c>
      <c r="D430" s="114"/>
    </row>
    <row r="431" spans="1:4" ht="15.75" outlineLevel="1">
      <c r="A431" s="40" t="s">
        <v>1127</v>
      </c>
      <c r="B431" s="41" t="s">
        <v>1112</v>
      </c>
      <c r="C431" s="42">
        <v>5.0999999999999996</v>
      </c>
      <c r="D431" s="114"/>
    </row>
    <row r="432" spans="1:4" ht="15.75" outlineLevel="1">
      <c r="A432" s="40" t="s">
        <v>1127</v>
      </c>
      <c r="B432" s="41" t="s">
        <v>1111</v>
      </c>
      <c r="C432" s="40">
        <v>5.14</v>
      </c>
      <c r="D432" s="114"/>
    </row>
    <row r="433" spans="1:4" ht="15.75" outlineLevel="1">
      <c r="A433" s="40" t="s">
        <v>1127</v>
      </c>
      <c r="B433" s="41" t="s">
        <v>4</v>
      </c>
      <c r="C433" s="40">
        <v>5.19</v>
      </c>
      <c r="D433" s="114"/>
    </row>
    <row r="434" spans="1:4" ht="15.75" outlineLevel="1">
      <c r="A434" s="40" t="s">
        <v>1127</v>
      </c>
      <c r="B434" s="41" t="s">
        <v>143</v>
      </c>
      <c r="C434" s="40">
        <v>5.24</v>
      </c>
      <c r="D434" s="114"/>
    </row>
    <row r="435" spans="1:4" ht="15.75" outlineLevel="1">
      <c r="A435" s="40" t="s">
        <v>1127</v>
      </c>
      <c r="B435" s="41" t="s">
        <v>5</v>
      </c>
      <c r="C435" s="40">
        <v>5.26</v>
      </c>
      <c r="D435" s="114"/>
    </row>
    <row r="436" spans="1:4" ht="15.75" outlineLevel="1">
      <c r="A436" s="40" t="s">
        <v>1127</v>
      </c>
      <c r="B436" s="41" t="s">
        <v>6</v>
      </c>
      <c r="C436" s="40">
        <v>5.27</v>
      </c>
      <c r="D436" s="114"/>
    </row>
    <row r="437" spans="1:4" ht="15.75" outlineLevel="1">
      <c r="A437" s="40" t="s">
        <v>1127</v>
      </c>
      <c r="B437" s="41" t="s">
        <v>7</v>
      </c>
      <c r="C437" s="40">
        <v>5.28</v>
      </c>
      <c r="D437" s="114"/>
    </row>
    <row r="438" spans="1:4" ht="15.75" outlineLevel="1">
      <c r="A438" s="40" t="s">
        <v>1127</v>
      </c>
      <c r="B438" s="41" t="s">
        <v>324</v>
      </c>
      <c r="C438" s="40">
        <v>5.29</v>
      </c>
      <c r="D438" s="114"/>
    </row>
    <row r="439" spans="1:4" ht="15.75" outlineLevel="1">
      <c r="A439" s="40" t="s">
        <v>1127</v>
      </c>
      <c r="B439" s="41" t="s">
        <v>144</v>
      </c>
      <c r="C439" s="40">
        <v>5.31</v>
      </c>
      <c r="D439" s="114"/>
    </row>
    <row r="440" spans="1:4" ht="15.75" outlineLevel="1">
      <c r="A440" s="40" t="s">
        <v>1127</v>
      </c>
      <c r="B440" s="41" t="s">
        <v>123</v>
      </c>
      <c r="C440" s="40">
        <v>5.36</v>
      </c>
      <c r="D440" s="114"/>
    </row>
    <row r="441" spans="1:4" ht="15.75" outlineLevel="1">
      <c r="A441" s="40" t="s">
        <v>1127</v>
      </c>
      <c r="B441" s="41" t="s">
        <v>152</v>
      </c>
      <c r="C441" s="40">
        <v>5.37</v>
      </c>
      <c r="D441" s="114"/>
    </row>
    <row r="442" spans="1:4" ht="15.75" outlineLevel="1">
      <c r="A442" s="40" t="s">
        <v>1127</v>
      </c>
      <c r="B442" s="41" t="s">
        <v>11</v>
      </c>
      <c r="C442" s="40">
        <v>5.53</v>
      </c>
      <c r="D442" s="114"/>
    </row>
    <row r="443" spans="1:4" ht="15.75" outlineLevel="1">
      <c r="A443" s="40" t="s">
        <v>1127</v>
      </c>
      <c r="B443" s="41" t="s">
        <v>145</v>
      </c>
      <c r="C443" s="40">
        <v>5.109</v>
      </c>
      <c r="D443" s="114"/>
    </row>
    <row r="444" spans="1:4" ht="15.75" outlineLevel="1">
      <c r="A444" s="40" t="s">
        <v>1127</v>
      </c>
      <c r="B444" s="41" t="s">
        <v>146</v>
      </c>
      <c r="C444" s="40">
        <v>5.1109999999999998</v>
      </c>
      <c r="D444" s="114"/>
    </row>
    <row r="445" spans="1:4" ht="15.75" outlineLevel="1">
      <c r="A445" s="40" t="s">
        <v>1127</v>
      </c>
      <c r="B445" s="41" t="s">
        <v>132</v>
      </c>
      <c r="C445" s="40">
        <v>5.1120000000000001</v>
      </c>
      <c r="D445" s="114"/>
    </row>
    <row r="446" spans="1:4" ht="15.75" outlineLevel="1">
      <c r="A446" s="40" t="s">
        <v>1127</v>
      </c>
      <c r="B446" s="41" t="s">
        <v>1126</v>
      </c>
      <c r="C446" s="40">
        <v>5.1130000000000004</v>
      </c>
      <c r="D446" s="114"/>
    </row>
    <row r="447" spans="1:4" ht="15.75" outlineLevel="1">
      <c r="A447" s="40" t="s">
        <v>1127</v>
      </c>
      <c r="B447" s="41" t="s">
        <v>17</v>
      </c>
      <c r="C447" s="40">
        <v>5.58</v>
      </c>
      <c r="D447" s="114"/>
    </row>
    <row r="448" spans="1:4" ht="15.75" outlineLevel="1">
      <c r="A448" s="40" t="s">
        <v>1127</v>
      </c>
      <c r="B448" s="41" t="s">
        <v>18</v>
      </c>
      <c r="C448" s="40">
        <v>5.54</v>
      </c>
      <c r="D448" s="114"/>
    </row>
    <row r="449" spans="1:4" ht="15.75" outlineLevel="1">
      <c r="A449" s="40" t="s">
        <v>1127</v>
      </c>
      <c r="B449" s="41" t="s">
        <v>19</v>
      </c>
      <c r="C449" s="40">
        <v>5.55</v>
      </c>
      <c r="D449" s="114"/>
    </row>
    <row r="450" spans="1:4" ht="15.75" outlineLevel="1">
      <c r="A450" s="40" t="s">
        <v>1127</v>
      </c>
      <c r="B450" s="41" t="s">
        <v>20</v>
      </c>
      <c r="C450" s="40">
        <v>5.63</v>
      </c>
      <c r="D450" s="114"/>
    </row>
    <row r="451" spans="1:4" ht="15.75" outlineLevel="1">
      <c r="A451" s="40" t="s">
        <v>1127</v>
      </c>
      <c r="B451" s="41" t="s">
        <v>24</v>
      </c>
      <c r="C451" s="40">
        <v>5.47</v>
      </c>
      <c r="D451" s="114"/>
    </row>
    <row r="452" spans="1:4" ht="15.75" outlineLevel="1">
      <c r="A452" s="40" t="s">
        <v>1127</v>
      </c>
      <c r="B452" s="41" t="s">
        <v>25</v>
      </c>
      <c r="C452" s="40">
        <v>5.48</v>
      </c>
      <c r="D452" s="114"/>
    </row>
    <row r="453" spans="1:4" ht="15.75">
      <c r="A453" s="46" t="s">
        <v>1127</v>
      </c>
      <c r="B453" s="41"/>
      <c r="C453" s="40"/>
      <c r="D453" s="114"/>
    </row>
    <row r="454" spans="1:4" ht="15.75" outlineLevel="1">
      <c r="A454" s="40" t="s">
        <v>774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774</v>
      </c>
      <c r="B455" s="41" t="s">
        <v>1</v>
      </c>
      <c r="C455" s="40">
        <v>5.2</v>
      </c>
      <c r="D455" s="114"/>
    </row>
    <row r="456" spans="1:4" ht="15.75" outlineLevel="1">
      <c r="A456" s="40" t="s">
        <v>774</v>
      </c>
      <c r="B456" s="41" t="s">
        <v>189</v>
      </c>
      <c r="C456" s="40">
        <v>5.5</v>
      </c>
      <c r="D456" s="114"/>
    </row>
    <row r="457" spans="1:4" ht="15.75" outlineLevel="1">
      <c r="A457" s="40" t="s">
        <v>774</v>
      </c>
      <c r="B457" s="41" t="s">
        <v>190</v>
      </c>
      <c r="C457" s="40">
        <v>5.8</v>
      </c>
      <c r="D457" s="113" t="s">
        <v>1110</v>
      </c>
    </row>
    <row r="458" spans="1:4" ht="15.75" outlineLevel="1">
      <c r="A458" s="40" t="s">
        <v>774</v>
      </c>
      <c r="B458" s="41" t="s">
        <v>191</v>
      </c>
      <c r="C458" s="40">
        <v>5.12</v>
      </c>
      <c r="D458" s="113" t="s">
        <v>1110</v>
      </c>
    </row>
    <row r="459" spans="1:4" ht="15.75" outlineLevel="1">
      <c r="A459" s="40" t="s">
        <v>774</v>
      </c>
      <c r="B459" s="41" t="s">
        <v>192</v>
      </c>
      <c r="C459" s="40">
        <v>5.15</v>
      </c>
      <c r="D459" s="114"/>
    </row>
    <row r="460" spans="1:4" ht="15.75" outlineLevel="1">
      <c r="A460" s="40" t="s">
        <v>774</v>
      </c>
      <c r="B460" s="41" t="s">
        <v>193</v>
      </c>
      <c r="C460" s="42">
        <v>5.2</v>
      </c>
      <c r="D460" s="113"/>
    </row>
    <row r="461" spans="1:4" ht="15.75" outlineLevel="1">
      <c r="A461" s="40" t="s">
        <v>774</v>
      </c>
      <c r="B461" s="41" t="s">
        <v>194</v>
      </c>
      <c r="C461" s="40">
        <v>5.25</v>
      </c>
      <c r="D461" s="114"/>
    </row>
    <row r="462" spans="1:4" ht="15.75" outlineLevel="1">
      <c r="A462" s="40" t="s">
        <v>774</v>
      </c>
      <c r="B462" s="41" t="s">
        <v>5</v>
      </c>
      <c r="C462" s="40">
        <v>5.26</v>
      </c>
      <c r="D462" s="114"/>
    </row>
    <row r="463" spans="1:4" ht="15.75" outlineLevel="1">
      <c r="A463" s="40" t="s">
        <v>774</v>
      </c>
      <c r="B463" s="41" t="s">
        <v>831</v>
      </c>
      <c r="C463" s="40">
        <v>5.1139999999999999</v>
      </c>
      <c r="D463" s="113" t="s">
        <v>1110</v>
      </c>
    </row>
    <row r="464" spans="1:4" ht="15.75" outlineLevel="1">
      <c r="A464" s="40" t="s">
        <v>774</v>
      </c>
      <c r="B464" s="41" t="s">
        <v>6</v>
      </c>
      <c r="C464" s="40">
        <v>5.27</v>
      </c>
      <c r="D464" s="114"/>
    </row>
    <row r="465" spans="1:4" ht="15.75" outlineLevel="1">
      <c r="A465" s="40" t="s">
        <v>774</v>
      </c>
      <c r="B465" s="41" t="s">
        <v>1128</v>
      </c>
      <c r="C465" s="40">
        <v>5.1150000000000002</v>
      </c>
      <c r="D465" s="113" t="s">
        <v>1110</v>
      </c>
    </row>
    <row r="466" spans="1:4" ht="15.75" outlineLevel="1">
      <c r="A466" s="40" t="s">
        <v>774</v>
      </c>
      <c r="B466" s="41" t="s">
        <v>1129</v>
      </c>
      <c r="C466" s="40">
        <v>5.1159999999999997</v>
      </c>
      <c r="D466" s="113" t="s">
        <v>1110</v>
      </c>
    </row>
    <row r="467" spans="1:4" ht="15.75" outlineLevel="1">
      <c r="A467" s="40" t="s">
        <v>774</v>
      </c>
      <c r="B467" s="41" t="s">
        <v>7</v>
      </c>
      <c r="C467" s="40">
        <v>5.28</v>
      </c>
      <c r="D467" s="114"/>
    </row>
    <row r="468" spans="1:4" ht="15.75" outlineLevel="1">
      <c r="A468" s="40" t="s">
        <v>774</v>
      </c>
      <c r="B468" s="41" t="s">
        <v>123</v>
      </c>
      <c r="C468" s="40">
        <v>5.36</v>
      </c>
      <c r="D468" s="114"/>
    </row>
    <row r="469" spans="1:4" ht="15.75" outlineLevel="1">
      <c r="A469" s="40" t="s">
        <v>774</v>
      </c>
      <c r="B469" s="41" t="s">
        <v>152</v>
      </c>
      <c r="C469" s="40">
        <v>5.37</v>
      </c>
      <c r="D469" s="114"/>
    </row>
    <row r="470" spans="1:4" ht="15.75" outlineLevel="1">
      <c r="A470" s="40" t="s">
        <v>774</v>
      </c>
      <c r="B470" s="41" t="s">
        <v>11</v>
      </c>
      <c r="C470" s="40">
        <v>5.53</v>
      </c>
      <c r="D470" s="114"/>
    </row>
    <row r="471" spans="1:4" ht="15.75" outlineLevel="1">
      <c r="A471" s="40" t="s">
        <v>774</v>
      </c>
      <c r="B471" s="41" t="s">
        <v>145</v>
      </c>
      <c r="C471" s="40">
        <v>5.109</v>
      </c>
      <c r="D471" s="114"/>
    </row>
    <row r="472" spans="1:4" ht="15.75" outlineLevel="1">
      <c r="A472" s="40" t="s">
        <v>774</v>
      </c>
      <c r="B472" s="41" t="s">
        <v>146</v>
      </c>
      <c r="C472" s="40">
        <v>5.1109999999999998</v>
      </c>
      <c r="D472" s="114"/>
    </row>
    <row r="473" spans="1:4" ht="15.75" outlineLevel="1">
      <c r="A473" s="40" t="s">
        <v>774</v>
      </c>
      <c r="B473" s="41" t="s">
        <v>132</v>
      </c>
      <c r="C473" s="40">
        <v>5.1120000000000001</v>
      </c>
      <c r="D473" s="114"/>
    </row>
    <row r="474" spans="1:4" ht="15.75" outlineLevel="1">
      <c r="A474" s="40" t="s">
        <v>774</v>
      </c>
      <c r="B474" s="41" t="s">
        <v>18</v>
      </c>
      <c r="C474" s="40">
        <v>5.54</v>
      </c>
      <c r="D474" s="114"/>
    </row>
    <row r="475" spans="1:4" ht="15.75" outlineLevel="1">
      <c r="A475" s="40" t="s">
        <v>774</v>
      </c>
      <c r="B475" s="41" t="s">
        <v>1130</v>
      </c>
      <c r="C475" s="40">
        <v>5.61</v>
      </c>
      <c r="D475" s="114"/>
    </row>
    <row r="476" spans="1:4" ht="15.75" outlineLevel="1">
      <c r="A476" s="40" t="s">
        <v>774</v>
      </c>
      <c r="B476" s="41" t="s">
        <v>20</v>
      </c>
      <c r="C476" s="40">
        <v>5.63</v>
      </c>
      <c r="D476" s="114"/>
    </row>
    <row r="477" spans="1:4" ht="15.75" outlineLevel="1">
      <c r="A477" s="40" t="s">
        <v>774</v>
      </c>
      <c r="B477" s="41" t="s">
        <v>1131</v>
      </c>
      <c r="C477" s="40">
        <v>5.46</v>
      </c>
      <c r="D477" s="114"/>
    </row>
    <row r="478" spans="1:4" ht="15.75" outlineLevel="1">
      <c r="A478" s="40" t="s">
        <v>774</v>
      </c>
      <c r="B478" s="41" t="s">
        <v>24</v>
      </c>
      <c r="C478" s="40">
        <v>5.47</v>
      </c>
      <c r="D478" s="114"/>
    </row>
    <row r="479" spans="1:4" ht="15.75" outlineLevel="1">
      <c r="A479" s="40" t="s">
        <v>774</v>
      </c>
      <c r="B479" s="41" t="s">
        <v>25</v>
      </c>
      <c r="C479" s="40">
        <v>5.48</v>
      </c>
      <c r="D479" s="114"/>
    </row>
    <row r="480" spans="1:4" ht="15.75">
      <c r="A480" s="46" t="s">
        <v>774</v>
      </c>
      <c r="B480" s="41"/>
      <c r="C480" s="40"/>
      <c r="D480" s="114"/>
    </row>
    <row r="481" spans="1:4" ht="15.75" outlineLevel="1">
      <c r="A481" s="40" t="s">
        <v>1132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1132</v>
      </c>
      <c r="B482" s="41" t="s">
        <v>1</v>
      </c>
      <c r="C482" s="40">
        <v>5.2</v>
      </c>
      <c r="D482" s="114"/>
    </row>
    <row r="483" spans="1:4" ht="15.75" outlineLevel="1">
      <c r="A483" s="40" t="s">
        <v>1132</v>
      </c>
      <c r="B483" s="41" t="s">
        <v>2</v>
      </c>
      <c r="C483" s="40">
        <v>5.3</v>
      </c>
      <c r="D483" s="114"/>
    </row>
    <row r="484" spans="1:4" ht="15.75" outlineLevel="1">
      <c r="A484" s="40" t="s">
        <v>1132</v>
      </c>
      <c r="B484" s="41" t="s">
        <v>141</v>
      </c>
      <c r="C484" s="40">
        <v>5.6</v>
      </c>
      <c r="D484" s="114"/>
    </row>
    <row r="485" spans="1:4" ht="15.75" outlineLevel="1">
      <c r="A485" s="40" t="s">
        <v>1132</v>
      </c>
      <c r="B485" s="41" t="s">
        <v>1112</v>
      </c>
      <c r="C485" s="42">
        <v>5.0999999999999996</v>
      </c>
      <c r="D485" s="114"/>
    </row>
    <row r="486" spans="1:4" ht="15.75" outlineLevel="1">
      <c r="A486" s="40" t="s">
        <v>1132</v>
      </c>
      <c r="B486" s="41" t="s">
        <v>1111</v>
      </c>
      <c r="C486" s="40">
        <v>5.14</v>
      </c>
      <c r="D486" s="114"/>
    </row>
    <row r="487" spans="1:4" ht="15.75" outlineLevel="1">
      <c r="A487" s="40" t="s">
        <v>1132</v>
      </c>
      <c r="B487" s="41" t="s">
        <v>4</v>
      </c>
      <c r="C487" s="40">
        <v>5.19</v>
      </c>
      <c r="D487" s="114"/>
    </row>
    <row r="488" spans="1:4" ht="15.75" outlineLevel="1">
      <c r="A488" s="40" t="s">
        <v>1132</v>
      </c>
      <c r="B488" s="41" t="s">
        <v>143</v>
      </c>
      <c r="C488" s="40">
        <v>5.24</v>
      </c>
      <c r="D488" s="114"/>
    </row>
    <row r="489" spans="1:4" ht="15.75" outlineLevel="1">
      <c r="A489" s="40" t="s">
        <v>1132</v>
      </c>
      <c r="B489" s="41" t="s">
        <v>6</v>
      </c>
      <c r="C489" s="40">
        <v>5.27</v>
      </c>
      <c r="D489" s="114"/>
    </row>
    <row r="490" spans="1:4" ht="15.75" outlineLevel="1">
      <c r="A490" s="40" t="s">
        <v>1132</v>
      </c>
      <c r="B490" s="41" t="s">
        <v>7</v>
      </c>
      <c r="C490" s="40">
        <v>5.28</v>
      </c>
      <c r="D490" s="114"/>
    </row>
    <row r="491" spans="1:4" ht="15.75" outlineLevel="1">
      <c r="A491" s="40" t="s">
        <v>1132</v>
      </c>
      <c r="B491" s="41" t="s">
        <v>324</v>
      </c>
      <c r="C491" s="40">
        <v>5.29</v>
      </c>
      <c r="D491" s="114"/>
    </row>
    <row r="492" spans="1:4" ht="15.75" outlineLevel="1">
      <c r="A492" s="40" t="s">
        <v>1132</v>
      </c>
      <c r="B492" s="41" t="s">
        <v>1117</v>
      </c>
      <c r="C492" s="40">
        <v>5.34</v>
      </c>
      <c r="D492" s="114"/>
    </row>
    <row r="493" spans="1:4" ht="15.75" outlineLevel="1">
      <c r="A493" s="40" t="s">
        <v>1132</v>
      </c>
      <c r="B493" s="41" t="s">
        <v>144</v>
      </c>
      <c r="C493" s="40">
        <v>5.31</v>
      </c>
      <c r="D493" s="114"/>
    </row>
    <row r="494" spans="1:4" ht="15.75" outlineLevel="1">
      <c r="A494" s="40" t="s">
        <v>1132</v>
      </c>
      <c r="B494" s="41" t="s">
        <v>1118</v>
      </c>
      <c r="C494" s="40">
        <v>5.101</v>
      </c>
      <c r="D494" s="114"/>
    </row>
    <row r="495" spans="1:4" ht="15.75" outlineLevel="1">
      <c r="A495" s="40" t="s">
        <v>1132</v>
      </c>
      <c r="B495" s="41" t="s">
        <v>123</v>
      </c>
      <c r="C495" s="40">
        <v>5.36</v>
      </c>
      <c r="D495" s="114"/>
    </row>
    <row r="496" spans="1:4" ht="15.75" outlineLevel="1">
      <c r="A496" s="40" t="s">
        <v>1132</v>
      </c>
      <c r="B496" s="41" t="s">
        <v>152</v>
      </c>
      <c r="C496" s="40">
        <v>5.37</v>
      </c>
      <c r="D496" s="114"/>
    </row>
    <row r="497" spans="1:4" ht="15.75" outlineLevel="1">
      <c r="A497" s="40" t="s">
        <v>1132</v>
      </c>
      <c r="B497" s="41" t="s">
        <v>11</v>
      </c>
      <c r="C497" s="40">
        <v>5.53</v>
      </c>
      <c r="D497" s="114"/>
    </row>
    <row r="498" spans="1:4" ht="15.75" outlineLevel="1">
      <c r="A498" s="40" t="s">
        <v>1132</v>
      </c>
      <c r="B498" s="41" t="s">
        <v>145</v>
      </c>
      <c r="C498" s="40">
        <v>5.109</v>
      </c>
      <c r="D498" s="114"/>
    </row>
    <row r="499" spans="1:4" ht="15.75" outlineLevel="1">
      <c r="A499" s="40" t="s">
        <v>1132</v>
      </c>
      <c r="B499" s="41" t="s">
        <v>146</v>
      </c>
      <c r="C499" s="40">
        <v>5.1109999999999998</v>
      </c>
      <c r="D499" s="114"/>
    </row>
    <row r="500" spans="1:4" ht="15.75" outlineLevel="1">
      <c r="A500" s="40" t="s">
        <v>1132</v>
      </c>
      <c r="B500" s="41" t="s">
        <v>132</v>
      </c>
      <c r="C500" s="40">
        <v>5.1120000000000001</v>
      </c>
      <c r="D500" s="114"/>
    </row>
    <row r="501" spans="1:4" ht="15.75" outlineLevel="1">
      <c r="A501" s="40" t="s">
        <v>1132</v>
      </c>
      <c r="B501" s="41" t="s">
        <v>1119</v>
      </c>
      <c r="C501" s="40">
        <v>5.1020000000000003</v>
      </c>
      <c r="D501" s="114"/>
    </row>
    <row r="502" spans="1:4" ht="15.75" outlineLevel="1">
      <c r="A502" s="40" t="s">
        <v>1132</v>
      </c>
      <c r="B502" s="41" t="s">
        <v>1120</v>
      </c>
      <c r="C502" s="43">
        <v>5.0999999999999996</v>
      </c>
      <c r="D502" s="114"/>
    </row>
    <row r="503" spans="1:4" ht="15.75" outlineLevel="1">
      <c r="A503" s="40" t="s">
        <v>1132</v>
      </c>
      <c r="B503" s="41" t="s">
        <v>17</v>
      </c>
      <c r="C503" s="40">
        <v>5.58</v>
      </c>
      <c r="D503" s="114"/>
    </row>
    <row r="504" spans="1:4" ht="15.75" outlineLevel="1">
      <c r="A504" s="40" t="s">
        <v>1132</v>
      </c>
      <c r="B504" s="41" t="s">
        <v>19</v>
      </c>
      <c r="C504" s="40">
        <v>5.55</v>
      </c>
      <c r="D504" s="114"/>
    </row>
    <row r="505" spans="1:4" ht="15.75" outlineLevel="1">
      <c r="A505" s="40" t="s">
        <v>1132</v>
      </c>
      <c r="B505" s="41" t="s">
        <v>18</v>
      </c>
      <c r="C505" s="40">
        <v>5.54</v>
      </c>
      <c r="D505" s="114"/>
    </row>
    <row r="506" spans="1:4" ht="15.75" outlineLevel="1">
      <c r="A506" s="40" t="s">
        <v>1132</v>
      </c>
      <c r="B506" s="41" t="s">
        <v>20</v>
      </c>
      <c r="C506" s="40">
        <v>5.63</v>
      </c>
      <c r="D506" s="114"/>
    </row>
    <row r="507" spans="1:4" ht="15.75" outlineLevel="1">
      <c r="A507" s="40" t="s">
        <v>1132</v>
      </c>
      <c r="B507" s="41" t="s">
        <v>24</v>
      </c>
      <c r="C507" s="40">
        <v>5.47</v>
      </c>
      <c r="D507" s="114"/>
    </row>
    <row r="508" spans="1:4" ht="15.75" outlineLevel="1">
      <c r="A508" s="40" t="s">
        <v>1132</v>
      </c>
      <c r="B508" s="41" t="s">
        <v>25</v>
      </c>
      <c r="C508" s="40">
        <v>5.48</v>
      </c>
      <c r="D508" s="114"/>
    </row>
    <row r="509" spans="1:4" ht="15.75">
      <c r="A509" s="46" t="s">
        <v>1132</v>
      </c>
      <c r="B509" s="41"/>
      <c r="C509" s="40"/>
      <c r="D509" s="114"/>
    </row>
    <row r="510" spans="1:4" ht="15.75" outlineLevel="1">
      <c r="A510" s="40" t="s">
        <v>1031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1031</v>
      </c>
      <c r="B511" s="41" t="s">
        <v>1</v>
      </c>
      <c r="C511" s="40">
        <v>5.2</v>
      </c>
      <c r="D511" s="114"/>
    </row>
    <row r="512" spans="1:4" ht="15.75" outlineLevel="1">
      <c r="A512" s="40" t="s">
        <v>1031</v>
      </c>
      <c r="B512" s="41" t="s">
        <v>2</v>
      </c>
      <c r="C512" s="40">
        <v>5.3</v>
      </c>
      <c r="D512" s="114"/>
    </row>
    <row r="513" spans="1:4" ht="15.75" outlineLevel="1">
      <c r="A513" s="40" t="s">
        <v>1031</v>
      </c>
      <c r="B513" s="41" t="s">
        <v>141</v>
      </c>
      <c r="C513" s="40">
        <v>5.6</v>
      </c>
      <c r="D513" s="114"/>
    </row>
    <row r="514" spans="1:4" ht="15.75" outlineLevel="1">
      <c r="A514" s="40" t="s">
        <v>1031</v>
      </c>
      <c r="B514" s="41" t="s">
        <v>1112</v>
      </c>
      <c r="C514" s="42">
        <v>5.0999999999999996</v>
      </c>
      <c r="D514" s="114"/>
    </row>
    <row r="515" spans="1:4" ht="15.75" outlineLevel="1">
      <c r="A515" s="40" t="s">
        <v>1031</v>
      </c>
      <c r="B515" s="41" t="s">
        <v>1111</v>
      </c>
      <c r="C515" s="40">
        <v>5.14</v>
      </c>
      <c r="D515" s="114"/>
    </row>
    <row r="516" spans="1:4" ht="15.75" outlineLevel="1">
      <c r="A516" s="40" t="s">
        <v>1031</v>
      </c>
      <c r="B516" s="41" t="s">
        <v>4</v>
      </c>
      <c r="C516" s="40">
        <v>5.19</v>
      </c>
      <c r="D516" s="114"/>
    </row>
    <row r="517" spans="1:4" ht="15.75" outlineLevel="1">
      <c r="A517" s="40" t="s">
        <v>1031</v>
      </c>
      <c r="B517" s="41" t="s">
        <v>143</v>
      </c>
      <c r="C517" s="40">
        <v>5.24</v>
      </c>
      <c r="D517" s="114"/>
    </row>
    <row r="518" spans="1:4" ht="15.75" outlineLevel="1">
      <c r="A518" s="40" t="s">
        <v>1031</v>
      </c>
      <c r="B518" s="41" t="s">
        <v>5</v>
      </c>
      <c r="C518" s="40">
        <v>5.26</v>
      </c>
      <c r="D518" s="114"/>
    </row>
    <row r="519" spans="1:4" ht="15.75" outlineLevel="1">
      <c r="A519" s="40" t="s">
        <v>1031</v>
      </c>
      <c r="B519" s="41" t="s">
        <v>6</v>
      </c>
      <c r="C519" s="40">
        <v>5.27</v>
      </c>
      <c r="D519" s="114"/>
    </row>
    <row r="520" spans="1:4" ht="15.75" outlineLevel="1">
      <c r="A520" s="40" t="s">
        <v>1031</v>
      </c>
      <c r="B520" s="41" t="s">
        <v>7</v>
      </c>
      <c r="C520" s="40">
        <v>5.28</v>
      </c>
      <c r="D520" s="114"/>
    </row>
    <row r="521" spans="1:4" ht="15.75" outlineLevel="1">
      <c r="A521" s="40" t="s">
        <v>1031</v>
      </c>
      <c r="B521" s="41" t="s">
        <v>144</v>
      </c>
      <c r="C521" s="40">
        <v>5.31</v>
      </c>
      <c r="D521" s="114"/>
    </row>
    <row r="522" spans="1:4" ht="15.75" outlineLevel="1">
      <c r="A522" s="40" t="s">
        <v>1031</v>
      </c>
      <c r="B522" s="41" t="s">
        <v>172</v>
      </c>
      <c r="C522" s="40">
        <v>5.33</v>
      </c>
      <c r="D522" s="114"/>
    </row>
    <row r="523" spans="1:4" ht="15.75" outlineLevel="1">
      <c r="A523" s="40" t="s">
        <v>1031</v>
      </c>
      <c r="B523" s="41" t="s">
        <v>1118</v>
      </c>
      <c r="C523" s="40">
        <v>5.101</v>
      </c>
      <c r="D523" s="114"/>
    </row>
    <row r="524" spans="1:4" ht="15.75" outlineLevel="1">
      <c r="A524" s="40" t="s">
        <v>1031</v>
      </c>
      <c r="B524" s="41" t="s">
        <v>123</v>
      </c>
      <c r="C524" s="40">
        <v>5.36</v>
      </c>
      <c r="D524" s="114"/>
    </row>
    <row r="525" spans="1:4" ht="15.75" outlineLevel="1">
      <c r="A525" s="40" t="s">
        <v>1031</v>
      </c>
      <c r="B525" s="41" t="s">
        <v>152</v>
      </c>
      <c r="C525" s="40">
        <v>5.37</v>
      </c>
      <c r="D525" s="114"/>
    </row>
    <row r="526" spans="1:4" ht="15.75" outlineLevel="1">
      <c r="A526" s="40" t="s">
        <v>1031</v>
      </c>
      <c r="B526" s="41" t="s">
        <v>11</v>
      </c>
      <c r="C526" s="40">
        <v>5.53</v>
      </c>
      <c r="D526" s="114"/>
    </row>
    <row r="527" spans="1:4" ht="15.75" outlineLevel="1">
      <c r="A527" s="40" t="s">
        <v>1031</v>
      </c>
      <c r="B527" s="41" t="s">
        <v>145</v>
      </c>
      <c r="C527" s="40">
        <v>5.109</v>
      </c>
      <c r="D527" s="114"/>
    </row>
    <row r="528" spans="1:4" ht="15.75" outlineLevel="1">
      <c r="A528" s="40" t="s">
        <v>1031</v>
      </c>
      <c r="B528" s="41" t="s">
        <v>146</v>
      </c>
      <c r="C528" s="40">
        <v>5.1109999999999998</v>
      </c>
      <c r="D528" s="114"/>
    </row>
    <row r="529" spans="1:4" ht="15.75" outlineLevel="1">
      <c r="A529" s="40" t="s">
        <v>1031</v>
      </c>
      <c r="B529" s="41" t="s">
        <v>132</v>
      </c>
      <c r="C529" s="40">
        <v>5.1120000000000001</v>
      </c>
      <c r="D529" s="114"/>
    </row>
    <row r="530" spans="1:4" ht="15.75" outlineLevel="1">
      <c r="A530" s="40" t="s">
        <v>1031</v>
      </c>
      <c r="B530" s="41" t="s">
        <v>1119</v>
      </c>
      <c r="C530" s="40">
        <v>5.1020000000000003</v>
      </c>
      <c r="D530" s="114"/>
    </row>
    <row r="531" spans="1:4" ht="15.75" outlineLevel="1">
      <c r="A531" s="40" t="s">
        <v>1031</v>
      </c>
      <c r="B531" s="41" t="s">
        <v>1120</v>
      </c>
      <c r="C531" s="43">
        <v>5.0999999999999996</v>
      </c>
      <c r="D531" s="114"/>
    </row>
    <row r="532" spans="1:4" ht="15.75" outlineLevel="1">
      <c r="A532" s="40" t="s">
        <v>1031</v>
      </c>
      <c r="B532" s="41" t="s">
        <v>17</v>
      </c>
      <c r="C532" s="40">
        <v>5.58</v>
      </c>
      <c r="D532" s="114"/>
    </row>
    <row r="533" spans="1:4" ht="15.75" outlineLevel="1">
      <c r="A533" s="40" t="s">
        <v>1031</v>
      </c>
      <c r="B533" s="41" t="s">
        <v>19</v>
      </c>
      <c r="C533" s="40">
        <v>5.55</v>
      </c>
      <c r="D533" s="114"/>
    </row>
    <row r="534" spans="1:4" ht="15.75" outlineLevel="1">
      <c r="A534" s="40" t="s">
        <v>1031</v>
      </c>
      <c r="B534" s="41" t="s">
        <v>18</v>
      </c>
      <c r="C534" s="40">
        <v>5.54</v>
      </c>
      <c r="D534" s="114"/>
    </row>
    <row r="535" spans="1:4" ht="15.75" outlineLevel="1">
      <c r="A535" s="40" t="s">
        <v>1031</v>
      </c>
      <c r="B535" s="41" t="s">
        <v>20</v>
      </c>
      <c r="C535" s="40">
        <v>5.63</v>
      </c>
      <c r="D535" s="114"/>
    </row>
    <row r="536" spans="1:4" ht="15.75" outlineLevel="1">
      <c r="A536" s="40" t="s">
        <v>1031</v>
      </c>
      <c r="B536" s="41" t="s">
        <v>24</v>
      </c>
      <c r="C536" s="40">
        <v>5.47</v>
      </c>
      <c r="D536" s="114"/>
    </row>
    <row r="537" spans="1:4" ht="15.75" outlineLevel="1">
      <c r="A537" s="40" t="s">
        <v>1031</v>
      </c>
      <c r="B537" s="41" t="s">
        <v>25</v>
      </c>
      <c r="C537" s="40">
        <v>5.48</v>
      </c>
      <c r="D537" s="114"/>
    </row>
    <row r="538" spans="1:4" ht="15.75">
      <c r="A538" s="46" t="s">
        <v>1031</v>
      </c>
      <c r="B538" s="41"/>
      <c r="C538" s="40"/>
      <c r="D538" s="114"/>
    </row>
    <row r="539" spans="1:4" ht="15.75" outlineLevel="1">
      <c r="A539" s="40" t="s">
        <v>1040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1040</v>
      </c>
      <c r="B540" s="41" t="s">
        <v>1</v>
      </c>
      <c r="C540" s="40">
        <v>5.2</v>
      </c>
      <c r="D540" s="114"/>
    </row>
    <row r="541" spans="1:4" ht="15.75" outlineLevel="1">
      <c r="A541" s="40" t="s">
        <v>1040</v>
      </c>
      <c r="B541" s="41" t="s">
        <v>5</v>
      </c>
      <c r="C541" s="40">
        <v>5.26</v>
      </c>
      <c r="D541" s="114"/>
    </row>
    <row r="542" spans="1:4" ht="15.75" outlineLevel="1">
      <c r="A542" s="40" t="s">
        <v>1040</v>
      </c>
      <c r="B542" s="41" t="s">
        <v>1133</v>
      </c>
      <c r="C542" s="40">
        <v>5.21</v>
      </c>
      <c r="D542" s="114"/>
    </row>
    <row r="543" spans="1:4" ht="15.75" outlineLevel="1">
      <c r="A543" s="40" t="s">
        <v>1040</v>
      </c>
      <c r="B543" s="41" t="s">
        <v>1134</v>
      </c>
      <c r="C543" s="40">
        <v>5.53</v>
      </c>
      <c r="D543" s="114"/>
    </row>
    <row r="544" spans="1:4" ht="15.75" outlineLevel="1">
      <c r="A544" s="40" t="s">
        <v>1040</v>
      </c>
      <c r="B544" s="41" t="s">
        <v>18</v>
      </c>
      <c r="C544" s="40">
        <v>5.54</v>
      </c>
      <c r="D544" s="114"/>
    </row>
    <row r="545" spans="1:4" ht="15.75" outlineLevel="1">
      <c r="A545" s="40" t="s">
        <v>1040</v>
      </c>
      <c r="B545" s="41" t="s">
        <v>1135</v>
      </c>
      <c r="C545" s="40">
        <v>5.58</v>
      </c>
      <c r="D545" s="114"/>
    </row>
    <row r="546" spans="1:4" ht="15.75" outlineLevel="1">
      <c r="A546" s="40" t="s">
        <v>1040</v>
      </c>
      <c r="B546" s="41" t="s">
        <v>1136</v>
      </c>
      <c r="C546" s="40">
        <v>5.1180000000000003</v>
      </c>
      <c r="D546" s="114"/>
    </row>
    <row r="547" spans="1:4" ht="15.75" outlineLevel="1">
      <c r="A547" s="40" t="s">
        <v>1040</v>
      </c>
      <c r="B547" s="41" t="s">
        <v>1137</v>
      </c>
      <c r="C547" s="40">
        <v>5.47</v>
      </c>
      <c r="D547" s="114"/>
    </row>
    <row r="548" spans="1:4" ht="15.75" outlineLevel="1">
      <c r="A548" s="40" t="s">
        <v>1040</v>
      </c>
      <c r="B548" s="41" t="s">
        <v>1138</v>
      </c>
      <c r="C548" s="40">
        <v>5.48</v>
      </c>
      <c r="D548" s="114"/>
    </row>
    <row r="549" spans="1:4" ht="15.75" outlineLevel="1">
      <c r="A549" s="40" t="s">
        <v>1040</v>
      </c>
      <c r="B549" s="41" t="s">
        <v>1139</v>
      </c>
      <c r="C549" s="40">
        <v>5.21</v>
      </c>
      <c r="D549" s="114"/>
    </row>
    <row r="550" spans="1:4" ht="15.75" outlineLevel="1">
      <c r="A550" s="40" t="s">
        <v>1040</v>
      </c>
      <c r="B550" s="41" t="s">
        <v>1140</v>
      </c>
      <c r="C550" s="40">
        <v>5.53</v>
      </c>
      <c r="D550" s="114"/>
    </row>
    <row r="551" spans="1:4" ht="15.75" outlineLevel="1">
      <c r="A551" s="40" t="s">
        <v>1040</v>
      </c>
      <c r="B551" s="41" t="s">
        <v>18</v>
      </c>
      <c r="C551" s="40">
        <v>5.54</v>
      </c>
      <c r="D551" s="114"/>
    </row>
    <row r="552" spans="1:4" ht="15.75" outlineLevel="1">
      <c r="A552" s="40" t="s">
        <v>1040</v>
      </c>
      <c r="B552" s="41" t="s">
        <v>1141</v>
      </c>
      <c r="C552" s="40">
        <v>5.58</v>
      </c>
      <c r="D552" s="114"/>
    </row>
    <row r="553" spans="1:4" ht="15.75" outlineLevel="1">
      <c r="A553" s="40" t="s">
        <v>1040</v>
      </c>
      <c r="B553" s="41" t="s">
        <v>1142</v>
      </c>
      <c r="C553" s="40">
        <v>5.1180000000000003</v>
      </c>
      <c r="D553" s="114"/>
    </row>
    <row r="554" spans="1:4" ht="15.75" outlineLevel="1">
      <c r="A554" s="40" t="s">
        <v>1040</v>
      </c>
      <c r="B554" s="41" t="s">
        <v>1143</v>
      </c>
      <c r="C554" s="40">
        <v>5.47</v>
      </c>
      <c r="D554" s="114"/>
    </row>
    <row r="555" spans="1:4" ht="15.75" outlineLevel="1">
      <c r="A555" s="40" t="s">
        <v>1040</v>
      </c>
      <c r="B555" s="41" t="s">
        <v>1144</v>
      </c>
      <c r="C555" s="40">
        <v>5.48</v>
      </c>
      <c r="D555" s="114"/>
    </row>
    <row r="556" spans="1:4" ht="15.75" outlineLevel="1">
      <c r="A556" s="40" t="s">
        <v>1040</v>
      </c>
      <c r="B556" s="41" t="s">
        <v>1145</v>
      </c>
      <c r="C556" s="40">
        <v>5.63</v>
      </c>
      <c r="D556" s="114"/>
    </row>
    <row r="557" spans="1:4" ht="15.75" outlineLevel="1">
      <c r="A557" s="40" t="s">
        <v>1040</v>
      </c>
      <c r="B557" s="41" t="s">
        <v>6</v>
      </c>
      <c r="C557" s="40">
        <v>5.27</v>
      </c>
      <c r="D557" s="114"/>
    </row>
    <row r="558" spans="1:4" ht="15.75" outlineLevel="1">
      <c r="A558" s="40" t="s">
        <v>1040</v>
      </c>
      <c r="B558" s="41" t="s">
        <v>7</v>
      </c>
      <c r="C558" s="40">
        <v>5.28</v>
      </c>
      <c r="D558" s="114"/>
    </row>
    <row r="559" spans="1:4" ht="15.75" outlineLevel="1">
      <c r="A559" s="40" t="s">
        <v>1040</v>
      </c>
      <c r="B559" s="41" t="s">
        <v>1146</v>
      </c>
      <c r="C559" s="40">
        <v>5.35</v>
      </c>
      <c r="D559" s="114"/>
    </row>
    <row r="560" spans="1:4" ht="15.75" outlineLevel="1">
      <c r="A560" s="40" t="s">
        <v>1040</v>
      </c>
      <c r="B560" s="41" t="s">
        <v>927</v>
      </c>
      <c r="C560" s="40">
        <v>5.1189999999999998</v>
      </c>
      <c r="D560" s="114"/>
    </row>
    <row r="561" spans="1:4" ht="15.75" outlineLevel="1">
      <c r="A561" s="40" t="s">
        <v>1040</v>
      </c>
      <c r="B561" s="41" t="s">
        <v>934</v>
      </c>
      <c r="C561" s="43">
        <v>5.12</v>
      </c>
      <c r="D561" s="114"/>
    </row>
    <row r="562" spans="1:4" ht="15.75" outlineLevel="1">
      <c r="A562" s="40" t="s">
        <v>1040</v>
      </c>
      <c r="B562" s="41" t="s">
        <v>322</v>
      </c>
      <c r="C562" s="40">
        <v>5.1210000000000004</v>
      </c>
      <c r="D562" s="114"/>
    </row>
    <row r="563" spans="1:4" ht="15.75" outlineLevel="1">
      <c r="A563" s="40" t="s">
        <v>1040</v>
      </c>
      <c r="B563" s="41" t="s">
        <v>123</v>
      </c>
      <c r="C563" s="40">
        <v>5.36</v>
      </c>
      <c r="D563" s="114"/>
    </row>
    <row r="564" spans="1:4" ht="15.75" outlineLevel="1">
      <c r="A564" s="40" t="s">
        <v>1040</v>
      </c>
      <c r="B564" s="41" t="s">
        <v>1147</v>
      </c>
      <c r="C564" s="40">
        <v>5.1219999999999999</v>
      </c>
      <c r="D564" s="114"/>
    </row>
    <row r="565" spans="1:4" ht="15.75" outlineLevel="1">
      <c r="A565" s="40" t="s">
        <v>1040</v>
      </c>
      <c r="B565" s="41" t="s">
        <v>1148</v>
      </c>
      <c r="C565" s="40">
        <v>5.1230000000000002</v>
      </c>
      <c r="D565" s="114"/>
    </row>
    <row r="566" spans="1:4" ht="15.75" outlineLevel="1">
      <c r="A566" s="40" t="s">
        <v>1040</v>
      </c>
      <c r="B566" s="41" t="s">
        <v>898</v>
      </c>
      <c r="C566" s="40">
        <v>5.1239999999999997</v>
      </c>
      <c r="D566" s="114"/>
    </row>
    <row r="567" spans="1:4" ht="15.75" outlineLevel="1">
      <c r="A567" s="40" t="s">
        <v>1040</v>
      </c>
      <c r="B567" s="41" t="s">
        <v>906</v>
      </c>
      <c r="C567" s="40">
        <v>5.125</v>
      </c>
      <c r="D567" s="114"/>
    </row>
    <row r="568" spans="1:4" ht="15.75" outlineLevel="1">
      <c r="A568" s="40" t="s">
        <v>1040</v>
      </c>
      <c r="B568" s="41" t="s">
        <v>1149</v>
      </c>
      <c r="C568" s="40">
        <v>5.1260000000000003</v>
      </c>
      <c r="D568" s="114"/>
    </row>
    <row r="569" spans="1:4" ht="15.75" outlineLevel="1">
      <c r="A569" s="40" t="s">
        <v>1040</v>
      </c>
      <c r="B569" s="41" t="s">
        <v>924</v>
      </c>
      <c r="C569" s="40">
        <v>5.1269999999999998</v>
      </c>
      <c r="D569" s="114"/>
    </row>
    <row r="570" spans="1:4" ht="15.75" outlineLevel="1">
      <c r="A570" s="40" t="s">
        <v>1040</v>
      </c>
      <c r="B570" s="41" t="s">
        <v>909</v>
      </c>
      <c r="C570" s="42">
        <v>5.72</v>
      </c>
      <c r="D570" s="114"/>
    </row>
    <row r="571" spans="1:4" ht="15.75" outlineLevel="1">
      <c r="A571" s="40" t="s">
        <v>1040</v>
      </c>
      <c r="B571" s="41" t="s">
        <v>920</v>
      </c>
      <c r="C571" s="40">
        <v>5.1280000000000001</v>
      </c>
      <c r="D571" s="114"/>
    </row>
    <row r="572" spans="1:4" ht="15.75" outlineLevel="1">
      <c r="A572" s="40" t="s">
        <v>1040</v>
      </c>
      <c r="B572" s="41" t="s">
        <v>1150</v>
      </c>
      <c r="C572" s="40">
        <v>5.1289999999999996</v>
      </c>
      <c r="D572" s="113" t="s">
        <v>1110</v>
      </c>
    </row>
    <row r="573" spans="1:4" ht="15.75" outlineLevel="1">
      <c r="A573" s="40" t="s">
        <v>1040</v>
      </c>
      <c r="B573" s="41" t="s">
        <v>1151</v>
      </c>
      <c r="C573" s="40">
        <v>5.1310000000000002</v>
      </c>
      <c r="D573" s="114"/>
    </row>
    <row r="574" spans="1:4" ht="15.75" outlineLevel="1">
      <c r="A574" s="40" t="s">
        <v>1040</v>
      </c>
      <c r="B574" s="41" t="s">
        <v>1152</v>
      </c>
      <c r="C574" s="40">
        <v>5.1319999999999997</v>
      </c>
      <c r="D574" s="113" t="s">
        <v>1110</v>
      </c>
    </row>
    <row r="575" spans="1:4" ht="15.75" outlineLevel="1">
      <c r="A575" s="40" t="s">
        <v>1040</v>
      </c>
      <c r="B575" s="41" t="s">
        <v>949</v>
      </c>
      <c r="C575" s="40">
        <v>5.133</v>
      </c>
      <c r="D575" s="113" t="s">
        <v>1110</v>
      </c>
    </row>
    <row r="576" spans="1:4" ht="15.75" outlineLevel="1">
      <c r="A576" s="40" t="s">
        <v>1040</v>
      </c>
      <c r="B576" s="41" t="s">
        <v>1153</v>
      </c>
      <c r="C576" s="40">
        <v>5.1340000000000003</v>
      </c>
      <c r="D576" s="113" t="s">
        <v>1110</v>
      </c>
    </row>
    <row r="577" spans="1:4" ht="15.75" outlineLevel="1">
      <c r="A577" s="40" t="s">
        <v>1040</v>
      </c>
      <c r="B577" s="41" t="s">
        <v>1154</v>
      </c>
      <c r="C577" s="43">
        <v>5.13</v>
      </c>
      <c r="D577" s="114"/>
    </row>
    <row r="578" spans="1:4" ht="15.75" outlineLevel="1">
      <c r="A578" s="40" t="s">
        <v>1040</v>
      </c>
      <c r="B578" s="41" t="s">
        <v>24</v>
      </c>
      <c r="C578" s="40">
        <v>5.47</v>
      </c>
      <c r="D578" s="114"/>
    </row>
    <row r="579" spans="1:4" ht="15.75" outlineLevel="1">
      <c r="A579" s="40" t="s">
        <v>1040</v>
      </c>
      <c r="B579" s="41" t="s">
        <v>25</v>
      </c>
      <c r="C579" s="40">
        <v>5.48</v>
      </c>
      <c r="D579" s="114"/>
    </row>
    <row r="580" spans="1:4" ht="15.75">
      <c r="A580" s="46" t="s">
        <v>1040</v>
      </c>
      <c r="B580" s="41"/>
      <c r="C580" s="40"/>
      <c r="D580" s="114"/>
    </row>
    <row r="581" spans="1:4" ht="15.75" outlineLevel="1">
      <c r="A581" s="40" t="s">
        <v>1033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1033</v>
      </c>
      <c r="B582" s="41" t="s">
        <v>1</v>
      </c>
      <c r="C582" s="40">
        <v>5.2</v>
      </c>
      <c r="D582" s="114"/>
    </row>
    <row r="583" spans="1:4" ht="15.75" outlineLevel="1">
      <c r="A583" s="40" t="s">
        <v>1033</v>
      </c>
      <c r="B583" s="41" t="s">
        <v>118</v>
      </c>
      <c r="C583" s="40">
        <v>5.9</v>
      </c>
      <c r="D583" s="113" t="s">
        <v>1110</v>
      </c>
    </row>
    <row r="584" spans="1:4" ht="15.75" outlineLevel="1">
      <c r="A584" s="40" t="s">
        <v>1033</v>
      </c>
      <c r="B584" s="41" t="s">
        <v>119</v>
      </c>
      <c r="C584" s="40">
        <v>5.13</v>
      </c>
      <c r="D584" s="113" t="s">
        <v>1110</v>
      </c>
    </row>
    <row r="585" spans="1:4" ht="15.75" outlineLevel="1">
      <c r="A585" s="40" t="s">
        <v>1033</v>
      </c>
      <c r="B585" s="41" t="s">
        <v>120</v>
      </c>
      <c r="C585" s="40">
        <v>5.16</v>
      </c>
      <c r="D585" s="113" t="s">
        <v>1110</v>
      </c>
    </row>
    <row r="586" spans="1:4" ht="15.75" outlineLevel="1">
      <c r="A586" s="40" t="s">
        <v>1033</v>
      </c>
      <c r="B586" s="41" t="s">
        <v>121</v>
      </c>
      <c r="C586" s="40">
        <v>5.22</v>
      </c>
      <c r="D586" s="113"/>
    </row>
    <row r="587" spans="1:4" ht="15.75" outlineLevel="1">
      <c r="A587" s="40" t="s">
        <v>1033</v>
      </c>
      <c r="B587" s="41" t="s">
        <v>5</v>
      </c>
      <c r="C587" s="40">
        <v>5.26</v>
      </c>
      <c r="D587" s="114"/>
    </row>
    <row r="588" spans="1:4" ht="15.75" outlineLevel="1">
      <c r="A588" s="40" t="s">
        <v>1033</v>
      </c>
      <c r="B588" s="41" t="s">
        <v>1155</v>
      </c>
      <c r="C588" s="40">
        <v>5.77</v>
      </c>
      <c r="D588" s="114"/>
    </row>
    <row r="589" spans="1:4" ht="15.75" outlineLevel="1">
      <c r="A589" s="40" t="s">
        <v>1033</v>
      </c>
      <c r="B589" s="41" t="s">
        <v>6</v>
      </c>
      <c r="C589" s="40">
        <v>5.27</v>
      </c>
      <c r="D589" s="114"/>
    </row>
    <row r="590" spans="1:4" ht="15.75" outlineLevel="1">
      <c r="A590" s="40" t="s">
        <v>1033</v>
      </c>
      <c r="B590" s="41" t="s">
        <v>7</v>
      </c>
      <c r="C590" s="40">
        <v>5.28</v>
      </c>
      <c r="D590" s="113" t="s">
        <v>1110</v>
      </c>
    </row>
    <row r="591" spans="1:4" ht="15.75" outlineLevel="1">
      <c r="A591" s="40" t="s">
        <v>1033</v>
      </c>
      <c r="B591" s="41" t="s">
        <v>144</v>
      </c>
      <c r="C591" s="40">
        <v>5.31</v>
      </c>
      <c r="D591" s="114"/>
    </row>
    <row r="592" spans="1:4" ht="15.75" outlineLevel="1">
      <c r="A592" s="40" t="s">
        <v>1033</v>
      </c>
      <c r="B592" s="41" t="s">
        <v>123</v>
      </c>
      <c r="C592" s="40">
        <v>5.36</v>
      </c>
      <c r="D592" s="114"/>
    </row>
    <row r="593" spans="1:4" ht="15.75" outlineLevel="1">
      <c r="A593" s="40" t="s">
        <v>1033</v>
      </c>
      <c r="B593" s="41" t="s">
        <v>1156</v>
      </c>
      <c r="C593" s="40">
        <v>5.78</v>
      </c>
      <c r="D593" s="114"/>
    </row>
    <row r="594" spans="1:4" ht="15.75" outlineLevel="1">
      <c r="A594" s="40" t="s">
        <v>1033</v>
      </c>
      <c r="B594" s="41" t="s">
        <v>1157</v>
      </c>
      <c r="C594" s="40">
        <v>5.79</v>
      </c>
      <c r="D594" s="113" t="s">
        <v>1110</v>
      </c>
    </row>
    <row r="595" spans="1:4" ht="15.75" outlineLevel="1">
      <c r="A595" s="40" t="s">
        <v>1033</v>
      </c>
      <c r="B595" s="41" t="s">
        <v>1158</v>
      </c>
      <c r="C595" s="40">
        <v>5.41</v>
      </c>
      <c r="D595" s="114"/>
    </row>
    <row r="596" spans="1:4" ht="15.75" outlineLevel="1">
      <c r="A596" s="40" t="s">
        <v>1033</v>
      </c>
      <c r="B596" s="41" t="s">
        <v>9</v>
      </c>
      <c r="C596" s="40">
        <v>5.49</v>
      </c>
      <c r="D596" s="114"/>
    </row>
    <row r="597" spans="1:4" ht="15.75" outlineLevel="1">
      <c r="A597" s="40" t="s">
        <v>1033</v>
      </c>
      <c r="B597" s="41" t="s">
        <v>10</v>
      </c>
      <c r="C597" s="40">
        <v>5.51</v>
      </c>
      <c r="D597" s="114"/>
    </row>
    <row r="598" spans="1:4" ht="15.75" outlineLevel="1">
      <c r="A598" s="40" t="s">
        <v>1033</v>
      </c>
      <c r="B598" s="41" t="s">
        <v>1159</v>
      </c>
      <c r="C598" s="40">
        <v>5.52</v>
      </c>
      <c r="D598" s="114"/>
    </row>
    <row r="599" spans="1:4" ht="15.75" outlineLevel="1">
      <c r="A599" s="40" t="s">
        <v>1033</v>
      </c>
      <c r="B599" s="41" t="s">
        <v>11</v>
      </c>
      <c r="C599" s="40">
        <v>5.53</v>
      </c>
      <c r="D599" s="114"/>
    </row>
    <row r="600" spans="1:4" ht="15.75" outlineLevel="1">
      <c r="A600" s="40" t="s">
        <v>1033</v>
      </c>
      <c r="B600" s="41" t="s">
        <v>12</v>
      </c>
      <c r="C600" s="40">
        <v>5.69</v>
      </c>
      <c r="D600" s="114"/>
    </row>
    <row r="601" spans="1:4" ht="15.75" outlineLevel="1">
      <c r="A601" s="40" t="s">
        <v>1033</v>
      </c>
      <c r="B601" s="41" t="s">
        <v>125</v>
      </c>
      <c r="C601" s="40">
        <v>5.71</v>
      </c>
      <c r="D601" s="114"/>
    </row>
    <row r="602" spans="1:4" ht="15.75" outlineLevel="1">
      <c r="A602" s="40" t="s">
        <v>1033</v>
      </c>
      <c r="B602" s="41" t="s">
        <v>14</v>
      </c>
      <c r="C602" s="42">
        <v>5.7</v>
      </c>
      <c r="D602" s="114"/>
    </row>
    <row r="603" spans="1:4" ht="15.75" outlineLevel="1">
      <c r="A603" s="40" t="s">
        <v>1033</v>
      </c>
      <c r="B603" s="41" t="s">
        <v>752</v>
      </c>
      <c r="C603" s="42">
        <v>5.8</v>
      </c>
      <c r="D603" s="113" t="s">
        <v>1110</v>
      </c>
    </row>
    <row r="604" spans="1:4" ht="15.75" outlineLevel="1">
      <c r="A604" s="40" t="s">
        <v>1033</v>
      </c>
      <c r="B604" s="41" t="s">
        <v>909</v>
      </c>
      <c r="C604" s="42">
        <v>5.72</v>
      </c>
      <c r="D604" s="113" t="s">
        <v>1110</v>
      </c>
    </row>
    <row r="605" spans="1:4" ht="15.75" outlineLevel="1">
      <c r="A605" s="40" t="s">
        <v>1033</v>
      </c>
      <c r="B605" s="41" t="s">
        <v>1160</v>
      </c>
      <c r="C605" s="40">
        <v>5.73</v>
      </c>
      <c r="D605" s="113" t="s">
        <v>1110</v>
      </c>
    </row>
    <row r="606" spans="1:4" ht="15.75" outlineLevel="1">
      <c r="A606" s="40" t="s">
        <v>1033</v>
      </c>
      <c r="B606" s="41" t="s">
        <v>15</v>
      </c>
      <c r="C606" s="40">
        <v>5.74</v>
      </c>
      <c r="D606" s="114"/>
    </row>
    <row r="607" spans="1:4" ht="15.75" outlineLevel="1">
      <c r="A607" s="40" t="s">
        <v>1033</v>
      </c>
      <c r="B607" s="41" t="s">
        <v>13</v>
      </c>
      <c r="C607" s="40">
        <v>5.75</v>
      </c>
      <c r="D607" s="114"/>
    </row>
    <row r="608" spans="1:4" ht="15.75" outlineLevel="1">
      <c r="A608" s="40" t="s">
        <v>1033</v>
      </c>
      <c r="B608" s="41" t="s">
        <v>409</v>
      </c>
      <c r="C608" s="40">
        <v>5.76</v>
      </c>
      <c r="D608" s="114"/>
    </row>
    <row r="609" spans="1:4" ht="15.75" outlineLevel="1">
      <c r="A609" s="40" t="s">
        <v>1033</v>
      </c>
      <c r="B609" s="41" t="s">
        <v>757</v>
      </c>
      <c r="C609" s="40">
        <v>5.81</v>
      </c>
      <c r="D609" s="113" t="s">
        <v>1110</v>
      </c>
    </row>
    <row r="610" spans="1:4" ht="15.75" outlineLevel="1">
      <c r="A610" s="40" t="s">
        <v>1033</v>
      </c>
      <c r="B610" s="41" t="s">
        <v>1161</v>
      </c>
      <c r="C610" s="40">
        <v>5.82</v>
      </c>
      <c r="D610" s="113" t="s">
        <v>1110</v>
      </c>
    </row>
    <row r="611" spans="1:4" ht="15.75" outlineLevel="1">
      <c r="A611" s="40" t="s">
        <v>1033</v>
      </c>
      <c r="B611" s="41" t="s">
        <v>1162</v>
      </c>
      <c r="C611" s="40">
        <v>5.83</v>
      </c>
      <c r="D611" s="113" t="s">
        <v>1110</v>
      </c>
    </row>
    <row r="612" spans="1:4" ht="15.75" outlineLevel="1">
      <c r="A612" s="40" t="s">
        <v>1033</v>
      </c>
      <c r="B612" s="41" t="s">
        <v>1163</v>
      </c>
      <c r="C612" s="40">
        <v>5.84</v>
      </c>
      <c r="D612" s="114"/>
    </row>
    <row r="613" spans="1:4" ht="15.75" outlineLevel="1">
      <c r="A613" s="40" t="s">
        <v>1033</v>
      </c>
      <c r="B613" s="41" t="s">
        <v>780</v>
      </c>
      <c r="C613" s="40">
        <v>5.85</v>
      </c>
      <c r="D613" s="113" t="s">
        <v>1110</v>
      </c>
    </row>
    <row r="614" spans="1:4" ht="15.75" outlineLevel="1">
      <c r="A614" s="40" t="s">
        <v>1033</v>
      </c>
      <c r="B614" s="41" t="s">
        <v>781</v>
      </c>
      <c r="C614" s="40">
        <v>5.86</v>
      </c>
      <c r="D614" s="113" t="s">
        <v>1110</v>
      </c>
    </row>
    <row r="615" spans="1:4" ht="15.75" outlineLevel="1">
      <c r="A615" s="40" t="s">
        <v>1033</v>
      </c>
      <c r="B615" s="41" t="s">
        <v>1164</v>
      </c>
      <c r="C615" s="40">
        <v>5.88</v>
      </c>
      <c r="D615" s="113" t="s">
        <v>1110</v>
      </c>
    </row>
    <row r="616" spans="1:4" ht="15.75" outlineLevel="1">
      <c r="A616" s="40" t="s">
        <v>1033</v>
      </c>
      <c r="B616" s="41" t="s">
        <v>787</v>
      </c>
      <c r="C616" s="40">
        <v>5.87</v>
      </c>
      <c r="D616" s="114"/>
    </row>
    <row r="617" spans="1:4" ht="15.75" outlineLevel="1">
      <c r="A617" s="40" t="s">
        <v>1033</v>
      </c>
      <c r="B617" s="41" t="s">
        <v>145</v>
      </c>
      <c r="C617" s="40">
        <v>5.109</v>
      </c>
      <c r="D617" s="114"/>
    </row>
    <row r="618" spans="1:4" ht="15.75" outlineLevel="1">
      <c r="A618" s="40" t="s">
        <v>1033</v>
      </c>
      <c r="B618" s="41" t="s">
        <v>158</v>
      </c>
      <c r="C618" s="43">
        <v>5.1100000000000003</v>
      </c>
      <c r="D618" s="113" t="s">
        <v>1110</v>
      </c>
    </row>
    <row r="619" spans="1:4" ht="15.75" outlineLevel="1">
      <c r="A619" s="40" t="s">
        <v>1033</v>
      </c>
      <c r="B619" s="41" t="s">
        <v>146</v>
      </c>
      <c r="C619" s="40">
        <v>5.1109999999999998</v>
      </c>
      <c r="D619" s="114"/>
    </row>
    <row r="620" spans="1:4" ht="15.75" outlineLevel="1">
      <c r="A620" s="40" t="s">
        <v>1033</v>
      </c>
      <c r="B620" s="41" t="s">
        <v>132</v>
      </c>
      <c r="C620" s="40">
        <v>5.1120000000000001</v>
      </c>
      <c r="D620" s="114"/>
    </row>
    <row r="621" spans="1:4" ht="15.75" outlineLevel="1">
      <c r="A621" s="40" t="s">
        <v>1033</v>
      </c>
      <c r="B621" s="41" t="s">
        <v>1126</v>
      </c>
      <c r="C621" s="40">
        <v>5.1130000000000004</v>
      </c>
      <c r="D621" s="114"/>
    </row>
    <row r="622" spans="1:4" ht="15.75" outlineLevel="1">
      <c r="A622" s="40" t="s">
        <v>1033</v>
      </c>
      <c r="B622" s="41" t="s">
        <v>1165</v>
      </c>
      <c r="C622" s="40">
        <v>5.99</v>
      </c>
      <c r="D622" s="113" t="s">
        <v>1110</v>
      </c>
    </row>
    <row r="623" spans="1:4" ht="15.75" outlineLevel="1">
      <c r="A623" s="40" t="s">
        <v>1033</v>
      </c>
      <c r="B623" s="41" t="s">
        <v>1166</v>
      </c>
      <c r="C623" s="40">
        <v>5.58</v>
      </c>
      <c r="D623" s="113"/>
    </row>
    <row r="624" spans="1:4" ht="15.75" outlineLevel="1">
      <c r="A624" s="40" t="s">
        <v>1033</v>
      </c>
      <c r="B624" s="41" t="s">
        <v>18</v>
      </c>
      <c r="C624" s="40">
        <v>5.54</v>
      </c>
      <c r="D624" s="114"/>
    </row>
    <row r="625" spans="1:4" ht="15.75" outlineLevel="1">
      <c r="A625" s="40" t="s">
        <v>1033</v>
      </c>
      <c r="B625" s="41" t="s">
        <v>1167</v>
      </c>
      <c r="C625" s="40">
        <v>5.56</v>
      </c>
      <c r="D625" s="114"/>
    </row>
    <row r="626" spans="1:4" ht="15.75" outlineLevel="1">
      <c r="A626" s="40" t="s">
        <v>1033</v>
      </c>
      <c r="B626" s="41" t="s">
        <v>20</v>
      </c>
      <c r="C626" s="40">
        <v>5.63</v>
      </c>
      <c r="D626" s="114"/>
    </row>
    <row r="627" spans="1:4" ht="15.75" outlineLevel="1">
      <c r="A627" s="40" t="s">
        <v>1033</v>
      </c>
      <c r="B627" s="41" t="s">
        <v>159</v>
      </c>
      <c r="C627" s="40">
        <v>5.64</v>
      </c>
      <c r="D627" s="114"/>
    </row>
    <row r="628" spans="1:4" ht="15.75" outlineLevel="1">
      <c r="A628" s="40" t="s">
        <v>1033</v>
      </c>
      <c r="B628" s="41" t="s">
        <v>21</v>
      </c>
      <c r="C628" s="40">
        <v>5.65</v>
      </c>
      <c r="D628" s="114"/>
    </row>
    <row r="629" spans="1:4" ht="15.75" outlineLevel="1">
      <c r="A629" s="40" t="s">
        <v>1033</v>
      </c>
      <c r="B629" s="41" t="s">
        <v>160</v>
      </c>
      <c r="C629" s="40">
        <v>5.66</v>
      </c>
      <c r="D629" s="114"/>
    </row>
    <row r="630" spans="1:4" ht="15.75" outlineLevel="1">
      <c r="A630" s="40" t="s">
        <v>1033</v>
      </c>
      <c r="B630" s="41" t="s">
        <v>830</v>
      </c>
      <c r="C630" s="40">
        <v>5.89</v>
      </c>
      <c r="D630" s="113" t="s">
        <v>1110</v>
      </c>
    </row>
    <row r="631" spans="1:4" ht="15.75" outlineLevel="1">
      <c r="A631" s="40" t="s">
        <v>1033</v>
      </c>
      <c r="B631" s="41" t="s">
        <v>22</v>
      </c>
      <c r="C631" s="40">
        <v>5.68</v>
      </c>
      <c r="D631" s="114"/>
    </row>
    <row r="632" spans="1:4" ht="15.75" outlineLevel="1">
      <c r="A632" s="40" t="s">
        <v>1033</v>
      </c>
      <c r="B632" s="41" t="s">
        <v>24</v>
      </c>
      <c r="C632" s="40">
        <v>5.47</v>
      </c>
      <c r="D632" s="114"/>
    </row>
    <row r="633" spans="1:4" ht="15.75" outlineLevel="1">
      <c r="A633" s="40" t="s">
        <v>1033</v>
      </c>
      <c r="B633" s="41" t="s">
        <v>25</v>
      </c>
      <c r="C633" s="40">
        <v>5.48</v>
      </c>
      <c r="D633" s="114"/>
    </row>
    <row r="634" spans="1:4" ht="15.75">
      <c r="A634" s="46" t="s">
        <v>1033</v>
      </c>
      <c r="B634" s="41"/>
      <c r="C634" s="40"/>
      <c r="D634" s="114"/>
    </row>
    <row r="635" spans="1:4" ht="15.75" outlineLevel="1">
      <c r="A635" s="40" t="s">
        <v>1052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1052</v>
      </c>
      <c r="B636" s="41" t="s">
        <v>1</v>
      </c>
      <c r="C636" s="40">
        <v>5.2</v>
      </c>
      <c r="D636" s="114"/>
    </row>
    <row r="637" spans="1:4" ht="15.75" outlineLevel="1">
      <c r="A637" s="40" t="s">
        <v>1052</v>
      </c>
      <c r="B637" s="41" t="s">
        <v>2</v>
      </c>
      <c r="C637" s="40">
        <v>5.3</v>
      </c>
      <c r="D637" s="114"/>
    </row>
    <row r="638" spans="1:4" ht="15.75" outlineLevel="1">
      <c r="A638" s="40" t="s">
        <v>1052</v>
      </c>
      <c r="B638" s="41" t="s">
        <v>141</v>
      </c>
      <c r="C638" s="40">
        <v>5.6</v>
      </c>
      <c r="D638" s="114"/>
    </row>
    <row r="639" spans="1:4" ht="15.75" outlineLevel="1">
      <c r="A639" s="40" t="s">
        <v>1052</v>
      </c>
      <c r="B639" s="41" t="s">
        <v>1112</v>
      </c>
      <c r="C639" s="42">
        <v>5.0999999999999996</v>
      </c>
      <c r="D639" s="114"/>
    </row>
    <row r="640" spans="1:4" ht="15.75" outlineLevel="1">
      <c r="A640" s="40" t="s">
        <v>1052</v>
      </c>
      <c r="B640" s="41" t="s">
        <v>1111</v>
      </c>
      <c r="C640" s="40">
        <v>5.14</v>
      </c>
      <c r="D640" s="114"/>
    </row>
    <row r="641" spans="1:4" ht="15.75" outlineLevel="1">
      <c r="A641" s="40" t="s">
        <v>1052</v>
      </c>
      <c r="B641" s="41" t="s">
        <v>4</v>
      </c>
      <c r="C641" s="40">
        <v>5.19</v>
      </c>
      <c r="D641" s="114"/>
    </row>
    <row r="642" spans="1:4" ht="15.75" outlineLevel="1">
      <c r="A642" s="40" t="s">
        <v>1052</v>
      </c>
      <c r="B642" s="41" t="s">
        <v>143</v>
      </c>
      <c r="C642" s="40">
        <v>5.24</v>
      </c>
      <c r="D642" s="114"/>
    </row>
    <row r="643" spans="1:4" ht="15.75" outlineLevel="1">
      <c r="A643" s="40" t="s">
        <v>1052</v>
      </c>
      <c r="B643" s="41" t="s">
        <v>5</v>
      </c>
      <c r="C643" s="40">
        <v>5.26</v>
      </c>
      <c r="D643" s="114"/>
    </row>
    <row r="644" spans="1:4" ht="15.75" outlineLevel="1">
      <c r="A644" s="40" t="s">
        <v>1052</v>
      </c>
      <c r="B644" s="41" t="s">
        <v>6</v>
      </c>
      <c r="C644" s="40">
        <v>5.27</v>
      </c>
      <c r="D644" s="114"/>
    </row>
    <row r="645" spans="1:4" ht="15.75" outlineLevel="1">
      <c r="A645" s="40" t="s">
        <v>1052</v>
      </c>
      <c r="B645" s="41" t="s">
        <v>7</v>
      </c>
      <c r="C645" s="40">
        <v>5.28</v>
      </c>
      <c r="D645" s="114"/>
    </row>
    <row r="646" spans="1:4" ht="15.75" outlineLevel="1">
      <c r="A646" s="40" t="s">
        <v>1052</v>
      </c>
      <c r="B646" s="41" t="s">
        <v>123</v>
      </c>
      <c r="C646" s="40">
        <v>5.36</v>
      </c>
      <c r="D646" s="114"/>
    </row>
    <row r="647" spans="1:4" ht="15.75" outlineLevel="1">
      <c r="A647" s="40" t="s">
        <v>1052</v>
      </c>
      <c r="B647" s="41" t="s">
        <v>172</v>
      </c>
      <c r="C647" s="40">
        <v>5.33</v>
      </c>
      <c r="D647" s="114"/>
    </row>
    <row r="648" spans="1:4" ht="15.75" outlineLevel="1">
      <c r="A648" s="40" t="s">
        <v>1052</v>
      </c>
      <c r="B648" s="41" t="s">
        <v>152</v>
      </c>
      <c r="C648" s="40">
        <v>5.37</v>
      </c>
      <c r="D648" s="114"/>
    </row>
    <row r="649" spans="1:4" ht="15.75" outlineLevel="1">
      <c r="A649" s="40" t="s">
        <v>1052</v>
      </c>
      <c r="B649" s="41" t="s">
        <v>9</v>
      </c>
      <c r="C649" s="40">
        <v>5.49</v>
      </c>
      <c r="D649" s="114"/>
    </row>
    <row r="650" spans="1:4" ht="15.75" outlineLevel="1">
      <c r="A650" s="40" t="s">
        <v>1052</v>
      </c>
      <c r="B650" s="41" t="s">
        <v>10</v>
      </c>
      <c r="C650" s="40">
        <v>5.51</v>
      </c>
      <c r="D650" s="114"/>
    </row>
    <row r="651" spans="1:4" ht="15.75" outlineLevel="1">
      <c r="A651" s="40" t="s">
        <v>1052</v>
      </c>
      <c r="B651" s="41" t="s">
        <v>1113</v>
      </c>
      <c r="C651" s="40">
        <v>5.52</v>
      </c>
      <c r="D651" s="114"/>
    </row>
    <row r="652" spans="1:4" ht="15.75" outlineLevel="1">
      <c r="A652" s="40" t="s">
        <v>1052</v>
      </c>
      <c r="B652" s="41" t="s">
        <v>11</v>
      </c>
      <c r="C652" s="40">
        <v>5.53</v>
      </c>
      <c r="D652" s="114"/>
    </row>
    <row r="653" spans="1:4" ht="15.75" outlineLevel="1">
      <c r="A653" s="40" t="s">
        <v>1052</v>
      </c>
      <c r="B653" s="41" t="s">
        <v>12</v>
      </c>
      <c r="C653" s="40">
        <v>5.69</v>
      </c>
      <c r="D653" s="114"/>
    </row>
    <row r="654" spans="1:4" ht="15.75" outlineLevel="1">
      <c r="A654" s="40" t="s">
        <v>1052</v>
      </c>
      <c r="B654" s="41" t="s">
        <v>14</v>
      </c>
      <c r="C654" s="42">
        <v>5.7</v>
      </c>
      <c r="D654" s="114"/>
    </row>
    <row r="655" spans="1:4" ht="15.75" outlineLevel="1">
      <c r="A655" s="40" t="s">
        <v>1052</v>
      </c>
      <c r="B655" s="41" t="s">
        <v>15</v>
      </c>
      <c r="C655" s="40">
        <v>5.74</v>
      </c>
      <c r="D655" s="114"/>
    </row>
    <row r="656" spans="1:4" ht="15.75" outlineLevel="1">
      <c r="A656" s="40" t="s">
        <v>1052</v>
      </c>
      <c r="B656" s="41" t="s">
        <v>145</v>
      </c>
      <c r="C656" s="40">
        <v>5.109</v>
      </c>
      <c r="D656" s="114"/>
    </row>
    <row r="657" spans="1:4" ht="15.75" outlineLevel="1">
      <c r="A657" s="40" t="s">
        <v>1052</v>
      </c>
      <c r="B657" s="41" t="s">
        <v>146</v>
      </c>
      <c r="C657" s="40">
        <v>5.1109999999999998</v>
      </c>
      <c r="D657" s="114"/>
    </row>
    <row r="658" spans="1:4" ht="15.75" outlineLevel="1">
      <c r="A658" s="40" t="s">
        <v>1052</v>
      </c>
      <c r="B658" s="41" t="s">
        <v>132</v>
      </c>
      <c r="C658" s="40">
        <v>5.1120000000000001</v>
      </c>
      <c r="D658" s="114"/>
    </row>
    <row r="659" spans="1:4" ht="15.75" outlineLevel="1">
      <c r="A659" s="40" t="s">
        <v>1052</v>
      </c>
      <c r="B659" s="41" t="s">
        <v>17</v>
      </c>
      <c r="C659" s="40">
        <v>5.58</v>
      </c>
      <c r="D659" s="114"/>
    </row>
    <row r="660" spans="1:4" ht="15.75" outlineLevel="1">
      <c r="A660" s="40" t="s">
        <v>1052</v>
      </c>
      <c r="B660" s="41" t="s">
        <v>18</v>
      </c>
      <c r="C660" s="40">
        <v>5.54</v>
      </c>
      <c r="D660" s="114"/>
    </row>
    <row r="661" spans="1:4" ht="15.75" outlineLevel="1">
      <c r="A661" s="40" t="s">
        <v>1052</v>
      </c>
      <c r="B661" s="41" t="s">
        <v>19</v>
      </c>
      <c r="C661" s="40">
        <v>5.55</v>
      </c>
      <c r="D661" s="114"/>
    </row>
    <row r="662" spans="1:4" ht="15.75" outlineLevel="1">
      <c r="A662" s="40" t="s">
        <v>1052</v>
      </c>
      <c r="B662" s="41" t="s">
        <v>20</v>
      </c>
      <c r="C662" s="40">
        <v>5.63</v>
      </c>
      <c r="D662" s="114"/>
    </row>
    <row r="663" spans="1:4" ht="15.75" outlineLevel="1">
      <c r="A663" s="40" t="s">
        <v>1052</v>
      </c>
      <c r="B663" s="41" t="s">
        <v>24</v>
      </c>
      <c r="C663" s="40">
        <v>5.47</v>
      </c>
      <c r="D663" s="114"/>
    </row>
    <row r="664" spans="1:4" ht="15.75" outlineLevel="1">
      <c r="A664" s="40" t="s">
        <v>1052</v>
      </c>
      <c r="B664" s="41" t="s">
        <v>25</v>
      </c>
      <c r="C664" s="40">
        <v>5.48</v>
      </c>
      <c r="D664" s="114"/>
    </row>
    <row r="665" spans="1:4" ht="15.75">
      <c r="A665" s="46" t="s">
        <v>1052</v>
      </c>
      <c r="B665" s="41"/>
      <c r="C665" s="40"/>
      <c r="D665" s="114"/>
    </row>
    <row r="666" spans="1:4" ht="15.75" outlineLevel="1">
      <c r="A666" s="40" t="s">
        <v>1057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1057</v>
      </c>
      <c r="B667" s="41" t="s">
        <v>1</v>
      </c>
      <c r="C667" s="40">
        <v>5.2</v>
      </c>
      <c r="D667" s="114"/>
    </row>
    <row r="668" spans="1:4" ht="15.75" outlineLevel="1">
      <c r="A668" s="40" t="s">
        <v>1057</v>
      </c>
      <c r="B668" s="41" t="s">
        <v>166</v>
      </c>
      <c r="C668" s="40">
        <v>5.4</v>
      </c>
      <c r="D668" s="114"/>
    </row>
    <row r="669" spans="1:4" ht="15.75" outlineLevel="1">
      <c r="A669" s="40" t="s">
        <v>1057</v>
      </c>
      <c r="B669" s="41" t="s">
        <v>167</v>
      </c>
      <c r="C669" s="40">
        <v>5.7</v>
      </c>
      <c r="D669" s="114"/>
    </row>
    <row r="670" spans="1:4" ht="15.75" outlineLevel="1">
      <c r="A670" s="40" t="s">
        <v>1057</v>
      </c>
      <c r="B670" s="41" t="s">
        <v>168</v>
      </c>
      <c r="C670" s="40">
        <v>5.1100000000000003</v>
      </c>
      <c r="D670" s="114"/>
    </row>
    <row r="671" spans="1:4" ht="15.75" outlineLevel="1">
      <c r="A671" s="40" t="s">
        <v>1057</v>
      </c>
      <c r="B671" s="41" t="s">
        <v>5</v>
      </c>
      <c r="C671" s="40">
        <v>5.26</v>
      </c>
      <c r="D671" s="114"/>
    </row>
    <row r="672" spans="1:4" ht="15.75" outlineLevel="1">
      <c r="A672" s="40" t="s">
        <v>1057</v>
      </c>
      <c r="B672" s="41" t="s">
        <v>169</v>
      </c>
      <c r="C672" s="40">
        <v>5.43</v>
      </c>
      <c r="D672" s="114"/>
    </row>
    <row r="673" spans="1:4" ht="15.75" outlineLevel="1">
      <c r="A673" s="40" t="s">
        <v>1057</v>
      </c>
      <c r="B673" s="41" t="s">
        <v>6</v>
      </c>
      <c r="C673" s="40">
        <v>5.27</v>
      </c>
      <c r="D673" s="114"/>
    </row>
    <row r="674" spans="1:4" ht="15.75" outlineLevel="1">
      <c r="A674" s="40" t="s">
        <v>1057</v>
      </c>
      <c r="B674" s="41" t="s">
        <v>7</v>
      </c>
      <c r="C674" s="40">
        <v>5.28</v>
      </c>
      <c r="D674" s="114"/>
    </row>
    <row r="675" spans="1:4" ht="15.75" outlineLevel="1">
      <c r="A675" s="40" t="s">
        <v>1057</v>
      </c>
      <c r="B675" s="41" t="s">
        <v>123</v>
      </c>
      <c r="C675" s="40">
        <v>5.36</v>
      </c>
      <c r="D675" s="114"/>
    </row>
    <row r="676" spans="1:4" ht="15.75" outlineLevel="1">
      <c r="A676" s="40" t="s">
        <v>1057</v>
      </c>
      <c r="B676" s="41" t="s">
        <v>170</v>
      </c>
      <c r="C676" s="42">
        <v>5.5</v>
      </c>
      <c r="D676" s="114"/>
    </row>
    <row r="677" spans="1:4" ht="15.75" outlineLevel="1">
      <c r="A677" s="40" t="s">
        <v>1057</v>
      </c>
      <c r="B677" s="41" t="s">
        <v>10</v>
      </c>
      <c r="C677" s="40">
        <v>5.51</v>
      </c>
      <c r="D677" s="114"/>
    </row>
    <row r="678" spans="1:4" ht="15.75" outlineLevel="1">
      <c r="A678" s="40" t="s">
        <v>1057</v>
      </c>
      <c r="B678" s="41" t="s">
        <v>11</v>
      </c>
      <c r="C678" s="40">
        <v>5.53</v>
      </c>
      <c r="D678" s="114"/>
    </row>
    <row r="679" spans="1:4" ht="15.75" outlineLevel="1">
      <c r="A679" s="40" t="s">
        <v>1057</v>
      </c>
      <c r="B679" s="41" t="s">
        <v>12</v>
      </c>
      <c r="C679" s="40">
        <v>5.69</v>
      </c>
      <c r="D679" s="114"/>
    </row>
    <row r="680" spans="1:4" ht="15.75" outlineLevel="1">
      <c r="A680" s="40" t="s">
        <v>1057</v>
      </c>
      <c r="B680" s="41" t="s">
        <v>14</v>
      </c>
      <c r="C680" s="42">
        <v>5.7</v>
      </c>
      <c r="D680" s="113" t="s">
        <v>1110</v>
      </c>
    </row>
    <row r="681" spans="1:4" ht="15.75" outlineLevel="1">
      <c r="A681" s="40" t="s">
        <v>1057</v>
      </c>
      <c r="B681" s="41" t="s">
        <v>15</v>
      </c>
      <c r="C681" s="40">
        <v>5.74</v>
      </c>
      <c r="D681" s="114"/>
    </row>
    <row r="682" spans="1:4" ht="15.75" outlineLevel="1">
      <c r="A682" s="40" t="s">
        <v>1057</v>
      </c>
      <c r="B682" s="41" t="s">
        <v>133</v>
      </c>
      <c r="C682" s="40">
        <v>5.59</v>
      </c>
      <c r="D682" s="114"/>
    </row>
    <row r="683" spans="1:4" ht="15.75" outlineLevel="1">
      <c r="A683" s="40" t="s">
        <v>1057</v>
      </c>
      <c r="B683" s="41" t="s">
        <v>18</v>
      </c>
      <c r="C683" s="40">
        <v>5.54</v>
      </c>
      <c r="D683" s="114"/>
    </row>
    <row r="684" spans="1:4" ht="15.75" outlineLevel="1">
      <c r="A684" s="40" t="s">
        <v>1057</v>
      </c>
      <c r="B684" s="41" t="s">
        <v>171</v>
      </c>
      <c r="C684" s="40">
        <v>5.57</v>
      </c>
      <c r="D684" s="114"/>
    </row>
    <row r="685" spans="1:4" ht="15.75" outlineLevel="1">
      <c r="A685" s="40" t="s">
        <v>1057</v>
      </c>
      <c r="B685" s="41" t="s">
        <v>20</v>
      </c>
      <c r="C685" s="40">
        <v>5.63</v>
      </c>
      <c r="D685" s="114"/>
    </row>
    <row r="686" spans="1:4" ht="15.75" outlineLevel="1">
      <c r="A686" s="40" t="s">
        <v>1057</v>
      </c>
      <c r="B686" s="41" t="s">
        <v>24</v>
      </c>
      <c r="C686" s="40">
        <v>5.47</v>
      </c>
      <c r="D686" s="114"/>
    </row>
    <row r="687" spans="1:4" ht="15.75" outlineLevel="1">
      <c r="A687" s="40" t="s">
        <v>1057</v>
      </c>
      <c r="B687" s="41" t="s">
        <v>25</v>
      </c>
      <c r="C687" s="40">
        <v>5.48</v>
      </c>
      <c r="D687" s="114"/>
    </row>
    <row r="688" spans="1:4" ht="15.75">
      <c r="A688" s="46" t="s">
        <v>1057</v>
      </c>
      <c r="B688" s="41"/>
      <c r="C688" s="40"/>
      <c r="D688" s="114"/>
    </row>
    <row r="689" spans="1:4" ht="15.75" outlineLevel="1">
      <c r="A689" s="40" t="s">
        <v>1060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1060</v>
      </c>
      <c r="B690" s="41" t="s">
        <v>1</v>
      </c>
      <c r="C690" s="40">
        <v>5.2</v>
      </c>
      <c r="D690" s="114"/>
    </row>
    <row r="691" spans="1:4" ht="15.75" outlineLevel="1">
      <c r="A691" s="40" t="s">
        <v>1060</v>
      </c>
      <c r="B691" s="41" t="s">
        <v>150</v>
      </c>
      <c r="C691" s="40">
        <v>5.17</v>
      </c>
      <c r="D691" s="114"/>
    </row>
    <row r="692" spans="1:4" ht="15.75" outlineLevel="1">
      <c r="A692" s="40" t="s">
        <v>1060</v>
      </c>
      <c r="B692" s="41" t="s">
        <v>5</v>
      </c>
      <c r="C692" s="40">
        <v>5.26</v>
      </c>
      <c r="D692" s="114"/>
    </row>
    <row r="693" spans="1:4" ht="15.75" outlineLevel="1">
      <c r="A693" s="40" t="s">
        <v>1060</v>
      </c>
      <c r="B693" s="41" t="s">
        <v>151</v>
      </c>
      <c r="C693" s="40">
        <v>5.1029999999999998</v>
      </c>
      <c r="D693" s="114"/>
    </row>
    <row r="694" spans="1:4" ht="15.75" outlineLevel="1">
      <c r="A694" s="40" t="s">
        <v>1060</v>
      </c>
      <c r="B694" s="41" t="s">
        <v>123</v>
      </c>
      <c r="C694" s="40">
        <v>5.36</v>
      </c>
      <c r="D694" s="114"/>
    </row>
    <row r="695" spans="1:4" ht="15.75" outlineLevel="1">
      <c r="A695" s="40" t="s">
        <v>1060</v>
      </c>
      <c r="B695" s="41" t="s">
        <v>152</v>
      </c>
      <c r="C695" s="40">
        <v>5.37</v>
      </c>
      <c r="D695" s="114"/>
    </row>
    <row r="696" spans="1:4" ht="15.75" outlineLevel="1">
      <c r="A696" s="40" t="s">
        <v>1060</v>
      </c>
      <c r="B696" s="41" t="s">
        <v>153</v>
      </c>
      <c r="C696" s="40">
        <v>5.1040000000000001</v>
      </c>
      <c r="D696" s="114"/>
    </row>
    <row r="697" spans="1:4" ht="15.75" outlineLevel="1">
      <c r="A697" s="40" t="s">
        <v>1060</v>
      </c>
      <c r="B697" s="41" t="s">
        <v>154</v>
      </c>
      <c r="C697" s="40">
        <v>5.1050000000000004</v>
      </c>
      <c r="D697" s="114"/>
    </row>
    <row r="698" spans="1:4" ht="15.75" outlineLevel="1">
      <c r="A698" s="40" t="s">
        <v>1060</v>
      </c>
      <c r="B698" s="41" t="s">
        <v>155</v>
      </c>
      <c r="C698" s="40">
        <v>5.1059999999999999</v>
      </c>
      <c r="D698" s="114"/>
    </row>
    <row r="699" spans="1:4" ht="15.75" outlineLevel="1">
      <c r="A699" s="40" t="s">
        <v>1060</v>
      </c>
      <c r="B699" s="41" t="s">
        <v>156</v>
      </c>
      <c r="C699" s="40">
        <v>5.1070000000000002</v>
      </c>
      <c r="D699" s="114"/>
    </row>
    <row r="700" spans="1:4" ht="15.75" outlineLevel="1">
      <c r="A700" s="40" t="s">
        <v>1060</v>
      </c>
      <c r="B700" s="41" t="s">
        <v>881</v>
      </c>
      <c r="C700" s="40">
        <v>5.1079999999999997</v>
      </c>
      <c r="D700" s="113" t="s">
        <v>1110</v>
      </c>
    </row>
    <row r="701" spans="1:4" ht="15.75" outlineLevel="1">
      <c r="A701" s="40" t="s">
        <v>1060</v>
      </c>
      <c r="B701" s="41" t="s">
        <v>145</v>
      </c>
      <c r="C701" s="40">
        <v>5.109</v>
      </c>
      <c r="D701" s="114"/>
    </row>
    <row r="702" spans="1:4" ht="15.75" outlineLevel="1">
      <c r="A702" s="40" t="s">
        <v>1060</v>
      </c>
      <c r="B702" s="41" t="s">
        <v>158</v>
      </c>
      <c r="C702" s="43">
        <v>5.1100000000000003</v>
      </c>
      <c r="D702" s="113" t="s">
        <v>1110</v>
      </c>
    </row>
    <row r="703" spans="1:4" ht="15.75" outlineLevel="1">
      <c r="A703" s="40" t="s">
        <v>1060</v>
      </c>
      <c r="B703" s="41" t="s">
        <v>146</v>
      </c>
      <c r="C703" s="40">
        <v>5.1109999999999998</v>
      </c>
      <c r="D703" s="114"/>
    </row>
    <row r="704" spans="1:4" ht="15.75" outlineLevel="1">
      <c r="A704" s="40" t="s">
        <v>1060</v>
      </c>
      <c r="B704" s="41" t="s">
        <v>132</v>
      </c>
      <c r="C704" s="40">
        <v>5.1120000000000001</v>
      </c>
      <c r="D704" s="114"/>
    </row>
    <row r="705" spans="1:4" ht="15.75" outlineLevel="1">
      <c r="A705" s="40" t="s">
        <v>1060</v>
      </c>
      <c r="B705" s="41" t="s">
        <v>11</v>
      </c>
      <c r="C705" s="40">
        <v>5.53</v>
      </c>
      <c r="D705" s="114"/>
    </row>
    <row r="706" spans="1:4" ht="15.75" outlineLevel="1">
      <c r="A706" s="40" t="s">
        <v>1060</v>
      </c>
      <c r="B706" s="41" t="s">
        <v>159</v>
      </c>
      <c r="C706" s="40">
        <v>5.64</v>
      </c>
      <c r="D706" s="114"/>
    </row>
    <row r="707" spans="1:4" ht="15.75" outlineLevel="1">
      <c r="A707" s="40" t="s">
        <v>1060</v>
      </c>
      <c r="B707" s="41" t="s">
        <v>20</v>
      </c>
      <c r="C707" s="40">
        <v>5.63</v>
      </c>
      <c r="D707" s="114"/>
    </row>
    <row r="708" spans="1:4" ht="15.75" outlineLevel="1">
      <c r="A708" s="40" t="s">
        <v>1060</v>
      </c>
      <c r="B708" s="41" t="s">
        <v>21</v>
      </c>
      <c r="C708" s="40">
        <v>5.65</v>
      </c>
      <c r="D708" s="114"/>
    </row>
    <row r="709" spans="1:4" ht="15.75" outlineLevel="1">
      <c r="A709" s="40" t="s">
        <v>1060</v>
      </c>
      <c r="B709" s="41" t="s">
        <v>160</v>
      </c>
      <c r="C709" s="40">
        <v>5.66</v>
      </c>
      <c r="D709" s="114"/>
    </row>
    <row r="710" spans="1:4" ht="15.75" outlineLevel="1">
      <c r="A710" s="40" t="s">
        <v>1060</v>
      </c>
      <c r="B710" s="41" t="s">
        <v>22</v>
      </c>
      <c r="C710" s="40">
        <v>5.68</v>
      </c>
      <c r="D710" s="114"/>
    </row>
    <row r="711" spans="1:4" ht="15.75" outlineLevel="1">
      <c r="A711" s="40" t="s">
        <v>1060</v>
      </c>
      <c r="B711" s="41" t="s">
        <v>24</v>
      </c>
      <c r="C711" s="40">
        <v>5.47</v>
      </c>
      <c r="D711" s="114"/>
    </row>
    <row r="712" spans="1:4" ht="15.75" outlineLevel="1">
      <c r="A712" s="40" t="s">
        <v>1060</v>
      </c>
      <c r="B712" s="41" t="s">
        <v>25</v>
      </c>
      <c r="C712" s="40">
        <v>5.48</v>
      </c>
      <c r="D712" s="114"/>
    </row>
    <row r="713" spans="1:4" ht="15.75">
      <c r="A713" s="46" t="s">
        <v>1060</v>
      </c>
      <c r="B713" s="41"/>
      <c r="C713" s="40"/>
      <c r="D713" s="114"/>
    </row>
    <row r="714" spans="1:4" ht="15.75" outlineLevel="1">
      <c r="A714" s="40" t="s">
        <v>1168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1168</v>
      </c>
      <c r="B715" s="41" t="s">
        <v>1</v>
      </c>
      <c r="C715" s="40">
        <v>5.2</v>
      </c>
      <c r="D715" s="114"/>
    </row>
    <row r="716" spans="1:4" ht="15.75" outlineLevel="1">
      <c r="A716" s="40" t="s">
        <v>1168</v>
      </c>
      <c r="B716" s="41" t="s">
        <v>2</v>
      </c>
      <c r="C716" s="40">
        <v>5.3</v>
      </c>
      <c r="D716" s="114"/>
    </row>
    <row r="717" spans="1:4" ht="15.75" outlineLevel="1">
      <c r="A717" s="40" t="s">
        <v>1168</v>
      </c>
      <c r="B717" s="41" t="s">
        <v>141</v>
      </c>
      <c r="C717" s="40">
        <v>5.6</v>
      </c>
      <c r="D717" s="114"/>
    </row>
    <row r="718" spans="1:4" ht="15.75" outlineLevel="1">
      <c r="A718" s="40" t="s">
        <v>1168</v>
      </c>
      <c r="B718" s="41" t="s">
        <v>1112</v>
      </c>
      <c r="C718" s="42">
        <v>5.0999999999999996</v>
      </c>
      <c r="D718" s="114"/>
    </row>
    <row r="719" spans="1:4" ht="15.75" outlineLevel="1">
      <c r="A719" s="40" t="s">
        <v>1168</v>
      </c>
      <c r="B719" s="41" t="s">
        <v>1111</v>
      </c>
      <c r="C719" s="40">
        <v>5.14</v>
      </c>
      <c r="D719" s="114"/>
    </row>
    <row r="720" spans="1:4" ht="15.75" outlineLevel="1">
      <c r="A720" s="40" t="s">
        <v>1168</v>
      </c>
      <c r="B720" s="41" t="s">
        <v>4</v>
      </c>
      <c r="C720" s="40">
        <v>5.19</v>
      </c>
      <c r="D720" s="114"/>
    </row>
    <row r="721" spans="1:4" ht="15.75" outlineLevel="1">
      <c r="A721" s="40" t="s">
        <v>1168</v>
      </c>
      <c r="B721" s="41" t="s">
        <v>143</v>
      </c>
      <c r="C721" s="40">
        <v>5.24</v>
      </c>
      <c r="D721" s="114"/>
    </row>
    <row r="722" spans="1:4" ht="15.75" outlineLevel="1">
      <c r="A722" s="40" t="s">
        <v>1168</v>
      </c>
      <c r="B722" s="41" t="s">
        <v>5</v>
      </c>
      <c r="C722" s="40">
        <v>5.26</v>
      </c>
      <c r="D722" s="114"/>
    </row>
    <row r="723" spans="1:4" ht="15.75" outlineLevel="1">
      <c r="A723" s="40" t="s">
        <v>1168</v>
      </c>
      <c r="B723" s="41" t="s">
        <v>6</v>
      </c>
      <c r="C723" s="40">
        <v>5.27</v>
      </c>
      <c r="D723" s="114"/>
    </row>
    <row r="724" spans="1:4" ht="15.75" outlineLevel="1">
      <c r="A724" s="40" t="s">
        <v>1168</v>
      </c>
      <c r="B724" s="41" t="s">
        <v>7</v>
      </c>
      <c r="C724" s="40">
        <v>5.28</v>
      </c>
      <c r="D724" s="114"/>
    </row>
    <row r="725" spans="1:4" ht="15.75" outlineLevel="1">
      <c r="A725" s="40" t="s">
        <v>1168</v>
      </c>
      <c r="B725" s="41" t="s">
        <v>144</v>
      </c>
      <c r="C725" s="40">
        <v>5.31</v>
      </c>
      <c r="D725" s="114"/>
    </row>
    <row r="726" spans="1:4" ht="15.75" outlineLevel="1">
      <c r="A726" s="40" t="s">
        <v>1168</v>
      </c>
      <c r="B726" s="41" t="s">
        <v>123</v>
      </c>
      <c r="C726" s="40">
        <v>5.36</v>
      </c>
      <c r="D726" s="114"/>
    </row>
    <row r="727" spans="1:4" ht="15.75" outlineLevel="1">
      <c r="A727" s="40" t="s">
        <v>1168</v>
      </c>
      <c r="B727" s="41" t="s">
        <v>11</v>
      </c>
      <c r="C727" s="40">
        <v>5.53</v>
      </c>
      <c r="D727" s="114"/>
    </row>
    <row r="728" spans="1:4" ht="15.75" outlineLevel="1">
      <c r="A728" s="40" t="s">
        <v>1168</v>
      </c>
      <c r="B728" s="41" t="s">
        <v>145</v>
      </c>
      <c r="C728" s="40">
        <v>5.109</v>
      </c>
      <c r="D728" s="114"/>
    </row>
    <row r="729" spans="1:4" ht="15.75" outlineLevel="1">
      <c r="A729" s="40" t="s">
        <v>1168</v>
      </c>
      <c r="B729" s="41" t="s">
        <v>146</v>
      </c>
      <c r="C729" s="40">
        <v>5.1109999999999998</v>
      </c>
      <c r="D729" s="114"/>
    </row>
    <row r="730" spans="1:4" ht="15.75" outlineLevel="1">
      <c r="A730" s="40" t="s">
        <v>1168</v>
      </c>
      <c r="B730" s="41" t="s">
        <v>132</v>
      </c>
      <c r="C730" s="40">
        <v>5.1120000000000001</v>
      </c>
      <c r="D730" s="114"/>
    </row>
    <row r="731" spans="1:4" ht="15.75" outlineLevel="1">
      <c r="A731" s="40" t="s">
        <v>1168</v>
      </c>
      <c r="B731" s="41" t="s">
        <v>1126</v>
      </c>
      <c r="C731" s="40">
        <v>5.1130000000000004</v>
      </c>
      <c r="D731" s="114"/>
    </row>
    <row r="732" spans="1:4" ht="15.75" outlineLevel="1">
      <c r="A732" s="40" t="s">
        <v>1168</v>
      </c>
      <c r="B732" s="41" t="s">
        <v>148</v>
      </c>
      <c r="C732" s="40">
        <v>5.117</v>
      </c>
      <c r="D732" s="114"/>
    </row>
    <row r="733" spans="1:4" ht="15.75" outlineLevel="1">
      <c r="A733" s="40" t="s">
        <v>1168</v>
      </c>
      <c r="B733" s="41" t="s">
        <v>149</v>
      </c>
      <c r="C733" s="40">
        <v>5.67</v>
      </c>
      <c r="D733" s="114"/>
    </row>
    <row r="734" spans="1:4" ht="15.75" outlineLevel="1">
      <c r="A734" s="40" t="s">
        <v>1168</v>
      </c>
      <c r="B734" s="41" t="s">
        <v>20</v>
      </c>
      <c r="C734" s="40">
        <v>5.63</v>
      </c>
      <c r="D734" s="114"/>
    </row>
    <row r="735" spans="1:4" ht="15.75" outlineLevel="1">
      <c r="A735" s="40" t="s">
        <v>1168</v>
      </c>
      <c r="B735" s="41" t="s">
        <v>24</v>
      </c>
      <c r="C735" s="40">
        <v>5.47</v>
      </c>
      <c r="D735" s="114"/>
    </row>
    <row r="736" spans="1:4" ht="15.75" outlineLevel="1">
      <c r="A736" s="40" t="s">
        <v>1168</v>
      </c>
      <c r="B736" s="41" t="s">
        <v>25</v>
      </c>
      <c r="C736" s="40">
        <v>5.48</v>
      </c>
      <c r="D736" s="114"/>
    </row>
    <row r="737" spans="1:4" ht="15.75">
      <c r="A737" s="46" t="s">
        <v>1169</v>
      </c>
      <c r="B737" s="41"/>
      <c r="C737" s="40"/>
      <c r="D737" s="114"/>
    </row>
    <row r="738" spans="1:4" ht="15.75" outlineLevel="1">
      <c r="A738" s="40" t="s">
        <v>1062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1062</v>
      </c>
      <c r="B739" s="41" t="s">
        <v>1</v>
      </c>
      <c r="C739" s="40">
        <v>5.2</v>
      </c>
      <c r="D739" s="114"/>
    </row>
    <row r="740" spans="1:4" ht="15.75" outlineLevel="1">
      <c r="A740" s="40" t="s">
        <v>1062</v>
      </c>
      <c r="B740" s="41" t="s">
        <v>129</v>
      </c>
      <c r="C740" s="40">
        <v>5.18</v>
      </c>
      <c r="D740" s="114"/>
    </row>
    <row r="741" spans="1:4" ht="15.75" outlineLevel="1">
      <c r="A741" s="40" t="s">
        <v>1062</v>
      </c>
      <c r="B741" s="41" t="s">
        <v>130</v>
      </c>
      <c r="C741" s="40">
        <v>5.23</v>
      </c>
      <c r="D741" s="114"/>
    </row>
    <row r="742" spans="1:4" ht="15.75" outlineLevel="1">
      <c r="A742" s="40" t="s">
        <v>1062</v>
      </c>
      <c r="B742" s="41" t="s">
        <v>5</v>
      </c>
      <c r="C742" s="40">
        <v>5.26</v>
      </c>
      <c r="D742" s="114"/>
    </row>
    <row r="743" spans="1:4" ht="15.75" outlineLevel="1">
      <c r="A743" s="40" t="s">
        <v>1062</v>
      </c>
      <c r="B743" s="41" t="s">
        <v>6</v>
      </c>
      <c r="C743" s="40">
        <v>5.27</v>
      </c>
      <c r="D743" s="114"/>
    </row>
    <row r="744" spans="1:4" ht="15.75" outlineLevel="1">
      <c r="A744" s="40" t="s">
        <v>1062</v>
      </c>
      <c r="B744" s="41" t="s">
        <v>7</v>
      </c>
      <c r="C744" s="40">
        <v>5.28</v>
      </c>
      <c r="D744" s="114"/>
    </row>
    <row r="745" spans="1:4" ht="15.75" outlineLevel="1">
      <c r="A745" s="40" t="s">
        <v>1062</v>
      </c>
      <c r="B745" s="41" t="s">
        <v>123</v>
      </c>
      <c r="C745" s="40">
        <v>5.36</v>
      </c>
      <c r="D745" s="114"/>
    </row>
    <row r="746" spans="1:4" ht="15.75" outlineLevel="1">
      <c r="A746" s="40" t="s">
        <v>1062</v>
      </c>
      <c r="B746" s="41" t="s">
        <v>131</v>
      </c>
      <c r="C746" s="40">
        <v>5.44</v>
      </c>
      <c r="D746" s="114"/>
    </row>
    <row r="747" spans="1:4" ht="15.75" outlineLevel="1">
      <c r="A747" s="40" t="s">
        <v>1062</v>
      </c>
      <c r="B747" s="41" t="s">
        <v>11</v>
      </c>
      <c r="C747" s="40">
        <v>5.53</v>
      </c>
      <c r="D747" s="114"/>
    </row>
    <row r="748" spans="1:4" ht="15.75" outlineLevel="1">
      <c r="A748" s="40" t="s">
        <v>1062</v>
      </c>
      <c r="B748" s="41" t="s">
        <v>132</v>
      </c>
      <c r="C748" s="40">
        <v>5.1120000000000001</v>
      </c>
      <c r="D748" s="114"/>
    </row>
    <row r="749" spans="1:4" ht="15.75" outlineLevel="1">
      <c r="A749" s="40" t="s">
        <v>1062</v>
      </c>
      <c r="B749" s="41" t="s">
        <v>133</v>
      </c>
      <c r="C749" s="40">
        <v>5.59</v>
      </c>
      <c r="D749" s="114"/>
    </row>
    <row r="750" spans="1:4" ht="15.75" outlineLevel="1">
      <c r="A750" s="40" t="s">
        <v>1062</v>
      </c>
      <c r="B750" s="41" t="s">
        <v>18</v>
      </c>
      <c r="C750" s="40">
        <v>5.54</v>
      </c>
      <c r="D750" s="114"/>
    </row>
    <row r="751" spans="1:4" ht="15.75" outlineLevel="1">
      <c r="A751" s="40" t="s">
        <v>1062</v>
      </c>
      <c r="B751" s="41" t="s">
        <v>20</v>
      </c>
      <c r="C751" s="40">
        <v>5.63</v>
      </c>
      <c r="D751" s="114"/>
    </row>
    <row r="752" spans="1:4" ht="15.75" outlineLevel="1">
      <c r="A752" s="40" t="s">
        <v>1062</v>
      </c>
      <c r="B752" s="41" t="s">
        <v>21</v>
      </c>
      <c r="C752" s="40">
        <v>5.65</v>
      </c>
      <c r="D752" s="114"/>
    </row>
    <row r="753" spans="1:4" ht="15.75" outlineLevel="1">
      <c r="A753" s="40" t="s">
        <v>1062</v>
      </c>
      <c r="B753" s="41" t="s">
        <v>22</v>
      </c>
      <c r="C753" s="40">
        <v>5.68</v>
      </c>
      <c r="D753" s="114"/>
    </row>
    <row r="754" spans="1:4" ht="15.75" outlineLevel="1">
      <c r="A754" s="40" t="s">
        <v>1062</v>
      </c>
      <c r="B754" s="41" t="s">
        <v>24</v>
      </c>
      <c r="C754" s="40">
        <v>5.47</v>
      </c>
      <c r="D754" s="114"/>
    </row>
    <row r="755" spans="1:4" ht="15.75" outlineLevel="1">
      <c r="A755" s="40" t="s">
        <v>1062</v>
      </c>
      <c r="B755" s="41" t="s">
        <v>25</v>
      </c>
      <c r="C755" s="40">
        <v>5.48</v>
      </c>
      <c r="D755" s="114"/>
    </row>
    <row r="756" spans="1:4" ht="15.75">
      <c r="A756" s="46" t="s">
        <v>1062</v>
      </c>
      <c r="B756" s="41"/>
      <c r="C756" s="40"/>
      <c r="D756" s="114"/>
    </row>
    <row r="757" spans="1:4" ht="15.75" outlineLevel="1">
      <c r="A757" s="40" t="s">
        <v>1170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1170</v>
      </c>
      <c r="B758" s="41" t="s">
        <v>1</v>
      </c>
      <c r="C758" s="40">
        <v>5.2</v>
      </c>
      <c r="D758" s="114"/>
    </row>
    <row r="759" spans="1:4" ht="15.75" outlineLevel="1">
      <c r="A759" s="40" t="s">
        <v>1170</v>
      </c>
      <c r="B759" s="41" t="s">
        <v>118</v>
      </c>
      <c r="C759" s="40">
        <v>5.9</v>
      </c>
      <c r="D759" s="113" t="s">
        <v>1110</v>
      </c>
    </row>
    <row r="760" spans="1:4" ht="15.75" outlineLevel="1">
      <c r="A760" s="40" t="s">
        <v>1170</v>
      </c>
      <c r="B760" s="41" t="s">
        <v>119</v>
      </c>
      <c r="C760" s="40">
        <v>5.13</v>
      </c>
      <c r="D760" s="114"/>
    </row>
    <row r="761" spans="1:4" ht="15.75" outlineLevel="1">
      <c r="A761" s="40" t="s">
        <v>1170</v>
      </c>
      <c r="B761" s="41" t="s">
        <v>120</v>
      </c>
      <c r="C761" s="40">
        <v>5.16</v>
      </c>
      <c r="D761" s="113" t="s">
        <v>1110</v>
      </c>
    </row>
    <row r="762" spans="1:4" ht="15.75" outlineLevel="1">
      <c r="A762" s="40" t="s">
        <v>1170</v>
      </c>
      <c r="B762" s="41" t="s">
        <v>121</v>
      </c>
      <c r="C762" s="40">
        <v>5.22</v>
      </c>
      <c r="D762" s="113"/>
    </row>
    <row r="763" spans="1:4" ht="15.75" outlineLevel="1">
      <c r="A763" s="40" t="s">
        <v>1170</v>
      </c>
      <c r="B763" s="41" t="s">
        <v>122</v>
      </c>
      <c r="C763" s="40">
        <v>5.42</v>
      </c>
      <c r="D763" s="114"/>
    </row>
    <row r="764" spans="1:4" ht="15.75" outlineLevel="1">
      <c r="A764" s="40" t="s">
        <v>1170</v>
      </c>
      <c r="B764" s="41" t="s">
        <v>6</v>
      </c>
      <c r="C764" s="40">
        <v>5.27</v>
      </c>
      <c r="D764" s="114"/>
    </row>
    <row r="765" spans="1:4" ht="15.75" outlineLevel="1">
      <c r="A765" s="40" t="s">
        <v>1170</v>
      </c>
      <c r="B765" s="41" t="s">
        <v>7</v>
      </c>
      <c r="C765" s="40">
        <v>5.28</v>
      </c>
      <c r="D765" s="113" t="s">
        <v>1110</v>
      </c>
    </row>
    <row r="766" spans="1:4" ht="15.75" outlineLevel="1">
      <c r="A766" s="40" t="s">
        <v>1170</v>
      </c>
      <c r="B766" s="41" t="s">
        <v>123</v>
      </c>
      <c r="C766" s="40">
        <v>5.36</v>
      </c>
      <c r="D766" s="114"/>
    </row>
    <row r="767" spans="1:4" ht="15.75" outlineLevel="1">
      <c r="A767" s="40" t="s">
        <v>1170</v>
      </c>
      <c r="B767" s="41" t="s">
        <v>9</v>
      </c>
      <c r="C767" s="40">
        <v>5.49</v>
      </c>
      <c r="D767" s="114"/>
    </row>
    <row r="768" spans="1:4" ht="15.75" outlineLevel="1">
      <c r="A768" s="40" t="s">
        <v>1170</v>
      </c>
      <c r="B768" s="41" t="s">
        <v>10</v>
      </c>
      <c r="C768" s="40">
        <v>5.51</v>
      </c>
      <c r="D768" s="114"/>
    </row>
    <row r="769" spans="1:4" ht="15.75" outlineLevel="1">
      <c r="A769" s="40" t="s">
        <v>1170</v>
      </c>
      <c r="B769" s="41" t="s">
        <v>1159</v>
      </c>
      <c r="C769" s="40">
        <v>5.52</v>
      </c>
      <c r="D769" s="114"/>
    </row>
    <row r="770" spans="1:4" ht="15.75" outlineLevel="1">
      <c r="A770" s="40" t="s">
        <v>1170</v>
      </c>
      <c r="B770" s="41" t="s">
        <v>11</v>
      </c>
      <c r="C770" s="40">
        <v>5.53</v>
      </c>
      <c r="D770" s="114"/>
    </row>
    <row r="771" spans="1:4" ht="15.75" outlineLevel="1">
      <c r="A771" s="40" t="s">
        <v>1170</v>
      </c>
      <c r="B771" s="41" t="s">
        <v>18</v>
      </c>
      <c r="C771" s="40">
        <v>5.54</v>
      </c>
      <c r="D771" s="114"/>
    </row>
    <row r="772" spans="1:4" ht="15.75" outlineLevel="1">
      <c r="A772" s="40" t="s">
        <v>1170</v>
      </c>
      <c r="B772" s="41" t="s">
        <v>14</v>
      </c>
      <c r="C772" s="42">
        <v>5.7</v>
      </c>
      <c r="D772" s="114"/>
    </row>
    <row r="773" spans="1:4" ht="15.75" outlineLevel="1">
      <c r="A773" s="40" t="s">
        <v>1170</v>
      </c>
      <c r="B773" s="41" t="s">
        <v>125</v>
      </c>
      <c r="C773" s="40">
        <v>5.71</v>
      </c>
      <c r="D773" s="114"/>
    </row>
    <row r="774" spans="1:4" ht="15.75" outlineLevel="1">
      <c r="A774" s="40" t="s">
        <v>1170</v>
      </c>
      <c r="B774" s="41" t="s">
        <v>126</v>
      </c>
      <c r="C774" s="42">
        <v>5.9</v>
      </c>
      <c r="D774" s="114"/>
    </row>
    <row r="775" spans="1:4" ht="15.75" outlineLevel="1">
      <c r="A775" s="40" t="s">
        <v>1170</v>
      </c>
      <c r="B775" s="41" t="s">
        <v>127</v>
      </c>
      <c r="C775" s="40">
        <v>5.91</v>
      </c>
      <c r="D775" s="114"/>
    </row>
    <row r="776" spans="1:4" ht="15.75" outlineLevel="1">
      <c r="A776" s="40" t="s">
        <v>1170</v>
      </c>
      <c r="B776" s="41" t="s">
        <v>128</v>
      </c>
      <c r="C776" s="40">
        <v>5.97</v>
      </c>
      <c r="D776" s="114"/>
    </row>
    <row r="777" spans="1:4" ht="15.75">
      <c r="A777" s="46" t="s">
        <v>1170</v>
      </c>
      <c r="B777" s="41"/>
      <c r="C777" s="40"/>
      <c r="D777" s="114"/>
    </row>
    <row r="778" spans="1:4" ht="15.75" outlineLevel="1">
      <c r="A778" s="40" t="s">
        <v>1097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1097</v>
      </c>
      <c r="B779" s="41" t="s">
        <v>1</v>
      </c>
      <c r="C779" s="40">
        <v>5.2</v>
      </c>
      <c r="D779" s="114"/>
    </row>
    <row r="780" spans="1:4" ht="15.75" outlineLevel="1">
      <c r="A780" s="40" t="s">
        <v>1097</v>
      </c>
      <c r="B780" s="41" t="s">
        <v>5</v>
      </c>
      <c r="C780" s="40">
        <v>5.26</v>
      </c>
      <c r="D780" s="114"/>
    </row>
    <row r="781" spans="1:4" ht="15.75" outlineLevel="1">
      <c r="A781" s="40" t="s">
        <v>1097</v>
      </c>
      <c r="B781" s="41" t="s">
        <v>189</v>
      </c>
      <c r="C781" s="40">
        <v>5.5</v>
      </c>
      <c r="D781" s="114"/>
    </row>
    <row r="782" spans="1:4" ht="15.75" outlineLevel="1">
      <c r="A782" s="40" t="s">
        <v>1097</v>
      </c>
      <c r="B782" s="41" t="s">
        <v>190</v>
      </c>
      <c r="C782" s="40">
        <v>5.8</v>
      </c>
      <c r="D782" s="113" t="s">
        <v>1110</v>
      </c>
    </row>
    <row r="783" spans="1:4" ht="15.75" outlineLevel="1">
      <c r="A783" s="40" t="s">
        <v>1097</v>
      </c>
      <c r="B783" s="41" t="s">
        <v>191</v>
      </c>
      <c r="C783" s="40">
        <v>5.12</v>
      </c>
      <c r="D783" s="40"/>
    </row>
    <row r="784" spans="1:4" ht="15.75" outlineLevel="1">
      <c r="A784" s="40" t="s">
        <v>1097</v>
      </c>
      <c r="B784" s="41" t="s">
        <v>192</v>
      </c>
      <c r="C784" s="40">
        <v>5.15</v>
      </c>
      <c r="D784" s="40"/>
    </row>
    <row r="785" spans="1:4" ht="15.75" outlineLevel="1">
      <c r="A785" s="40" t="s">
        <v>1097</v>
      </c>
      <c r="B785" s="41" t="s">
        <v>193</v>
      </c>
      <c r="C785" s="42">
        <v>5.2</v>
      </c>
      <c r="D785" s="113"/>
    </row>
    <row r="786" spans="1:4" ht="15.75" outlineLevel="1">
      <c r="A786" s="40" t="s">
        <v>1097</v>
      </c>
      <c r="B786" s="41" t="s">
        <v>194</v>
      </c>
      <c r="C786" s="40">
        <v>5.25</v>
      </c>
      <c r="D786" s="40"/>
    </row>
    <row r="787" spans="1:4" ht="15.75" outlineLevel="1">
      <c r="A787" s="40" t="s">
        <v>1097</v>
      </c>
      <c r="B787" s="41" t="s">
        <v>11</v>
      </c>
      <c r="C787" s="40">
        <v>5.53</v>
      </c>
      <c r="D787" s="40"/>
    </row>
    <row r="788" spans="1:4" ht="15.75" outlineLevel="1">
      <c r="A788" s="40" t="s">
        <v>1097</v>
      </c>
      <c r="B788" s="41" t="s">
        <v>195</v>
      </c>
      <c r="C788" s="42">
        <v>5.4</v>
      </c>
      <c r="D788" s="40"/>
    </row>
    <row r="789" spans="1:4" ht="15.75" outlineLevel="1">
      <c r="A789" s="40" t="s">
        <v>1097</v>
      </c>
      <c r="B789" s="41" t="s">
        <v>196</v>
      </c>
      <c r="C789" s="40">
        <v>5.92</v>
      </c>
      <c r="D789" s="40"/>
    </row>
    <row r="790" spans="1:4" ht="15.75" outlineLevel="1">
      <c r="A790" s="40" t="s">
        <v>1097</v>
      </c>
      <c r="B790" s="41" t="s">
        <v>197</v>
      </c>
      <c r="C790" s="40">
        <v>5.93</v>
      </c>
      <c r="D790" s="40"/>
    </row>
    <row r="791" spans="1:4" ht="31.5" outlineLevel="1">
      <c r="A791" s="40" t="s">
        <v>1097</v>
      </c>
      <c r="B791" s="41" t="s">
        <v>198</v>
      </c>
      <c r="C791" s="40">
        <v>5.94</v>
      </c>
      <c r="D791" s="40"/>
    </row>
    <row r="792" spans="1:4" ht="15.75" outlineLevel="1">
      <c r="A792" s="40" t="s">
        <v>1097</v>
      </c>
      <c r="B792" s="41" t="s">
        <v>199</v>
      </c>
      <c r="C792" s="40">
        <v>5.95</v>
      </c>
      <c r="D792" s="40"/>
    </row>
    <row r="793" spans="1:4" ht="15.75" outlineLevel="1">
      <c r="A793" s="40" t="s">
        <v>1097</v>
      </c>
      <c r="B793" s="41" t="s">
        <v>200</v>
      </c>
      <c r="C793" s="40">
        <v>5.98</v>
      </c>
      <c r="D793" s="40"/>
    </row>
    <row r="794" spans="1:4" ht="15.75" outlineLevel="1">
      <c r="A794" s="40" t="s">
        <v>1097</v>
      </c>
      <c r="B794" s="41" t="s">
        <v>201</v>
      </c>
      <c r="C794" s="40">
        <v>5.96</v>
      </c>
      <c r="D794" s="40"/>
    </row>
    <row r="795" spans="1:4" ht="15.75">
      <c r="A795" s="46" t="s">
        <v>1097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1184</v>
      </c>
    </row>
    <row r="3" spans="1:2">
      <c r="A3" t="s">
        <v>1185</v>
      </c>
      <c r="B3" t="s">
        <v>1186</v>
      </c>
    </row>
    <row r="4" spans="1:2">
      <c r="A4" t="s">
        <v>176</v>
      </c>
      <c r="B4" t="s">
        <v>1187</v>
      </c>
    </row>
    <row r="5" spans="1:2">
      <c r="A5" t="s">
        <v>1188</v>
      </c>
      <c r="B5" t="s">
        <v>1189</v>
      </c>
    </row>
    <row r="6" spans="1:2">
      <c r="A6" t="s">
        <v>1190</v>
      </c>
      <c r="B6" t="s">
        <v>1191</v>
      </c>
    </row>
    <row r="7" spans="1:2">
      <c r="A7" t="s">
        <v>1192</v>
      </c>
      <c r="B7" t="s">
        <v>1193</v>
      </c>
    </row>
    <row r="8" spans="1:2">
      <c r="A8" t="s">
        <v>1194</v>
      </c>
      <c r="B8" t="s">
        <v>1195</v>
      </c>
    </row>
    <row r="10" spans="1:2" ht="15">
      <c r="A10" s="26" t="s">
        <v>1196</v>
      </c>
    </row>
    <row r="11" spans="1:2">
      <c r="A11" t="s">
        <v>1197</v>
      </c>
    </row>
    <row r="12" spans="1:2">
      <c r="A12" t="s">
        <v>1198</v>
      </c>
      <c r="B12" t="s">
        <v>1199</v>
      </c>
    </row>
    <row r="14" spans="1:2">
      <c r="A14" s="39"/>
    </row>
    <row r="15" spans="1:2" ht="15">
      <c r="A15" s="26" t="s">
        <v>1200</v>
      </c>
    </row>
    <row r="16" spans="1:2">
      <c r="A16" s="37" t="s">
        <v>1201</v>
      </c>
    </row>
    <row r="17" spans="1:2">
      <c r="A17" s="37" t="s">
        <v>1202</v>
      </c>
    </row>
    <row r="18" spans="1:2">
      <c r="A18" s="37" t="s">
        <v>1203</v>
      </c>
    </row>
    <row r="19" spans="1:2">
      <c r="A19" s="37" t="s">
        <v>1204</v>
      </c>
    </row>
    <row r="21" spans="1:2" ht="15">
      <c r="A21" s="38" t="s">
        <v>1205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1206</v>
      </c>
      <c r="B34" s="26" t="s">
        <v>309</v>
      </c>
    </row>
    <row r="35" spans="1:2">
      <c r="A35" s="18" t="s">
        <v>1207</v>
      </c>
      <c r="B35" s="45">
        <v>512310509</v>
      </c>
    </row>
    <row r="36" spans="1:2">
      <c r="A36" t="s">
        <v>1208</v>
      </c>
      <c r="B36" s="45">
        <v>513910703</v>
      </c>
    </row>
    <row r="37" spans="1:2">
      <c r="A37" t="s">
        <v>1209</v>
      </c>
      <c r="B37" s="45">
        <v>512304882</v>
      </c>
    </row>
    <row r="38" spans="1:2">
      <c r="A38" t="s">
        <v>1210</v>
      </c>
      <c r="B38" s="45">
        <v>520030677</v>
      </c>
    </row>
    <row r="39" spans="1:2">
      <c r="A39" t="s">
        <v>1211</v>
      </c>
      <c r="B39" s="45">
        <v>513621110</v>
      </c>
    </row>
    <row r="40" spans="1:2">
      <c r="A40" t="s">
        <v>1212</v>
      </c>
      <c r="B40" s="18">
        <v>513173393</v>
      </c>
    </row>
    <row r="41" spans="1:2">
      <c r="A41" t="s">
        <v>1213</v>
      </c>
      <c r="B41" s="18">
        <v>511880460</v>
      </c>
    </row>
    <row r="42" spans="1:2">
      <c r="A42" t="s">
        <v>1214</v>
      </c>
      <c r="B42" s="18">
        <v>510773922</v>
      </c>
    </row>
    <row r="43" spans="1:2">
      <c r="A43" t="s">
        <v>1215</v>
      </c>
      <c r="B43">
        <v>520021916</v>
      </c>
    </row>
    <row r="44" spans="1:2">
      <c r="A44" t="s">
        <v>1216</v>
      </c>
      <c r="B44">
        <v>520044025</v>
      </c>
    </row>
    <row r="45" spans="1:2">
      <c r="A45" t="s">
        <v>1217</v>
      </c>
      <c r="B45">
        <v>570003152</v>
      </c>
    </row>
    <row r="46" spans="1:2">
      <c r="A46" t="s">
        <v>1218</v>
      </c>
      <c r="B46" s="18">
        <v>520023094</v>
      </c>
    </row>
    <row r="47" spans="1:2">
      <c r="A47" t="s">
        <v>1219</v>
      </c>
      <c r="B47" s="18">
        <v>512711409</v>
      </c>
    </row>
    <row r="48" spans="1:2">
      <c r="A48" t="s">
        <v>1220</v>
      </c>
      <c r="B48">
        <v>515859379</v>
      </c>
    </row>
    <row r="49" spans="1:2">
      <c r="A49" t="s">
        <v>1221</v>
      </c>
      <c r="B49" s="18">
        <v>520030990</v>
      </c>
    </row>
    <row r="50" spans="1:2">
      <c r="A50" t="s">
        <v>1222</v>
      </c>
      <c r="B50" s="18">
        <v>520028812</v>
      </c>
    </row>
    <row r="51" spans="1:2">
      <c r="A51" t="s">
        <v>1223</v>
      </c>
      <c r="B51" s="18">
        <v>520034968</v>
      </c>
    </row>
    <row r="52" spans="1:2">
      <c r="A52" t="s">
        <v>1224</v>
      </c>
      <c r="B52" s="18">
        <v>520031824</v>
      </c>
    </row>
    <row r="53" spans="1:2">
      <c r="A53" t="s">
        <v>1225</v>
      </c>
      <c r="B53" s="18">
        <v>520005497</v>
      </c>
    </row>
    <row r="54" spans="1:2">
      <c r="A54" t="s">
        <v>1226</v>
      </c>
      <c r="B54" s="18">
        <v>520022518</v>
      </c>
    </row>
    <row r="55" spans="1:2">
      <c r="A55" t="s">
        <v>1227</v>
      </c>
      <c r="B55" s="18">
        <v>520028556</v>
      </c>
    </row>
    <row r="56" spans="1:2">
      <c r="A56" t="s">
        <v>1228</v>
      </c>
      <c r="B56" s="18">
        <v>520032269</v>
      </c>
    </row>
    <row r="57" spans="1:2">
      <c r="A57" t="s">
        <v>1229</v>
      </c>
      <c r="B57" s="18">
        <v>520027954</v>
      </c>
    </row>
    <row r="58" spans="1:2">
      <c r="A58" t="s">
        <v>1230</v>
      </c>
      <c r="B58">
        <v>520029620</v>
      </c>
    </row>
    <row r="59" spans="1:2">
      <c r="A59" t="s">
        <v>1231</v>
      </c>
      <c r="B59" s="18">
        <v>520028861</v>
      </c>
    </row>
    <row r="60" spans="1:2">
      <c r="A60" t="s">
        <v>1232</v>
      </c>
      <c r="B60" s="18">
        <v>520030743</v>
      </c>
    </row>
    <row r="61" spans="1:2">
      <c r="A61" t="s">
        <v>1233</v>
      </c>
      <c r="B61">
        <v>520042177</v>
      </c>
    </row>
    <row r="62" spans="1:2">
      <c r="A62" t="s">
        <v>1234</v>
      </c>
      <c r="B62" s="18">
        <v>515447035</v>
      </c>
    </row>
    <row r="63" spans="1:2">
      <c r="A63" t="s">
        <v>1235</v>
      </c>
      <c r="B63" s="18">
        <v>520042607</v>
      </c>
    </row>
    <row r="64" spans="1:2">
      <c r="A64" t="s">
        <v>1236</v>
      </c>
      <c r="B64" s="18">
        <v>513026484</v>
      </c>
    </row>
    <row r="65" spans="1:2">
      <c r="A65" t="s">
        <v>1237</v>
      </c>
      <c r="B65">
        <v>520023185</v>
      </c>
    </row>
    <row r="66" spans="1:2">
      <c r="A66" t="s">
        <v>1238</v>
      </c>
      <c r="B66">
        <v>520004078</v>
      </c>
    </row>
    <row r="67" spans="1:2">
      <c r="A67" t="s">
        <v>1239</v>
      </c>
      <c r="B67" s="18">
        <v>512267592</v>
      </c>
    </row>
    <row r="68" spans="1:2">
      <c r="A68" t="s">
        <v>1240</v>
      </c>
      <c r="B68">
        <v>515764868</v>
      </c>
    </row>
    <row r="69" spans="1:2">
      <c r="A69" t="s">
        <v>1241</v>
      </c>
      <c r="B69" s="18">
        <v>513452003</v>
      </c>
    </row>
    <row r="70" spans="1:2">
      <c r="A70" t="s">
        <v>1242</v>
      </c>
      <c r="B70" s="18">
        <v>510142789</v>
      </c>
    </row>
    <row r="71" spans="1:2">
      <c r="A71" t="s">
        <v>1243</v>
      </c>
      <c r="B71" s="18">
        <v>510960586</v>
      </c>
    </row>
    <row r="72" spans="1:2">
      <c r="A72" t="s">
        <v>1244</v>
      </c>
      <c r="B72" s="18">
        <v>510930670</v>
      </c>
    </row>
    <row r="73" spans="1:2">
      <c r="A73" t="s">
        <v>1245</v>
      </c>
      <c r="B73" s="18">
        <v>510927536</v>
      </c>
    </row>
    <row r="74" spans="1:2">
      <c r="A74" t="s">
        <v>1246</v>
      </c>
      <c r="B74" s="18">
        <v>510930654</v>
      </c>
    </row>
    <row r="75" spans="1:2">
      <c r="A75" t="s">
        <v>1247</v>
      </c>
      <c r="B75" s="18">
        <v>520032566</v>
      </c>
    </row>
    <row r="76" spans="1:2">
      <c r="A76" t="s">
        <v>1248</v>
      </c>
      <c r="B76" s="18">
        <v>513611509</v>
      </c>
    </row>
    <row r="77" spans="1:2">
      <c r="A77" t="s">
        <v>1249</v>
      </c>
      <c r="B77">
        <v>510888985</v>
      </c>
    </row>
    <row r="78" spans="1:2">
      <c r="A78" t="s">
        <v>1250</v>
      </c>
      <c r="B78">
        <v>520024647</v>
      </c>
    </row>
    <row r="79" spans="1:2">
      <c r="A79" t="s">
        <v>1251</v>
      </c>
      <c r="B79" s="18">
        <v>512244146</v>
      </c>
    </row>
    <row r="80" spans="1:2">
      <c r="A80" t="s">
        <v>1252</v>
      </c>
      <c r="B80" s="18">
        <v>510694821</v>
      </c>
    </row>
    <row r="81" spans="1:2">
      <c r="A81" t="s">
        <v>1253</v>
      </c>
      <c r="B81">
        <v>515761625</v>
      </c>
    </row>
    <row r="82" spans="1:2">
      <c r="A82" t="s">
        <v>1254</v>
      </c>
      <c r="B82" s="18">
        <v>511423048</v>
      </c>
    </row>
    <row r="83" spans="1:2">
      <c r="A83" t="s">
        <v>1255</v>
      </c>
      <c r="B83" s="18">
        <v>520019688</v>
      </c>
    </row>
    <row r="84" spans="1:2">
      <c r="A84" t="s">
        <v>1256</v>
      </c>
      <c r="B84">
        <v>520004896</v>
      </c>
    </row>
    <row r="85" spans="1:2">
      <c r="A85" t="s">
        <v>1257</v>
      </c>
      <c r="B85" s="18">
        <v>512237744</v>
      </c>
    </row>
    <row r="86" spans="1:2">
      <c r="A86" t="s">
        <v>1258</v>
      </c>
      <c r="B86" s="18">
        <v>514956465</v>
      </c>
    </row>
    <row r="87" spans="1:2">
      <c r="A87" t="s">
        <v>1259</v>
      </c>
      <c r="B87" s="18">
        <v>512362914</v>
      </c>
    </row>
    <row r="88" spans="1:2">
      <c r="A88" t="s">
        <v>1260</v>
      </c>
      <c r="B88" s="18">
        <v>520042615</v>
      </c>
    </row>
    <row r="89" spans="1:2">
      <c r="A89" t="s">
        <v>1261</v>
      </c>
      <c r="B89" s="18">
        <v>512065202</v>
      </c>
    </row>
    <row r="90" spans="1:2">
      <c r="A90" t="s">
        <v>1262</v>
      </c>
      <c r="B90">
        <v>520042540</v>
      </c>
    </row>
    <row r="91" spans="1:2">
      <c r="A91" t="s">
        <v>1263</v>
      </c>
      <c r="B91" s="18">
        <v>520027715</v>
      </c>
    </row>
    <row r="92" spans="1:2">
      <c r="A92" t="s">
        <v>1264</v>
      </c>
      <c r="B92" s="18">
        <v>512245812</v>
      </c>
    </row>
    <row r="93" spans="1:2">
      <c r="A93" t="s">
        <v>1265</v>
      </c>
      <c r="B93" s="18">
        <v>520022351</v>
      </c>
    </row>
    <row r="94" spans="1:2">
      <c r="A94" t="s">
        <v>1266</v>
      </c>
      <c r="B94" s="18">
        <v>514767490</v>
      </c>
    </row>
    <row r="95" spans="1:2">
      <c r="A95" t="s">
        <v>1267</v>
      </c>
      <c r="B95" s="18">
        <v>520024985</v>
      </c>
    </row>
    <row r="96" spans="1:2">
      <c r="A96" t="s">
        <v>1268</v>
      </c>
      <c r="B96" s="18">
        <v>520042573</v>
      </c>
    </row>
    <row r="97" spans="1:2">
      <c r="A97" t="s">
        <v>1269</v>
      </c>
      <c r="B97" s="18">
        <v>570009449</v>
      </c>
    </row>
    <row r="98" spans="1:2">
      <c r="A98" t="s">
        <v>1270</v>
      </c>
      <c r="B98" s="18">
        <v>520031659</v>
      </c>
    </row>
    <row r="99" spans="1:2">
      <c r="A99" t="s">
        <v>1271</v>
      </c>
      <c r="B99" s="18">
        <v>520042581</v>
      </c>
    </row>
    <row r="100" spans="1:2">
      <c r="A100" t="s">
        <v>1272</v>
      </c>
      <c r="B100">
        <v>520031030</v>
      </c>
    </row>
    <row r="101" spans="1:2">
      <c r="A101" t="s">
        <v>1273</v>
      </c>
      <c r="B101" s="18">
        <v>520030941</v>
      </c>
    </row>
    <row r="102" spans="1:2">
      <c r="A102" t="s">
        <v>1274</v>
      </c>
      <c r="B102" s="18">
        <v>512008335</v>
      </c>
    </row>
    <row r="103" spans="1:2">
      <c r="A103" t="s">
        <v>1275</v>
      </c>
      <c r="B103" s="18">
        <v>520022963</v>
      </c>
    </row>
    <row r="104" spans="1:2">
      <c r="A104" t="s">
        <v>1276</v>
      </c>
      <c r="B104" s="18">
        <v>570011767</v>
      </c>
    </row>
    <row r="105" spans="1:2">
      <c r="A105" t="s">
        <v>1277</v>
      </c>
      <c r="B105" s="18">
        <v>570014928</v>
      </c>
    </row>
    <row r="106" spans="1:2">
      <c r="A106" t="s">
        <v>1278</v>
      </c>
      <c r="B106" s="18">
        <v>570005959</v>
      </c>
    </row>
    <row r="107" spans="1:2">
      <c r="A107" t="s">
        <v>1279</v>
      </c>
      <c r="B107" s="18">
        <v>510800402</v>
      </c>
    </row>
    <row r="108" spans="1:2">
      <c r="A108" t="s">
        <v>1280</v>
      </c>
      <c r="B108" s="18">
        <v>570007476</v>
      </c>
    </row>
    <row r="109" spans="1:2">
      <c r="A109" t="s">
        <v>1281</v>
      </c>
      <c r="B109" s="18">
        <v>570005850</v>
      </c>
    </row>
    <row r="110" spans="1:2">
      <c r="A110" t="s">
        <v>1282</v>
      </c>
      <c r="B110" s="18">
        <v>520020504</v>
      </c>
    </row>
    <row r="111" spans="1:2">
      <c r="A111" t="s">
        <v>1283</v>
      </c>
      <c r="B111" s="18">
        <v>520020447</v>
      </c>
    </row>
    <row r="112" spans="1:2">
      <c r="A112" t="s">
        <v>1284</v>
      </c>
      <c r="B112" s="18">
        <v>511033060</v>
      </c>
    </row>
    <row r="113" spans="1:2">
      <c r="A113" t="s">
        <v>1285</v>
      </c>
      <c r="B113">
        <v>520027848</v>
      </c>
    </row>
    <row r="114" spans="1:2">
      <c r="A114" t="s">
        <v>1286</v>
      </c>
      <c r="B114" s="18">
        <v>570009852</v>
      </c>
    </row>
    <row r="115" spans="1:2">
      <c r="A115" t="s">
        <v>1287</v>
      </c>
      <c r="B115" s="18">
        <v>520027251</v>
      </c>
    </row>
    <row r="116" spans="1:2">
      <c r="A116" t="s">
        <v>1288</v>
      </c>
      <c r="B116" s="18">
        <v>520028390</v>
      </c>
    </row>
    <row r="117" spans="1:2">
      <c r="A117" t="s">
        <v>1289</v>
      </c>
      <c r="B117" s="18">
        <v>510806870</v>
      </c>
    </row>
    <row r="118" spans="1:2">
      <c r="A118" t="s">
        <v>1290</v>
      </c>
      <c r="B118">
        <v>513879189</v>
      </c>
    </row>
    <row r="119" spans="1:2">
      <c r="A119" t="s">
        <v>1291</v>
      </c>
      <c r="B119">
        <v>510015951</v>
      </c>
    </row>
    <row r="120" spans="1:2">
      <c r="A120" t="s">
        <v>1292</v>
      </c>
      <c r="B120" s="18">
        <v>520030693</v>
      </c>
    </row>
    <row r="121" spans="1:2">
      <c r="A121" t="s">
        <v>1293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2024-06-20T15:45:25Z</dcterms:modified>
</cp:coreProperties>
</file>