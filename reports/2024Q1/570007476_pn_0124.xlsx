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0C18314C-F416-4127-A5D7-2D70395A7A43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9" i="2" l="1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5" i="2"/>
  <c r="E21" i="2"/>
  <c r="E6" i="2"/>
  <c r="E22" i="2"/>
  <c r="E7" i="2"/>
  <c r="E23" i="2"/>
  <c r="E8" i="2"/>
  <c r="E24" i="2"/>
  <c r="E9" i="2"/>
  <c r="E25" i="2"/>
  <c r="E10" i="2"/>
  <c r="E26" i="2"/>
  <c r="E11" i="2"/>
  <c r="E27" i="2"/>
  <c r="E12" i="2"/>
  <c r="E28" i="2"/>
  <c r="E13" i="2"/>
  <c r="E14" i="2"/>
  <c r="E15" i="2"/>
  <c r="E16" i="2"/>
  <c r="E17" i="2"/>
  <c r="E18" i="2"/>
  <c r="E19" i="2"/>
  <c r="E29" i="2"/>
  <c r="E3" i="2"/>
  <c r="E30" i="2" l="1"/>
</calcChain>
</file>

<file path=xl/sharedStrings.xml><?xml version="1.0" encoding="utf-8"?>
<sst xmlns="http://schemas.openxmlformats.org/spreadsheetml/2006/main" count="5409" uniqueCount="1418">
  <si>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</si>
  <si>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</si>
  <si>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</si>
  <si>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</si>
  <si>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</si>
  <si>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</si>
  <si>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</si>
  <si>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</si>
  <si>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</si>
  <si>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</si>
  <si>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</si>
  <si>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</si>
  <si>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</si>
  <si>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</si>
  <si>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</si>
  <si>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</si>
  <si>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</si>
  <si>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</si>
  <si>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</si>
  <si>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</si>
  <si>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</si>
  <si>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</si>
  <si>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</si>
  <si>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</si>
  <si>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</si>
  <si>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</si>
  <si>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</si>
  <si>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</si>
  <si>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</si>
  <si>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</si>
  <si>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</si>
  <si>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</si>
  <si>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</si>
  <si>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</si>
  <si>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</si>
  <si>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</si>
  <si>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</si>
  <si>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</si>
  <si>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</si>
  <si>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</si>
  <si>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</si>
  <si>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</si>
  <si>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</si>
  <si>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</si>
  <si>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</si>
  <si>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</si>
  <si>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</si>
  <si>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</si>
  <si>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</si>
  <si>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</si>
  <si>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</si>
  <si>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</si>
  <si>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</si>
  <si>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</si>
  <si>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</si>
  <si>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</si>
  <si>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</si>
  <si>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</si>
  <si>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</si>
  <si>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</si>
  <si>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</si>
  <si>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</si>
  <si>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</si>
  <si>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</si>
  <si>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</si>
  <si>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</si>
  <si>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</si>
  <si>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</si>
  <si>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</si>
  <si>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</si>
  <si>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</si>
  <si>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</si>
  <si>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</si>
  <si>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</si>
  <si>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</si>
  <si>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</si>
  <si>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</si>
  <si>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</si>
  <si>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</si>
  <si>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</si>
  <si>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</si>
  <si>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</si>
  <si>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</si>
  <si>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</si>
  <si>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</si>
  <si>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</si>
  <si>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</si>
  <si>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</si>
  <si>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</si>
  <si>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</si>
  <si>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</si>
  <si>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</si>
  <si>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</si>
  <si>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</si>
  <si>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</si>
  <si>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</si>
  <si>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</si>
  <si>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</si>
  <si>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</si>
  <si>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</si>
  <si>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</si>
  <si>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</si>
  <si>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</si>
  <si>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</si>
  <si>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</si>
  <si>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</si>
  <si>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</si>
  <si>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</si>
  <si>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</si>
  <si>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</si>
  <si>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</si>
  <si>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</si>
  <si>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</si>
  <si>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</si>
  <si>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</si>
  <si>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</si>
  <si>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</si>
  <si>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</si>
  <si>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</si>
  <si>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</si>
  <si>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</si>
  <si>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</si>
  <si>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</si>
  <si>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</si>
  <si>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</si>
  <si>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</si>
  <si>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</si>
  <si>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</si>
  <si>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</si>
  <si>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</si>
  <si>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</si>
  <si>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</si>
  <si>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</si>
  <si>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</si>
  <si>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</si>
  <si>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</si>
  <si>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</si>
  <si>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</si>
  <si>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</si>
  <si>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</si>
  <si>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</si>
  <si>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</si>
  <si>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</si>
  <si>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</si>
  <si>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</si>
  <si>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</si>
  <si>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</si>
  <si>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</si>
  <si>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</si>
  <si>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</si>
  <si>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</si>
  <si>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</si>
  <si>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</si>
  <si>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</si>
  <si>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</si>
  <si>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</si>
  <si>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</si>
  <si>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</si>
  <si>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</si>
  <si>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</si>
  <si>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</si>
  <si>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</si>
  <si>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</si>
  <si>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</si>
  <si>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</si>
  <si>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</si>
  <si>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</si>
  <si>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</si>
  <si>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</si>
  <si>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</si>
  <si>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</si>
  <si>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</si>
  <si>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</si>
  <si>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</si>
  <si>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</si>
  <si>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</si>
  <si>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</si>
  <si>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</si>
  <si>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</si>
  <si>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</si>
  <si>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</si>
  <si>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</si>
  <si>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</si>
  <si>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</si>
  <si>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</si>
  <si>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</si>
  <si>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</si>
  <si>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</si>
  <si>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</si>
  <si>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</si>
  <si>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</si>
  <si>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</si>
  <si>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</si>
  <si>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</si>
  <si>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</si>
  <si>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</si>
  <si>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</si>
  <si>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</si>
  <si>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</si>
  <si>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</si>
  <si>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</si>
  <si>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</si>
  <si>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</si>
  <si>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</si>
  <si>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</si>
  <si>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</si>
  <si>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</si>
  <si>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</si>
  <si>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</si>
  <si>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</si>
  <si>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</si>
  <si>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</si>
  <si>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</si>
  <si>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</si>
  <si>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</si>
  <si>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</si>
  <si>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</si>
  <si>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</si>
  <si>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</si>
  <si>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</si>
  <si>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</si>
  <si>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</si>
  <si>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</si>
  <si>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</si>
  <si>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</si>
  <si>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</si>
  <si>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</si>
  <si>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</si>
  <si>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</si>
  <si>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</si>
  <si>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</si>
  <si>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</si>
  <si>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</si>
  <si>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</si>
  <si>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</si>
  <si>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</si>
  <si>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</si>
  <si>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</si>
  <si>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</si>
  <si>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</si>
  <si>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</si>
  <si>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</si>
  <si>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</si>
  <si>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</si>
  <si>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</si>
  <si>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</si>
  <si>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</si>
  <si>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</si>
  <si>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</si>
  <si>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</si>
  <si>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</si>
  <si>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</si>
  <si>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</si>
  <si>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</si>
  <si>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</si>
  <si>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</si>
  <si>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</si>
  <si>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</si>
  <si>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</si>
  <si>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</si>
  <si>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</si>
  <si>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</si>
  <si>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</si>
  <si>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</si>
  <si>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</si>
  <si>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</si>
  <si>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</si>
  <si>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</si>
  <si>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</si>
  <si>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</si>
  <si>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</si>
  <si>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</si>
  <si>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</si>
  <si>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</si>
  <si>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</si>
  <si>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</si>
  <si>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</si>
  <si>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</si>
  <si>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</si>
  <si>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</si>
  <si>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</si>
  <si>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</si>
  <si>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</si>
  <si>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</si>
  <si>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</si>
  <si>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</si>
  <si>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</si>
  <si>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</si>
  <si>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</si>
  <si>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</si>
  <si>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</si>
  <si>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</si>
  <si>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</si>
  <si>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</si>
  <si>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</si>
  <si>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</si>
  <si>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</si>
  <si>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</si>
  <si>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</si>
  <si>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</si>
  <si>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</si>
  <si>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</si>
  <si>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</si>
  <si>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</si>
  <si>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</si>
  <si>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</si>
  <si>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</si>
  <si>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</si>
  <si>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</si>
  <si>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</si>
  <si>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</si>
  <si>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</si>
  <si>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</si>
  <si>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</si>
  <si>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</si>
  <si>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</si>
  <si>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</si>
  <si>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</si>
  <si>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</si>
  <si>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</si>
  <si>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</si>
  <si>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</si>
  <si>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</si>
  <si>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</si>
  <si>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</si>
  <si>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</si>
  <si>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</si>
  <si>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</si>
  <si>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</si>
  <si>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</si>
  <si>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</si>
  <si>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</si>
  <si>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</si>
  <si>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</si>
  <si>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</si>
  <si>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</si>
  <si>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</si>
  <si>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</si>
  <si>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</si>
  <si>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</si>
  <si>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</si>
  <si>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</si>
  <si>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</si>
  <si>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</si>
  <si>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</si>
  <si>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</si>
  <si>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</si>
  <si>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</si>
  <si>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</si>
  <si>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</si>
  <si>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</si>
  <si>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</si>
  <si>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</si>
  <si>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</si>
  <si>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</si>
  <si>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</si>
  <si>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</si>
  <si>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</si>
  <si>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</si>
  <si>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</si>
  <si>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</si>
  <si>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</si>
  <si>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</si>
  <si>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</si>
  <si>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</si>
  <si>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</si>
  <si>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</si>
  <si>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</si>
  <si>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</si>
  <si>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</si>
  <si>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</si>
  <si>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</si>
  <si>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</si>
  <si>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</si>
  <si>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</si>
  <si>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</si>
  <si>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</si>
  <si>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</si>
  <si>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</si>
  <si>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</si>
  <si>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</si>
  <si>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</si>
  <si>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</si>
  <si>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</si>
  <si>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</si>
  <si>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</si>
  <si>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</si>
  <si>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</si>
  <si>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</si>
  <si>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</si>
  <si>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</si>
  <si>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</si>
  <si>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</si>
  <si>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</si>
  <si>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</si>
  <si>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</si>
  <si>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</si>
  <si>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</si>
  <si>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</si>
  <si>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</si>
  <si>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</si>
  <si>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</si>
  <si>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</si>
  <si>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</si>
  <si>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</si>
  <si>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</si>
  <si>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</si>
  <si>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</si>
  <si>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</si>
  <si>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</si>
  <si>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</si>
  <si>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</si>
  <si>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</si>
  <si>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</si>
  <si>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</si>
  <si>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</si>
  <si>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</si>
  <si>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</si>
  <si>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</si>
  <si>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</si>
  <si>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</si>
  <si>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</si>
  <si>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</si>
  <si>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</si>
  <si>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</si>
  <si>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</si>
  <si>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</si>
  <si>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</si>
  <si>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</si>
  <si>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</si>
  <si>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</si>
  <si>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</si>
  <si>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</si>
  <si>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</si>
  <si>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</si>
  <si>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</si>
  <si>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</si>
  <si>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</si>
  <si>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</si>
  <si>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</si>
  <si>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</si>
  <si>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</si>
  <si>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</si>
  <si>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</si>
  <si>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</si>
  <si>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</si>
  <si>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</si>
  <si>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</si>
  <si>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</si>
  <si>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</si>
  <si>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</si>
  <si>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</si>
  <si>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</si>
  <si>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</si>
  <si>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</si>
  <si>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</si>
  <si>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</si>
  <si>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</si>
  <si>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</si>
  <si>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</si>
  <si>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</si>
  <si>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</si>
  <si>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</si>
  <si>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</si>
  <si>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</si>
  <si>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</si>
  <si>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</si>
  <si>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</si>
  <si>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</si>
  <si>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</si>
  <si>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</si>
  <si>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</si>
  <si>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</si>
  <si>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</si>
  <si>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</si>
  <si>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</si>
  <si>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</si>
  <si>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</si>
  <si>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</si>
  <si>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</si>
  <si>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</si>
  <si>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</si>
  <si>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</si>
  <si>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</si>
  <si>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</si>
  <si>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</si>
  <si>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</si>
  <si>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</si>
  <si>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</si>
  <si>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</si>
  <si>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</si>
  <si>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</si>
  <si>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</si>
  <si>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</si>
  <si>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</si>
  <si>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</si>
  <si>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</si>
  <si>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</si>
  <si>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</si>
  <si>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</si>
  <si>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</si>
  <si>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</si>
  <si>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</si>
  <si>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</si>
  <si>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</si>
  <si>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</si>
  <si>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</si>
  <si>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</si>
  <si>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</si>
  <si>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</si>
  <si>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</si>
  <si>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</si>
  <si>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</si>
  <si>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</si>
  <si>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</si>
  <si>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</si>
  <si>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</si>
  <si>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</si>
  <si>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</si>
  <si>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</si>
  <si>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</si>
  <si>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</si>
  <si>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</si>
  <si>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</si>
  <si>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</si>
  <si>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</si>
  <si>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</si>
  <si>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</si>
  <si>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</si>
  <si>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</si>
  <si>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</si>
  <si>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</si>
  <si>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</si>
  <si>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</si>
  <si>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</si>
  <si>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</si>
  <si>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</si>
  <si>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</si>
  <si>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</si>
  <si>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</si>
  <si>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</si>
  <si>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</si>
  <si>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</si>
  <si>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</si>
  <si>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</si>
  <si>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</si>
  <si>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</si>
  <si>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</si>
  <si>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</si>
  <si>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</si>
  <si>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</si>
  <si>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</si>
  <si>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</si>
  <si>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</si>
  <si>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</si>
  <si>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</si>
  <si>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</si>
  <si>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</si>
  <si>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</si>
  <si>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</si>
  <si>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</si>
  <si>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</si>
  <si>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</si>
  <si>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</si>
  <si>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</si>
  <si>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</si>
  <si>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</si>
  <si>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</si>
  <si>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</si>
  <si>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</si>
  <si>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</si>
  <si>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</si>
  <si>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</si>
  <si>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</si>
  <si>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</si>
  <si>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</si>
  <si>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</si>
  <si>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</si>
  <si>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</si>
  <si>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</si>
  <si>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</si>
  <si>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</si>
  <si>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</si>
  <si>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</si>
  <si>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</si>
  <si>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</si>
  <si>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</si>
  <si>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</si>
  <si>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</si>
  <si>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</si>
  <si>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</si>
  <si>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</si>
  <si>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</si>
  <si>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</si>
  <si>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</si>
  <si>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</si>
  <si>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</si>
  <si>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</si>
  <si>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</si>
  <si>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</si>
  <si>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</si>
  <si>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</si>
  <si>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</si>
  <si>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</si>
  <si>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</si>
  <si>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</si>
  <si>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</si>
  <si>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</si>
  <si>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</si>
  <si>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</si>
  <si>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</si>
  <si>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</si>
  <si>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</si>
  <si>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</si>
  <si>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</si>
  <si>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</si>
  <si>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</si>
  <si>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</si>
  <si>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</si>
  <si>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</si>
  <si>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</si>
  <si>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</si>
  <si>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</si>
  <si>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</si>
  <si>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</si>
  <si>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</si>
  <si>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</si>
  <si>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</si>
  <si>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</si>
  <si>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</si>
  <si>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</si>
  <si>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</si>
  <si>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</si>
  <si>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</si>
  <si>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</si>
  <si>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</si>
  <si>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</si>
  <si>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</si>
  <si>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</si>
  <si>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</si>
  <si>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</si>
  <si>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</si>
  <si>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</si>
  <si>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</si>
  <si>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</si>
  <si>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</si>
  <si>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</si>
  <si>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</si>
  <si>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</si>
  <si>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</si>
  <si>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</si>
  <si>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</si>
  <si>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</si>
  <si>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</si>
  <si>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</si>
  <si>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</si>
  <si>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</si>
  <si>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</si>
  <si>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</si>
  <si>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</si>
  <si>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</si>
  <si>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</si>
  <si>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</si>
  <si>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</si>
  <si>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</si>
  <si>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</si>
  <si>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</si>
  <si>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</si>
  <si>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</si>
  <si>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</si>
  <si>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</si>
  <si>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</si>
  <si>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</si>
  <si>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</si>
  <si>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</si>
  <si>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</si>
  <si>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</si>
  <si>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</si>
  <si>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</si>
  <si>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</si>
  <si>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</si>
  <si>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</si>
  <si>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</si>
  <si>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</si>
  <si>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</si>
  <si>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</si>
  <si>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</si>
  <si>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</si>
  <si>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</si>
  <si>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</si>
  <si>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</si>
  <si>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</si>
  <si>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</si>
  <si>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</si>
  <si>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</si>
  <si>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</si>
  <si>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</si>
  <si>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</si>
  <si>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</si>
  <si>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</si>
  <si>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</si>
  <si>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</si>
  <si>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</si>
  <si>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</si>
  <si>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</si>
  <si>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</si>
  <si>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</si>
  <si>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</si>
  <si>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</si>
  <si>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</si>
  <si>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</si>
  <si>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</si>
  <si>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</si>
  <si>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</si>
  <si>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</si>
  <si>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</si>
  <si>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</si>
  <si>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</si>
  <si>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</si>
  <si>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</si>
  <si>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</si>
  <si>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</si>
  <si>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</si>
  <si>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</si>
  <si>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</si>
  <si>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</si>
  <si>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</si>
  <si>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</si>
  <si>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</si>
  <si>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</si>
  <si>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</si>
  <si>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</si>
  <si>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</si>
  <si>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</si>
  <si>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</si>
  <si>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</si>
  <si>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</si>
  <si>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</si>
  <si>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</si>
  <si>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</si>
  <si>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</si>
  <si>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</si>
  <si>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</si>
  <si>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</si>
  <si>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</si>
  <si>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</si>
  <si>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</si>
  <si>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</si>
  <si>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</si>
  <si>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</si>
  <si>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</si>
  <si>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</si>
  <si>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</si>
  <si>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</si>
  <si>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</si>
  <si>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</si>
  <si>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</si>
  <si>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</si>
  <si>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</si>
  <si>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</si>
  <si>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</si>
  <si>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</si>
  <si>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</si>
  <si>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</si>
  <si>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</si>
  <si>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</si>
  <si>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</si>
  <si>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</si>
  <si>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</si>
  <si>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</si>
  <si>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</si>
  <si>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</si>
  <si>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</si>
  <si>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</si>
  <si>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</si>
  <si>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</si>
  <si>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</si>
  <si>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</si>
  <si>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</si>
  <si>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</si>
  <si>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</si>
  <si>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</si>
  <si>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</si>
  <si>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</si>
  <si>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</si>
  <si>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</si>
  <si>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</si>
  <si>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</si>
  <si>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</si>
  <si>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</si>
  <si>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</si>
  <si>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</si>
  <si>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</si>
  <si>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</si>
  <si>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</si>
  <si>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</si>
  <si>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</si>
  <si>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</si>
  <si>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</si>
  <si>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</si>
  <si>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</si>
  <si>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</si>
  <si>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</si>
  <si>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</si>
  <si>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</si>
  <si>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</si>
  <si>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</si>
  <si>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</si>
  <si>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</si>
  <si>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</si>
  <si>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</si>
  <si>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</si>
  <si>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</si>
  <si>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</si>
  <si>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</si>
  <si>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</si>
  <si>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</si>
  <si>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</si>
  <si>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</si>
  <si>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</si>
  <si>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</si>
  <si>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</si>
  <si>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</si>
  <si>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</si>
  <si>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</si>
  <si>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</si>
  <si>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</si>
  <si>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</si>
  <si>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</si>
  <si>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</si>
  <si>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</si>
  <si>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</si>
  <si>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</si>
  <si>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</si>
  <si>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</si>
  <si>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</si>
  <si>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</si>
  <si>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</si>
  <si>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</si>
  <si>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</si>
  <si>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</si>
  <si>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</si>
  <si>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</si>
  <si>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</si>
  <si>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</si>
  <si>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</si>
  <si>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</si>
  <si>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</si>
  <si>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</si>
  <si>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</si>
  <si>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</si>
  <si>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</si>
  <si>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</si>
  <si>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</si>
  <si>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</si>
  <si>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</si>
  <si>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</si>
  <si>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</si>
  <si>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</si>
  <si>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</si>
  <si>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</si>
  <si>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</si>
  <si>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</si>
  <si>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</si>
  <si>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</si>
  <si>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</si>
  <si>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</si>
  <si>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</si>
  <si>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</si>
  <si>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</si>
  <si>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</si>
  <si>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</si>
  <si>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</si>
  <si>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</si>
  <si>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</si>
  <si>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</si>
  <si>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</si>
  <si>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</si>
  <si>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</si>
  <si>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</si>
  <si>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</si>
  <si>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</si>
  <si>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</si>
  <si>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</si>
  <si>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</si>
  <si>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</si>
  <si>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</si>
  <si>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</si>
  <si>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</si>
  <si>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</si>
  <si>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</si>
  <si>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</si>
  <si>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</si>
  <si>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</si>
  <si>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</si>
  <si>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</si>
  <si>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</si>
  <si>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</si>
  <si>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</si>
  <si>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</si>
  <si>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</si>
  <si>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</si>
  <si>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</si>
  <si>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</si>
  <si>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</si>
  <si>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</si>
  <si>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</si>
  <si>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</si>
  <si>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</si>
  <si>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</si>
  <si>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</si>
  <si>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</si>
  <si>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</si>
  <si>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</si>
  <si>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</si>
  <si>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</si>
  <si>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</si>
  <si>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</si>
  <si>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</si>
  <si>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</si>
  <si>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</si>
  <si>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</si>
  <si>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</si>
  <si>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</si>
  <si>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</si>
  <si>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</si>
  <si>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</si>
  <si>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</si>
  <si>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</si>
  <si>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</si>
  <si>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</si>
  <si>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</si>
  <si>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</si>
  <si>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</si>
  <si>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</si>
  <si>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</si>
  <si>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</si>
  <si>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</si>
  <si>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</si>
  <si>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</si>
  <si>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</si>
  <si>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</si>
  <si>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</si>
  <si>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</si>
  <si>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</si>
  <si>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</si>
  <si>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</si>
  <si>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</si>
  <si>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</si>
  <si>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</si>
  <si>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</si>
  <si>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</si>
  <si>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</si>
  <si>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</si>
  <si>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</si>
  <si>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</si>
  <si>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</si>
  <si>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</si>
  <si>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</si>
  <si>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</si>
  <si>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</si>
  <si>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</si>
  <si>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</si>
  <si>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</si>
  <si>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</si>
  <si>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</si>
  <si>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</si>
  <si>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</si>
  <si>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</si>
  <si>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</si>
  <si>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</si>
  <si>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</si>
  <si>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</si>
  <si>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</si>
  <si>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</si>
  <si>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</si>
  <si>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</si>
  <si>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</si>
  <si>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</si>
  <si>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</si>
  <si>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</si>
  <si>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</si>
  <si>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</si>
  <si>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</si>
  <si>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</si>
  <si>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</si>
  <si>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</si>
  <si>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</si>
  <si>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</si>
  <si>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</si>
  <si>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</si>
  <si>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</si>
  <si>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</si>
  <si>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</si>
  <si>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</si>
  <si>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</si>
  <si>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</si>
  <si>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</si>
  <si>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</si>
  <si>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</si>
  <si>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</si>
  <si>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</si>
  <si>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</si>
  <si>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</si>
  <si>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</si>
  <si>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</si>
  <si>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</si>
  <si>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</si>
  <si>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</si>
  <si>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</si>
  <si>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</si>
  <si>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</si>
  <si>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</si>
  <si>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</si>
  <si>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</si>
  <si>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</si>
  <si>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</si>
  <si>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</si>
  <si>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</si>
  <si>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</si>
  <si>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</si>
  <si>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</si>
  <si>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</si>
  <si>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</si>
  <si>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</si>
  <si>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</si>
  <si>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</si>
  <si>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</si>
  <si>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</si>
  <si>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</si>
  <si>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</si>
  <si>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</si>
  <si>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</si>
  <si>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</si>
  <si>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</si>
  <si>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</si>
  <si>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</si>
  <si>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</si>
  <si>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</si>
  <si>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</si>
  <si>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</si>
  <si>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</si>
  <si>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</si>
  <si>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</si>
  <si>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</si>
  <si>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</si>
  <si>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</si>
  <si>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</si>
  <si>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</si>
  <si>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</si>
  <si>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</si>
  <si>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</si>
  <si>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</si>
  <si>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</si>
  <si>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</si>
  <si>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</si>
  <si>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</si>
  <si>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</si>
  <si>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</si>
  <si>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</si>
  <si>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</si>
  <si>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</si>
  <si>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</si>
  <si>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</si>
  <si>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</si>
  <si>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</si>
  <si>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</si>
  <si>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</si>
  <si>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</si>
  <si>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</si>
  <si>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</si>
  <si>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</si>
  <si>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</si>
  <si>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</si>
  <si>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</si>
  <si>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</si>
  <si>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</si>
  <si>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</si>
  <si>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</si>
  <si>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</si>
  <si>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</si>
  <si>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</si>
  <si>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</si>
  <si>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</si>
  <si>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</si>
  <si>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</si>
  <si>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</si>
  <si>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</si>
  <si>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</si>
  <si>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</si>
  <si>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</si>
  <si>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</si>
  <si>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</si>
  <si>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</si>
  <si>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</si>
  <si>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</si>
  <si>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</si>
  <si>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</si>
  <si>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</si>
  <si>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</si>
  <si>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</si>
  <si>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</si>
  <si>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</si>
  <si>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</si>
  <si>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</si>
  <si>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</si>
  <si>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</si>
  <si>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</si>
  <si>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</si>
  <si>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</si>
  <si>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</si>
  <si>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</si>
  <si>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</si>
  <si>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</si>
  <si>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</si>
  <si>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</si>
  <si>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</si>
  <si>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</si>
  <si>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</si>
  <si>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</si>
  <si>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</si>
  <si>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</si>
  <si>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</si>
  <si>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</si>
  <si>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</si>
  <si>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</si>
  <si>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</si>
  <si>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</si>
  <si>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</si>
  <si>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</si>
  <si>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</si>
  <si>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</si>
  <si>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</si>
  <si>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</si>
  <si>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</si>
  <si>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</si>
  <si>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</si>
  <si>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</si>
  <si>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</si>
  <si>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</si>
  <si>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</si>
  <si>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</si>
  <si>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</si>
  <si>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</si>
  <si>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</si>
  <si>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</si>
  <si>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</si>
  <si>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</si>
  <si>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</si>
  <si>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</si>
  <si>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</si>
  <si>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</si>
  <si>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</si>
  <si>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</si>
  <si>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</si>
  <si>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</si>
  <si>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</si>
  <si>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</si>
  <si>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</si>
  <si>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</si>
  <si>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</si>
  <si>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</si>
  <si>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</si>
  <si>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</si>
  <si>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</si>
  <si>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</si>
  <si>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</si>
  <si>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</si>
  <si>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</si>
  <si>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</si>
  <si>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</si>
  <si>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</si>
  <si>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</si>
  <si>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</si>
  <si>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</si>
  <si>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</si>
  <si>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</si>
  <si>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</si>
  <si>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</si>
  <si>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</si>
  <si>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</si>
  <si>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</si>
  <si>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</si>
  <si>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</si>
  <si>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</si>
  <si>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</si>
  <si>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</si>
  <si>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</si>
  <si>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</si>
  <si>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</si>
  <si>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</si>
  <si>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</si>
  <si>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</si>
  <si>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</si>
  <si>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</si>
  <si>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</si>
  <si>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</si>
  <si>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</si>
  <si>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</si>
  <si>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</si>
  <si>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</si>
  <si>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</si>
  <si>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</si>
  <si>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</si>
  <si>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</si>
  <si>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</si>
  <si>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</si>
  <si>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</si>
  <si>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</si>
  <si>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קרן הביטוח ופנסיה לפעולים חקלאים ובלתי מקצועיים בי</t>
  </si>
  <si>
    <t>בנק מזרחי</t>
  </si>
  <si>
    <t>20-21</t>
  </si>
  <si>
    <t>ILS</t>
  </si>
  <si>
    <t>בנק לאומי</t>
  </si>
  <si>
    <t>10-800</t>
  </si>
  <si>
    <t>EUR</t>
  </si>
  <si>
    <t>USD</t>
  </si>
  <si>
    <t>יו-בנק</t>
  </si>
  <si>
    <t>26-273</t>
  </si>
  <si>
    <t>AA</t>
  </si>
  <si>
    <t>בנק הפועלים</t>
  </si>
  <si>
    <t>12-600</t>
  </si>
  <si>
    <t>ממשלת ישראל</t>
  </si>
  <si>
    <t>ממשלתי צמוד 0536</t>
  </si>
  <si>
    <t>IL0010977085</t>
  </si>
  <si>
    <t>מקמ 524</t>
  </si>
  <si>
    <t>IL0082405254</t>
  </si>
  <si>
    <t>ממשלתי שקלי 347</t>
  </si>
  <si>
    <t>IL0011401937</t>
  </si>
  <si>
    <t>מקמ 0414</t>
  </si>
  <si>
    <t>IL0082404182</t>
  </si>
  <si>
    <t>ממשל שקלית 425</t>
  </si>
  <si>
    <t>IL0011626681</t>
  </si>
  <si>
    <t>ממשלתי צמוד 0545</t>
  </si>
  <si>
    <t>IL0011348658</t>
  </si>
  <si>
    <t>ממשל שקלית 0330</t>
  </si>
  <si>
    <t>IL0011609851</t>
  </si>
  <si>
    <t>ממשל צמודה 1131</t>
  </si>
  <si>
    <t>IL0011722209</t>
  </si>
  <si>
    <t>ממשלתי משתנה 0526</t>
  </si>
  <si>
    <t>IL0011417958</t>
  </si>
  <si>
    <t>ממשלתי שקלי 142</t>
  </si>
  <si>
    <t>IL0011254005</t>
  </si>
  <si>
    <t>ממשלתי צמוד  1151</t>
  </si>
  <si>
    <t>IL0011683013</t>
  </si>
  <si>
    <t>ממשלתי  צמוד 0841</t>
  </si>
  <si>
    <t>IL0011205833</t>
  </si>
  <si>
    <t>ממשלתי שקלי 1152</t>
  </si>
  <si>
    <t>IL0011840761</t>
  </si>
  <si>
    <t>ממשלתי 0928</t>
  </si>
  <si>
    <t>IL0011508798</t>
  </si>
  <si>
    <t>מימון ישיר</t>
  </si>
  <si>
    <t>מימון ישיר קבוצה ו</t>
  </si>
  <si>
    <t>IL0011916595</t>
  </si>
  <si>
    <t>סחיר_x000D_</t>
  </si>
  <si>
    <t>חברת החשמל לישראל בע"מ</t>
  </si>
  <si>
    <t>חשמל אגח 27</t>
  </si>
  <si>
    <t>IL0060002107</t>
  </si>
  <si>
    <t>מזרחי טפחות הנפקות</t>
  </si>
  <si>
    <t>מז טפ הנ אגח 66</t>
  </si>
  <si>
    <t>IL0011916678</t>
  </si>
  <si>
    <t>חשמל 31</t>
  </si>
  <si>
    <t>IL0060002859</t>
  </si>
  <si>
    <t>מזרחי טפ הנ אגח 68</t>
  </si>
  <si>
    <t>IL0012021429</t>
  </si>
  <si>
    <t>בזק החברה הישראלית לתקשורת בע"מ</t>
  </si>
  <si>
    <t>בזק 9</t>
  </si>
  <si>
    <t>IL0023001766</t>
  </si>
  <si>
    <t>מזרחי  טפחות הנפקות  52</t>
  </si>
  <si>
    <t>IL0023103810</t>
  </si>
  <si>
    <t>לאומי</t>
  </si>
  <si>
    <t>לאומי 186</t>
  </si>
  <si>
    <t>IL0012018391</t>
  </si>
  <si>
    <t>מזרחי טפחות הנפקות אגח 62</t>
  </si>
  <si>
    <t>IL0023104982</t>
  </si>
  <si>
    <t>קבוצת עזריאלי בע"מ</t>
  </si>
  <si>
    <t>עזריאלי אגח ה</t>
  </si>
  <si>
    <t>IL0011566036</t>
  </si>
  <si>
    <t>מימון ישיר אגח ד</t>
  </si>
  <si>
    <t>IL0011756603</t>
  </si>
  <si>
    <t>בינלאומי הנפקות</t>
  </si>
  <si>
    <t>בינל הנפק אגח י</t>
  </si>
  <si>
    <t>IL0011602906</t>
  </si>
  <si>
    <t>דיסקונט מנפיקים בע"מ</t>
  </si>
  <si>
    <t>דיסקונט מנפיקים אגח טו</t>
  </si>
  <si>
    <t>IL0074803045</t>
  </si>
  <si>
    <t>מזרחי טפחות הנפקות 45</t>
  </si>
  <si>
    <t>IL0023102176</t>
  </si>
  <si>
    <t>לאומי 183</t>
  </si>
  <si>
    <t>IL0060405474</t>
  </si>
  <si>
    <t>מזרחי  טפחות הנפקות 64</t>
  </si>
  <si>
    <t>IL0023105559</t>
  </si>
  <si>
    <t>חשמל אגח 33</t>
  </si>
  <si>
    <t>IL0060003923</t>
  </si>
  <si>
    <t>לאומי אגח 182</t>
  </si>
  <si>
    <t>IL0060405391</t>
  </si>
  <si>
    <t>מקורות חברת מים בע"מ</t>
  </si>
  <si>
    <t>מקורות סדרה 11</t>
  </si>
  <si>
    <t>IL0011584765</t>
  </si>
  <si>
    <t>מקורות סדרה 10</t>
  </si>
  <si>
    <t>IL0011584682</t>
  </si>
  <si>
    <t>פועלים אגח 201</t>
  </si>
  <si>
    <t>IL0011913451</t>
  </si>
  <si>
    <t>הפחתה בגין קניה בהנפקה מימון ישיר ו 12.9.23</t>
  </si>
  <si>
    <t>פועלים 200</t>
  </si>
  <si>
    <t>IL0066204962</t>
  </si>
  <si>
    <t>נתיבי הגז הטבעי לישראל בע"מ</t>
  </si>
  <si>
    <t>נתיבי גז אגח ד</t>
  </si>
  <si>
    <t>IL0011475030</t>
  </si>
  <si>
    <t>מזרחי טפחות הנפקות 46</t>
  </si>
  <si>
    <t>IL0023102259</t>
  </si>
  <si>
    <t>פועלים התח נד ז</t>
  </si>
  <si>
    <t>IL0011913295</t>
  </si>
  <si>
    <t>פועלים אגח 203</t>
  </si>
  <si>
    <t>IL0011998684</t>
  </si>
  <si>
    <t>מיטב תכלית קרנות נאמנות בע"מ</t>
  </si>
  <si>
    <t>תכלית סל (00) תל בונד 40</t>
  </si>
  <si>
    <t>IL0011450934</t>
  </si>
  <si>
    <t>הראל קרנות נאמנות בע"מ</t>
  </si>
  <si>
    <t>הראל סל תלבונד 20</t>
  </si>
  <si>
    <t>IL0011504409</t>
  </si>
  <si>
    <t>קסם קרנות נאמנות בע"מ</t>
  </si>
  <si>
    <t>קסם ETF תלבונד 40</t>
  </si>
  <si>
    <t>IL0011462160</t>
  </si>
  <si>
    <t>הראל סל תלבונד 40</t>
  </si>
  <si>
    <t>IL0011504995</t>
  </si>
  <si>
    <t>מגדל קרנות נאמנות בע"מ</t>
  </si>
  <si>
    <t>MTF סל תל בונד 60</t>
  </si>
  <si>
    <t>IL0011499964</t>
  </si>
  <si>
    <t>קסם תל בונד שקלי 50</t>
  </si>
  <si>
    <t>IL0011507626</t>
  </si>
  <si>
    <t>פסגות קרנות נאמנות בע"מ</t>
  </si>
  <si>
    <t>פסגות ETF תלבונד 40</t>
  </si>
  <si>
    <t>IL0011479743</t>
  </si>
  <si>
    <t>קסם ETF תא 35</t>
  </si>
  <si>
    <t>IL0011465700</t>
  </si>
  <si>
    <t>MTF סל (4A) ת"א 35</t>
  </si>
  <si>
    <t>IL0011501843</t>
  </si>
  <si>
    <t>הראל סל תא 35</t>
  </si>
  <si>
    <t>IL0011489072</t>
  </si>
  <si>
    <t>קסם ETF תלבונד 20</t>
  </si>
  <si>
    <t>IL0011459604</t>
  </si>
  <si>
    <t>MTF סל תל בונד שקלי 50</t>
  </si>
  <si>
    <t>IL0011501686</t>
  </si>
  <si>
    <t>תכלית סל תא 35</t>
  </si>
  <si>
    <t>IL0011437006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</si>
  <si>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</si>
  <si>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</si>
  <si>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</si>
  <si>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</si>
  <si>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</si>
  <si>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</si>
  <si>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AUEM FP AMUNDI MSCI EME</t>
  </si>
  <si>
    <t>LU1681045453</t>
  </si>
  <si>
    <t>ISHARES</t>
  </si>
  <si>
    <t>549300LRIF3NWCU26A80</t>
  </si>
  <si>
    <t>SDIG LN SHORT DUR CORP</t>
  </si>
  <si>
    <t>IE00BCRY5Y77</t>
  </si>
  <si>
    <t>IWDA LN iShares MSCI World</t>
  </si>
  <si>
    <t>IE00B4L5Y983</t>
  </si>
  <si>
    <t>State Street</t>
  </si>
  <si>
    <t>549300ZFEEJ2IP5VME73</t>
  </si>
  <si>
    <t>SWRD LN  MSCI World SPDR</t>
  </si>
  <si>
    <t>IE00BFY0GT14</t>
  </si>
  <si>
    <t>U127 Amundi MSCI EM</t>
  </si>
  <si>
    <t>LU2573966905</t>
  </si>
  <si>
    <t>FLOT LN</t>
  </si>
  <si>
    <t>IE00BZ048462</t>
  </si>
  <si>
    <t>ערד 8897 02.05.36 4.8%</t>
  </si>
  <si>
    <t>ערד 8823 01.02.30 4.8%</t>
  </si>
  <si>
    <t>ערד 8894 01.02.36 4.8%</t>
  </si>
  <si>
    <t>ערד 8810 01.1.29 4.8%</t>
  </si>
  <si>
    <t>ערד 8808 01.11.28 4.8%</t>
  </si>
  <si>
    <t>ערד 8774 02.01.26 4.8%</t>
  </si>
  <si>
    <t>ערד 8898 01.06.36 4.8%</t>
  </si>
  <si>
    <t>ערד 8824 01.03.30 4.8%</t>
  </si>
  <si>
    <t>ערד 8847 1.2.32 4.8%</t>
  </si>
  <si>
    <t>ערד 8822 1.1.30 4.8%</t>
  </si>
  <si>
    <t>ערד 8883 02.02.35 4.8%</t>
  </si>
  <si>
    <t>ערד 8811 02.2.29 4.8%</t>
  </si>
  <si>
    <t>ערד 8860 01.03.33 4.8%</t>
  </si>
  <si>
    <t>ערד 8825 01.04.30 4.8%</t>
  </si>
  <si>
    <t>ערד 8799 01.02.28 4.8%</t>
  </si>
  <si>
    <t>ערד 8835 01.02.31 4.8%</t>
  </si>
  <si>
    <t>ערד 8893 01.01.36 4.8%</t>
  </si>
  <si>
    <t>ערד 8814 01.5.29 4.8%</t>
  </si>
  <si>
    <t>ערד 8859 01.02.33 4.8%</t>
  </si>
  <si>
    <t>מקורות סדרה ו</t>
  </si>
  <si>
    <t>מקורות 8 4.1% 2048</t>
  </si>
  <si>
    <t>נתיבי גז ג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</si>
  <si>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</si>
  <si>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</si>
  <si>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</si>
  <si>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</si>
  <si>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</si>
  <si>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</si>
  <si>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</si>
  <si>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</si>
  <si>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</si>
  <si>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</si>
  <si>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</si>
  <si>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</si>
  <si>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</si>
  <si>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</si>
  <si>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</si>
  <si>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</si>
  <si>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</si>
  <si>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</si>
  <si>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התח.ממש.אי העלאת ג.פרישה נשים</t>
  </si>
  <si>
    <t>חקלאים ס.מ.ישיר 31.12.23</t>
  </si>
  <si>
    <t>ilAAA</t>
  </si>
  <si>
    <t>ilAA</t>
  </si>
  <si>
    <t>ilRF</t>
  </si>
  <si>
    <t>Aaa.il</t>
  </si>
  <si>
    <t>A1.il</t>
  </si>
  <si>
    <t>Aa3.il</t>
  </si>
  <si>
    <t>Aa1.il</t>
  </si>
  <si>
    <t>570007476_pn_p_0124.xlsx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</si>
</sst>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readingOrder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3" fillId="3" borderId="3" xfId="0" quotePrefix="1" applyFont="1" applyFill="1" applyBorder="1" applyAlignment="1">
      <alignment horizontal="right" vertical="center" wrapText="1"/>
    </xf>
    <xf numFmtId="166" fontId="6" fillId="0" borderId="4" xfId="1" applyNumberFormat="1" applyFont="1" applyBorder="1" applyAlignment="1">
      <alignment horizontal="center" vertical="center" wrapText="1"/>
    </xf>
    <xf numFmtId="43" fontId="0" fillId="0" borderId="0" xfId="0" applyNumberFormat="1"/>
    <xf numFmtId="0" fontId="2" fillId="0" borderId="2" xfId="0" applyFont="1" applyBorder="1" applyProtection="1">
      <protection locked="0"/>
    </xf>
    <xf numFmtId="169" fontId="0" fillId="0" borderId="0" xfId="0" applyNumberFormat="1" applyFont="1" applyAlignment="1"/>
    <xf numFmtId="43" fontId="0" fillId="0" borderId="0" xfId="0" applyNumberFormat="1" applyFont="1" applyAlignment="1"/>
    <xf numFmtId="0" fontId="0" fillId="0" borderId="23" xfId="0" applyFont="1" applyFill="1" applyBorder="1" applyAlignment="1">
      <alignment horizontal="right" readingOrder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C27" sqref="C27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130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1209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0" t="s">
        <v>1417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F12" sqref="F12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41522.096810000003</v>
      </c>
      <c r="C3" s="116"/>
      <c r="D3" s="117"/>
      <c r="E3" s="112">
        <f>IFERROR(B3/$B$30,0)</f>
        <v>1.4710926934209282E-2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218197.36264999997</v>
      </c>
      <c r="C4" s="116"/>
      <c r="D4" s="117"/>
      <c r="E4" s="112">
        <f t="shared" ref="E4:E29" si="0">IFERROR(B4/$B$30,0)</f>
        <v>7.7305476018452418E-2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6"/>
      <c r="D5" s="117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59551.295700000017</v>
      </c>
      <c r="C6" s="116"/>
      <c r="D6" s="117"/>
      <c r="E6" s="112">
        <f t="shared" si="0"/>
        <v>2.1098519274903436E-2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6"/>
      <c r="D7" s="117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356974.83908000006</v>
      </c>
      <c r="C8" s="116"/>
      <c r="D8" s="117"/>
      <c r="E8" s="112">
        <f t="shared" si="0"/>
        <v>0.1264731595585574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6"/>
      <c r="D9" s="117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6"/>
      <c r="D10" s="117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6"/>
      <c r="D11" s="117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6"/>
      <c r="D12" s="117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6"/>
      <c r="D13" s="117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6"/>
      <c r="D14" s="117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382166.48538999999</v>
      </c>
      <c r="C15" s="116"/>
      <c r="D15" s="117"/>
      <c r="E15" s="112">
        <f t="shared" si="0"/>
        <v>0.13539834630706474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6"/>
      <c r="D16" s="117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6"/>
      <c r="D17" s="117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4470.1024699999998</v>
      </c>
      <c r="C18" s="116"/>
      <c r="D18" s="117"/>
      <c r="E18" s="112">
        <f t="shared" si="0"/>
        <v>1.5837194139184522E-3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1.3489999999999997E-3</v>
      </c>
      <c r="C19" s="116"/>
      <c r="D19" s="117"/>
      <c r="E19" s="112">
        <f t="shared" si="0"/>
        <v>4.7793926508713607E-10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6"/>
      <c r="D20" s="117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6"/>
      <c r="D21" s="117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6"/>
      <c r="D22" s="117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6"/>
      <c r="D23" s="117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6"/>
      <c r="D24" s="117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6"/>
      <c r="D25" s="117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6"/>
      <c r="D26" s="117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6"/>
      <c r="D27" s="117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6"/>
      <c r="D28" s="117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1759652.18136</v>
      </c>
      <c r="C29" s="116"/>
      <c r="D29" s="117"/>
      <c r="E29" s="112">
        <f t="shared" si="0"/>
        <v>0.62342985201495504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31">
        <f t="shared" ref="B30:E30" si="1">SUM(B3:B29)</f>
        <v>2822534.3648089999</v>
      </c>
      <c r="C30" s="118"/>
      <c r="D30" s="118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K19" sqref="K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0">
        <v>307</v>
      </c>
      <c r="B2" s="120">
        <v>307</v>
      </c>
      <c r="C2" s="119" t="s">
        <v>1210</v>
      </c>
      <c r="D2" s="119" t="s">
        <v>1211</v>
      </c>
      <c r="E2" s="119" t="s">
        <v>314</v>
      </c>
      <c r="F2" s="119" t="s">
        <v>938</v>
      </c>
      <c r="G2" s="119" t="s">
        <v>203</v>
      </c>
      <c r="H2" s="119" t="s">
        <v>338</v>
      </c>
      <c r="I2" s="119" t="s">
        <v>1410</v>
      </c>
      <c r="J2" s="119" t="s">
        <v>412</v>
      </c>
      <c r="K2" s="119" t="s">
        <v>1212</v>
      </c>
      <c r="L2" s="121">
        <v>11477.73071</v>
      </c>
      <c r="M2" s="121">
        <v>1</v>
      </c>
      <c r="N2" s="122"/>
      <c r="O2" s="121">
        <v>11477.73071</v>
      </c>
      <c r="P2" s="122">
        <v>0.276424</v>
      </c>
      <c r="Q2" s="122">
        <v>4.0660000000000002E-3</v>
      </c>
    </row>
    <row r="3" spans="1:26" ht="15" customHeight="1">
      <c r="A3" s="120">
        <v>307</v>
      </c>
      <c r="B3" s="120">
        <v>307</v>
      </c>
      <c r="C3" s="119" t="s">
        <v>1213</v>
      </c>
      <c r="D3" s="119" t="s">
        <v>1214</v>
      </c>
      <c r="E3" s="119" t="s">
        <v>314</v>
      </c>
      <c r="F3" s="119" t="s">
        <v>937</v>
      </c>
      <c r="G3" s="119" t="s">
        <v>203</v>
      </c>
      <c r="H3" s="119" t="s">
        <v>338</v>
      </c>
      <c r="I3" s="119" t="s">
        <v>1410</v>
      </c>
      <c r="J3" s="119" t="s">
        <v>412</v>
      </c>
      <c r="K3" s="119" t="s">
        <v>1215</v>
      </c>
      <c r="L3" s="121">
        <v>27.998619999999999</v>
      </c>
      <c r="M3" s="121">
        <v>3.9790999999999999</v>
      </c>
      <c r="N3" s="122"/>
      <c r="O3" s="121">
        <v>111.40931</v>
      </c>
      <c r="P3" s="122">
        <v>2.6830000000000001E-3</v>
      </c>
      <c r="Q3" s="122">
        <v>3.8999999999999999E-5</v>
      </c>
    </row>
    <row r="4" spans="1:26" ht="15" customHeight="1">
      <c r="A4" s="120">
        <v>307</v>
      </c>
      <c r="B4" s="120">
        <v>307</v>
      </c>
      <c r="C4" s="119" t="s">
        <v>1213</v>
      </c>
      <c r="D4" s="119" t="s">
        <v>1214</v>
      </c>
      <c r="E4" s="119" t="s">
        <v>314</v>
      </c>
      <c r="F4" s="119" t="s">
        <v>939</v>
      </c>
      <c r="G4" s="119" t="s">
        <v>203</v>
      </c>
      <c r="H4" s="119" t="s">
        <v>338</v>
      </c>
      <c r="I4" s="119" t="s">
        <v>1410</v>
      </c>
      <c r="J4" s="119" t="s">
        <v>412</v>
      </c>
      <c r="K4" s="119" t="s">
        <v>1212</v>
      </c>
      <c r="L4" s="121">
        <v>13653.543750000001</v>
      </c>
      <c r="M4" s="121">
        <v>1</v>
      </c>
      <c r="N4" s="122"/>
      <c r="O4" s="121">
        <v>13653.543750000001</v>
      </c>
      <c r="P4" s="122">
        <v>0.32882499999999998</v>
      </c>
      <c r="Q4" s="122">
        <v>4.8370000000000002E-3</v>
      </c>
    </row>
    <row r="5" spans="1:26" ht="15" customHeight="1">
      <c r="A5" s="120">
        <v>307</v>
      </c>
      <c r="B5" s="120">
        <v>307</v>
      </c>
      <c r="C5" s="119" t="s">
        <v>1213</v>
      </c>
      <c r="D5" s="119" t="s">
        <v>1214</v>
      </c>
      <c r="E5" s="119" t="s">
        <v>314</v>
      </c>
      <c r="F5" s="119" t="s">
        <v>937</v>
      </c>
      <c r="G5" s="119" t="s">
        <v>203</v>
      </c>
      <c r="H5" s="119" t="s">
        <v>338</v>
      </c>
      <c r="I5" s="119" t="s">
        <v>1410</v>
      </c>
      <c r="J5" s="119" t="s">
        <v>412</v>
      </c>
      <c r="K5" s="119" t="s">
        <v>1216</v>
      </c>
      <c r="L5" s="121">
        <v>416.24085000000002</v>
      </c>
      <c r="M5" s="121">
        <v>3.681</v>
      </c>
      <c r="N5" s="122"/>
      <c r="O5" s="121">
        <v>1532.1825699999999</v>
      </c>
      <c r="P5" s="122">
        <v>3.6900000000000002E-2</v>
      </c>
      <c r="Q5" s="122">
        <v>5.4199999999999995E-4</v>
      </c>
    </row>
    <row r="6" spans="1:26" ht="15" customHeight="1">
      <c r="A6" s="120">
        <v>307</v>
      </c>
      <c r="B6" s="120">
        <v>307</v>
      </c>
      <c r="C6" s="119" t="s">
        <v>1210</v>
      </c>
      <c r="D6" s="119" t="s">
        <v>1211</v>
      </c>
      <c r="E6" s="119" t="s">
        <v>314</v>
      </c>
      <c r="F6" s="119" t="s">
        <v>937</v>
      </c>
      <c r="G6" s="119" t="s">
        <v>203</v>
      </c>
      <c r="H6" s="119" t="s">
        <v>338</v>
      </c>
      <c r="I6" s="119" t="s">
        <v>1410</v>
      </c>
      <c r="J6" s="119" t="s">
        <v>412</v>
      </c>
      <c r="K6" s="119" t="s">
        <v>1216</v>
      </c>
      <c r="L6" s="121">
        <v>123.46243</v>
      </c>
      <c r="M6" s="121">
        <v>3.681</v>
      </c>
      <c r="N6" s="122"/>
      <c r="O6" s="121">
        <v>454.46519999999998</v>
      </c>
      <c r="P6" s="122">
        <v>1.0945E-2</v>
      </c>
      <c r="Q6" s="122">
        <v>1.6100000000000001E-4</v>
      </c>
    </row>
    <row r="7" spans="1:26" ht="15" customHeight="1">
      <c r="A7" s="120">
        <v>307</v>
      </c>
      <c r="B7" s="120">
        <v>307</v>
      </c>
      <c r="C7" s="119" t="s">
        <v>1217</v>
      </c>
      <c r="D7" s="119" t="s">
        <v>1218</v>
      </c>
      <c r="E7" s="119" t="s">
        <v>314</v>
      </c>
      <c r="F7" s="119" t="s">
        <v>935</v>
      </c>
      <c r="G7" s="119" t="s">
        <v>203</v>
      </c>
      <c r="H7" s="119" t="s">
        <v>338</v>
      </c>
      <c r="I7" s="119" t="s">
        <v>1411</v>
      </c>
      <c r="J7" s="119" t="s">
        <v>412</v>
      </c>
      <c r="K7" s="119" t="s">
        <v>1212</v>
      </c>
      <c r="L7" s="121">
        <v>253.27177</v>
      </c>
      <c r="M7" s="121">
        <v>1</v>
      </c>
      <c r="N7" s="122"/>
      <c r="O7" s="121">
        <v>253.27177</v>
      </c>
      <c r="P7" s="122">
        <v>6.0990000000000003E-3</v>
      </c>
      <c r="Q7" s="122">
        <v>8.8999999999999995E-5</v>
      </c>
    </row>
    <row r="8" spans="1:26" ht="15" customHeight="1">
      <c r="A8" s="120">
        <v>307</v>
      </c>
      <c r="B8" s="120">
        <v>307</v>
      </c>
      <c r="C8" s="119" t="s">
        <v>1220</v>
      </c>
      <c r="D8" s="119" t="s">
        <v>1221</v>
      </c>
      <c r="E8" s="119" t="s">
        <v>314</v>
      </c>
      <c r="F8" s="119" t="s">
        <v>935</v>
      </c>
      <c r="G8" s="119" t="s">
        <v>203</v>
      </c>
      <c r="H8" s="119" t="s">
        <v>338</v>
      </c>
      <c r="I8" s="119" t="s">
        <v>1410</v>
      </c>
      <c r="J8" s="119" t="s">
        <v>412</v>
      </c>
      <c r="K8" s="119" t="s">
        <v>1212</v>
      </c>
      <c r="L8" s="121">
        <v>11557.16604</v>
      </c>
      <c r="M8" s="121">
        <v>1</v>
      </c>
      <c r="N8" s="122"/>
      <c r="O8" s="121">
        <v>11557.16604</v>
      </c>
      <c r="P8" s="122">
        <v>0.27833599999999997</v>
      </c>
      <c r="Q8" s="122">
        <v>4.0940000000000004E-3</v>
      </c>
    </row>
    <row r="9" spans="1:26" ht="15" customHeight="1">
      <c r="A9" s="120">
        <v>307</v>
      </c>
      <c r="B9" s="120">
        <v>307</v>
      </c>
      <c r="C9" s="119" t="s">
        <v>1213</v>
      </c>
      <c r="D9" s="119" t="s">
        <v>1214</v>
      </c>
      <c r="E9" s="119" t="s">
        <v>314</v>
      </c>
      <c r="F9" s="119" t="s">
        <v>935</v>
      </c>
      <c r="G9" s="119" t="s">
        <v>203</v>
      </c>
      <c r="H9" s="119" t="s">
        <v>338</v>
      </c>
      <c r="I9" s="119" t="s">
        <v>1410</v>
      </c>
      <c r="J9" s="119" t="s">
        <v>412</v>
      </c>
      <c r="K9" s="119" t="s">
        <v>1212</v>
      </c>
      <c r="L9" s="121">
        <v>2479.2876099999999</v>
      </c>
      <c r="M9" s="121">
        <v>1</v>
      </c>
      <c r="N9" s="122"/>
      <c r="O9" s="121">
        <v>2479.2876099999999</v>
      </c>
      <c r="P9" s="122">
        <v>5.9709999999999999E-2</v>
      </c>
      <c r="Q9" s="122">
        <v>8.7799999999999998E-4</v>
      </c>
    </row>
    <row r="10" spans="1:26" ht="15" customHeight="1">
      <c r="A10" s="120">
        <v>307</v>
      </c>
      <c r="B10" s="120">
        <v>307</v>
      </c>
      <c r="C10" s="119" t="s">
        <v>1210</v>
      </c>
      <c r="D10" s="119" t="s">
        <v>1211</v>
      </c>
      <c r="E10" s="119" t="s">
        <v>314</v>
      </c>
      <c r="F10" s="119" t="s">
        <v>935</v>
      </c>
      <c r="G10" s="119" t="s">
        <v>203</v>
      </c>
      <c r="H10" s="119" t="s">
        <v>338</v>
      </c>
      <c r="I10" s="119" t="s">
        <v>1410</v>
      </c>
      <c r="J10" s="119" t="s">
        <v>412</v>
      </c>
      <c r="K10" s="119" t="s">
        <v>1212</v>
      </c>
      <c r="L10" s="121">
        <v>3.0398499999999999</v>
      </c>
      <c r="M10" s="121">
        <v>1</v>
      </c>
      <c r="N10" s="122"/>
      <c r="O10" s="121">
        <v>3.0398499999999999</v>
      </c>
      <c r="P10" s="122">
        <v>7.2999999999999999E-5</v>
      </c>
      <c r="Q10" s="122">
        <v>9.9999999999999995E-7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5"/>
  <sheetViews>
    <sheetView rightToLeft="1" topLeftCell="G1" workbookViewId="0">
      <selection activeCell="N20" sqref="N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4.5" bestFit="1" customWidth="1"/>
    <col min="19" max="19" width="8.75" bestFit="1" customWidth="1"/>
    <col min="20" max="20" width="11.625" customWidth="1"/>
    <col min="21" max="21" width="10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4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4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0">
        <v>307</v>
      </c>
      <c r="B2" s="120">
        <v>307</v>
      </c>
      <c r="C2" s="119" t="s">
        <v>1222</v>
      </c>
      <c r="D2" s="119" t="s">
        <v>1223</v>
      </c>
      <c r="E2" s="120" t="s">
        <v>1224</v>
      </c>
      <c r="F2" s="119" t="s">
        <v>944</v>
      </c>
      <c r="G2" s="119" t="s">
        <v>203</v>
      </c>
      <c r="H2" s="119" t="s">
        <v>203</v>
      </c>
      <c r="I2" s="119" t="s">
        <v>339</v>
      </c>
      <c r="J2" s="119" t="s">
        <v>1412</v>
      </c>
      <c r="K2" s="119" t="s">
        <v>412</v>
      </c>
      <c r="L2" s="119" t="s">
        <v>1212</v>
      </c>
      <c r="M2" s="121">
        <v>9.89</v>
      </c>
      <c r="N2" s="123">
        <v>49825</v>
      </c>
      <c r="O2" s="122">
        <v>0.04</v>
      </c>
      <c r="P2" s="122">
        <v>1.7000000000000001E-2</v>
      </c>
      <c r="Q2" s="121"/>
      <c r="R2" s="121">
        <v>16551956</v>
      </c>
      <c r="S2" s="121">
        <v>1</v>
      </c>
      <c r="T2" s="121">
        <v>170.66</v>
      </c>
      <c r="U2" s="121">
        <v>28247.56811</v>
      </c>
      <c r="V2" s="121"/>
      <c r="W2" s="119"/>
      <c r="X2" s="122">
        <v>1.0380000000000001E-3</v>
      </c>
      <c r="Y2" s="122">
        <v>0.12945799999999999</v>
      </c>
      <c r="Z2" s="122">
        <v>1.0007E-2</v>
      </c>
    </row>
    <row r="3" spans="1:26" ht="15" customHeight="1">
      <c r="A3" s="120">
        <v>307</v>
      </c>
      <c r="B3" s="120">
        <v>307</v>
      </c>
      <c r="C3" s="119" t="s">
        <v>1222</v>
      </c>
      <c r="D3" s="119" t="s">
        <v>1225</v>
      </c>
      <c r="E3" s="120" t="s">
        <v>1226</v>
      </c>
      <c r="F3" s="119" t="s">
        <v>950</v>
      </c>
      <c r="G3" s="119" t="s">
        <v>203</v>
      </c>
      <c r="H3" s="119" t="s">
        <v>203</v>
      </c>
      <c r="I3" s="119" t="s">
        <v>339</v>
      </c>
      <c r="J3" s="119" t="s">
        <v>1412</v>
      </c>
      <c r="K3" s="119" t="s">
        <v>412</v>
      </c>
      <c r="L3" s="119" t="s">
        <v>1212</v>
      </c>
      <c r="M3" s="121">
        <v>0.1</v>
      </c>
      <c r="N3" s="123">
        <v>45420</v>
      </c>
      <c r="O3" s="122">
        <v>0</v>
      </c>
      <c r="P3" s="122">
        <v>4.24E-2</v>
      </c>
      <c r="Q3" s="119"/>
      <c r="R3" s="121">
        <v>8300600</v>
      </c>
      <c r="S3" s="121">
        <v>1</v>
      </c>
      <c r="T3" s="121">
        <v>99.58</v>
      </c>
      <c r="U3" s="121">
        <v>8265.7374799999998</v>
      </c>
      <c r="V3" s="119"/>
      <c r="W3" s="119"/>
      <c r="X3" s="122">
        <v>2.0699999999999999E-4</v>
      </c>
      <c r="Y3" s="122">
        <v>3.7880999999999998E-2</v>
      </c>
      <c r="Z3" s="122">
        <v>2.928E-3</v>
      </c>
    </row>
    <row r="4" spans="1:26" ht="15" customHeight="1">
      <c r="A4" s="120">
        <v>307</v>
      </c>
      <c r="B4" s="120">
        <v>307</v>
      </c>
      <c r="C4" s="119" t="s">
        <v>1222</v>
      </c>
      <c r="D4" s="119" t="s">
        <v>1227</v>
      </c>
      <c r="E4" s="120" t="s">
        <v>1228</v>
      </c>
      <c r="F4" s="119" t="s">
        <v>946</v>
      </c>
      <c r="G4" s="119" t="s">
        <v>203</v>
      </c>
      <c r="H4" s="119" t="s">
        <v>203</v>
      </c>
      <c r="I4" s="119" t="s">
        <v>339</v>
      </c>
      <c r="J4" s="119" t="s">
        <v>1412</v>
      </c>
      <c r="K4" s="119" t="s">
        <v>412</v>
      </c>
      <c r="L4" s="119" t="s">
        <v>1212</v>
      </c>
      <c r="M4" s="121">
        <v>15.14</v>
      </c>
      <c r="N4" s="123">
        <v>53782</v>
      </c>
      <c r="O4" s="122">
        <v>3.7499999999999999E-2</v>
      </c>
      <c r="P4" s="122">
        <v>4.82E-2</v>
      </c>
      <c r="Q4" s="119"/>
      <c r="R4" s="121">
        <v>7596454</v>
      </c>
      <c r="S4" s="121">
        <v>1</v>
      </c>
      <c r="T4" s="121">
        <v>85.26</v>
      </c>
      <c r="U4" s="121">
        <v>6476.73668</v>
      </c>
      <c r="V4" s="119"/>
      <c r="W4" s="119"/>
      <c r="X4" s="122">
        <v>3.01E-4</v>
      </c>
      <c r="Y4" s="122">
        <v>2.9682E-2</v>
      </c>
      <c r="Z4" s="122">
        <v>2.294E-3</v>
      </c>
    </row>
    <row r="5" spans="1:26" ht="15" customHeight="1">
      <c r="A5" s="120">
        <v>307</v>
      </c>
      <c r="B5" s="120">
        <v>307</v>
      </c>
      <c r="C5" s="119" t="s">
        <v>1222</v>
      </c>
      <c r="D5" s="119" t="s">
        <v>1229</v>
      </c>
      <c r="E5" s="120" t="s">
        <v>1230</v>
      </c>
      <c r="F5" s="119" t="s">
        <v>950</v>
      </c>
      <c r="G5" s="119" t="s">
        <v>203</v>
      </c>
      <c r="H5" s="119" t="s">
        <v>203</v>
      </c>
      <c r="I5" s="119" t="s">
        <v>339</v>
      </c>
      <c r="J5" s="119" t="s">
        <v>1412</v>
      </c>
      <c r="K5" s="119" t="s">
        <v>412</v>
      </c>
      <c r="L5" s="119" t="s">
        <v>1212</v>
      </c>
      <c r="M5" s="121">
        <v>0.01</v>
      </c>
      <c r="N5" s="123">
        <v>45385</v>
      </c>
      <c r="O5" s="122">
        <v>0</v>
      </c>
      <c r="P5" s="122">
        <v>5.6300000000000003E-2</v>
      </c>
      <c r="Q5" s="119"/>
      <c r="R5" s="121">
        <v>20091882</v>
      </c>
      <c r="S5" s="121">
        <v>1</v>
      </c>
      <c r="T5" s="121">
        <v>99.97</v>
      </c>
      <c r="U5" s="121">
        <v>20085.854439999999</v>
      </c>
      <c r="V5" s="119"/>
      <c r="W5" s="119"/>
      <c r="X5" s="122">
        <v>4.7800000000000002E-4</v>
      </c>
      <c r="Y5" s="122">
        <v>9.2052999999999996E-2</v>
      </c>
      <c r="Z5" s="122">
        <v>7.1159999999999999E-3</v>
      </c>
    </row>
    <row r="6" spans="1:26" ht="15" customHeight="1">
      <c r="A6" s="120">
        <v>307</v>
      </c>
      <c r="B6" s="120">
        <v>307</v>
      </c>
      <c r="C6" s="119" t="s">
        <v>1222</v>
      </c>
      <c r="D6" s="119" t="s">
        <v>1231</v>
      </c>
      <c r="E6" s="120" t="s">
        <v>1232</v>
      </c>
      <c r="F6" s="119" t="s">
        <v>946</v>
      </c>
      <c r="G6" s="119" t="s">
        <v>203</v>
      </c>
      <c r="H6" s="119" t="s">
        <v>203</v>
      </c>
      <c r="I6" s="119" t="s">
        <v>339</v>
      </c>
      <c r="J6" s="119" t="s">
        <v>1412</v>
      </c>
      <c r="K6" s="119" t="s">
        <v>412</v>
      </c>
      <c r="L6" s="119" t="s">
        <v>1212</v>
      </c>
      <c r="M6" s="121">
        <v>1.07</v>
      </c>
      <c r="N6" s="123">
        <v>45777</v>
      </c>
      <c r="O6" s="122">
        <v>5.0000000000000001E-3</v>
      </c>
      <c r="P6" s="122">
        <v>4.0599999999999997E-2</v>
      </c>
      <c r="Q6" s="119"/>
      <c r="R6" s="121">
        <v>904856</v>
      </c>
      <c r="S6" s="121">
        <v>1</v>
      </c>
      <c r="T6" s="121">
        <v>96.77</v>
      </c>
      <c r="U6" s="121">
        <v>875.62914999999998</v>
      </c>
      <c r="V6" s="119"/>
      <c r="W6" s="119"/>
      <c r="X6" s="122">
        <v>3.8000000000000002E-5</v>
      </c>
      <c r="Y6" s="122">
        <v>4.0130000000000001E-3</v>
      </c>
      <c r="Z6" s="122">
        <v>3.1E-4</v>
      </c>
    </row>
    <row r="7" spans="1:26" ht="15" customHeight="1">
      <c r="A7" s="120">
        <v>307</v>
      </c>
      <c r="B7" s="120">
        <v>307</v>
      </c>
      <c r="C7" s="119" t="s">
        <v>1222</v>
      </c>
      <c r="D7" s="119" t="s">
        <v>1233</v>
      </c>
      <c r="E7" s="120" t="s">
        <v>1234</v>
      </c>
      <c r="F7" s="119" t="s">
        <v>944</v>
      </c>
      <c r="G7" s="119" t="s">
        <v>203</v>
      </c>
      <c r="H7" s="119" t="s">
        <v>203</v>
      </c>
      <c r="I7" s="119" t="s">
        <v>339</v>
      </c>
      <c r="J7" s="119" t="s">
        <v>1412</v>
      </c>
      <c r="K7" s="119" t="s">
        <v>412</v>
      </c>
      <c r="L7" s="119" t="s">
        <v>1212</v>
      </c>
      <c r="M7" s="121">
        <v>18.79</v>
      </c>
      <c r="N7" s="123">
        <v>53113</v>
      </c>
      <c r="O7" s="122">
        <v>0.01</v>
      </c>
      <c r="P7" s="122">
        <v>1.8800000000000001E-2</v>
      </c>
      <c r="Q7" s="119"/>
      <c r="R7" s="121">
        <v>4949443</v>
      </c>
      <c r="S7" s="121">
        <v>1</v>
      </c>
      <c r="T7" s="121">
        <v>96.44</v>
      </c>
      <c r="U7" s="121">
        <v>4773.2428300000001</v>
      </c>
      <c r="V7" s="119"/>
      <c r="W7" s="119"/>
      <c r="X7" s="122">
        <v>2.7300000000000002E-4</v>
      </c>
      <c r="Y7" s="122">
        <v>2.1874999999999999E-2</v>
      </c>
      <c r="Z7" s="122">
        <v>1.691E-3</v>
      </c>
    </row>
    <row r="8" spans="1:26" ht="15" customHeight="1">
      <c r="A8" s="120">
        <v>307</v>
      </c>
      <c r="B8" s="120">
        <v>307</v>
      </c>
      <c r="C8" s="119" t="s">
        <v>1222</v>
      </c>
      <c r="D8" s="119" t="s">
        <v>1235</v>
      </c>
      <c r="E8" s="120" t="s">
        <v>1236</v>
      </c>
      <c r="F8" s="119" t="s">
        <v>946</v>
      </c>
      <c r="G8" s="119" t="s">
        <v>203</v>
      </c>
      <c r="H8" s="119" t="s">
        <v>203</v>
      </c>
      <c r="I8" s="119" t="s">
        <v>339</v>
      </c>
      <c r="J8" s="119" t="s">
        <v>1412</v>
      </c>
      <c r="K8" s="119" t="s">
        <v>412</v>
      </c>
      <c r="L8" s="119" t="s">
        <v>1212</v>
      </c>
      <c r="M8" s="121">
        <v>5.84</v>
      </c>
      <c r="N8" s="123">
        <v>47573</v>
      </c>
      <c r="O8" s="122">
        <v>0.01</v>
      </c>
      <c r="P8" s="122">
        <v>4.1700000000000001E-2</v>
      </c>
      <c r="Q8" s="119"/>
      <c r="R8" s="121">
        <v>4361049</v>
      </c>
      <c r="S8" s="121">
        <v>1</v>
      </c>
      <c r="T8" s="121">
        <v>83.47</v>
      </c>
      <c r="U8" s="121">
        <v>3640.1676000000002</v>
      </c>
      <c r="V8" s="119"/>
      <c r="W8" s="119"/>
      <c r="X8" s="122">
        <v>1.15E-4</v>
      </c>
      <c r="Y8" s="122">
        <v>1.6681999999999999E-2</v>
      </c>
      <c r="Z8" s="122">
        <v>1.289E-3</v>
      </c>
    </row>
    <row r="9" spans="1:26" ht="15" customHeight="1">
      <c r="A9" s="120">
        <v>307</v>
      </c>
      <c r="B9" s="120">
        <v>307</v>
      </c>
      <c r="C9" s="119" t="s">
        <v>1222</v>
      </c>
      <c r="D9" s="119" t="s">
        <v>1237</v>
      </c>
      <c r="E9" s="120" t="s">
        <v>1238</v>
      </c>
      <c r="F9" s="119" t="s">
        <v>944</v>
      </c>
      <c r="G9" s="119" t="s">
        <v>203</v>
      </c>
      <c r="H9" s="119" t="s">
        <v>203</v>
      </c>
      <c r="I9" s="119" t="s">
        <v>339</v>
      </c>
      <c r="J9" s="119" t="s">
        <v>1412</v>
      </c>
      <c r="K9" s="119" t="s">
        <v>412</v>
      </c>
      <c r="L9" s="119" t="s">
        <v>1212</v>
      </c>
      <c r="M9" s="121">
        <v>7.64</v>
      </c>
      <c r="N9" s="123">
        <v>48182</v>
      </c>
      <c r="O9" s="122">
        <v>1E-3</v>
      </c>
      <c r="P9" s="122">
        <v>1.61E-2</v>
      </c>
      <c r="Q9" s="119"/>
      <c r="R9" s="121">
        <v>34380719</v>
      </c>
      <c r="S9" s="121">
        <v>1</v>
      </c>
      <c r="T9" s="121">
        <v>99.81</v>
      </c>
      <c r="U9" s="121">
        <v>34315.395629999999</v>
      </c>
      <c r="V9" s="119"/>
      <c r="W9" s="119"/>
      <c r="X9" s="122">
        <v>1.119E-3</v>
      </c>
      <c r="Y9" s="122">
        <v>0.15726699999999999</v>
      </c>
      <c r="Z9" s="122">
        <v>1.2156999999999999E-2</v>
      </c>
    </row>
    <row r="10" spans="1:26" ht="15" customHeight="1">
      <c r="A10" s="120">
        <v>307</v>
      </c>
      <c r="B10" s="120">
        <v>307</v>
      </c>
      <c r="C10" s="119" t="s">
        <v>1222</v>
      </c>
      <c r="D10" s="119" t="s">
        <v>1239</v>
      </c>
      <c r="E10" s="120" t="s">
        <v>1240</v>
      </c>
      <c r="F10" s="119" t="s">
        <v>947</v>
      </c>
      <c r="G10" s="119" t="s">
        <v>203</v>
      </c>
      <c r="H10" s="119" t="s">
        <v>203</v>
      </c>
      <c r="I10" s="119" t="s">
        <v>339</v>
      </c>
      <c r="J10" s="119" t="s">
        <v>1412</v>
      </c>
      <c r="K10" s="119" t="s">
        <v>412</v>
      </c>
      <c r="L10" s="119" t="s">
        <v>1212</v>
      </c>
      <c r="M10" s="121">
        <v>2.08</v>
      </c>
      <c r="N10" s="123">
        <v>46173</v>
      </c>
      <c r="O10" s="122">
        <v>0</v>
      </c>
      <c r="P10" s="122">
        <v>4.6100000000000002E-2</v>
      </c>
      <c r="Q10" s="119"/>
      <c r="R10" s="121">
        <v>144967</v>
      </c>
      <c r="S10" s="121">
        <v>1</v>
      </c>
      <c r="T10" s="121">
        <v>99.22</v>
      </c>
      <c r="U10" s="121">
        <v>143.83626000000001</v>
      </c>
      <c r="V10" s="119"/>
      <c r="W10" s="119"/>
      <c r="X10" s="122">
        <v>6.0000000000000002E-6</v>
      </c>
      <c r="Y10" s="122">
        <v>6.5899999999999997E-4</v>
      </c>
      <c r="Z10" s="122">
        <v>5.0000000000000002E-5</v>
      </c>
    </row>
    <row r="11" spans="1:26" ht="15" customHeight="1">
      <c r="A11" s="120">
        <v>307</v>
      </c>
      <c r="B11" s="120">
        <v>307</v>
      </c>
      <c r="C11" s="119" t="s">
        <v>1222</v>
      </c>
      <c r="D11" s="119" t="s">
        <v>1241</v>
      </c>
      <c r="E11" s="120" t="s">
        <v>1242</v>
      </c>
      <c r="F11" s="119" t="s">
        <v>946</v>
      </c>
      <c r="G11" s="119" t="s">
        <v>203</v>
      </c>
      <c r="H11" s="119" t="s">
        <v>203</v>
      </c>
      <c r="I11" s="119" t="s">
        <v>339</v>
      </c>
      <c r="J11" s="119" t="s">
        <v>1412</v>
      </c>
      <c r="K11" s="119" t="s">
        <v>412</v>
      </c>
      <c r="L11" s="119" t="s">
        <v>1212</v>
      </c>
      <c r="M11" s="121">
        <v>11.99</v>
      </c>
      <c r="N11" s="123">
        <v>51897</v>
      </c>
      <c r="O11" s="122">
        <v>5.5E-2</v>
      </c>
      <c r="P11" s="122">
        <v>4.7100000000000003E-2</v>
      </c>
      <c r="Q11" s="119"/>
      <c r="R11" s="121">
        <v>924856</v>
      </c>
      <c r="S11" s="121">
        <v>1</v>
      </c>
      <c r="T11" s="121">
        <v>110.25</v>
      </c>
      <c r="U11" s="121">
        <v>1019.65374</v>
      </c>
      <c r="V11" s="119"/>
      <c r="W11" s="119"/>
      <c r="X11" s="122">
        <v>4.6999999999999997E-5</v>
      </c>
      <c r="Y11" s="122">
        <v>4.6730000000000001E-3</v>
      </c>
      <c r="Z11" s="122">
        <v>3.6099999999999999E-4</v>
      </c>
    </row>
    <row r="12" spans="1:26" ht="15" customHeight="1">
      <c r="A12" s="120">
        <v>307</v>
      </c>
      <c r="B12" s="120">
        <v>307</v>
      </c>
      <c r="C12" s="119" t="s">
        <v>1222</v>
      </c>
      <c r="D12" s="119" t="s">
        <v>1243</v>
      </c>
      <c r="E12" s="120" t="s">
        <v>1244</v>
      </c>
      <c r="F12" s="119" t="s">
        <v>944</v>
      </c>
      <c r="G12" s="119" t="s">
        <v>203</v>
      </c>
      <c r="H12" s="119" t="s">
        <v>203</v>
      </c>
      <c r="I12" s="119" t="s">
        <v>339</v>
      </c>
      <c r="J12" s="119" t="s">
        <v>1412</v>
      </c>
      <c r="K12" s="119" t="s">
        <v>412</v>
      </c>
      <c r="L12" s="119" t="s">
        <v>1212</v>
      </c>
      <c r="M12" s="121">
        <v>25.39</v>
      </c>
      <c r="N12" s="123">
        <v>55487</v>
      </c>
      <c r="O12" s="122">
        <v>5.0000000000000001E-3</v>
      </c>
      <c r="P12" s="122">
        <v>1.95E-2</v>
      </c>
      <c r="Q12" s="119"/>
      <c r="R12" s="121">
        <v>4935731</v>
      </c>
      <c r="S12" s="121">
        <v>1</v>
      </c>
      <c r="T12" s="121">
        <v>77.58</v>
      </c>
      <c r="U12" s="121">
        <v>3829.1401099999998</v>
      </c>
      <c r="V12" s="119"/>
      <c r="W12" s="119"/>
      <c r="X12" s="122">
        <v>2.6200000000000003E-4</v>
      </c>
      <c r="Y12" s="122">
        <v>1.7548000000000001E-2</v>
      </c>
      <c r="Z12" s="122">
        <v>1.356E-3</v>
      </c>
    </row>
    <row r="13" spans="1:26" ht="15" customHeight="1">
      <c r="A13" s="120">
        <v>307</v>
      </c>
      <c r="B13" s="120">
        <v>307</v>
      </c>
      <c r="C13" s="119" t="s">
        <v>1222</v>
      </c>
      <c r="D13" s="119" t="s">
        <v>1245</v>
      </c>
      <c r="E13" s="120" t="s">
        <v>1246</v>
      </c>
      <c r="F13" s="119" t="s">
        <v>944</v>
      </c>
      <c r="G13" s="119" t="s">
        <v>203</v>
      </c>
      <c r="H13" s="119" t="s">
        <v>203</v>
      </c>
      <c r="I13" s="119" t="s">
        <v>339</v>
      </c>
      <c r="J13" s="119" t="s">
        <v>1412</v>
      </c>
      <c r="K13" s="119" t="s">
        <v>412</v>
      </c>
      <c r="L13" s="119" t="s">
        <v>1212</v>
      </c>
      <c r="M13" s="121">
        <v>14.13</v>
      </c>
      <c r="N13" s="123">
        <v>51744</v>
      </c>
      <c r="O13" s="122">
        <v>2.75E-2</v>
      </c>
      <c r="P13" s="122">
        <v>1.8200000000000001E-2</v>
      </c>
      <c r="Q13" s="119"/>
      <c r="R13" s="121">
        <v>71124863</v>
      </c>
      <c r="S13" s="121">
        <v>1</v>
      </c>
      <c r="T13" s="121">
        <v>138.12</v>
      </c>
      <c r="U13" s="121">
        <v>98237.660780000006</v>
      </c>
      <c r="V13" s="119"/>
      <c r="W13" s="119"/>
      <c r="X13" s="122">
        <v>3.859E-3</v>
      </c>
      <c r="Y13" s="122">
        <v>0.45022299999999998</v>
      </c>
      <c r="Z13" s="122">
        <v>3.4804000000000002E-2</v>
      </c>
    </row>
    <row r="14" spans="1:26" ht="15" customHeight="1">
      <c r="A14" s="120">
        <v>307</v>
      </c>
      <c r="B14" s="120">
        <v>307</v>
      </c>
      <c r="C14" s="119" t="s">
        <v>1222</v>
      </c>
      <c r="D14" s="119" t="s">
        <v>1247</v>
      </c>
      <c r="E14" s="120" t="s">
        <v>1248</v>
      </c>
      <c r="F14" s="119" t="s">
        <v>946</v>
      </c>
      <c r="G14" s="119" t="s">
        <v>203</v>
      </c>
      <c r="H14" s="119" t="s">
        <v>203</v>
      </c>
      <c r="I14" s="119" t="s">
        <v>339</v>
      </c>
      <c r="J14" s="119" t="s">
        <v>1412</v>
      </c>
      <c r="K14" s="119" t="s">
        <v>412</v>
      </c>
      <c r="L14" s="119" t="s">
        <v>1212</v>
      </c>
      <c r="M14" s="121">
        <v>17.78</v>
      </c>
      <c r="N14" s="123">
        <v>55852</v>
      </c>
      <c r="O14" s="122">
        <v>2.8000000000000001E-2</v>
      </c>
      <c r="P14" s="122">
        <v>4.8899999999999999E-2</v>
      </c>
      <c r="Q14" s="119"/>
      <c r="R14" s="121">
        <v>10140132</v>
      </c>
      <c r="S14" s="121">
        <v>1</v>
      </c>
      <c r="T14" s="121">
        <v>69.010000000000005</v>
      </c>
      <c r="U14" s="121">
        <v>6997.7050900000004</v>
      </c>
      <c r="V14" s="119"/>
      <c r="W14" s="119"/>
      <c r="X14" s="122">
        <v>6.9200000000000002E-4</v>
      </c>
      <c r="Y14" s="122">
        <v>3.2070000000000001E-2</v>
      </c>
      <c r="Z14" s="122">
        <v>2.4789999999999999E-3</v>
      </c>
    </row>
    <row r="15" spans="1:26" ht="15" customHeight="1">
      <c r="A15" s="120">
        <v>307</v>
      </c>
      <c r="B15" s="120">
        <v>307</v>
      </c>
      <c r="C15" s="119" t="s">
        <v>1222</v>
      </c>
      <c r="D15" s="119" t="s">
        <v>1249</v>
      </c>
      <c r="E15" s="120" t="s">
        <v>1250</v>
      </c>
      <c r="F15" s="119" t="s">
        <v>946</v>
      </c>
      <c r="G15" s="119" t="s">
        <v>203</v>
      </c>
      <c r="H15" s="119" t="s">
        <v>203</v>
      </c>
      <c r="I15" s="119" t="s">
        <v>339</v>
      </c>
      <c r="J15" s="119" t="s">
        <v>1412</v>
      </c>
      <c r="K15" s="119" t="s">
        <v>412</v>
      </c>
      <c r="L15" s="119" t="s">
        <v>1212</v>
      </c>
      <c r="M15" s="121">
        <v>4.2699999999999996</v>
      </c>
      <c r="N15" s="123">
        <v>47024</v>
      </c>
      <c r="O15" s="122">
        <v>2.2499999999999999E-2</v>
      </c>
      <c r="P15" s="122">
        <v>4.07E-2</v>
      </c>
      <c r="Q15" s="119"/>
      <c r="R15" s="121">
        <v>1374384</v>
      </c>
      <c r="S15" s="121">
        <v>1</v>
      </c>
      <c r="T15" s="121">
        <v>93.79</v>
      </c>
      <c r="U15" s="121">
        <v>1289.03475</v>
      </c>
      <c r="V15" s="119"/>
      <c r="W15" s="119"/>
      <c r="X15" s="122">
        <v>4.6999999999999997E-5</v>
      </c>
      <c r="Y15" s="122">
        <v>5.9069999999999999E-3</v>
      </c>
      <c r="Z15" s="122">
        <v>4.5600000000000003E-4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85</v>
      </c>
      <c r="U1" s="126" t="s">
        <v>73</v>
      </c>
      <c r="V1" s="127" t="s">
        <v>62</v>
      </c>
      <c r="W1" s="127" t="s">
        <v>74</v>
      </c>
      <c r="X1" s="25" t="s">
        <v>86</v>
      </c>
      <c r="Y1" s="25" t="s">
        <v>87</v>
      </c>
      <c r="Z1" s="124" t="s">
        <v>76</v>
      </c>
      <c r="AA1" s="124" t="s">
        <v>61</v>
      </c>
      <c r="AB1" s="124" t="s">
        <v>77</v>
      </c>
      <c r="AC1" s="124" t="s">
        <v>75</v>
      </c>
      <c r="AD1" s="124" t="s">
        <v>63</v>
      </c>
      <c r="AE1" s="124" t="s">
        <v>78</v>
      </c>
      <c r="AF1" s="124" t="s">
        <v>88</v>
      </c>
      <c r="AG1" s="25" t="s">
        <v>17</v>
      </c>
      <c r="AH1" s="127" t="s">
        <v>79</v>
      </c>
      <c r="AI1" s="127" t="s">
        <v>64</v>
      </c>
      <c r="AJ1" s="127" t="s">
        <v>65</v>
      </c>
    </row>
    <row r="2" spans="1:36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1"/>
      <c r="T2" s="119"/>
      <c r="U2" s="123"/>
      <c r="V2" s="122"/>
      <c r="W2" s="122"/>
      <c r="X2" s="119"/>
      <c r="Y2" s="119"/>
      <c r="Z2" s="121"/>
      <c r="AA2" s="121"/>
      <c r="AB2" s="121"/>
      <c r="AC2" s="121"/>
      <c r="AD2" s="121"/>
      <c r="AE2" s="121"/>
      <c r="AF2" s="121"/>
      <c r="AG2" s="119"/>
      <c r="AH2" s="122"/>
      <c r="AI2" s="122"/>
      <c r="AJ2" s="122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8"/>
  <sheetViews>
    <sheetView rightToLeft="1" topLeftCell="J1" workbookViewId="0">
      <selection activeCell="X30" sqref="X3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7.125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4" t="s">
        <v>78</v>
      </c>
      <c r="AF1" s="124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0">
        <v>307</v>
      </c>
      <c r="B2" s="120">
        <v>307</v>
      </c>
      <c r="C2" s="119" t="s">
        <v>1251</v>
      </c>
      <c r="D2" s="120">
        <v>513893123</v>
      </c>
      <c r="E2" s="119" t="s">
        <v>308</v>
      </c>
      <c r="F2" s="119" t="s">
        <v>1252</v>
      </c>
      <c r="G2" s="120" t="s">
        <v>1253</v>
      </c>
      <c r="H2" s="119" t="s">
        <v>320</v>
      </c>
      <c r="I2" s="119" t="s">
        <v>753</v>
      </c>
      <c r="J2" s="119" t="s">
        <v>203</v>
      </c>
      <c r="K2" s="119" t="s">
        <v>203</v>
      </c>
      <c r="L2" s="119" t="s">
        <v>1254</v>
      </c>
      <c r="M2" s="119" t="s">
        <v>339</v>
      </c>
      <c r="N2" s="119" t="s">
        <v>442</v>
      </c>
      <c r="O2" s="119" t="s">
        <v>338</v>
      </c>
      <c r="P2" s="119" t="s">
        <v>1414</v>
      </c>
      <c r="Q2" s="119" t="s">
        <v>414</v>
      </c>
      <c r="R2" s="119" t="s">
        <v>406</v>
      </c>
      <c r="S2" s="119" t="s">
        <v>1212</v>
      </c>
      <c r="T2" s="121">
        <v>2.13</v>
      </c>
      <c r="U2" s="123">
        <v>46477</v>
      </c>
      <c r="V2" s="122">
        <v>3.5400000000000001E-2</v>
      </c>
      <c r="W2" s="122">
        <v>3.3700000000000001E-2</v>
      </c>
      <c r="X2" s="119" t="s">
        <v>411</v>
      </c>
      <c r="Y2" s="119"/>
      <c r="Z2" s="121">
        <v>713657</v>
      </c>
      <c r="AA2" s="121">
        <v>1</v>
      </c>
      <c r="AB2" s="121">
        <v>104.17</v>
      </c>
      <c r="AC2" s="121"/>
      <c r="AD2" s="121">
        <v>743.41650000000004</v>
      </c>
      <c r="AE2" s="121"/>
      <c r="AF2" s="121"/>
      <c r="AG2" s="119"/>
      <c r="AH2" s="122">
        <v>6.38E-4</v>
      </c>
      <c r="AI2" s="122">
        <v>1.2482999999999999E-2</v>
      </c>
      <c r="AJ2" s="122">
        <v>2.63E-4</v>
      </c>
    </row>
    <row r="3" spans="1:36" ht="15" customHeight="1">
      <c r="A3" s="120">
        <v>307</v>
      </c>
      <c r="B3" s="120">
        <v>307</v>
      </c>
      <c r="C3" s="119" t="s">
        <v>1255</v>
      </c>
      <c r="D3" s="120">
        <v>520000472</v>
      </c>
      <c r="E3" s="119" t="s">
        <v>308</v>
      </c>
      <c r="F3" s="119" t="s">
        <v>1256</v>
      </c>
      <c r="G3" s="120" t="s">
        <v>1257</v>
      </c>
      <c r="H3" s="119" t="s">
        <v>320</v>
      </c>
      <c r="I3" s="119" t="s">
        <v>753</v>
      </c>
      <c r="J3" s="119" t="s">
        <v>203</v>
      </c>
      <c r="K3" s="119" t="s">
        <v>203</v>
      </c>
      <c r="L3" s="119" t="s">
        <v>1254</v>
      </c>
      <c r="M3" s="119" t="s">
        <v>339</v>
      </c>
      <c r="N3" s="119" t="s">
        <v>439</v>
      </c>
      <c r="O3" s="119" t="s">
        <v>338</v>
      </c>
      <c r="P3" s="119" t="s">
        <v>1219</v>
      </c>
      <c r="Q3" s="119" t="s">
        <v>311</v>
      </c>
      <c r="R3" s="119" t="s">
        <v>406</v>
      </c>
      <c r="S3" s="119" t="s">
        <v>1212</v>
      </c>
      <c r="T3" s="121">
        <v>3.88</v>
      </c>
      <c r="U3" s="123">
        <v>47220</v>
      </c>
      <c r="V3" s="122">
        <v>3.85E-2</v>
      </c>
      <c r="W3" s="122">
        <v>2.0299999999999999E-2</v>
      </c>
      <c r="X3" s="119" t="s">
        <v>411</v>
      </c>
      <c r="Y3" s="119"/>
      <c r="Z3" s="121">
        <v>861109.47</v>
      </c>
      <c r="AA3" s="121">
        <v>1</v>
      </c>
      <c r="AB3" s="121">
        <v>120.49</v>
      </c>
      <c r="AC3" s="121">
        <v>29.382079999999998</v>
      </c>
      <c r="AD3" s="121">
        <v>1066.9328800000001</v>
      </c>
      <c r="AE3" s="132"/>
      <c r="AF3" s="119"/>
      <c r="AG3" s="119"/>
      <c r="AH3" s="122">
        <v>3.4000000000000002E-4</v>
      </c>
      <c r="AI3" s="122">
        <v>1.7913999999999999E-2</v>
      </c>
      <c r="AJ3" s="122">
        <v>3.7599999999999998E-4</v>
      </c>
    </row>
    <row r="4" spans="1:36" ht="15" customHeight="1">
      <c r="A4" s="120">
        <v>307</v>
      </c>
      <c r="B4" s="120">
        <v>307</v>
      </c>
      <c r="C4" s="119" t="s">
        <v>1258</v>
      </c>
      <c r="D4" s="120">
        <v>520032046</v>
      </c>
      <c r="E4" s="119" t="s">
        <v>308</v>
      </c>
      <c r="F4" s="119" t="s">
        <v>1259</v>
      </c>
      <c r="G4" s="120" t="s">
        <v>1260</v>
      </c>
      <c r="H4" s="119" t="s">
        <v>320</v>
      </c>
      <c r="I4" s="119" t="s">
        <v>753</v>
      </c>
      <c r="J4" s="119" t="s">
        <v>203</v>
      </c>
      <c r="K4" s="119" t="s">
        <v>203</v>
      </c>
      <c r="L4" s="119" t="s">
        <v>1254</v>
      </c>
      <c r="M4" s="119" t="s">
        <v>339</v>
      </c>
      <c r="N4" s="119" t="s">
        <v>447</v>
      </c>
      <c r="O4" s="119" t="s">
        <v>338</v>
      </c>
      <c r="P4" s="119" t="s">
        <v>1410</v>
      </c>
      <c r="Q4" s="119" t="s">
        <v>412</v>
      </c>
      <c r="R4" s="119" t="s">
        <v>406</v>
      </c>
      <c r="S4" s="119" t="s">
        <v>1212</v>
      </c>
      <c r="T4" s="121">
        <v>4.01</v>
      </c>
      <c r="U4" s="123">
        <v>48190</v>
      </c>
      <c r="V4" s="122">
        <v>1.6400000000000001E-2</v>
      </c>
      <c r="W4" s="122">
        <v>1.9699999999999999E-2</v>
      </c>
      <c r="X4" s="119" t="s">
        <v>411</v>
      </c>
      <c r="Y4" s="119"/>
      <c r="Z4" s="121">
        <v>981345.6</v>
      </c>
      <c r="AA4" s="121">
        <v>1</v>
      </c>
      <c r="AB4" s="121">
        <v>102.94</v>
      </c>
      <c r="AC4" s="119"/>
      <c r="AD4" s="121">
        <v>1010.1971600000001</v>
      </c>
      <c r="AE4" s="119"/>
      <c r="AF4" s="119"/>
      <c r="AG4" s="119"/>
      <c r="AH4" s="122">
        <v>9.1200000000000005E-4</v>
      </c>
      <c r="AI4" s="122">
        <v>1.6962999999999999E-2</v>
      </c>
      <c r="AJ4" s="122">
        <v>3.57E-4</v>
      </c>
    </row>
    <row r="5" spans="1:36" ht="15" customHeight="1">
      <c r="A5" s="120">
        <v>307</v>
      </c>
      <c r="B5" s="120">
        <v>307</v>
      </c>
      <c r="C5" s="119" t="s">
        <v>1255</v>
      </c>
      <c r="D5" s="120">
        <v>520000472</v>
      </c>
      <c r="E5" s="119" t="s">
        <v>308</v>
      </c>
      <c r="F5" s="119" t="s">
        <v>1261</v>
      </c>
      <c r="G5" s="120" t="s">
        <v>1262</v>
      </c>
      <c r="H5" s="119" t="s">
        <v>320</v>
      </c>
      <c r="I5" s="119" t="s">
        <v>753</v>
      </c>
      <c r="J5" s="119" t="s">
        <v>203</v>
      </c>
      <c r="K5" s="119" t="s">
        <v>203</v>
      </c>
      <c r="L5" s="119" t="s">
        <v>1254</v>
      </c>
      <c r="M5" s="119" t="s">
        <v>339</v>
      </c>
      <c r="N5" s="119" t="s">
        <v>439</v>
      </c>
      <c r="O5" s="119" t="s">
        <v>338</v>
      </c>
      <c r="P5" s="119" t="s">
        <v>1219</v>
      </c>
      <c r="Q5" s="119" t="s">
        <v>311</v>
      </c>
      <c r="R5" s="119" t="s">
        <v>406</v>
      </c>
      <c r="S5" s="119" t="s">
        <v>1212</v>
      </c>
      <c r="T5" s="121">
        <v>6.24</v>
      </c>
      <c r="U5" s="123">
        <v>48112</v>
      </c>
      <c r="V5" s="122">
        <v>2.3900000000000001E-2</v>
      </c>
      <c r="W5" s="122">
        <v>2.5100000000000001E-2</v>
      </c>
      <c r="X5" s="119" t="s">
        <v>411</v>
      </c>
      <c r="Y5" s="119"/>
      <c r="Z5" s="121">
        <v>3004577</v>
      </c>
      <c r="AA5" s="121">
        <v>1</v>
      </c>
      <c r="AB5" s="121">
        <v>110.76</v>
      </c>
      <c r="AC5" s="119"/>
      <c r="AD5" s="121">
        <v>3327.86949</v>
      </c>
      <c r="AE5" s="119"/>
      <c r="AF5" s="119"/>
      <c r="AG5" s="119"/>
      <c r="AH5" s="122">
        <v>7.7200000000000001E-4</v>
      </c>
      <c r="AI5" s="122">
        <v>5.5882000000000001E-2</v>
      </c>
      <c r="AJ5" s="122">
        <v>1.1789999999999999E-3</v>
      </c>
    </row>
    <row r="6" spans="1:36" ht="15" customHeight="1">
      <c r="A6" s="120">
        <v>307</v>
      </c>
      <c r="B6" s="120">
        <v>307</v>
      </c>
      <c r="C6" s="119" t="s">
        <v>1258</v>
      </c>
      <c r="D6" s="120">
        <v>520032046</v>
      </c>
      <c r="E6" s="119" t="s">
        <v>308</v>
      </c>
      <c r="F6" s="119" t="s">
        <v>1263</v>
      </c>
      <c r="G6" s="120" t="s">
        <v>1264</v>
      </c>
      <c r="H6" s="119" t="s">
        <v>320</v>
      </c>
      <c r="I6" s="119" t="s">
        <v>753</v>
      </c>
      <c r="J6" s="119" t="s">
        <v>203</v>
      </c>
      <c r="K6" s="119" t="s">
        <v>203</v>
      </c>
      <c r="L6" s="119" t="s">
        <v>1254</v>
      </c>
      <c r="M6" s="119" t="s">
        <v>339</v>
      </c>
      <c r="N6" s="119" t="s">
        <v>447</v>
      </c>
      <c r="O6" s="119" t="s">
        <v>338</v>
      </c>
      <c r="P6" s="119" t="s">
        <v>1413</v>
      </c>
      <c r="Q6" s="119" t="s">
        <v>414</v>
      </c>
      <c r="R6" s="119" t="s">
        <v>406</v>
      </c>
      <c r="S6" s="119" t="s">
        <v>1212</v>
      </c>
      <c r="T6" s="121">
        <v>4.92</v>
      </c>
      <c r="U6" s="123">
        <v>48938</v>
      </c>
      <c r="V6" s="122">
        <v>1.9900000000000001E-2</v>
      </c>
      <c r="W6" s="122">
        <v>2.01E-2</v>
      </c>
      <c r="X6" s="119" t="s">
        <v>411</v>
      </c>
      <c r="Y6" s="119"/>
      <c r="Z6" s="121">
        <v>4800000</v>
      </c>
      <c r="AA6" s="121">
        <v>1</v>
      </c>
      <c r="AB6" s="121">
        <v>100.72</v>
      </c>
      <c r="AC6" s="119"/>
      <c r="AD6" s="121">
        <v>4834.5600000000004</v>
      </c>
      <c r="AE6" s="119"/>
      <c r="AF6" s="119"/>
      <c r="AG6" s="119"/>
      <c r="AH6" s="122">
        <v>1.7769999999999999E-3</v>
      </c>
      <c r="AI6" s="122">
        <v>8.1183000000000005E-2</v>
      </c>
      <c r="AJ6" s="122">
        <v>1.712E-3</v>
      </c>
    </row>
    <row r="7" spans="1:36" ht="15" customHeight="1">
      <c r="A7" s="120">
        <v>307</v>
      </c>
      <c r="B7" s="120">
        <v>307</v>
      </c>
      <c r="C7" s="119" t="s">
        <v>1265</v>
      </c>
      <c r="D7" s="120">
        <v>520031931</v>
      </c>
      <c r="E7" s="119" t="s">
        <v>308</v>
      </c>
      <c r="F7" s="119" t="s">
        <v>1266</v>
      </c>
      <c r="G7" s="120" t="s">
        <v>1267</v>
      </c>
      <c r="H7" s="119" t="s">
        <v>320</v>
      </c>
      <c r="I7" s="119" t="s">
        <v>952</v>
      </c>
      <c r="J7" s="119" t="s">
        <v>203</v>
      </c>
      <c r="K7" s="119" t="s">
        <v>203</v>
      </c>
      <c r="L7" s="119" t="s">
        <v>1254</v>
      </c>
      <c r="M7" s="119" t="s">
        <v>339</v>
      </c>
      <c r="N7" s="119" t="s">
        <v>483</v>
      </c>
      <c r="O7" s="119" t="s">
        <v>338</v>
      </c>
      <c r="P7" s="119" t="s">
        <v>1415</v>
      </c>
      <c r="Q7" s="119" t="s">
        <v>414</v>
      </c>
      <c r="R7" s="119" t="s">
        <v>406</v>
      </c>
      <c r="S7" s="119" t="s">
        <v>1212</v>
      </c>
      <c r="T7" s="121">
        <v>1.1299999999999999</v>
      </c>
      <c r="U7" s="123">
        <v>45992</v>
      </c>
      <c r="V7" s="122">
        <v>3.6499999999999998E-2</v>
      </c>
      <c r="W7" s="122">
        <v>4.6800000000000001E-2</v>
      </c>
      <c r="X7" s="119" t="s">
        <v>411</v>
      </c>
      <c r="Y7" s="119"/>
      <c r="Z7" s="121">
        <v>518088.91</v>
      </c>
      <c r="AA7" s="121">
        <v>1</v>
      </c>
      <c r="AB7" s="121">
        <v>100.11</v>
      </c>
      <c r="AC7" s="119"/>
      <c r="AD7" s="121">
        <v>518.65881000000002</v>
      </c>
      <c r="AE7" s="119"/>
      <c r="AF7" s="119"/>
      <c r="AG7" s="119"/>
      <c r="AH7" s="122">
        <v>4.86E-4</v>
      </c>
      <c r="AI7" s="122">
        <v>8.7089999999999997E-3</v>
      </c>
      <c r="AJ7" s="122">
        <v>1.83E-4</v>
      </c>
    </row>
    <row r="8" spans="1:36" ht="15" customHeight="1">
      <c r="A8" s="120">
        <v>307</v>
      </c>
      <c r="B8" s="120">
        <v>307</v>
      </c>
      <c r="C8" s="119" t="s">
        <v>1258</v>
      </c>
      <c r="D8" s="120">
        <v>520032046</v>
      </c>
      <c r="E8" s="119" t="s">
        <v>308</v>
      </c>
      <c r="F8" s="119" t="s">
        <v>1268</v>
      </c>
      <c r="G8" s="120" t="s">
        <v>1269</v>
      </c>
      <c r="H8" s="119" t="s">
        <v>320</v>
      </c>
      <c r="I8" s="119" t="s">
        <v>753</v>
      </c>
      <c r="J8" s="119" t="s">
        <v>203</v>
      </c>
      <c r="K8" s="119" t="s">
        <v>203</v>
      </c>
      <c r="L8" s="119" t="s">
        <v>1254</v>
      </c>
      <c r="M8" s="119" t="s">
        <v>339</v>
      </c>
      <c r="N8" s="119" t="s">
        <v>447</v>
      </c>
      <c r="O8" s="119" t="s">
        <v>338</v>
      </c>
      <c r="P8" s="119" t="s">
        <v>1410</v>
      </c>
      <c r="Q8" s="119" t="s">
        <v>412</v>
      </c>
      <c r="R8" s="119" t="s">
        <v>406</v>
      </c>
      <c r="S8" s="119" t="s">
        <v>1212</v>
      </c>
      <c r="T8" s="121">
        <v>6.21</v>
      </c>
      <c r="U8" s="123">
        <v>47665</v>
      </c>
      <c r="V8" s="122">
        <v>2E-3</v>
      </c>
      <c r="W8" s="122">
        <v>2.0899999999999998E-2</v>
      </c>
      <c r="X8" s="119" t="s">
        <v>411</v>
      </c>
      <c r="Y8" s="119"/>
      <c r="Z8" s="121">
        <v>3351500</v>
      </c>
      <c r="AA8" s="121">
        <v>1</v>
      </c>
      <c r="AB8" s="121">
        <v>99.71</v>
      </c>
      <c r="AC8" s="119"/>
      <c r="AD8" s="121">
        <v>3341.7806500000002</v>
      </c>
      <c r="AE8" s="119"/>
      <c r="AF8" s="119"/>
      <c r="AG8" s="119"/>
      <c r="AH8" s="122">
        <v>3.496E-3</v>
      </c>
      <c r="AI8" s="122">
        <v>5.6115999999999999E-2</v>
      </c>
      <c r="AJ8" s="122">
        <v>1.183E-3</v>
      </c>
    </row>
    <row r="9" spans="1:36" ht="15" customHeight="1">
      <c r="A9" s="120">
        <v>307</v>
      </c>
      <c r="B9" s="120">
        <v>307</v>
      </c>
      <c r="C9" s="119" t="s">
        <v>1270</v>
      </c>
      <c r="D9" s="120">
        <v>520018078</v>
      </c>
      <c r="E9" s="119" t="s">
        <v>308</v>
      </c>
      <c r="F9" s="119" t="s">
        <v>1271</v>
      </c>
      <c r="G9" s="120" t="s">
        <v>1272</v>
      </c>
      <c r="H9" s="119" t="s">
        <v>320</v>
      </c>
      <c r="I9" s="119" t="s">
        <v>753</v>
      </c>
      <c r="J9" s="119" t="s">
        <v>203</v>
      </c>
      <c r="K9" s="119" t="s">
        <v>203</v>
      </c>
      <c r="L9" s="119" t="s">
        <v>1254</v>
      </c>
      <c r="M9" s="119" t="s">
        <v>339</v>
      </c>
      <c r="N9" s="119" t="s">
        <v>447</v>
      </c>
      <c r="O9" s="119" t="s">
        <v>338</v>
      </c>
      <c r="P9" s="119" t="s">
        <v>1410</v>
      </c>
      <c r="Q9" s="119" t="s">
        <v>412</v>
      </c>
      <c r="R9" s="119" t="s">
        <v>406</v>
      </c>
      <c r="S9" s="119" t="s">
        <v>1212</v>
      </c>
      <c r="T9" s="121">
        <v>5.53</v>
      </c>
      <c r="U9" s="123">
        <v>48913</v>
      </c>
      <c r="V9" s="122">
        <v>2.0199999999999999E-2</v>
      </c>
      <c r="W9" s="122">
        <v>2.0500000000000001E-2</v>
      </c>
      <c r="X9" s="119" t="s">
        <v>411</v>
      </c>
      <c r="Y9" s="119"/>
      <c r="Z9" s="121">
        <v>4800000</v>
      </c>
      <c r="AA9" s="121">
        <v>1</v>
      </c>
      <c r="AB9" s="121">
        <v>100.75</v>
      </c>
      <c r="AC9" s="119"/>
      <c r="AD9" s="121">
        <v>4836</v>
      </c>
      <c r="AE9" s="119"/>
      <c r="AF9" s="119"/>
      <c r="AG9" s="119"/>
      <c r="AH9" s="122">
        <v>2.261E-3</v>
      </c>
      <c r="AI9" s="122">
        <v>8.1207000000000001E-2</v>
      </c>
      <c r="AJ9" s="122">
        <v>1.7129999999999999E-3</v>
      </c>
    </row>
    <row r="10" spans="1:36" ht="15" customHeight="1">
      <c r="A10" s="120">
        <v>307</v>
      </c>
      <c r="B10" s="120">
        <v>307</v>
      </c>
      <c r="C10" s="119" t="s">
        <v>1258</v>
      </c>
      <c r="D10" s="120">
        <v>520032046</v>
      </c>
      <c r="E10" s="119" t="s">
        <v>308</v>
      </c>
      <c r="F10" s="119" t="s">
        <v>1273</v>
      </c>
      <c r="G10" s="120" t="s">
        <v>1274</v>
      </c>
      <c r="H10" s="119" t="s">
        <v>320</v>
      </c>
      <c r="I10" s="119" t="s">
        <v>753</v>
      </c>
      <c r="J10" s="119" t="s">
        <v>203</v>
      </c>
      <c r="K10" s="119" t="s">
        <v>203</v>
      </c>
      <c r="L10" s="119" t="s">
        <v>1254</v>
      </c>
      <c r="M10" s="119" t="s">
        <v>339</v>
      </c>
      <c r="N10" s="119" t="s">
        <v>447</v>
      </c>
      <c r="O10" s="119" t="s">
        <v>338</v>
      </c>
      <c r="P10" s="119" t="s">
        <v>1410</v>
      </c>
      <c r="Q10" s="119" t="s">
        <v>412</v>
      </c>
      <c r="R10" s="119" t="s">
        <v>406</v>
      </c>
      <c r="S10" s="119" t="s">
        <v>1212</v>
      </c>
      <c r="T10" s="121">
        <v>4.55</v>
      </c>
      <c r="U10" s="123">
        <v>47048</v>
      </c>
      <c r="V10" s="122">
        <v>1E-3</v>
      </c>
      <c r="W10" s="122">
        <v>1.9699999999999999E-2</v>
      </c>
      <c r="X10" s="119" t="s">
        <v>411</v>
      </c>
      <c r="Y10" s="119"/>
      <c r="Z10" s="121">
        <v>16731519</v>
      </c>
      <c r="AA10" s="121">
        <v>1</v>
      </c>
      <c r="AB10" s="121">
        <v>100.35</v>
      </c>
      <c r="AC10" s="119"/>
      <c r="AD10" s="121">
        <v>16790.079320000001</v>
      </c>
      <c r="AE10" s="119"/>
      <c r="AF10" s="119"/>
      <c r="AG10" s="119"/>
      <c r="AH10" s="122">
        <v>4.9540000000000001E-3</v>
      </c>
      <c r="AI10" s="122">
        <v>0.281943</v>
      </c>
      <c r="AJ10" s="122">
        <v>5.9480000000000002E-3</v>
      </c>
    </row>
    <row r="11" spans="1:36" ht="15" customHeight="1">
      <c r="A11" s="120">
        <v>307</v>
      </c>
      <c r="B11" s="120">
        <v>307</v>
      </c>
      <c r="C11" s="119" t="s">
        <v>1275</v>
      </c>
      <c r="D11" s="120">
        <v>510960719</v>
      </c>
      <c r="E11" s="119" t="s">
        <v>308</v>
      </c>
      <c r="F11" s="119" t="s">
        <v>1276</v>
      </c>
      <c r="G11" s="120" t="s">
        <v>1277</v>
      </c>
      <c r="H11" s="119" t="s">
        <v>320</v>
      </c>
      <c r="I11" s="119" t="s">
        <v>753</v>
      </c>
      <c r="J11" s="119" t="s">
        <v>203</v>
      </c>
      <c r="K11" s="119" t="s">
        <v>203</v>
      </c>
      <c r="L11" s="119" t="s">
        <v>1254</v>
      </c>
      <c r="M11" s="119" t="s">
        <v>339</v>
      </c>
      <c r="N11" s="119" t="s">
        <v>463</v>
      </c>
      <c r="O11" s="119" t="s">
        <v>338</v>
      </c>
      <c r="P11" s="119" t="s">
        <v>1416</v>
      </c>
      <c r="Q11" s="119" t="s">
        <v>414</v>
      </c>
      <c r="R11" s="119" t="s">
        <v>406</v>
      </c>
      <c r="S11" s="119" t="s">
        <v>1212</v>
      </c>
      <c r="T11" s="121">
        <v>2.86</v>
      </c>
      <c r="U11" s="123">
        <v>46934</v>
      </c>
      <c r="V11" s="122">
        <v>1.77E-2</v>
      </c>
      <c r="W11" s="122">
        <v>2.1399999999999999E-2</v>
      </c>
      <c r="X11" s="119" t="s">
        <v>411</v>
      </c>
      <c r="Y11" s="119"/>
      <c r="Z11" s="121">
        <v>505750</v>
      </c>
      <c r="AA11" s="121">
        <v>1</v>
      </c>
      <c r="AB11" s="121">
        <v>111.11</v>
      </c>
      <c r="AC11" s="119"/>
      <c r="AD11" s="121">
        <v>561.93883000000005</v>
      </c>
      <c r="AE11" s="119"/>
      <c r="AF11" s="119"/>
      <c r="AG11" s="119"/>
      <c r="AH11" s="122">
        <v>1.83E-4</v>
      </c>
      <c r="AI11" s="122">
        <v>9.4359999999999999E-3</v>
      </c>
      <c r="AJ11" s="122">
        <v>1.9900000000000001E-4</v>
      </c>
    </row>
    <row r="12" spans="1:36" ht="15" customHeight="1">
      <c r="A12" s="120">
        <v>307</v>
      </c>
      <c r="B12" s="120">
        <v>307</v>
      </c>
      <c r="C12" s="119" t="s">
        <v>1251</v>
      </c>
      <c r="D12" s="120">
        <v>513893123</v>
      </c>
      <c r="E12" s="119" t="s">
        <v>308</v>
      </c>
      <c r="F12" s="119" t="s">
        <v>1278</v>
      </c>
      <c r="G12" s="120" t="s">
        <v>1279</v>
      </c>
      <c r="H12" s="119" t="s">
        <v>320</v>
      </c>
      <c r="I12" s="119" t="s">
        <v>753</v>
      </c>
      <c r="J12" s="119" t="s">
        <v>203</v>
      </c>
      <c r="K12" s="119" t="s">
        <v>203</v>
      </c>
      <c r="L12" s="119" t="s">
        <v>1254</v>
      </c>
      <c r="M12" s="119" t="s">
        <v>339</v>
      </c>
      <c r="N12" s="119" t="s">
        <v>442</v>
      </c>
      <c r="O12" s="119" t="s">
        <v>338</v>
      </c>
      <c r="P12" s="119" t="s">
        <v>1414</v>
      </c>
      <c r="Q12" s="119" t="s">
        <v>414</v>
      </c>
      <c r="R12" s="119" t="s">
        <v>406</v>
      </c>
      <c r="S12" s="119" t="s">
        <v>1212</v>
      </c>
      <c r="T12" s="121">
        <v>0.9</v>
      </c>
      <c r="U12" s="123">
        <v>46054</v>
      </c>
      <c r="V12" s="122">
        <v>0.01</v>
      </c>
      <c r="W12" s="122">
        <v>2.58E-2</v>
      </c>
      <c r="X12" s="119" t="s">
        <v>411</v>
      </c>
      <c r="Y12" s="119"/>
      <c r="Z12" s="121">
        <v>296508.96000000002</v>
      </c>
      <c r="AA12" s="121">
        <v>1</v>
      </c>
      <c r="AB12" s="121">
        <v>109.27</v>
      </c>
      <c r="AC12" s="119"/>
      <c r="AD12" s="121">
        <v>323.99534</v>
      </c>
      <c r="AE12" s="119"/>
      <c r="AF12" s="119"/>
      <c r="AG12" s="119"/>
      <c r="AH12" s="122">
        <v>5.0299999999999997E-4</v>
      </c>
      <c r="AI12" s="122">
        <v>5.4400000000000004E-3</v>
      </c>
      <c r="AJ12" s="122">
        <v>1.1400000000000001E-4</v>
      </c>
    </row>
    <row r="13" spans="1:36" ht="15" customHeight="1">
      <c r="A13" s="120">
        <v>307</v>
      </c>
      <c r="B13" s="120">
        <v>307</v>
      </c>
      <c r="C13" s="119" t="s">
        <v>1280</v>
      </c>
      <c r="D13" s="120">
        <v>513141879</v>
      </c>
      <c r="E13" s="119" t="s">
        <v>308</v>
      </c>
      <c r="F13" s="119" t="s">
        <v>1281</v>
      </c>
      <c r="G13" s="120" t="s">
        <v>1282</v>
      </c>
      <c r="H13" s="119" t="s">
        <v>320</v>
      </c>
      <c r="I13" s="119" t="s">
        <v>753</v>
      </c>
      <c r="J13" s="119" t="s">
        <v>203</v>
      </c>
      <c r="K13" s="119" t="s">
        <v>203</v>
      </c>
      <c r="L13" s="119" t="s">
        <v>1254</v>
      </c>
      <c r="M13" s="119" t="s">
        <v>339</v>
      </c>
      <c r="N13" s="119" t="s">
        <v>447</v>
      </c>
      <c r="O13" s="119" t="s">
        <v>338</v>
      </c>
      <c r="P13" s="119" t="s">
        <v>1410</v>
      </c>
      <c r="Q13" s="119" t="s">
        <v>412</v>
      </c>
      <c r="R13" s="119" t="s">
        <v>406</v>
      </c>
      <c r="S13" s="119" t="s">
        <v>1212</v>
      </c>
      <c r="T13" s="121">
        <v>1.44</v>
      </c>
      <c r="U13" s="123">
        <v>45910</v>
      </c>
      <c r="V13" s="122">
        <v>1E-3</v>
      </c>
      <c r="W13" s="122">
        <v>1.8100000000000002E-2</v>
      </c>
      <c r="X13" s="119" t="s">
        <v>411</v>
      </c>
      <c r="Y13" s="119"/>
      <c r="Z13" s="121">
        <v>554000</v>
      </c>
      <c r="AA13" s="121">
        <v>1</v>
      </c>
      <c r="AB13" s="121">
        <v>108.45</v>
      </c>
      <c r="AC13" s="119"/>
      <c r="AD13" s="121">
        <v>600.81299999999999</v>
      </c>
      <c r="AE13" s="119"/>
      <c r="AF13" s="119"/>
      <c r="AG13" s="119"/>
      <c r="AH13" s="122">
        <v>3.6900000000000002E-4</v>
      </c>
      <c r="AI13" s="122">
        <v>1.0088E-2</v>
      </c>
      <c r="AJ13" s="122">
        <v>2.12E-4</v>
      </c>
    </row>
    <row r="14" spans="1:36" ht="15" customHeight="1">
      <c r="A14" s="120">
        <v>307</v>
      </c>
      <c r="B14" s="120">
        <v>307</v>
      </c>
      <c r="C14" s="119" t="s">
        <v>1283</v>
      </c>
      <c r="D14" s="120">
        <v>520029935</v>
      </c>
      <c r="E14" s="119" t="s">
        <v>308</v>
      </c>
      <c r="F14" s="119" t="s">
        <v>1284</v>
      </c>
      <c r="G14" s="120" t="s">
        <v>1285</v>
      </c>
      <c r="H14" s="119" t="s">
        <v>320</v>
      </c>
      <c r="I14" s="119" t="s">
        <v>753</v>
      </c>
      <c r="J14" s="119" t="s">
        <v>203</v>
      </c>
      <c r="K14" s="119" t="s">
        <v>203</v>
      </c>
      <c r="L14" s="119" t="s">
        <v>1254</v>
      </c>
      <c r="M14" s="119" t="s">
        <v>339</v>
      </c>
      <c r="N14" s="119" t="s">
        <v>447</v>
      </c>
      <c r="O14" s="119" t="s">
        <v>338</v>
      </c>
      <c r="P14" s="119" t="s">
        <v>1410</v>
      </c>
      <c r="Q14" s="119" t="s">
        <v>412</v>
      </c>
      <c r="R14" s="119" t="s">
        <v>406</v>
      </c>
      <c r="S14" s="119" t="s">
        <v>1212</v>
      </c>
      <c r="T14" s="121">
        <v>4.25</v>
      </c>
      <c r="U14" s="123">
        <v>48441</v>
      </c>
      <c r="V14" s="122">
        <v>2E-3</v>
      </c>
      <c r="W14" s="122">
        <v>1.9400000000000001E-2</v>
      </c>
      <c r="X14" s="119" t="s">
        <v>411</v>
      </c>
      <c r="Y14" s="119"/>
      <c r="Z14" s="121">
        <v>1520573.95</v>
      </c>
      <c r="AA14" s="121">
        <v>1</v>
      </c>
      <c r="AB14" s="121">
        <v>101.27</v>
      </c>
      <c r="AC14" s="119"/>
      <c r="AD14" s="121">
        <v>1539.8852400000001</v>
      </c>
      <c r="AE14" s="119"/>
      <c r="AF14" s="119"/>
      <c r="AG14" s="119"/>
      <c r="AH14" s="122">
        <v>3.9300000000000001E-4</v>
      </c>
      <c r="AI14" s="122">
        <v>2.5857999999999999E-2</v>
      </c>
      <c r="AJ14" s="122">
        <v>5.4500000000000002E-4</v>
      </c>
    </row>
    <row r="15" spans="1:36" ht="15" customHeight="1">
      <c r="A15" s="120">
        <v>307</v>
      </c>
      <c r="B15" s="120">
        <v>307</v>
      </c>
      <c r="C15" s="119" t="s">
        <v>1258</v>
      </c>
      <c r="D15" s="120">
        <v>520032046</v>
      </c>
      <c r="E15" s="119" t="s">
        <v>308</v>
      </c>
      <c r="F15" s="119" t="s">
        <v>1286</v>
      </c>
      <c r="G15" s="120" t="s">
        <v>1287</v>
      </c>
      <c r="H15" s="119" t="s">
        <v>320</v>
      </c>
      <c r="I15" s="119" t="s">
        <v>753</v>
      </c>
      <c r="J15" s="119" t="s">
        <v>203</v>
      </c>
      <c r="K15" s="119" t="s">
        <v>203</v>
      </c>
      <c r="L15" s="119" t="s">
        <v>1254</v>
      </c>
      <c r="M15" s="119" t="s">
        <v>339</v>
      </c>
      <c r="N15" s="119" t="s">
        <v>447</v>
      </c>
      <c r="O15" s="119" t="s">
        <v>338</v>
      </c>
      <c r="P15" s="119" t="s">
        <v>1410</v>
      </c>
      <c r="Q15" s="119" t="s">
        <v>412</v>
      </c>
      <c r="R15" s="119" t="s">
        <v>406</v>
      </c>
      <c r="S15" s="119" t="s">
        <v>1212</v>
      </c>
      <c r="T15" s="121">
        <v>0.5</v>
      </c>
      <c r="U15" s="123">
        <v>45563</v>
      </c>
      <c r="V15" s="122">
        <v>8.6E-3</v>
      </c>
      <c r="W15" s="122">
        <v>1.2999999999999999E-2</v>
      </c>
      <c r="X15" s="119" t="s">
        <v>411</v>
      </c>
      <c r="Y15" s="119"/>
      <c r="Z15" s="121">
        <v>2200000</v>
      </c>
      <c r="AA15" s="121">
        <v>1</v>
      </c>
      <c r="AB15" s="121">
        <v>113.09</v>
      </c>
      <c r="AC15" s="119"/>
      <c r="AD15" s="121">
        <v>2487.98</v>
      </c>
      <c r="AE15" s="119"/>
      <c r="AF15" s="119"/>
      <c r="AG15" s="119"/>
      <c r="AH15" s="122">
        <v>8.7900000000000001E-4</v>
      </c>
      <c r="AI15" s="122">
        <v>4.1778000000000003E-2</v>
      </c>
      <c r="AJ15" s="122">
        <v>8.8099999999999995E-4</v>
      </c>
    </row>
    <row r="16" spans="1:36" ht="15" customHeight="1">
      <c r="A16" s="120">
        <v>307</v>
      </c>
      <c r="B16" s="120">
        <v>307</v>
      </c>
      <c r="C16" s="119" t="s">
        <v>1270</v>
      </c>
      <c r="D16" s="120">
        <v>520018078</v>
      </c>
      <c r="E16" s="119" t="s">
        <v>308</v>
      </c>
      <c r="F16" s="119" t="s">
        <v>1288</v>
      </c>
      <c r="G16" s="120" t="s">
        <v>1289</v>
      </c>
      <c r="H16" s="119" t="s">
        <v>320</v>
      </c>
      <c r="I16" s="119" t="s">
        <v>753</v>
      </c>
      <c r="J16" s="119" t="s">
        <v>203</v>
      </c>
      <c r="K16" s="119" t="s">
        <v>203</v>
      </c>
      <c r="L16" s="119" t="s">
        <v>1254</v>
      </c>
      <c r="M16" s="119" t="s">
        <v>339</v>
      </c>
      <c r="N16" s="119" t="s">
        <v>447</v>
      </c>
      <c r="O16" s="119" t="s">
        <v>338</v>
      </c>
      <c r="P16" s="119" t="s">
        <v>1413</v>
      </c>
      <c r="Q16" s="119" t="s">
        <v>414</v>
      </c>
      <c r="R16" s="119" t="s">
        <v>406</v>
      </c>
      <c r="S16" s="119" t="s">
        <v>1212</v>
      </c>
      <c r="T16" s="121">
        <v>5.64</v>
      </c>
      <c r="U16" s="123">
        <v>47447</v>
      </c>
      <c r="V16" s="122">
        <v>1E-3</v>
      </c>
      <c r="W16" s="122">
        <v>2.07E-2</v>
      </c>
      <c r="X16" s="119" t="s">
        <v>411</v>
      </c>
      <c r="Y16" s="119"/>
      <c r="Z16" s="121">
        <v>907509</v>
      </c>
      <c r="AA16" s="121">
        <v>1</v>
      </c>
      <c r="AB16" s="121">
        <v>97.7</v>
      </c>
      <c r="AC16" s="119"/>
      <c r="AD16" s="121">
        <v>886.63629000000003</v>
      </c>
      <c r="AE16" s="119"/>
      <c r="AF16" s="119"/>
      <c r="AG16" s="119"/>
      <c r="AH16" s="122">
        <v>3.6400000000000001E-4</v>
      </c>
      <c r="AI16" s="122">
        <v>1.4888E-2</v>
      </c>
      <c r="AJ16" s="122">
        <v>3.1399999999999999E-4</v>
      </c>
    </row>
    <row r="17" spans="1:36" ht="15" customHeight="1">
      <c r="A17" s="120">
        <v>307</v>
      </c>
      <c r="B17" s="120">
        <v>307</v>
      </c>
      <c r="C17" s="119" t="s">
        <v>1258</v>
      </c>
      <c r="D17" s="120">
        <v>520032046</v>
      </c>
      <c r="E17" s="119" t="s">
        <v>308</v>
      </c>
      <c r="F17" s="119" t="s">
        <v>1290</v>
      </c>
      <c r="G17" s="120" t="s">
        <v>1291</v>
      </c>
      <c r="H17" s="119" t="s">
        <v>320</v>
      </c>
      <c r="I17" s="119" t="s">
        <v>753</v>
      </c>
      <c r="J17" s="119" t="s">
        <v>203</v>
      </c>
      <c r="K17" s="119" t="s">
        <v>203</v>
      </c>
      <c r="L17" s="119" t="s">
        <v>1254</v>
      </c>
      <c r="M17" s="119" t="s">
        <v>339</v>
      </c>
      <c r="N17" s="119" t="s">
        <v>447</v>
      </c>
      <c r="O17" s="119" t="s">
        <v>338</v>
      </c>
      <c r="P17" s="119" t="s">
        <v>1410</v>
      </c>
      <c r="Q17" s="119" t="s">
        <v>412</v>
      </c>
      <c r="R17" s="119" t="s">
        <v>406</v>
      </c>
      <c r="S17" s="119" t="s">
        <v>1212</v>
      </c>
      <c r="T17" s="121">
        <v>3.43</v>
      </c>
      <c r="U17" s="123">
        <v>47950</v>
      </c>
      <c r="V17" s="122">
        <v>1E-3</v>
      </c>
      <c r="W17" s="122">
        <v>1.8800000000000001E-2</v>
      </c>
      <c r="X17" s="119" t="s">
        <v>411</v>
      </c>
      <c r="Y17" s="119"/>
      <c r="Z17" s="121">
        <v>480006</v>
      </c>
      <c r="AA17" s="121">
        <v>1</v>
      </c>
      <c r="AB17" s="121">
        <v>101.54</v>
      </c>
      <c r="AC17" s="119"/>
      <c r="AD17" s="121">
        <v>487.39809000000002</v>
      </c>
      <c r="AE17" s="119"/>
      <c r="AF17" s="119"/>
      <c r="AG17" s="119"/>
      <c r="AH17" s="122">
        <v>4.6099999999999998E-4</v>
      </c>
      <c r="AI17" s="122">
        <v>8.1840000000000003E-3</v>
      </c>
      <c r="AJ17" s="122">
        <v>1.7200000000000001E-4</v>
      </c>
    </row>
    <row r="18" spans="1:36" ht="15" customHeight="1">
      <c r="A18" s="120">
        <v>307</v>
      </c>
      <c r="B18" s="120">
        <v>307</v>
      </c>
      <c r="C18" s="119" t="s">
        <v>1255</v>
      </c>
      <c r="D18" s="120">
        <v>520000472</v>
      </c>
      <c r="E18" s="119" t="s">
        <v>308</v>
      </c>
      <c r="F18" s="119" t="s">
        <v>1292</v>
      </c>
      <c r="G18" s="120" t="s">
        <v>1293</v>
      </c>
      <c r="H18" s="119" t="s">
        <v>320</v>
      </c>
      <c r="I18" s="119" t="s">
        <v>753</v>
      </c>
      <c r="J18" s="119" t="s">
        <v>203</v>
      </c>
      <c r="K18" s="119" t="s">
        <v>203</v>
      </c>
      <c r="L18" s="119" t="s">
        <v>1254</v>
      </c>
      <c r="M18" s="119" t="s">
        <v>339</v>
      </c>
      <c r="N18" s="119" t="s">
        <v>439</v>
      </c>
      <c r="O18" s="119" t="s">
        <v>338</v>
      </c>
      <c r="P18" s="119" t="s">
        <v>1219</v>
      </c>
      <c r="Q18" s="119" t="s">
        <v>311</v>
      </c>
      <c r="R18" s="119" t="s">
        <v>406</v>
      </c>
      <c r="S18" s="119" t="s">
        <v>1212</v>
      </c>
      <c r="T18" s="121">
        <v>11.12</v>
      </c>
      <c r="U18" s="123">
        <v>49825</v>
      </c>
      <c r="V18" s="122">
        <v>1.2500000000000001E-2</v>
      </c>
      <c r="W18" s="122">
        <v>2.98E-2</v>
      </c>
      <c r="X18" s="119" t="s">
        <v>411</v>
      </c>
      <c r="Y18" s="119"/>
      <c r="Z18" s="121">
        <v>745200</v>
      </c>
      <c r="AA18" s="121">
        <v>1</v>
      </c>
      <c r="AB18" s="121">
        <v>92.01</v>
      </c>
      <c r="AC18" s="119"/>
      <c r="AD18" s="121">
        <v>685.65851999999995</v>
      </c>
      <c r="AE18" s="119"/>
      <c r="AF18" s="119"/>
      <c r="AG18" s="119"/>
      <c r="AH18" s="122">
        <v>1.73E-4</v>
      </c>
      <c r="AI18" s="122">
        <v>1.1513000000000001E-2</v>
      </c>
      <c r="AJ18" s="122">
        <v>2.42E-4</v>
      </c>
    </row>
    <row r="19" spans="1:36" ht="15" customHeight="1">
      <c r="A19" s="120">
        <v>307</v>
      </c>
      <c r="B19" s="120">
        <v>307</v>
      </c>
      <c r="C19" s="119" t="s">
        <v>1270</v>
      </c>
      <c r="D19" s="120">
        <v>520018078</v>
      </c>
      <c r="E19" s="119" t="s">
        <v>308</v>
      </c>
      <c r="F19" s="119" t="s">
        <v>1294</v>
      </c>
      <c r="G19" s="120" t="s">
        <v>1295</v>
      </c>
      <c r="H19" s="119" t="s">
        <v>320</v>
      </c>
      <c r="I19" s="119" t="s">
        <v>753</v>
      </c>
      <c r="J19" s="119" t="s">
        <v>203</v>
      </c>
      <c r="K19" s="119" t="s">
        <v>203</v>
      </c>
      <c r="L19" s="119" t="s">
        <v>1254</v>
      </c>
      <c r="M19" s="119" t="s">
        <v>339</v>
      </c>
      <c r="N19" s="119" t="s">
        <v>447</v>
      </c>
      <c r="O19" s="119" t="s">
        <v>338</v>
      </c>
      <c r="P19" s="119" t="s">
        <v>1413</v>
      </c>
      <c r="Q19" s="119" t="s">
        <v>414</v>
      </c>
      <c r="R19" s="119" t="s">
        <v>406</v>
      </c>
      <c r="S19" s="119" t="s">
        <v>1212</v>
      </c>
      <c r="T19" s="121">
        <v>3.65</v>
      </c>
      <c r="U19" s="123">
        <v>46716</v>
      </c>
      <c r="V19" s="122">
        <v>1E-3</v>
      </c>
      <c r="W19" s="122">
        <v>1.7999999999999999E-2</v>
      </c>
      <c r="X19" s="119" t="s">
        <v>411</v>
      </c>
      <c r="Y19" s="119"/>
      <c r="Z19" s="121">
        <v>428000</v>
      </c>
      <c r="AA19" s="121">
        <v>1</v>
      </c>
      <c r="AB19" s="121">
        <v>102.55</v>
      </c>
      <c r="AC19" s="119"/>
      <c r="AD19" s="121">
        <v>438.91399999999999</v>
      </c>
      <c r="AE19" s="119"/>
      <c r="AF19" s="119"/>
      <c r="AG19" s="119"/>
      <c r="AH19" s="122">
        <v>1.36E-4</v>
      </c>
      <c r="AI19" s="122">
        <v>7.3699999999999998E-3</v>
      </c>
      <c r="AJ19" s="122">
        <v>1.55E-4</v>
      </c>
    </row>
    <row r="20" spans="1:36" ht="15" customHeight="1">
      <c r="A20" s="120">
        <v>307</v>
      </c>
      <c r="B20" s="120">
        <v>307</v>
      </c>
      <c r="C20" s="119" t="s">
        <v>1296</v>
      </c>
      <c r="D20" s="120">
        <v>520010869</v>
      </c>
      <c r="E20" s="119" t="s">
        <v>308</v>
      </c>
      <c r="F20" s="119" t="s">
        <v>1297</v>
      </c>
      <c r="G20" s="120" t="s">
        <v>1298</v>
      </c>
      <c r="H20" s="119" t="s">
        <v>320</v>
      </c>
      <c r="I20" s="119" t="s">
        <v>753</v>
      </c>
      <c r="J20" s="119" t="s">
        <v>203</v>
      </c>
      <c r="K20" s="119" t="s">
        <v>203</v>
      </c>
      <c r="L20" s="119" t="s">
        <v>1254</v>
      </c>
      <c r="M20" s="119" t="s">
        <v>339</v>
      </c>
      <c r="N20" s="119" t="s">
        <v>476</v>
      </c>
      <c r="O20" s="119" t="s">
        <v>338</v>
      </c>
      <c r="P20" s="119" t="s">
        <v>1219</v>
      </c>
      <c r="Q20" s="119" t="s">
        <v>311</v>
      </c>
      <c r="R20" s="119" t="s">
        <v>406</v>
      </c>
      <c r="S20" s="119" t="s">
        <v>1212</v>
      </c>
      <c r="T20" s="121">
        <v>12.14</v>
      </c>
      <c r="U20" s="123">
        <v>56249</v>
      </c>
      <c r="V20" s="122">
        <v>2.07E-2</v>
      </c>
      <c r="W20" s="122">
        <v>2.7900000000000001E-2</v>
      </c>
      <c r="X20" s="119" t="s">
        <v>411</v>
      </c>
      <c r="Y20" s="119"/>
      <c r="Z20" s="121">
        <v>6417225.9000000004</v>
      </c>
      <c r="AA20" s="121">
        <v>1</v>
      </c>
      <c r="AB20" s="121">
        <v>101.58</v>
      </c>
      <c r="AC20" s="119"/>
      <c r="AD20" s="121">
        <v>6518.6180700000004</v>
      </c>
      <c r="AE20" s="119"/>
      <c r="AF20" s="119"/>
      <c r="AG20" s="119"/>
      <c r="AH20" s="122">
        <v>1.4090000000000001E-3</v>
      </c>
      <c r="AI20" s="122">
        <v>0.109462</v>
      </c>
      <c r="AJ20" s="122">
        <v>2.3089999999999999E-3</v>
      </c>
    </row>
    <row r="21" spans="1:36" ht="15" customHeight="1">
      <c r="A21" s="120">
        <v>307</v>
      </c>
      <c r="B21" s="120">
        <v>307</v>
      </c>
      <c r="C21" s="119" t="s">
        <v>1296</v>
      </c>
      <c r="D21" s="120">
        <v>520010869</v>
      </c>
      <c r="E21" s="119" t="s">
        <v>308</v>
      </c>
      <c r="F21" s="119" t="s">
        <v>1299</v>
      </c>
      <c r="G21" s="120" t="s">
        <v>1300</v>
      </c>
      <c r="H21" s="119" t="s">
        <v>320</v>
      </c>
      <c r="I21" s="119" t="s">
        <v>753</v>
      </c>
      <c r="J21" s="119" t="s">
        <v>203</v>
      </c>
      <c r="K21" s="119" t="s">
        <v>203</v>
      </c>
      <c r="L21" s="119" t="s">
        <v>1254</v>
      </c>
      <c r="M21" s="119" t="s">
        <v>339</v>
      </c>
      <c r="N21" s="119" t="s">
        <v>476</v>
      </c>
      <c r="O21" s="119" t="s">
        <v>338</v>
      </c>
      <c r="P21" s="119" t="s">
        <v>1219</v>
      </c>
      <c r="Q21" s="119" t="s">
        <v>311</v>
      </c>
      <c r="R21" s="119" t="s">
        <v>406</v>
      </c>
      <c r="S21" s="119" t="s">
        <v>1212</v>
      </c>
      <c r="T21" s="121">
        <v>2.23</v>
      </c>
      <c r="U21" s="123">
        <v>46752</v>
      </c>
      <c r="V21" s="122">
        <v>1E-3</v>
      </c>
      <c r="W21" s="122">
        <v>1.7399999999999999E-2</v>
      </c>
      <c r="X21" s="119" t="s">
        <v>411</v>
      </c>
      <c r="Y21" s="119"/>
      <c r="Z21" s="121">
        <v>333600</v>
      </c>
      <c r="AA21" s="121">
        <v>1</v>
      </c>
      <c r="AB21" s="121">
        <v>106.21</v>
      </c>
      <c r="AC21" s="119"/>
      <c r="AD21" s="121">
        <v>354.31655999999998</v>
      </c>
      <c r="AE21" s="119"/>
      <c r="AF21" s="119"/>
      <c r="AG21" s="119"/>
      <c r="AH21" s="122">
        <v>3.8900000000000002E-4</v>
      </c>
      <c r="AI21" s="122">
        <v>5.9490000000000003E-3</v>
      </c>
      <c r="AJ21" s="122">
        <v>1.25E-4</v>
      </c>
    </row>
    <row r="22" spans="1:36" ht="15" customHeight="1">
      <c r="A22" s="120">
        <v>307</v>
      </c>
      <c r="B22" s="120">
        <v>307</v>
      </c>
      <c r="C22" s="119" t="s">
        <v>1220</v>
      </c>
      <c r="D22" s="120">
        <v>520000118</v>
      </c>
      <c r="E22" s="119" t="s">
        <v>308</v>
      </c>
      <c r="F22" s="119" t="s">
        <v>1301</v>
      </c>
      <c r="G22" s="120" t="s">
        <v>1302</v>
      </c>
      <c r="H22" s="119" t="s">
        <v>320</v>
      </c>
      <c r="I22" s="119" t="s">
        <v>753</v>
      </c>
      <c r="J22" s="119" t="s">
        <v>203</v>
      </c>
      <c r="K22" s="119" t="s">
        <v>203</v>
      </c>
      <c r="L22" s="119" t="s">
        <v>1254</v>
      </c>
      <c r="M22" s="119" t="s">
        <v>339</v>
      </c>
      <c r="N22" s="119" t="s">
        <v>447</v>
      </c>
      <c r="O22" s="119" t="s">
        <v>338</v>
      </c>
      <c r="P22" s="119" t="s">
        <v>1410</v>
      </c>
      <c r="Q22" s="119" t="s">
        <v>412</v>
      </c>
      <c r="R22" s="119" t="s">
        <v>406</v>
      </c>
      <c r="S22" s="119" t="s">
        <v>1212</v>
      </c>
      <c r="T22" s="121">
        <v>4.45</v>
      </c>
      <c r="U22" s="123">
        <v>48547</v>
      </c>
      <c r="V22" s="122">
        <v>1.3899999999999999E-2</v>
      </c>
      <c r="W22" s="122">
        <v>1.9900000000000001E-2</v>
      </c>
      <c r="X22" s="119" t="s">
        <v>411</v>
      </c>
      <c r="Y22" s="119"/>
      <c r="Z22" s="121">
        <v>267300</v>
      </c>
      <c r="AA22" s="121">
        <v>1</v>
      </c>
      <c r="AB22" s="121">
        <v>101.5</v>
      </c>
      <c r="AC22" s="119"/>
      <c r="AD22" s="121">
        <v>271.30950000000001</v>
      </c>
      <c r="AE22" s="119"/>
      <c r="AF22" s="119"/>
      <c r="AG22" s="119"/>
      <c r="AH22" s="122">
        <v>1.4799999999999999E-4</v>
      </c>
      <c r="AI22" s="122">
        <v>4.555E-3</v>
      </c>
      <c r="AJ22" s="122">
        <v>9.6000000000000002E-5</v>
      </c>
    </row>
    <row r="23" spans="1:36" ht="15" customHeight="1">
      <c r="A23" s="120">
        <v>307</v>
      </c>
      <c r="B23" s="120">
        <v>307</v>
      </c>
      <c r="C23" s="119" t="s">
        <v>1251</v>
      </c>
      <c r="D23" s="120">
        <v>513893123</v>
      </c>
      <c r="E23" s="119" t="s">
        <v>308</v>
      </c>
      <c r="F23" s="119" t="s">
        <v>1303</v>
      </c>
      <c r="G23" s="120" t="s">
        <v>1253</v>
      </c>
      <c r="H23" s="119" t="s">
        <v>320</v>
      </c>
      <c r="I23" s="119" t="s">
        <v>753</v>
      </c>
      <c r="J23" s="119" t="s">
        <v>203</v>
      </c>
      <c r="K23" s="119" t="s">
        <v>203</v>
      </c>
      <c r="L23" s="119" t="s">
        <v>1254</v>
      </c>
      <c r="M23" s="119" t="s">
        <v>339</v>
      </c>
      <c r="N23" s="119" t="s">
        <v>442</v>
      </c>
      <c r="O23" s="119" t="s">
        <v>338</v>
      </c>
      <c r="P23" s="119" t="s">
        <v>1414</v>
      </c>
      <c r="Q23" s="119" t="s">
        <v>414</v>
      </c>
      <c r="R23" s="119" t="s">
        <v>406</v>
      </c>
      <c r="S23" s="119" t="s">
        <v>1212</v>
      </c>
      <c r="T23" s="121">
        <v>2.12</v>
      </c>
      <c r="U23" s="123">
        <v>46477</v>
      </c>
      <c r="V23" s="122">
        <v>3.5400000000000001E-2</v>
      </c>
      <c r="W23" s="122">
        <v>5.3699999999999998E-2</v>
      </c>
      <c r="X23" s="119" t="s">
        <v>411</v>
      </c>
      <c r="Y23" s="119"/>
      <c r="Z23" s="121">
        <v>-3753.74</v>
      </c>
      <c r="AA23" s="121">
        <v>1</v>
      </c>
      <c r="AB23" s="121">
        <v>100</v>
      </c>
      <c r="AC23" s="119"/>
      <c r="AD23" s="121">
        <v>-3.7537400000000001</v>
      </c>
      <c r="AE23" s="119"/>
      <c r="AF23" s="119"/>
      <c r="AG23" s="119"/>
      <c r="AH23" s="122">
        <v>-3.0000000000000001E-6</v>
      </c>
      <c r="AI23" s="122">
        <v>-6.3E-5</v>
      </c>
      <c r="AJ23" s="122">
        <v>-9.9999999999999995E-7</v>
      </c>
    </row>
    <row r="24" spans="1:36" ht="15" customHeight="1">
      <c r="A24" s="120">
        <v>307</v>
      </c>
      <c r="B24" s="120">
        <v>307</v>
      </c>
      <c r="C24" s="119" t="s">
        <v>1220</v>
      </c>
      <c r="D24" s="120">
        <v>520000118</v>
      </c>
      <c r="E24" s="119" t="s">
        <v>308</v>
      </c>
      <c r="F24" s="119" t="s">
        <v>1304</v>
      </c>
      <c r="G24" s="120" t="s">
        <v>1305</v>
      </c>
      <c r="H24" s="119" t="s">
        <v>320</v>
      </c>
      <c r="I24" s="119" t="s">
        <v>753</v>
      </c>
      <c r="J24" s="119" t="s">
        <v>203</v>
      </c>
      <c r="K24" s="119" t="s">
        <v>203</v>
      </c>
      <c r="L24" s="119" t="s">
        <v>1254</v>
      </c>
      <c r="M24" s="119" t="s">
        <v>339</v>
      </c>
      <c r="N24" s="119" t="s">
        <v>447</v>
      </c>
      <c r="O24" s="119" t="s">
        <v>338</v>
      </c>
      <c r="P24" s="119" t="s">
        <v>1410</v>
      </c>
      <c r="Q24" s="119" t="s">
        <v>412</v>
      </c>
      <c r="R24" s="119" t="s">
        <v>406</v>
      </c>
      <c r="S24" s="119" t="s">
        <v>1212</v>
      </c>
      <c r="T24" s="121">
        <v>4.08</v>
      </c>
      <c r="U24" s="123">
        <v>48191</v>
      </c>
      <c r="V24" s="122">
        <v>1E-3</v>
      </c>
      <c r="W24" s="122">
        <v>1.9699999999999999E-2</v>
      </c>
      <c r="X24" s="119" t="s">
        <v>411</v>
      </c>
      <c r="Y24" s="119"/>
      <c r="Z24" s="121">
        <v>1861808</v>
      </c>
      <c r="AA24" s="121">
        <v>1</v>
      </c>
      <c r="AB24" s="121">
        <v>101.03</v>
      </c>
      <c r="AC24" s="119"/>
      <c r="AD24" s="121">
        <v>1880.9846199999999</v>
      </c>
      <c r="AE24" s="119"/>
      <c r="AF24" s="119"/>
      <c r="AG24" s="119"/>
      <c r="AH24" s="122">
        <v>1.005E-3</v>
      </c>
      <c r="AI24" s="122">
        <v>3.1585000000000002E-2</v>
      </c>
      <c r="AJ24" s="122">
        <v>6.6600000000000003E-4</v>
      </c>
    </row>
    <row r="25" spans="1:36" ht="15" customHeight="1">
      <c r="A25" s="120">
        <v>307</v>
      </c>
      <c r="B25" s="120">
        <v>307</v>
      </c>
      <c r="C25" s="119" t="s">
        <v>1306</v>
      </c>
      <c r="D25" s="120">
        <v>513436394</v>
      </c>
      <c r="E25" s="119" t="s">
        <v>308</v>
      </c>
      <c r="F25" s="119" t="s">
        <v>1307</v>
      </c>
      <c r="G25" s="120" t="s">
        <v>1308</v>
      </c>
      <c r="H25" s="119" t="s">
        <v>320</v>
      </c>
      <c r="I25" s="119" t="s">
        <v>753</v>
      </c>
      <c r="J25" s="119" t="s">
        <v>203</v>
      </c>
      <c r="K25" s="119" t="s">
        <v>203</v>
      </c>
      <c r="L25" s="119" t="s">
        <v>1254</v>
      </c>
      <c r="M25" s="119" t="s">
        <v>339</v>
      </c>
      <c r="N25" s="119" t="s">
        <v>476</v>
      </c>
      <c r="O25" s="119" t="s">
        <v>338</v>
      </c>
      <c r="P25" s="119" t="s">
        <v>1416</v>
      </c>
      <c r="Q25" s="119" t="s">
        <v>414</v>
      </c>
      <c r="R25" s="119" t="s">
        <v>406</v>
      </c>
      <c r="S25" s="119" t="s">
        <v>1212</v>
      </c>
      <c r="T25" s="121">
        <v>5.89</v>
      </c>
      <c r="U25" s="123">
        <v>48760</v>
      </c>
      <c r="V25" s="122">
        <v>2.9499999999999998E-2</v>
      </c>
      <c r="W25" s="122">
        <v>2.24E-2</v>
      </c>
      <c r="X25" s="119" t="s">
        <v>411</v>
      </c>
      <c r="Y25" s="119"/>
      <c r="Z25" s="121">
        <v>2034141.96</v>
      </c>
      <c r="AA25" s="121">
        <v>1</v>
      </c>
      <c r="AB25" s="121">
        <v>115.9</v>
      </c>
      <c r="AC25" s="119"/>
      <c r="AD25" s="121">
        <v>2357.57053</v>
      </c>
      <c r="AE25" s="119"/>
      <c r="AF25" s="119"/>
      <c r="AG25" s="119"/>
      <c r="AH25" s="122">
        <v>1.371E-3</v>
      </c>
      <c r="AI25" s="122">
        <v>3.9587999999999998E-2</v>
      </c>
      <c r="AJ25" s="122">
        <v>8.3500000000000002E-4</v>
      </c>
    </row>
    <row r="26" spans="1:36" ht="15" customHeight="1">
      <c r="A26" s="120">
        <v>307</v>
      </c>
      <c r="B26" s="120">
        <v>307</v>
      </c>
      <c r="C26" s="119" t="s">
        <v>1258</v>
      </c>
      <c r="D26" s="120">
        <v>520032046</v>
      </c>
      <c r="E26" s="119" t="s">
        <v>308</v>
      </c>
      <c r="F26" s="119" t="s">
        <v>1309</v>
      </c>
      <c r="G26" s="120" t="s">
        <v>1310</v>
      </c>
      <c r="H26" s="119" t="s">
        <v>320</v>
      </c>
      <c r="I26" s="119" t="s">
        <v>753</v>
      </c>
      <c r="J26" s="119" t="s">
        <v>203</v>
      </c>
      <c r="K26" s="119" t="s">
        <v>203</v>
      </c>
      <c r="L26" s="119" t="s">
        <v>1254</v>
      </c>
      <c r="M26" s="119" t="s">
        <v>339</v>
      </c>
      <c r="N26" s="119" t="s">
        <v>447</v>
      </c>
      <c r="O26" s="119" t="s">
        <v>338</v>
      </c>
      <c r="P26" s="119" t="s">
        <v>1410</v>
      </c>
      <c r="Q26" s="119" t="s">
        <v>412</v>
      </c>
      <c r="R26" s="119" t="s">
        <v>406</v>
      </c>
      <c r="S26" s="119" t="s">
        <v>1212</v>
      </c>
      <c r="T26" s="121">
        <v>3.42</v>
      </c>
      <c r="U26" s="123">
        <v>46658</v>
      </c>
      <c r="V26" s="122">
        <v>1.2200000000000001E-2</v>
      </c>
      <c r="W26" s="122">
        <v>1.7999999999999999E-2</v>
      </c>
      <c r="X26" s="119" t="s">
        <v>411</v>
      </c>
      <c r="Y26" s="119"/>
      <c r="Z26" s="121">
        <v>2612762</v>
      </c>
      <c r="AA26" s="121">
        <v>1</v>
      </c>
      <c r="AB26" s="121">
        <v>111.35</v>
      </c>
      <c r="AC26" s="119"/>
      <c r="AD26" s="121">
        <v>2909.3104899999998</v>
      </c>
      <c r="AE26" s="119"/>
      <c r="AF26" s="119"/>
      <c r="AG26" s="119"/>
      <c r="AH26" s="122">
        <v>8.6600000000000002E-4</v>
      </c>
      <c r="AI26" s="122">
        <v>4.8853000000000001E-2</v>
      </c>
      <c r="AJ26" s="122">
        <v>1.0300000000000001E-3</v>
      </c>
    </row>
    <row r="27" spans="1:36" ht="15" customHeight="1">
      <c r="A27" s="120">
        <v>307</v>
      </c>
      <c r="B27" s="120">
        <v>307</v>
      </c>
      <c r="C27" s="119" t="s">
        <v>1220</v>
      </c>
      <c r="D27" s="120">
        <v>520000118</v>
      </c>
      <c r="E27" s="119" t="s">
        <v>308</v>
      </c>
      <c r="F27" s="119" t="s">
        <v>1311</v>
      </c>
      <c r="G27" s="120" t="s">
        <v>1312</v>
      </c>
      <c r="H27" s="119" t="s">
        <v>320</v>
      </c>
      <c r="I27" s="119" t="s">
        <v>753</v>
      </c>
      <c r="J27" s="119" t="s">
        <v>203</v>
      </c>
      <c r="K27" s="119" t="s">
        <v>203</v>
      </c>
      <c r="L27" s="119" t="s">
        <v>1254</v>
      </c>
      <c r="M27" s="119" t="s">
        <v>339</v>
      </c>
      <c r="N27" s="119" t="s">
        <v>447</v>
      </c>
      <c r="O27" s="119" t="s">
        <v>338</v>
      </c>
      <c r="P27" s="119" t="s">
        <v>1411</v>
      </c>
      <c r="Q27" s="119" t="s">
        <v>412</v>
      </c>
      <c r="R27" s="119" t="s">
        <v>406</v>
      </c>
      <c r="S27" s="119" t="s">
        <v>1212</v>
      </c>
      <c r="T27" s="121">
        <v>4.38</v>
      </c>
      <c r="U27" s="123">
        <v>47086</v>
      </c>
      <c r="V27" s="122">
        <v>3.09E-2</v>
      </c>
      <c r="W27" s="122">
        <v>2.7099999999999999E-2</v>
      </c>
      <c r="X27" s="119" t="s">
        <v>410</v>
      </c>
      <c r="Y27" s="119"/>
      <c r="Z27" s="121">
        <v>350000</v>
      </c>
      <c r="AA27" s="121">
        <v>1</v>
      </c>
      <c r="AB27" s="121">
        <v>106.5</v>
      </c>
      <c r="AC27" s="119"/>
      <c r="AD27" s="121">
        <v>372.75</v>
      </c>
      <c r="AE27" s="119"/>
      <c r="AF27" s="119"/>
      <c r="AG27" s="119"/>
      <c r="AH27" s="122">
        <v>3.68E-4</v>
      </c>
      <c r="AI27" s="122">
        <v>6.2589999999999998E-3</v>
      </c>
      <c r="AJ27" s="122">
        <v>1.3200000000000001E-4</v>
      </c>
    </row>
    <row r="28" spans="1:36" ht="15" customHeight="1">
      <c r="A28" s="120">
        <v>307</v>
      </c>
      <c r="B28" s="120">
        <v>307</v>
      </c>
      <c r="C28" s="119" t="s">
        <v>1220</v>
      </c>
      <c r="D28" s="120">
        <v>520000118</v>
      </c>
      <c r="E28" s="119" t="s">
        <v>308</v>
      </c>
      <c r="F28" s="119" t="s">
        <v>1313</v>
      </c>
      <c r="G28" s="120" t="s">
        <v>1314</v>
      </c>
      <c r="H28" s="119" t="s">
        <v>320</v>
      </c>
      <c r="I28" s="119" t="s">
        <v>753</v>
      </c>
      <c r="J28" s="119" t="s">
        <v>203</v>
      </c>
      <c r="K28" s="119" t="s">
        <v>203</v>
      </c>
      <c r="L28" s="119" t="s">
        <v>1254</v>
      </c>
      <c r="M28" s="119" t="s">
        <v>339</v>
      </c>
      <c r="N28" s="119" t="s">
        <v>447</v>
      </c>
      <c r="O28" s="119" t="s">
        <v>338</v>
      </c>
      <c r="P28" s="119" t="s">
        <v>1410</v>
      </c>
      <c r="Q28" s="119" t="s">
        <v>412</v>
      </c>
      <c r="R28" s="119" t="s">
        <v>406</v>
      </c>
      <c r="S28" s="119" t="s">
        <v>1212</v>
      </c>
      <c r="T28" s="121">
        <v>3.53</v>
      </c>
      <c r="U28" s="123">
        <v>47819</v>
      </c>
      <c r="V28" s="122">
        <v>1.7500000000000002E-2</v>
      </c>
      <c r="W28" s="122">
        <v>1.89E-2</v>
      </c>
      <c r="X28" s="119" t="s">
        <v>411</v>
      </c>
      <c r="Y28" s="119"/>
      <c r="Z28" s="121">
        <v>366566.71</v>
      </c>
      <c r="AA28" s="121">
        <v>1</v>
      </c>
      <c r="AB28" s="121">
        <v>111.16</v>
      </c>
      <c r="AC28" s="119"/>
      <c r="AD28" s="121">
        <v>407.47555</v>
      </c>
      <c r="AE28" s="119"/>
      <c r="AF28" s="119"/>
      <c r="AG28" s="119"/>
      <c r="AH28" s="122">
        <v>1.35E-4</v>
      </c>
      <c r="AI28" s="122">
        <v>6.842E-3</v>
      </c>
      <c r="AJ28" s="122">
        <v>1.44E-4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8.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75</v>
      </c>
      <c r="U1" s="124" t="s">
        <v>63</v>
      </c>
      <c r="V1" s="127" t="s">
        <v>79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1"/>
      <c r="V2" s="122"/>
      <c r="W2" s="122"/>
      <c r="X2" s="12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1"/>
  <sheetViews>
    <sheetView rightToLeft="1" topLeftCell="E1" workbookViewId="0">
      <selection activeCell="P28" sqref="P2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11" bestFit="1" customWidth="1"/>
    <col min="13" max="13" width="47.5" style="115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0.7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14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4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307</v>
      </c>
      <c r="B2" s="120">
        <v>307</v>
      </c>
      <c r="C2" s="119" t="s">
        <v>1315</v>
      </c>
      <c r="D2" s="120">
        <v>513534974</v>
      </c>
      <c r="E2" s="119" t="s">
        <v>308</v>
      </c>
      <c r="F2" s="119" t="s">
        <v>1316</v>
      </c>
      <c r="G2" s="120" t="s">
        <v>1317</v>
      </c>
      <c r="H2" s="119" t="s">
        <v>320</v>
      </c>
      <c r="I2" s="119" t="s">
        <v>967</v>
      </c>
      <c r="J2" s="119" t="s">
        <v>203</v>
      </c>
      <c r="K2" s="119" t="s">
        <v>203</v>
      </c>
      <c r="L2" s="119" t="s">
        <v>339</v>
      </c>
      <c r="M2" s="136" t="s">
        <v>574</v>
      </c>
      <c r="N2" s="119" t="s">
        <v>338</v>
      </c>
      <c r="O2" s="119" t="s">
        <v>1212</v>
      </c>
      <c r="P2" s="121">
        <v>175995</v>
      </c>
      <c r="Q2" s="121">
        <v>1</v>
      </c>
      <c r="R2" s="121">
        <v>347.22</v>
      </c>
      <c r="S2" s="121"/>
      <c r="T2" s="121">
        <v>611.08983999999998</v>
      </c>
      <c r="U2" s="122">
        <v>3.0600000000000001E-4</v>
      </c>
      <c r="V2" s="122">
        <v>1.7110000000000001E-3</v>
      </c>
      <c r="W2" s="122">
        <v>2.1599999999999999E-4</v>
      </c>
    </row>
    <row r="3" spans="1:26" ht="15" customHeight="1">
      <c r="A3" s="120">
        <v>307</v>
      </c>
      <c r="B3" s="120">
        <v>307</v>
      </c>
      <c r="C3" s="119" t="s">
        <v>1318</v>
      </c>
      <c r="D3" s="120">
        <v>511776783</v>
      </c>
      <c r="E3" s="119" t="s">
        <v>308</v>
      </c>
      <c r="F3" s="119" t="s">
        <v>1319</v>
      </c>
      <c r="G3" s="120" t="s">
        <v>1320</v>
      </c>
      <c r="H3" s="119" t="s">
        <v>320</v>
      </c>
      <c r="I3" s="119" t="s">
        <v>967</v>
      </c>
      <c r="J3" s="119" t="s">
        <v>203</v>
      </c>
      <c r="K3" s="119" t="s">
        <v>203</v>
      </c>
      <c r="L3" s="119" t="s">
        <v>339</v>
      </c>
      <c r="M3" s="136" t="s">
        <v>572</v>
      </c>
      <c r="N3" s="119" t="s">
        <v>338</v>
      </c>
      <c r="O3" s="119" t="s">
        <v>1212</v>
      </c>
      <c r="P3" s="121">
        <v>1089740</v>
      </c>
      <c r="Q3" s="121">
        <v>1</v>
      </c>
      <c r="R3" s="121">
        <v>367.74</v>
      </c>
      <c r="S3" s="119"/>
      <c r="T3" s="121">
        <v>4007.4098800000002</v>
      </c>
      <c r="U3" s="122">
        <v>4.4689999999999999E-3</v>
      </c>
      <c r="V3" s="122">
        <v>1.1226E-2</v>
      </c>
      <c r="W3" s="122">
        <v>1.4189999999999999E-3</v>
      </c>
    </row>
    <row r="4" spans="1:26" ht="15" customHeight="1">
      <c r="A4" s="120">
        <v>307</v>
      </c>
      <c r="B4" s="120">
        <v>307</v>
      </c>
      <c r="C4" s="119" t="s">
        <v>1321</v>
      </c>
      <c r="D4" s="120">
        <v>510938608</v>
      </c>
      <c r="E4" s="119" t="s">
        <v>308</v>
      </c>
      <c r="F4" s="119" t="s">
        <v>1322</v>
      </c>
      <c r="G4" s="120" t="s">
        <v>1323</v>
      </c>
      <c r="H4" s="119" t="s">
        <v>320</v>
      </c>
      <c r="I4" s="119" t="s">
        <v>967</v>
      </c>
      <c r="J4" s="119" t="s">
        <v>203</v>
      </c>
      <c r="K4" s="119" t="s">
        <v>203</v>
      </c>
      <c r="L4" s="119" t="s">
        <v>339</v>
      </c>
      <c r="M4" s="136" t="s">
        <v>574</v>
      </c>
      <c r="N4" s="119" t="s">
        <v>338</v>
      </c>
      <c r="O4" s="119" t="s">
        <v>1212</v>
      </c>
      <c r="P4" s="121">
        <v>28567</v>
      </c>
      <c r="Q4" s="121">
        <v>1</v>
      </c>
      <c r="R4" s="121">
        <v>3454</v>
      </c>
      <c r="S4" s="119"/>
      <c r="T4" s="121">
        <v>986.70417999999995</v>
      </c>
      <c r="U4" s="122">
        <v>1.2979999999999999E-3</v>
      </c>
      <c r="V4" s="122">
        <v>2.764E-3</v>
      </c>
      <c r="W4" s="122">
        <v>3.4900000000000003E-4</v>
      </c>
    </row>
    <row r="5" spans="1:26" ht="15" customHeight="1">
      <c r="A5" s="120">
        <v>307</v>
      </c>
      <c r="B5" s="120">
        <v>307</v>
      </c>
      <c r="C5" s="119" t="s">
        <v>1318</v>
      </c>
      <c r="D5" s="120">
        <v>511776783</v>
      </c>
      <c r="E5" s="119" t="s">
        <v>308</v>
      </c>
      <c r="F5" s="119" t="s">
        <v>1324</v>
      </c>
      <c r="G5" s="120" t="s">
        <v>1325</v>
      </c>
      <c r="H5" s="119" t="s">
        <v>320</v>
      </c>
      <c r="I5" s="119" t="s">
        <v>967</v>
      </c>
      <c r="J5" s="119" t="s">
        <v>203</v>
      </c>
      <c r="K5" s="119" t="s">
        <v>203</v>
      </c>
      <c r="L5" s="119" t="s">
        <v>339</v>
      </c>
      <c r="M5" s="136" t="s">
        <v>574</v>
      </c>
      <c r="N5" s="119" t="s">
        <v>338</v>
      </c>
      <c r="O5" s="119" t="s">
        <v>1212</v>
      </c>
      <c r="P5" s="121">
        <v>873020</v>
      </c>
      <c r="Q5" s="121">
        <v>1</v>
      </c>
      <c r="R5" s="121">
        <v>347.01</v>
      </c>
      <c r="S5" s="119"/>
      <c r="T5" s="121">
        <v>3029.4666999999999</v>
      </c>
      <c r="U5" s="122">
        <v>6.025E-3</v>
      </c>
      <c r="V5" s="122">
        <v>8.4860000000000005E-3</v>
      </c>
      <c r="W5" s="122">
        <v>1.073E-3</v>
      </c>
    </row>
    <row r="6" spans="1:26" ht="15" customHeight="1">
      <c r="A6" s="120">
        <v>307</v>
      </c>
      <c r="B6" s="120">
        <v>307</v>
      </c>
      <c r="C6" s="119" t="s">
        <v>1326</v>
      </c>
      <c r="D6" s="120">
        <v>511303661</v>
      </c>
      <c r="E6" s="119" t="s">
        <v>308</v>
      </c>
      <c r="F6" s="119" t="s">
        <v>1327</v>
      </c>
      <c r="G6" s="120" t="s">
        <v>1328</v>
      </c>
      <c r="H6" s="119" t="s">
        <v>320</v>
      </c>
      <c r="I6" s="119" t="s">
        <v>967</v>
      </c>
      <c r="J6" s="119" t="s">
        <v>203</v>
      </c>
      <c r="K6" s="119" t="s">
        <v>203</v>
      </c>
      <c r="L6" s="119" t="s">
        <v>339</v>
      </c>
      <c r="M6" s="136" t="s">
        <v>575</v>
      </c>
      <c r="N6" s="119" t="s">
        <v>338</v>
      </c>
      <c r="O6" s="119" t="s">
        <v>1212</v>
      </c>
      <c r="P6" s="121">
        <v>1463405</v>
      </c>
      <c r="Q6" s="121">
        <v>1</v>
      </c>
      <c r="R6" s="121">
        <v>457.01</v>
      </c>
      <c r="S6" s="119"/>
      <c r="T6" s="121">
        <v>6687.9071899999999</v>
      </c>
      <c r="U6" s="122">
        <v>1.0102999999999999E-2</v>
      </c>
      <c r="V6" s="122">
        <v>1.8734000000000001E-2</v>
      </c>
      <c r="W6" s="122">
        <v>2.369E-3</v>
      </c>
    </row>
    <row r="7" spans="1:26" ht="15" customHeight="1">
      <c r="A7" s="120">
        <v>307</v>
      </c>
      <c r="B7" s="120">
        <v>307</v>
      </c>
      <c r="C7" s="119" t="s">
        <v>1321</v>
      </c>
      <c r="D7" s="120">
        <v>510938608</v>
      </c>
      <c r="E7" s="119" t="s">
        <v>308</v>
      </c>
      <c r="F7" s="119" t="s">
        <v>1329</v>
      </c>
      <c r="G7" s="120" t="s">
        <v>1330</v>
      </c>
      <c r="H7" s="119" t="s">
        <v>320</v>
      </c>
      <c r="I7" s="119" t="s">
        <v>967</v>
      </c>
      <c r="J7" s="119" t="s">
        <v>203</v>
      </c>
      <c r="K7" s="119" t="s">
        <v>203</v>
      </c>
      <c r="L7" s="119" t="s">
        <v>339</v>
      </c>
      <c r="M7" s="119" t="s">
        <v>631</v>
      </c>
      <c r="N7" s="119" t="s">
        <v>338</v>
      </c>
      <c r="O7" s="119" t="s">
        <v>1212</v>
      </c>
      <c r="P7" s="121">
        <v>76759.23</v>
      </c>
      <c r="Q7" s="121">
        <v>1</v>
      </c>
      <c r="R7" s="121">
        <v>3874.92</v>
      </c>
      <c r="S7" s="119"/>
      <c r="T7" s="121">
        <v>2974.3587600000001</v>
      </c>
      <c r="U7" s="122">
        <v>1.967E-3</v>
      </c>
      <c r="V7" s="122">
        <v>8.3320000000000009E-3</v>
      </c>
      <c r="W7" s="122">
        <v>1.0529999999999999E-3</v>
      </c>
    </row>
    <row r="8" spans="1:26" ht="15" customHeight="1">
      <c r="A8" s="120">
        <v>307</v>
      </c>
      <c r="B8" s="120">
        <v>307</v>
      </c>
      <c r="C8" s="119" t="s">
        <v>1331</v>
      </c>
      <c r="D8" s="120">
        <v>513765339</v>
      </c>
      <c r="E8" s="119" t="s">
        <v>308</v>
      </c>
      <c r="F8" s="119" t="s">
        <v>1332</v>
      </c>
      <c r="G8" s="120" t="s">
        <v>1333</v>
      </c>
      <c r="H8" s="119" t="s">
        <v>320</v>
      </c>
      <c r="I8" s="119" t="s">
        <v>967</v>
      </c>
      <c r="J8" s="119" t="s">
        <v>203</v>
      </c>
      <c r="K8" s="119" t="s">
        <v>203</v>
      </c>
      <c r="L8" s="119" t="s">
        <v>339</v>
      </c>
      <c r="M8" s="136" t="s">
        <v>574</v>
      </c>
      <c r="N8" s="119" t="s">
        <v>338</v>
      </c>
      <c r="O8" s="119" t="s">
        <v>1212</v>
      </c>
      <c r="P8" s="121">
        <v>466290</v>
      </c>
      <c r="Q8" s="121">
        <v>1</v>
      </c>
      <c r="R8" s="121">
        <v>348.23</v>
      </c>
      <c r="S8" s="119"/>
      <c r="T8" s="121">
        <v>1623.7616700000001</v>
      </c>
      <c r="U8" s="122">
        <v>4.8799999999999999E-4</v>
      </c>
      <c r="V8" s="122">
        <v>4.548E-3</v>
      </c>
      <c r="W8" s="122">
        <v>5.7499999999999999E-4</v>
      </c>
    </row>
    <row r="9" spans="1:26" ht="15" customHeight="1">
      <c r="A9" s="120">
        <v>307</v>
      </c>
      <c r="B9" s="120">
        <v>307</v>
      </c>
      <c r="C9" s="119" t="s">
        <v>1321</v>
      </c>
      <c r="D9" s="120">
        <v>510938608</v>
      </c>
      <c r="E9" s="119" t="s">
        <v>308</v>
      </c>
      <c r="F9" s="119" t="s">
        <v>1334</v>
      </c>
      <c r="G9" s="120" t="s">
        <v>1335</v>
      </c>
      <c r="H9" s="119" t="s">
        <v>320</v>
      </c>
      <c r="I9" s="119" t="s">
        <v>965</v>
      </c>
      <c r="J9" s="119" t="s">
        <v>203</v>
      </c>
      <c r="K9" s="119" t="s">
        <v>203</v>
      </c>
      <c r="L9" s="119" t="s">
        <v>339</v>
      </c>
      <c r="M9" s="133" t="s">
        <v>573</v>
      </c>
      <c r="N9" s="119" t="s">
        <v>338</v>
      </c>
      <c r="O9" s="119" t="s">
        <v>1212</v>
      </c>
      <c r="P9" s="121">
        <v>144108.85999999999</v>
      </c>
      <c r="Q9" s="121">
        <v>1</v>
      </c>
      <c r="R9" s="121">
        <v>19770</v>
      </c>
      <c r="S9" s="119"/>
      <c r="T9" s="121">
        <v>28490.321619999999</v>
      </c>
      <c r="U9" s="122">
        <v>4.509E-3</v>
      </c>
      <c r="V9" s="122">
        <v>7.9810000000000006E-2</v>
      </c>
      <c r="W9" s="122">
        <v>1.0093E-2</v>
      </c>
    </row>
    <row r="10" spans="1:26" ht="15" customHeight="1">
      <c r="A10" s="120">
        <v>307</v>
      </c>
      <c r="B10" s="120">
        <v>307</v>
      </c>
      <c r="C10" s="119" t="s">
        <v>1326</v>
      </c>
      <c r="D10" s="120">
        <v>511303661</v>
      </c>
      <c r="E10" s="119" t="s">
        <v>308</v>
      </c>
      <c r="F10" s="119" t="s">
        <v>1336</v>
      </c>
      <c r="G10" s="120" t="s">
        <v>1337</v>
      </c>
      <c r="H10" s="119" t="s">
        <v>320</v>
      </c>
      <c r="I10" s="119" t="s">
        <v>965</v>
      </c>
      <c r="J10" s="119" t="s">
        <v>203</v>
      </c>
      <c r="K10" s="119" t="s">
        <v>203</v>
      </c>
      <c r="L10" s="119" t="s">
        <v>339</v>
      </c>
      <c r="M10" s="133" t="s">
        <v>573</v>
      </c>
      <c r="N10" s="119" t="s">
        <v>338</v>
      </c>
      <c r="O10" s="119" t="s">
        <v>1212</v>
      </c>
      <c r="P10" s="121">
        <v>414202</v>
      </c>
      <c r="Q10" s="121">
        <v>1</v>
      </c>
      <c r="R10" s="121">
        <v>2713</v>
      </c>
      <c r="S10" s="119"/>
      <c r="T10" s="121">
        <v>11237.30026</v>
      </c>
      <c r="U10" s="122">
        <v>5.9170000000000004E-3</v>
      </c>
      <c r="V10" s="122">
        <v>3.1479E-2</v>
      </c>
      <c r="W10" s="122">
        <v>3.9810000000000002E-3</v>
      </c>
    </row>
    <row r="11" spans="1:26" ht="15" customHeight="1">
      <c r="A11" s="120">
        <v>307</v>
      </c>
      <c r="B11" s="120">
        <v>307</v>
      </c>
      <c r="C11" s="119" t="s">
        <v>1318</v>
      </c>
      <c r="D11" s="120">
        <v>511776783</v>
      </c>
      <c r="E11" s="119" t="s">
        <v>308</v>
      </c>
      <c r="F11" s="119" t="s">
        <v>1338</v>
      </c>
      <c r="G11" s="120" t="s">
        <v>1339</v>
      </c>
      <c r="H11" s="119" t="s">
        <v>320</v>
      </c>
      <c r="I11" s="119" t="s">
        <v>965</v>
      </c>
      <c r="J11" s="119" t="s">
        <v>203</v>
      </c>
      <c r="K11" s="119" t="s">
        <v>203</v>
      </c>
      <c r="L11" s="119" t="s">
        <v>339</v>
      </c>
      <c r="M11" s="133" t="s">
        <v>573</v>
      </c>
      <c r="N11" s="119" t="s">
        <v>338</v>
      </c>
      <c r="O11" s="119" t="s">
        <v>1212</v>
      </c>
      <c r="P11" s="121">
        <v>472030</v>
      </c>
      <c r="Q11" s="121">
        <v>1</v>
      </c>
      <c r="R11" s="121">
        <v>1990</v>
      </c>
      <c r="S11" s="119"/>
      <c r="T11" s="121">
        <v>9393.3970000000008</v>
      </c>
      <c r="U11" s="122">
        <v>5.5399999999999998E-3</v>
      </c>
      <c r="V11" s="122">
        <v>2.6313E-2</v>
      </c>
      <c r="W11" s="122">
        <v>3.3279999999999998E-3</v>
      </c>
    </row>
    <row r="12" spans="1:26" ht="15" customHeight="1">
      <c r="A12" s="120">
        <v>307</v>
      </c>
      <c r="B12" s="120">
        <v>307</v>
      </c>
      <c r="C12" s="119" t="s">
        <v>1321</v>
      </c>
      <c r="D12" s="120">
        <v>510938608</v>
      </c>
      <c r="E12" s="119" t="s">
        <v>308</v>
      </c>
      <c r="F12" s="119" t="s">
        <v>1340</v>
      </c>
      <c r="G12" s="120" t="s">
        <v>1341</v>
      </c>
      <c r="H12" s="119" t="s">
        <v>320</v>
      </c>
      <c r="I12" s="119" t="s">
        <v>967</v>
      </c>
      <c r="J12" s="119" t="s">
        <v>203</v>
      </c>
      <c r="K12" s="119" t="s">
        <v>203</v>
      </c>
      <c r="L12" s="119" t="s">
        <v>339</v>
      </c>
      <c r="M12" s="136" t="s">
        <v>572</v>
      </c>
      <c r="N12" s="119" t="s">
        <v>338</v>
      </c>
      <c r="O12" s="119" t="s">
        <v>1212</v>
      </c>
      <c r="P12" s="121">
        <v>107590.82</v>
      </c>
      <c r="Q12" s="121">
        <v>1</v>
      </c>
      <c r="R12" s="121">
        <v>3642.46</v>
      </c>
      <c r="S12" s="119"/>
      <c r="T12" s="121">
        <v>3918.9525800000001</v>
      </c>
      <c r="U12" s="122">
        <v>1.3630000000000001E-3</v>
      </c>
      <c r="V12" s="122">
        <v>1.0978E-2</v>
      </c>
      <c r="W12" s="122">
        <v>1.3879999999999999E-3</v>
      </c>
    </row>
    <row r="13" spans="1:26" ht="15" customHeight="1">
      <c r="A13" s="120">
        <v>307</v>
      </c>
      <c r="B13" s="120">
        <v>307</v>
      </c>
      <c r="C13" s="119" t="s">
        <v>1326</v>
      </c>
      <c r="D13" s="120">
        <v>511303661</v>
      </c>
      <c r="E13" s="119" t="s">
        <v>308</v>
      </c>
      <c r="F13" s="119" t="s">
        <v>1342</v>
      </c>
      <c r="G13" s="120" t="s">
        <v>1343</v>
      </c>
      <c r="H13" s="119" t="s">
        <v>320</v>
      </c>
      <c r="I13" s="119" t="s">
        <v>967</v>
      </c>
      <c r="J13" s="119" t="s">
        <v>203</v>
      </c>
      <c r="K13" s="119" t="s">
        <v>203</v>
      </c>
      <c r="L13" s="119" t="s">
        <v>339</v>
      </c>
      <c r="M13" s="119" t="s">
        <v>631</v>
      </c>
      <c r="N13" s="119" t="s">
        <v>338</v>
      </c>
      <c r="O13" s="119" t="s">
        <v>1212</v>
      </c>
      <c r="P13" s="121">
        <v>473500</v>
      </c>
      <c r="Q13" s="121">
        <v>1</v>
      </c>
      <c r="R13" s="121">
        <v>310.20999999999998</v>
      </c>
      <c r="S13" s="119"/>
      <c r="T13" s="121">
        <v>1468.8443500000001</v>
      </c>
      <c r="U13" s="122">
        <v>1.8940000000000001E-3</v>
      </c>
      <c r="V13" s="122">
        <v>4.1139999999999996E-3</v>
      </c>
      <c r="W13" s="122">
        <v>5.1999999999999995E-4</v>
      </c>
    </row>
    <row r="14" spans="1:26" ht="15" customHeight="1">
      <c r="A14" s="120">
        <v>307</v>
      </c>
      <c r="B14" s="120">
        <v>307</v>
      </c>
      <c r="C14" s="119" t="s">
        <v>1315</v>
      </c>
      <c r="D14" s="120">
        <v>513534974</v>
      </c>
      <c r="E14" s="119" t="s">
        <v>308</v>
      </c>
      <c r="F14" s="119" t="s">
        <v>1344</v>
      </c>
      <c r="G14" s="120" t="s">
        <v>1345</v>
      </c>
      <c r="H14" s="119" t="s">
        <v>320</v>
      </c>
      <c r="I14" s="119" t="s">
        <v>965</v>
      </c>
      <c r="J14" s="119" t="s">
        <v>203</v>
      </c>
      <c r="K14" s="119" t="s">
        <v>203</v>
      </c>
      <c r="L14" s="119" t="s">
        <v>339</v>
      </c>
      <c r="M14" s="133" t="s">
        <v>573</v>
      </c>
      <c r="N14" s="119" t="s">
        <v>338</v>
      </c>
      <c r="O14" s="119" t="s">
        <v>1212</v>
      </c>
      <c r="P14" s="121">
        <v>276104</v>
      </c>
      <c r="Q14" s="121">
        <v>1</v>
      </c>
      <c r="R14" s="121">
        <v>1986</v>
      </c>
      <c r="S14" s="119"/>
      <c r="T14" s="121">
        <v>5483.42544</v>
      </c>
      <c r="U14" s="122">
        <v>1.0759999999999999E-3</v>
      </c>
      <c r="V14" s="122">
        <v>1.536E-2</v>
      </c>
      <c r="W14" s="122">
        <v>1.9419999999999999E-3</v>
      </c>
    </row>
    <row r="15" spans="1:26" ht="15" customHeight="1">
      <c r="A15" s="120">
        <v>307</v>
      </c>
      <c r="B15" s="120">
        <v>307</v>
      </c>
      <c r="C15" s="119" t="s">
        <v>1346</v>
      </c>
      <c r="D15" s="120" t="s">
        <v>1347</v>
      </c>
      <c r="E15" s="119" t="s">
        <v>312</v>
      </c>
      <c r="F15" s="119" t="s">
        <v>1348</v>
      </c>
      <c r="G15" s="120" t="s">
        <v>1349</v>
      </c>
      <c r="H15" s="119" t="s">
        <v>320</v>
      </c>
      <c r="I15" s="119" t="s">
        <v>966</v>
      </c>
      <c r="J15" s="119" t="s">
        <v>204</v>
      </c>
      <c r="K15" s="119" t="s">
        <v>288</v>
      </c>
      <c r="L15" s="119" t="s">
        <v>379</v>
      </c>
      <c r="M15" s="119" t="s">
        <v>734</v>
      </c>
      <c r="N15" s="119" t="s">
        <v>338</v>
      </c>
      <c r="O15" s="119" t="s">
        <v>1216</v>
      </c>
      <c r="P15" s="121">
        <v>139018</v>
      </c>
      <c r="Q15" s="121">
        <v>3.681</v>
      </c>
      <c r="R15" s="134">
        <v>10809</v>
      </c>
      <c r="S15" s="119"/>
      <c r="T15" s="121">
        <v>55312.383139999998</v>
      </c>
      <c r="U15" s="122">
        <v>1.2869999999999999E-3</v>
      </c>
      <c r="V15" s="122">
        <v>0.154947</v>
      </c>
      <c r="W15" s="122">
        <v>1.9595999999999999E-2</v>
      </c>
      <c r="X15" s="135"/>
    </row>
    <row r="16" spans="1:26" ht="15" customHeight="1">
      <c r="A16" s="120">
        <v>307</v>
      </c>
      <c r="B16" s="120">
        <v>307</v>
      </c>
      <c r="C16" s="119" t="s">
        <v>1350</v>
      </c>
      <c r="D16" s="120" t="s">
        <v>1351</v>
      </c>
      <c r="E16" s="119" t="s">
        <v>312</v>
      </c>
      <c r="F16" s="119" t="s">
        <v>1352</v>
      </c>
      <c r="G16" s="120" t="s">
        <v>1353</v>
      </c>
      <c r="H16" s="119" t="s">
        <v>320</v>
      </c>
      <c r="I16" s="119" t="s">
        <v>966</v>
      </c>
      <c r="J16" s="119" t="s">
        <v>204</v>
      </c>
      <c r="K16" s="119" t="s">
        <v>295</v>
      </c>
      <c r="L16" s="119" t="s">
        <v>363</v>
      </c>
      <c r="M16" s="119" t="s">
        <v>734</v>
      </c>
      <c r="N16" s="119" t="s">
        <v>338</v>
      </c>
      <c r="O16" s="119" t="s">
        <v>1216</v>
      </c>
      <c r="P16" s="121">
        <v>703537</v>
      </c>
      <c r="Q16" s="121">
        <v>3.681</v>
      </c>
      <c r="R16" s="134">
        <v>511.30000000000007</v>
      </c>
      <c r="S16" s="119"/>
      <c r="T16" s="121">
        <v>13241.23681</v>
      </c>
      <c r="U16" s="122">
        <v>3.4940000000000001E-3</v>
      </c>
      <c r="V16" s="122">
        <v>3.7092E-2</v>
      </c>
      <c r="W16" s="122">
        <v>4.6909999999999999E-3</v>
      </c>
      <c r="X16" s="135"/>
    </row>
    <row r="17" spans="1:24" ht="15" customHeight="1">
      <c r="A17" s="120">
        <v>307</v>
      </c>
      <c r="B17" s="120">
        <v>307</v>
      </c>
      <c r="C17" s="119" t="s">
        <v>1354</v>
      </c>
      <c r="D17" s="120" t="s">
        <v>1355</v>
      </c>
      <c r="E17" s="119" t="s">
        <v>312</v>
      </c>
      <c r="F17" s="119" t="s">
        <v>1356</v>
      </c>
      <c r="G17" s="120" t="s">
        <v>1357</v>
      </c>
      <c r="H17" s="119" t="s">
        <v>320</v>
      </c>
      <c r="I17" s="119" t="s">
        <v>313</v>
      </c>
      <c r="J17" s="119" t="s">
        <v>204</v>
      </c>
      <c r="K17" s="119" t="s">
        <v>295</v>
      </c>
      <c r="L17" s="119" t="s">
        <v>379</v>
      </c>
      <c r="M17" s="119" t="s">
        <v>677</v>
      </c>
      <c r="N17" s="119" t="s">
        <v>338</v>
      </c>
      <c r="O17" s="119" t="s">
        <v>1216</v>
      </c>
      <c r="P17" s="121">
        <v>6500</v>
      </c>
      <c r="Q17" s="121">
        <v>3.681</v>
      </c>
      <c r="R17" s="134">
        <v>9832</v>
      </c>
      <c r="S17" s="119"/>
      <c r="T17" s="121">
        <v>2352.4534800000001</v>
      </c>
      <c r="U17" s="122">
        <v>2.6200000000000003E-4</v>
      </c>
      <c r="V17" s="122">
        <v>6.5890000000000002E-3</v>
      </c>
      <c r="W17" s="122">
        <v>8.3299999999999997E-4</v>
      </c>
      <c r="X17" s="135"/>
    </row>
    <row r="18" spans="1:24" ht="15" customHeight="1">
      <c r="A18" s="120">
        <v>307</v>
      </c>
      <c r="B18" s="120">
        <v>307</v>
      </c>
      <c r="C18" s="119" t="s">
        <v>1354</v>
      </c>
      <c r="D18" s="120" t="s">
        <v>1355</v>
      </c>
      <c r="E18" s="119" t="s">
        <v>312</v>
      </c>
      <c r="F18" s="119" t="s">
        <v>1358</v>
      </c>
      <c r="G18" s="120" t="s">
        <v>1359</v>
      </c>
      <c r="H18" s="119" t="s">
        <v>320</v>
      </c>
      <c r="I18" s="119" t="s">
        <v>966</v>
      </c>
      <c r="J18" s="119" t="s">
        <v>204</v>
      </c>
      <c r="K18" s="119" t="s">
        <v>288</v>
      </c>
      <c r="L18" s="119" t="s">
        <v>379</v>
      </c>
      <c r="M18" s="119" t="s">
        <v>734</v>
      </c>
      <c r="N18" s="119" t="s">
        <v>338</v>
      </c>
      <c r="O18" s="119" t="s">
        <v>1216</v>
      </c>
      <c r="P18" s="121">
        <v>503676</v>
      </c>
      <c r="Q18" s="121">
        <v>3.681</v>
      </c>
      <c r="R18" s="134">
        <v>9876</v>
      </c>
      <c r="S18" s="119"/>
      <c r="T18" s="121">
        <v>183104.13672000001</v>
      </c>
      <c r="U18" s="122">
        <v>6.8400000000000004E-4</v>
      </c>
      <c r="V18" s="122">
        <v>0.51293200000000005</v>
      </c>
      <c r="W18" s="122">
        <v>6.4871999999999999E-2</v>
      </c>
      <c r="X18" s="135"/>
    </row>
    <row r="19" spans="1:24" ht="15" customHeight="1">
      <c r="A19" s="120">
        <v>307</v>
      </c>
      <c r="B19" s="120">
        <v>307</v>
      </c>
      <c r="C19" s="119" t="s">
        <v>1360</v>
      </c>
      <c r="D19" s="120" t="s">
        <v>1361</v>
      </c>
      <c r="E19" s="119" t="s">
        <v>312</v>
      </c>
      <c r="F19" s="119" t="s">
        <v>1362</v>
      </c>
      <c r="G19" s="120" t="s">
        <v>1363</v>
      </c>
      <c r="H19" s="119" t="s">
        <v>320</v>
      </c>
      <c r="I19" s="119" t="s">
        <v>966</v>
      </c>
      <c r="J19" s="119" t="s">
        <v>204</v>
      </c>
      <c r="K19" s="119" t="s">
        <v>288</v>
      </c>
      <c r="L19" s="119" t="s">
        <v>379</v>
      </c>
      <c r="M19" s="119" t="s">
        <v>734</v>
      </c>
      <c r="N19" s="119" t="s">
        <v>338</v>
      </c>
      <c r="O19" s="119" t="s">
        <v>1216</v>
      </c>
      <c r="P19" s="121">
        <v>41976</v>
      </c>
      <c r="Q19" s="121">
        <v>3.681</v>
      </c>
      <c r="R19" s="134">
        <v>3604.9999999999995</v>
      </c>
      <c r="S19" s="119"/>
      <c r="T19" s="121">
        <v>5570.2173000000003</v>
      </c>
      <c r="U19" s="122">
        <v>2.7599999999999999E-4</v>
      </c>
      <c r="V19" s="122">
        <v>1.5603000000000001E-2</v>
      </c>
      <c r="W19" s="122">
        <v>1.9729999999999999E-3</v>
      </c>
      <c r="X19" s="135"/>
    </row>
    <row r="20" spans="1:24" ht="15" customHeight="1">
      <c r="A20" s="120">
        <v>307</v>
      </c>
      <c r="B20" s="120">
        <v>307</v>
      </c>
      <c r="C20" s="119" t="s">
        <v>1350</v>
      </c>
      <c r="D20" s="120" t="s">
        <v>1351</v>
      </c>
      <c r="E20" s="119" t="s">
        <v>312</v>
      </c>
      <c r="F20" s="119" t="s">
        <v>1364</v>
      </c>
      <c r="G20" s="120" t="s">
        <v>1365</v>
      </c>
      <c r="H20" s="119" t="s">
        <v>320</v>
      </c>
      <c r="I20" s="119" t="s">
        <v>966</v>
      </c>
      <c r="J20" s="119" t="s">
        <v>204</v>
      </c>
      <c r="K20" s="119" t="s">
        <v>295</v>
      </c>
      <c r="L20" s="119" t="s">
        <v>379</v>
      </c>
      <c r="M20" s="119" t="s">
        <v>734</v>
      </c>
      <c r="N20" s="119" t="s">
        <v>338</v>
      </c>
      <c r="O20" s="119" t="s">
        <v>1216</v>
      </c>
      <c r="P20" s="121">
        <v>74815</v>
      </c>
      <c r="Q20" s="121">
        <v>3.681</v>
      </c>
      <c r="R20" s="134">
        <v>4607.5</v>
      </c>
      <c r="S20" s="119"/>
      <c r="T20" s="121">
        <v>12688.77924</v>
      </c>
      <c r="U20" s="122">
        <v>2.1410000000000001E-3</v>
      </c>
      <c r="V20" s="122">
        <v>3.5545E-2</v>
      </c>
      <c r="W20" s="122">
        <v>4.4949999999999999E-3</v>
      </c>
      <c r="X20" s="135"/>
    </row>
    <row r="21" spans="1:24" ht="15" customHeight="1">
      <c r="A21" s="120">
        <v>307</v>
      </c>
      <c r="B21" s="120">
        <v>307</v>
      </c>
      <c r="C21" s="119" t="s">
        <v>1354</v>
      </c>
      <c r="D21" s="120" t="s">
        <v>1355</v>
      </c>
      <c r="E21" s="119" t="s">
        <v>312</v>
      </c>
      <c r="F21" s="119" t="s">
        <v>1366</v>
      </c>
      <c r="G21" s="120" t="s">
        <v>1367</v>
      </c>
      <c r="H21" s="119" t="s">
        <v>320</v>
      </c>
      <c r="I21" s="119" t="s">
        <v>313</v>
      </c>
      <c r="J21" s="119" t="s">
        <v>204</v>
      </c>
      <c r="K21" s="119" t="s">
        <v>223</v>
      </c>
      <c r="L21" s="119" t="s">
        <v>379</v>
      </c>
      <c r="M21" s="119" t="s">
        <v>677</v>
      </c>
      <c r="N21" s="119" t="s">
        <v>338</v>
      </c>
      <c r="O21" s="119" t="s">
        <v>1216</v>
      </c>
      <c r="P21" s="121">
        <v>254100</v>
      </c>
      <c r="Q21" s="121">
        <v>3.681</v>
      </c>
      <c r="R21" s="134">
        <v>512.4</v>
      </c>
      <c r="S21" s="119"/>
      <c r="T21" s="121">
        <v>4792.6929200000004</v>
      </c>
      <c r="U21" s="122">
        <v>3.4259999999999998E-3</v>
      </c>
      <c r="V21" s="122">
        <v>1.3424999999999999E-2</v>
      </c>
      <c r="W21" s="122">
        <v>1.6980000000000001E-3</v>
      </c>
      <c r="X21" s="135"/>
    </row>
  </sheetData>
  <dataValidations disablePrompts="1" count="1">
    <dataValidation type="list" allowBlank="1" showInputMessage="1" showErrorMessage="1" sqref="M9:M11 M14" xr:uid="{FB2FE73D-B361-43FE-AFD8-0B44D0FF71EE}">
      <formula1>Fund_type</formula1>
    </dataValidation>
  </dataValidation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91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63</v>
      </c>
      <c r="U1" s="127" t="s">
        <v>79</v>
      </c>
      <c r="V1" s="127" t="s">
        <v>64</v>
      </c>
      <c r="W1" s="127" t="s">
        <v>65</v>
      </c>
      <c r="X1" s="11"/>
      <c r="Y1" s="11"/>
      <c r="Z1" s="11"/>
    </row>
    <row r="2" spans="1:26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2"/>
      <c r="V2" s="122"/>
      <c r="W2" s="12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95</v>
      </c>
      <c r="T1" s="124" t="s">
        <v>76</v>
      </c>
      <c r="U1" s="124" t="s">
        <v>61</v>
      </c>
      <c r="V1" s="124" t="s">
        <v>77</v>
      </c>
      <c r="W1" s="124" t="s">
        <v>63</v>
      </c>
      <c r="X1" s="127" t="s">
        <v>64</v>
      </c>
      <c r="Y1" s="127" t="s">
        <v>65</v>
      </c>
      <c r="Z1" s="11"/>
    </row>
    <row r="2" spans="1:26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1"/>
      <c r="X2" s="122"/>
      <c r="Y2" s="12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76</v>
      </c>
      <c r="T1" s="124" t="s">
        <v>61</v>
      </c>
      <c r="U1" s="124" t="s">
        <v>77</v>
      </c>
      <c r="V1" s="124" t="s">
        <v>63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2"/>
      <c r="X2" s="12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4" t="s">
        <v>76</v>
      </c>
      <c r="P1" s="124" t="s">
        <v>61</v>
      </c>
      <c r="Q1" s="124" t="s">
        <v>77</v>
      </c>
      <c r="R1" s="124" t="s">
        <v>63</v>
      </c>
      <c r="S1" s="127" t="s">
        <v>64</v>
      </c>
      <c r="T1" s="127" t="s">
        <v>65</v>
      </c>
      <c r="U1" s="11"/>
      <c r="V1" s="11"/>
      <c r="W1" s="11"/>
      <c r="X1" s="11"/>
      <c r="Y1" s="11"/>
      <c r="Z1" s="11"/>
    </row>
    <row r="2" spans="1:26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1"/>
      <c r="P2" s="121"/>
      <c r="Q2" s="121"/>
      <c r="R2" s="121"/>
      <c r="S2" s="122"/>
      <c r="T2" s="122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4" t="s">
        <v>72</v>
      </c>
      <c r="Q1" s="127" t="s">
        <v>62</v>
      </c>
      <c r="R1" s="127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4" t="s">
        <v>76</v>
      </c>
      <c r="X1" s="124" t="s">
        <v>61</v>
      </c>
      <c r="Y1" s="124" t="s">
        <v>77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1"/>
      <c r="Q2" s="122"/>
      <c r="R2" s="122"/>
      <c r="S2" s="119"/>
      <c r="T2" s="119"/>
      <c r="U2" s="119"/>
      <c r="V2" s="119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5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6" t="s">
        <v>97</v>
      </c>
      <c r="K1" s="25" t="s">
        <v>71</v>
      </c>
      <c r="L1" s="25" t="s">
        <v>58</v>
      </c>
      <c r="M1" s="25" t="s">
        <v>59</v>
      </c>
      <c r="N1" s="124" t="s">
        <v>72</v>
      </c>
      <c r="O1" s="126" t="s">
        <v>73</v>
      </c>
      <c r="P1" s="127" t="s">
        <v>62</v>
      </c>
      <c r="Q1" s="127" t="s">
        <v>74</v>
      </c>
      <c r="R1" s="124" t="s">
        <v>76</v>
      </c>
      <c r="S1" s="124" t="s">
        <v>61</v>
      </c>
      <c r="T1" s="124" t="s">
        <v>77</v>
      </c>
      <c r="U1" s="124" t="s">
        <v>63</v>
      </c>
      <c r="V1" s="124" t="s">
        <v>78</v>
      </c>
      <c r="W1" s="25" t="s">
        <v>17</v>
      </c>
      <c r="X1" s="127" t="s">
        <v>64</v>
      </c>
      <c r="Y1" s="127" t="s">
        <v>65</v>
      </c>
    </row>
    <row r="2" spans="1:25" ht="15" customHeight="1">
      <c r="A2" s="120">
        <v>307</v>
      </c>
      <c r="B2" s="120">
        <v>307</v>
      </c>
      <c r="C2" s="119"/>
      <c r="D2" s="119"/>
      <c r="E2" s="120"/>
      <c r="F2" s="119"/>
      <c r="G2" s="119"/>
      <c r="H2" s="119"/>
      <c r="I2" s="119"/>
      <c r="J2" s="123"/>
      <c r="K2" s="119"/>
      <c r="L2" s="119"/>
      <c r="M2" s="119"/>
      <c r="N2" s="121"/>
      <c r="O2" s="123"/>
      <c r="P2" s="122"/>
      <c r="Q2" s="122"/>
      <c r="R2" s="121"/>
      <c r="S2" s="121"/>
      <c r="T2" s="121"/>
      <c r="U2" s="121"/>
      <c r="V2" s="121"/>
      <c r="W2" s="119"/>
      <c r="X2" s="122"/>
      <c r="Y2" s="122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0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4.5" bestFit="1" customWidth="1"/>
    <col min="13" max="13" width="11.625" customWidth="1"/>
    <col min="14" max="14" width="10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4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307</v>
      </c>
      <c r="B2" s="120">
        <v>307</v>
      </c>
      <c r="C2" s="119" t="s">
        <v>984</v>
      </c>
      <c r="D2" s="119" t="s">
        <v>1368</v>
      </c>
      <c r="E2" s="120">
        <v>8288979</v>
      </c>
      <c r="F2" s="123">
        <v>44318</v>
      </c>
      <c r="G2" s="121">
        <v>9.61</v>
      </c>
      <c r="H2" s="119" t="s">
        <v>753</v>
      </c>
      <c r="I2" s="123">
        <v>49797</v>
      </c>
      <c r="J2" s="122">
        <v>4.8000000000000001E-2</v>
      </c>
      <c r="K2" s="122">
        <v>1.6899999999999998E-2</v>
      </c>
      <c r="L2" s="121">
        <v>11643000</v>
      </c>
      <c r="M2" s="121">
        <v>150.85220000000001</v>
      </c>
      <c r="N2" s="121">
        <v>17563.72522</v>
      </c>
      <c r="O2" s="121"/>
      <c r="P2" s="119"/>
      <c r="Q2" s="122">
        <v>4.5957999999999999E-2</v>
      </c>
      <c r="R2" s="122">
        <v>6.2220000000000001E-3</v>
      </c>
    </row>
    <row r="3" spans="1:26" ht="15" customHeight="1">
      <c r="A3" s="120">
        <v>307</v>
      </c>
      <c r="B3" s="120">
        <v>307</v>
      </c>
      <c r="C3" s="119" t="s">
        <v>984</v>
      </c>
      <c r="D3" s="119" t="s">
        <v>1369</v>
      </c>
      <c r="E3" s="120">
        <v>8288235</v>
      </c>
      <c r="F3" s="123">
        <v>42036</v>
      </c>
      <c r="G3" s="121">
        <v>5.2</v>
      </c>
      <c r="H3" s="119" t="s">
        <v>753</v>
      </c>
      <c r="I3" s="123">
        <v>47515</v>
      </c>
      <c r="J3" s="122">
        <v>4.8000000000000001E-2</v>
      </c>
      <c r="K3" s="122">
        <v>1.46E-2</v>
      </c>
      <c r="L3" s="121">
        <v>1347000</v>
      </c>
      <c r="M3" s="121">
        <v>133.45339999999999</v>
      </c>
      <c r="N3" s="121">
        <v>1797.6175499999999</v>
      </c>
      <c r="O3" s="119"/>
      <c r="P3" s="119"/>
      <c r="Q3" s="122">
        <v>4.7029999999999997E-3</v>
      </c>
      <c r="R3" s="122">
        <v>6.3599999999999996E-4</v>
      </c>
    </row>
    <row r="4" spans="1:26" ht="15" customHeight="1">
      <c r="A4" s="120">
        <v>307</v>
      </c>
      <c r="B4" s="120">
        <v>307</v>
      </c>
      <c r="C4" s="119" t="s">
        <v>984</v>
      </c>
      <c r="D4" s="119" t="s">
        <v>1370</v>
      </c>
      <c r="E4" s="120">
        <v>8288946</v>
      </c>
      <c r="F4" s="123">
        <v>44228</v>
      </c>
      <c r="G4" s="121">
        <v>9.5299999999999994</v>
      </c>
      <c r="H4" s="119" t="s">
        <v>753</v>
      </c>
      <c r="I4" s="123">
        <v>49706</v>
      </c>
      <c r="J4" s="122">
        <v>4.8000000000000001E-2</v>
      </c>
      <c r="K4" s="122">
        <v>1.6799999999999999E-2</v>
      </c>
      <c r="L4" s="121">
        <v>11833000</v>
      </c>
      <c r="M4" s="121">
        <v>150.08779999999999</v>
      </c>
      <c r="N4" s="121">
        <v>17759.88926</v>
      </c>
      <c r="O4" s="119"/>
      <c r="P4" s="119"/>
      <c r="Q4" s="122">
        <v>4.6470999999999998E-2</v>
      </c>
      <c r="R4" s="122">
        <v>6.2919999999999998E-3</v>
      </c>
    </row>
    <row r="5" spans="1:26" ht="15" customHeight="1">
      <c r="A5" s="120">
        <v>307</v>
      </c>
      <c r="B5" s="120">
        <v>307</v>
      </c>
      <c r="C5" s="119" t="s">
        <v>984</v>
      </c>
      <c r="D5" s="119" t="s">
        <v>1371</v>
      </c>
      <c r="E5" s="120">
        <v>8288102</v>
      </c>
      <c r="F5" s="123">
        <v>41640</v>
      </c>
      <c r="G5" s="121">
        <v>4.3099999999999996</v>
      </c>
      <c r="H5" s="119" t="s">
        <v>753</v>
      </c>
      <c r="I5" s="123">
        <v>47119</v>
      </c>
      <c r="J5" s="122">
        <v>4.8000000000000001E-2</v>
      </c>
      <c r="K5" s="122">
        <v>1.38E-2</v>
      </c>
      <c r="L5" s="121">
        <v>8163000</v>
      </c>
      <c r="M5" s="121">
        <v>130.44640000000001</v>
      </c>
      <c r="N5" s="121">
        <v>10648.3403</v>
      </c>
      <c r="O5" s="119"/>
      <c r="P5" s="119"/>
      <c r="Q5" s="122">
        <v>2.7862999999999999E-2</v>
      </c>
      <c r="R5" s="122">
        <v>3.7720000000000002E-3</v>
      </c>
    </row>
    <row r="6" spans="1:26" ht="15" customHeight="1">
      <c r="A6" s="120">
        <v>307</v>
      </c>
      <c r="B6" s="120">
        <v>307</v>
      </c>
      <c r="C6" s="119" t="s">
        <v>984</v>
      </c>
      <c r="D6" s="119" t="s">
        <v>1372</v>
      </c>
      <c r="E6" s="120">
        <v>8288086</v>
      </c>
      <c r="F6" s="123">
        <v>41579</v>
      </c>
      <c r="G6" s="121">
        <v>4.1399999999999997</v>
      </c>
      <c r="H6" s="119" t="s">
        <v>753</v>
      </c>
      <c r="I6" s="123">
        <v>47058</v>
      </c>
      <c r="J6" s="122">
        <v>4.8000000000000001E-2</v>
      </c>
      <c r="K6" s="122">
        <v>1.3599999999999999E-2</v>
      </c>
      <c r="L6" s="121">
        <v>16840000</v>
      </c>
      <c r="M6" s="121">
        <v>130.73259999999999</v>
      </c>
      <c r="N6" s="121">
        <v>22015.367630000001</v>
      </c>
      <c r="O6" s="119"/>
      <c r="P6" s="119"/>
      <c r="Q6" s="122">
        <v>5.7605999999999997E-2</v>
      </c>
      <c r="R6" s="122">
        <v>7.7990000000000004E-3</v>
      </c>
    </row>
    <row r="7" spans="1:26" ht="15" customHeight="1">
      <c r="A7" s="120">
        <v>307</v>
      </c>
      <c r="B7" s="120">
        <v>307</v>
      </c>
      <c r="C7" s="119" t="s">
        <v>984</v>
      </c>
      <c r="D7" s="119" t="s">
        <v>1373</v>
      </c>
      <c r="E7" s="120">
        <v>8287740</v>
      </c>
      <c r="F7" s="123">
        <v>40545</v>
      </c>
      <c r="G7" s="121">
        <v>1.69</v>
      </c>
      <c r="H7" s="119" t="s">
        <v>753</v>
      </c>
      <c r="I7" s="123">
        <v>46024</v>
      </c>
      <c r="J7" s="122">
        <v>4.8000000000000001E-2</v>
      </c>
      <c r="K7" s="122">
        <v>1.06E-2</v>
      </c>
      <c r="L7" s="121">
        <v>55714000</v>
      </c>
      <c r="M7" s="121">
        <v>127.3798</v>
      </c>
      <c r="N7" s="121">
        <v>70968.356830000004</v>
      </c>
      <c r="O7" s="119"/>
      <c r="P7" s="119"/>
      <c r="Q7" s="122">
        <v>0.1857</v>
      </c>
      <c r="R7" s="122">
        <v>2.5142999999999999E-2</v>
      </c>
    </row>
    <row r="8" spans="1:26" ht="15" customHeight="1">
      <c r="A8" s="120">
        <v>307</v>
      </c>
      <c r="B8" s="120">
        <v>307</v>
      </c>
      <c r="C8" s="119" t="s">
        <v>984</v>
      </c>
      <c r="D8" s="119" t="s">
        <v>1374</v>
      </c>
      <c r="E8" s="120">
        <v>8288987</v>
      </c>
      <c r="F8" s="123">
        <v>44348</v>
      </c>
      <c r="G8" s="121">
        <v>9.69</v>
      </c>
      <c r="H8" s="119" t="s">
        <v>753</v>
      </c>
      <c r="I8" s="123">
        <v>49827</v>
      </c>
      <c r="J8" s="122">
        <v>4.8000000000000001E-2</v>
      </c>
      <c r="K8" s="122">
        <v>1.6899999999999998E-2</v>
      </c>
      <c r="L8" s="121">
        <v>24116000</v>
      </c>
      <c r="M8" s="121">
        <v>150.10740000000001</v>
      </c>
      <c r="N8" s="121">
        <v>36199.89933</v>
      </c>
      <c r="O8" s="119"/>
      <c r="P8" s="119"/>
      <c r="Q8" s="122">
        <v>9.4722000000000001E-2</v>
      </c>
      <c r="R8" s="122">
        <v>1.2825E-2</v>
      </c>
    </row>
    <row r="9" spans="1:26" ht="15" customHeight="1">
      <c r="A9" s="120">
        <v>307</v>
      </c>
      <c r="B9" s="120">
        <v>307</v>
      </c>
      <c r="C9" s="119" t="s">
        <v>984</v>
      </c>
      <c r="D9" s="119" t="s">
        <v>1375</v>
      </c>
      <c r="E9" s="120">
        <v>8288243</v>
      </c>
      <c r="F9" s="123">
        <v>42064</v>
      </c>
      <c r="G9" s="121">
        <v>5.28</v>
      </c>
      <c r="H9" s="119" t="s">
        <v>753</v>
      </c>
      <c r="I9" s="123">
        <v>47543</v>
      </c>
      <c r="J9" s="122">
        <v>4.8000000000000001E-2</v>
      </c>
      <c r="K9" s="122">
        <v>1.47E-2</v>
      </c>
      <c r="L9" s="121">
        <v>600000</v>
      </c>
      <c r="M9" s="121">
        <v>134.38679999999999</v>
      </c>
      <c r="N9" s="121">
        <v>806.32104000000004</v>
      </c>
      <c r="O9" s="119"/>
      <c r="P9" s="119"/>
      <c r="Q9" s="122">
        <v>2.1090000000000002E-3</v>
      </c>
      <c r="R9" s="122">
        <v>2.8499999999999999E-4</v>
      </c>
    </row>
    <row r="10" spans="1:26" ht="15" customHeight="1">
      <c r="A10" s="120">
        <v>307</v>
      </c>
      <c r="B10" s="120">
        <v>307</v>
      </c>
      <c r="C10" s="119" t="s">
        <v>984</v>
      </c>
      <c r="D10" s="119" t="s">
        <v>1376</v>
      </c>
      <c r="E10" s="120">
        <v>8288474</v>
      </c>
      <c r="F10" s="123">
        <v>42767</v>
      </c>
      <c r="G10" s="121">
        <v>6.73</v>
      </c>
      <c r="H10" s="119" t="s">
        <v>753</v>
      </c>
      <c r="I10" s="123">
        <v>48245</v>
      </c>
      <c r="J10" s="122">
        <v>4.8000000000000001E-2</v>
      </c>
      <c r="K10" s="122">
        <v>1.5599999999999999E-2</v>
      </c>
      <c r="L10" s="121">
        <v>1596000</v>
      </c>
      <c r="M10" s="121">
        <v>140.9419</v>
      </c>
      <c r="N10" s="121">
        <v>2249.43199</v>
      </c>
      <c r="O10" s="119"/>
      <c r="P10" s="119"/>
      <c r="Q10" s="122">
        <v>5.8859999999999997E-3</v>
      </c>
      <c r="R10" s="122">
        <v>7.9600000000000005E-4</v>
      </c>
    </row>
    <row r="11" spans="1:26" ht="15" customHeight="1">
      <c r="A11" s="120">
        <v>307</v>
      </c>
      <c r="B11" s="120">
        <v>307</v>
      </c>
      <c r="C11" s="119" t="s">
        <v>984</v>
      </c>
      <c r="D11" s="119" t="s">
        <v>1377</v>
      </c>
      <c r="E11" s="120">
        <v>8288227</v>
      </c>
      <c r="F11" s="123">
        <v>42005</v>
      </c>
      <c r="G11" s="121">
        <v>5.1100000000000003</v>
      </c>
      <c r="H11" s="119" t="s">
        <v>753</v>
      </c>
      <c r="I11" s="123">
        <v>47484</v>
      </c>
      <c r="J11" s="122">
        <v>4.8000000000000001E-2</v>
      </c>
      <c r="K11" s="122">
        <v>1.46E-2</v>
      </c>
      <c r="L11" s="121">
        <v>12633000</v>
      </c>
      <c r="M11" s="121">
        <v>133.6112</v>
      </c>
      <c r="N11" s="121">
        <v>16879.097699999998</v>
      </c>
      <c r="O11" s="119"/>
      <c r="P11" s="119"/>
      <c r="Q11" s="122">
        <v>4.4165999999999997E-2</v>
      </c>
      <c r="R11" s="122">
        <v>5.9800000000000001E-3</v>
      </c>
    </row>
    <row r="12" spans="1:26" ht="15" customHeight="1">
      <c r="A12" s="120">
        <v>307</v>
      </c>
      <c r="B12" s="120">
        <v>307</v>
      </c>
      <c r="C12" s="119" t="s">
        <v>984</v>
      </c>
      <c r="D12" s="119" t="s">
        <v>1378</v>
      </c>
      <c r="E12" s="120">
        <v>8288839</v>
      </c>
      <c r="F12" s="123">
        <v>43863</v>
      </c>
      <c r="G12" s="121">
        <v>8.8699999999999992</v>
      </c>
      <c r="H12" s="119" t="s">
        <v>753</v>
      </c>
      <c r="I12" s="123">
        <v>49342</v>
      </c>
      <c r="J12" s="122">
        <v>4.8000000000000001E-2</v>
      </c>
      <c r="K12" s="122">
        <v>1.66E-2</v>
      </c>
      <c r="L12" s="121">
        <v>1989000</v>
      </c>
      <c r="M12" s="121">
        <v>146.4898</v>
      </c>
      <c r="N12" s="121">
        <v>2913.6813400000001</v>
      </c>
      <c r="O12" s="119"/>
      <c r="P12" s="119"/>
      <c r="Q12" s="122">
        <v>7.6239999999999997E-3</v>
      </c>
      <c r="R12" s="122">
        <v>1.0319999999999999E-3</v>
      </c>
    </row>
    <row r="13" spans="1:26" ht="15" customHeight="1">
      <c r="A13" s="120">
        <v>307</v>
      </c>
      <c r="B13" s="120">
        <v>307</v>
      </c>
      <c r="C13" s="119" t="s">
        <v>984</v>
      </c>
      <c r="D13" s="119" t="s">
        <v>1379</v>
      </c>
      <c r="E13" s="120">
        <v>8288110</v>
      </c>
      <c r="F13" s="123">
        <v>41672</v>
      </c>
      <c r="G13" s="121">
        <v>4.3899999999999997</v>
      </c>
      <c r="H13" s="119" t="s">
        <v>753</v>
      </c>
      <c r="I13" s="123">
        <v>47151</v>
      </c>
      <c r="J13" s="122">
        <v>4.8000000000000001E-2</v>
      </c>
      <c r="K13" s="122">
        <v>1.38E-2</v>
      </c>
      <c r="L13" s="121">
        <v>41331000</v>
      </c>
      <c r="M13" s="121">
        <v>130.1671</v>
      </c>
      <c r="N13" s="121">
        <v>53799.365530000003</v>
      </c>
      <c r="O13" s="119"/>
      <c r="P13" s="119"/>
      <c r="Q13" s="122">
        <v>0.14077400000000001</v>
      </c>
      <c r="R13" s="122">
        <v>1.9060000000000001E-2</v>
      </c>
    </row>
    <row r="14" spans="1:26" ht="15" customHeight="1">
      <c r="A14" s="120">
        <v>307</v>
      </c>
      <c r="B14" s="120">
        <v>307</v>
      </c>
      <c r="C14" s="119" t="s">
        <v>984</v>
      </c>
      <c r="D14" s="119" t="s">
        <v>1380</v>
      </c>
      <c r="E14" s="120">
        <v>8288607</v>
      </c>
      <c r="F14" s="123">
        <v>43161</v>
      </c>
      <c r="G14" s="121">
        <v>7.55</v>
      </c>
      <c r="H14" s="119" t="s">
        <v>753</v>
      </c>
      <c r="I14" s="123">
        <v>48640</v>
      </c>
      <c r="J14" s="122">
        <v>4.8000000000000001E-2</v>
      </c>
      <c r="K14" s="122">
        <v>1.61E-2</v>
      </c>
      <c r="L14" s="121">
        <v>622000</v>
      </c>
      <c r="M14" s="121">
        <v>143.59960000000001</v>
      </c>
      <c r="N14" s="121">
        <v>893.18926999999996</v>
      </c>
      <c r="O14" s="119"/>
      <c r="P14" s="119"/>
      <c r="Q14" s="122">
        <v>2.3370000000000001E-3</v>
      </c>
      <c r="R14" s="122">
        <v>3.1599999999999998E-4</v>
      </c>
    </row>
    <row r="15" spans="1:26" ht="15" customHeight="1">
      <c r="A15" s="120">
        <v>307</v>
      </c>
      <c r="B15" s="120">
        <v>307</v>
      </c>
      <c r="C15" s="119" t="s">
        <v>984</v>
      </c>
      <c r="D15" s="119" t="s">
        <v>1381</v>
      </c>
      <c r="E15" s="120">
        <v>8288250</v>
      </c>
      <c r="F15" s="123">
        <v>42095</v>
      </c>
      <c r="G15" s="121">
        <v>5.25</v>
      </c>
      <c r="H15" s="119" t="s">
        <v>753</v>
      </c>
      <c r="I15" s="123">
        <v>47574</v>
      </c>
      <c r="J15" s="122">
        <v>4.8000000000000001E-2</v>
      </c>
      <c r="K15" s="122">
        <v>1.47E-2</v>
      </c>
      <c r="L15" s="121">
        <v>3743000</v>
      </c>
      <c r="M15" s="121">
        <v>137.90309999999999</v>
      </c>
      <c r="N15" s="121">
        <v>5161.7125299999998</v>
      </c>
      <c r="O15" s="119"/>
      <c r="P15" s="119"/>
      <c r="Q15" s="122">
        <v>1.3506000000000001E-2</v>
      </c>
      <c r="R15" s="122">
        <v>1.828E-3</v>
      </c>
    </row>
    <row r="16" spans="1:26" ht="15" customHeight="1">
      <c r="A16" s="120">
        <v>307</v>
      </c>
      <c r="B16" s="120">
        <v>307</v>
      </c>
      <c r="C16" s="119" t="s">
        <v>984</v>
      </c>
      <c r="D16" s="119" t="s">
        <v>1382</v>
      </c>
      <c r="E16" s="120">
        <v>8287997</v>
      </c>
      <c r="F16" s="123">
        <v>41306</v>
      </c>
      <c r="G16" s="121">
        <v>3.55</v>
      </c>
      <c r="H16" s="119" t="s">
        <v>753</v>
      </c>
      <c r="I16" s="123">
        <v>46784</v>
      </c>
      <c r="J16" s="122">
        <v>4.8000000000000001E-2</v>
      </c>
      <c r="K16" s="122">
        <v>1.29E-2</v>
      </c>
      <c r="L16" s="121">
        <v>31777000</v>
      </c>
      <c r="M16" s="121">
        <v>129.2876</v>
      </c>
      <c r="N16" s="121">
        <v>41083.70966</v>
      </c>
      <c r="O16" s="119"/>
      <c r="P16" s="119"/>
      <c r="Q16" s="122">
        <v>0.107502</v>
      </c>
      <c r="R16" s="122">
        <v>1.4555E-2</v>
      </c>
    </row>
    <row r="17" spans="1:18" ht="15" customHeight="1">
      <c r="A17" s="120">
        <v>307</v>
      </c>
      <c r="B17" s="120">
        <v>307</v>
      </c>
      <c r="C17" s="119" t="s">
        <v>984</v>
      </c>
      <c r="D17" s="119" t="s">
        <v>1383</v>
      </c>
      <c r="E17" s="120">
        <v>8288359</v>
      </c>
      <c r="F17" s="123">
        <v>42401</v>
      </c>
      <c r="G17" s="121">
        <v>5.98</v>
      </c>
      <c r="H17" s="119" t="s">
        <v>753</v>
      </c>
      <c r="I17" s="123">
        <v>47880</v>
      </c>
      <c r="J17" s="122">
        <v>4.8000000000000001E-2</v>
      </c>
      <c r="K17" s="122">
        <v>1.5100000000000001E-2</v>
      </c>
      <c r="L17" s="121">
        <v>9147000</v>
      </c>
      <c r="M17" s="121">
        <v>137.77760000000001</v>
      </c>
      <c r="N17" s="121">
        <v>12602.51298</v>
      </c>
      <c r="O17" s="119"/>
      <c r="P17" s="119"/>
      <c r="Q17" s="122">
        <v>3.2975999999999998E-2</v>
      </c>
      <c r="R17" s="122">
        <v>4.4640000000000001E-3</v>
      </c>
    </row>
    <row r="18" spans="1:18" ht="15" customHeight="1">
      <c r="A18" s="120">
        <v>307</v>
      </c>
      <c r="B18" s="120">
        <v>307</v>
      </c>
      <c r="C18" s="119" t="s">
        <v>984</v>
      </c>
      <c r="D18" s="119" t="s">
        <v>1384</v>
      </c>
      <c r="E18" s="120">
        <v>8288938</v>
      </c>
      <c r="F18" s="123">
        <v>44197</v>
      </c>
      <c r="G18" s="121">
        <v>9.4499999999999993</v>
      </c>
      <c r="H18" s="119" t="s">
        <v>753</v>
      </c>
      <c r="I18" s="123">
        <v>49675</v>
      </c>
      <c r="J18" s="122">
        <v>4.8000000000000001E-2</v>
      </c>
      <c r="K18" s="122">
        <v>1.6799999999999999E-2</v>
      </c>
      <c r="L18" s="121">
        <v>3291000</v>
      </c>
      <c r="M18" s="121">
        <v>150.1388</v>
      </c>
      <c r="N18" s="121">
        <v>4941.0685400000002</v>
      </c>
      <c r="O18" s="119"/>
      <c r="P18" s="119"/>
      <c r="Q18" s="122">
        <v>1.2929E-2</v>
      </c>
      <c r="R18" s="122">
        <v>1.75E-3</v>
      </c>
    </row>
    <row r="19" spans="1:18" ht="15" customHeight="1">
      <c r="A19" s="120">
        <v>307</v>
      </c>
      <c r="B19" s="120">
        <v>307</v>
      </c>
      <c r="C19" s="119" t="s">
        <v>984</v>
      </c>
      <c r="D19" s="119" t="s">
        <v>1385</v>
      </c>
      <c r="E19" s="120">
        <v>8288144</v>
      </c>
      <c r="F19" s="123">
        <v>41760</v>
      </c>
      <c r="G19" s="121">
        <v>4.54</v>
      </c>
      <c r="H19" s="119" t="s">
        <v>753</v>
      </c>
      <c r="I19" s="123">
        <v>47239</v>
      </c>
      <c r="J19" s="122">
        <v>4.8000000000000001E-2</v>
      </c>
      <c r="K19" s="122">
        <v>1.4E-2</v>
      </c>
      <c r="L19" s="121">
        <v>25464000</v>
      </c>
      <c r="M19" s="121">
        <v>132.93299999999999</v>
      </c>
      <c r="N19" s="121">
        <v>33850.055220000002</v>
      </c>
      <c r="O19" s="119"/>
      <c r="P19" s="119"/>
      <c r="Q19" s="122">
        <v>8.8574E-2</v>
      </c>
      <c r="R19" s="122">
        <v>1.1991999999999999E-2</v>
      </c>
    </row>
    <row r="20" spans="1:18" ht="15" customHeight="1">
      <c r="A20" s="120">
        <v>307</v>
      </c>
      <c r="B20" s="120">
        <v>307</v>
      </c>
      <c r="C20" s="119" t="s">
        <v>984</v>
      </c>
      <c r="D20" s="119" t="s">
        <v>1386</v>
      </c>
      <c r="E20" s="120">
        <v>8288599</v>
      </c>
      <c r="F20" s="123">
        <v>43132</v>
      </c>
      <c r="G20" s="121">
        <v>7.47</v>
      </c>
      <c r="H20" s="119" t="s">
        <v>753</v>
      </c>
      <c r="I20" s="123">
        <v>48611</v>
      </c>
      <c r="J20" s="122">
        <v>4.8000000000000001E-2</v>
      </c>
      <c r="K20" s="122">
        <v>1.6E-2</v>
      </c>
      <c r="L20" s="121">
        <v>20976000</v>
      </c>
      <c r="M20" s="121">
        <v>143.17859999999999</v>
      </c>
      <c r="N20" s="121">
        <v>30033.143469999999</v>
      </c>
      <c r="O20" s="119"/>
      <c r="P20" s="119"/>
      <c r="Q20" s="122">
        <v>7.8586000000000003E-2</v>
      </c>
      <c r="R20" s="122">
        <v>1.064E-2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6" t="s">
        <v>100</v>
      </c>
      <c r="E1" s="126" t="s">
        <v>101</v>
      </c>
      <c r="F1" s="124" t="s">
        <v>102</v>
      </c>
      <c r="G1" s="127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307</v>
      </c>
      <c r="B2" s="120">
        <v>307</v>
      </c>
      <c r="C2" s="119"/>
      <c r="D2" s="123"/>
      <c r="E2" s="123"/>
      <c r="F2" s="121"/>
      <c r="G2" s="122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98</v>
      </c>
      <c r="U1" s="25" t="s">
        <v>85</v>
      </c>
      <c r="V1" s="126" t="s">
        <v>73</v>
      </c>
      <c r="W1" s="127" t="s">
        <v>62</v>
      </c>
      <c r="X1" s="127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6" t="s">
        <v>106</v>
      </c>
      <c r="AE1" s="126" t="s">
        <v>107</v>
      </c>
      <c r="AF1" s="124" t="s">
        <v>76</v>
      </c>
      <c r="AG1" s="124" t="s">
        <v>61</v>
      </c>
      <c r="AH1" s="124" t="s">
        <v>77</v>
      </c>
      <c r="AI1" s="124" t="s">
        <v>63</v>
      </c>
      <c r="AJ1" s="124" t="s">
        <v>78</v>
      </c>
      <c r="AK1" s="124" t="s">
        <v>88</v>
      </c>
      <c r="AL1" s="25" t="s">
        <v>17</v>
      </c>
      <c r="AM1" s="127" t="s">
        <v>64</v>
      </c>
      <c r="AN1" s="127" t="s">
        <v>65</v>
      </c>
    </row>
    <row r="2" spans="1:40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19"/>
      <c r="U2" s="119"/>
      <c r="V2" s="123"/>
      <c r="W2" s="122"/>
      <c r="X2" s="122"/>
      <c r="Y2" s="119"/>
      <c r="Z2" s="119"/>
      <c r="AA2" s="119"/>
      <c r="AB2" s="119"/>
      <c r="AC2" s="119"/>
      <c r="AD2" s="123"/>
      <c r="AE2" s="123"/>
      <c r="AF2" s="121"/>
      <c r="AG2" s="121"/>
      <c r="AH2" s="121"/>
      <c r="AI2" s="121"/>
      <c r="AJ2" s="121"/>
      <c r="AK2" s="121"/>
      <c r="AL2" s="119"/>
      <c r="AM2" s="122"/>
      <c r="AN2" s="12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O1" workbookViewId="0">
      <selection activeCell="AB10" sqref="AB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4.3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6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0">
        <v>307</v>
      </c>
      <c r="B2" s="120">
        <v>307</v>
      </c>
      <c r="C2" s="119" t="s">
        <v>1296</v>
      </c>
      <c r="D2" s="120">
        <v>520010869</v>
      </c>
      <c r="E2" s="119" t="s">
        <v>308</v>
      </c>
      <c r="F2" s="119" t="s">
        <v>1387</v>
      </c>
      <c r="G2" s="120">
        <v>1100908</v>
      </c>
      <c r="H2" s="119" t="s">
        <v>311</v>
      </c>
      <c r="I2" s="119" t="s">
        <v>753</v>
      </c>
      <c r="J2" s="119" t="s">
        <v>203</v>
      </c>
      <c r="K2" s="119" t="s">
        <v>203</v>
      </c>
      <c r="L2" s="119" t="s">
        <v>325</v>
      </c>
      <c r="M2" s="119" t="s">
        <v>476</v>
      </c>
      <c r="N2" s="119" t="s">
        <v>338</v>
      </c>
      <c r="O2" s="123">
        <v>39076</v>
      </c>
      <c r="P2" s="119" t="s">
        <v>1219</v>
      </c>
      <c r="Q2" s="119" t="s">
        <v>311</v>
      </c>
      <c r="R2" s="119" t="s">
        <v>406</v>
      </c>
      <c r="S2" s="119" t="s">
        <v>1212</v>
      </c>
      <c r="T2" s="121">
        <v>5.88</v>
      </c>
      <c r="U2" s="123">
        <v>50034</v>
      </c>
      <c r="V2" s="122">
        <v>2.5600000000000001E-2</v>
      </c>
      <c r="W2" s="122">
        <v>4.9000000000000002E-2</v>
      </c>
      <c r="X2" s="119" t="s">
        <v>411</v>
      </c>
      <c r="Y2" s="119"/>
      <c r="Z2" s="119" t="s">
        <v>887</v>
      </c>
      <c r="AA2" s="119" t="s">
        <v>890</v>
      </c>
      <c r="AB2" s="123">
        <v>45382</v>
      </c>
      <c r="AC2" s="123"/>
      <c r="AD2" s="121">
        <v>187200.04</v>
      </c>
      <c r="AE2" s="121">
        <v>1</v>
      </c>
      <c r="AF2" s="121">
        <v>155.55000000000001</v>
      </c>
      <c r="AG2" s="121">
        <v>291.18966</v>
      </c>
      <c r="AH2" s="121"/>
      <c r="AI2" s="121"/>
      <c r="AJ2" s="119"/>
      <c r="AK2" s="122">
        <v>6.5141000000000004E-2</v>
      </c>
      <c r="AL2" s="122">
        <v>1.03E-4</v>
      </c>
    </row>
    <row r="3" spans="1:38" ht="15" customHeight="1">
      <c r="A3" s="120">
        <v>307</v>
      </c>
      <c r="B3" s="120">
        <v>307</v>
      </c>
      <c r="C3" s="119" t="s">
        <v>1296</v>
      </c>
      <c r="D3" s="120">
        <v>520010869</v>
      </c>
      <c r="E3" s="119" t="s">
        <v>308</v>
      </c>
      <c r="F3" s="119" t="s">
        <v>1388</v>
      </c>
      <c r="G3" s="120">
        <v>1124346</v>
      </c>
      <c r="H3" s="119" t="s">
        <v>311</v>
      </c>
      <c r="I3" s="119" t="s">
        <v>753</v>
      </c>
      <c r="J3" s="119" t="s">
        <v>203</v>
      </c>
      <c r="K3" s="119" t="s">
        <v>203</v>
      </c>
      <c r="L3" s="119" t="s">
        <v>325</v>
      </c>
      <c r="M3" s="119" t="s">
        <v>476</v>
      </c>
      <c r="N3" s="119" t="s">
        <v>338</v>
      </c>
      <c r="O3" s="123">
        <v>40738</v>
      </c>
      <c r="P3" s="119" t="s">
        <v>1219</v>
      </c>
      <c r="Q3" s="119" t="s">
        <v>311</v>
      </c>
      <c r="R3" s="119" t="s">
        <v>406</v>
      </c>
      <c r="S3" s="119" t="s">
        <v>1212</v>
      </c>
      <c r="T3" s="121">
        <v>9.5500000000000007</v>
      </c>
      <c r="U3" s="123">
        <v>54253</v>
      </c>
      <c r="V3" s="122">
        <v>2.8199999999999999E-2</v>
      </c>
      <c r="W3" s="122">
        <v>4.1000000000000002E-2</v>
      </c>
      <c r="X3" s="119" t="s">
        <v>411</v>
      </c>
      <c r="Y3" s="119"/>
      <c r="Z3" s="119" t="s">
        <v>887</v>
      </c>
      <c r="AA3" s="119" t="s">
        <v>890</v>
      </c>
      <c r="AB3" s="123">
        <v>45382</v>
      </c>
      <c r="AC3" s="119"/>
      <c r="AD3" s="121">
        <v>2980769.38</v>
      </c>
      <c r="AE3" s="121">
        <v>1</v>
      </c>
      <c r="AF3" s="121">
        <v>133.69</v>
      </c>
      <c r="AG3" s="121">
        <v>3984.9905800000001</v>
      </c>
      <c r="AH3" s="121"/>
      <c r="AI3" s="121"/>
      <c r="AJ3" s="119"/>
      <c r="AK3" s="122">
        <v>0.89147600000000005</v>
      </c>
      <c r="AL3" s="122">
        <v>1.4109999999999999E-3</v>
      </c>
    </row>
    <row r="4" spans="1:38" ht="15" customHeight="1">
      <c r="A4" s="120">
        <v>307</v>
      </c>
      <c r="B4" s="120">
        <v>307</v>
      </c>
      <c r="C4" s="119" t="s">
        <v>1306</v>
      </c>
      <c r="D4" s="120">
        <v>513436394</v>
      </c>
      <c r="E4" s="119" t="s">
        <v>308</v>
      </c>
      <c r="F4" s="119" t="s">
        <v>1389</v>
      </c>
      <c r="G4" s="120">
        <v>1125509</v>
      </c>
      <c r="H4" s="119" t="s">
        <v>311</v>
      </c>
      <c r="I4" s="119" t="s">
        <v>753</v>
      </c>
      <c r="J4" s="119" t="s">
        <v>203</v>
      </c>
      <c r="K4" s="119" t="s">
        <v>203</v>
      </c>
      <c r="L4" s="119" t="s">
        <v>325</v>
      </c>
      <c r="M4" s="119" t="s">
        <v>476</v>
      </c>
      <c r="N4" s="119" t="s">
        <v>338</v>
      </c>
      <c r="O4" s="123">
        <v>40910</v>
      </c>
      <c r="P4" s="119" t="s">
        <v>1416</v>
      </c>
      <c r="Q4" s="119" t="s">
        <v>414</v>
      </c>
      <c r="R4" s="119" t="s">
        <v>406</v>
      </c>
      <c r="S4" s="119" t="s">
        <v>1212</v>
      </c>
      <c r="T4" s="121">
        <v>4.08</v>
      </c>
      <c r="U4" s="123">
        <v>48213</v>
      </c>
      <c r="V4" s="122">
        <v>2.3199999999999998E-2</v>
      </c>
      <c r="W4" s="122">
        <v>4.8000000000000001E-2</v>
      </c>
      <c r="X4" s="119" t="s">
        <v>411</v>
      </c>
      <c r="Y4" s="119"/>
      <c r="Z4" s="119" t="s">
        <v>887</v>
      </c>
      <c r="AA4" s="119" t="s">
        <v>890</v>
      </c>
      <c r="AB4" s="123">
        <v>45382</v>
      </c>
      <c r="AC4" s="119"/>
      <c r="AD4" s="121">
        <v>150467.28</v>
      </c>
      <c r="AE4" s="121">
        <v>1</v>
      </c>
      <c r="AF4" s="121">
        <v>128.88</v>
      </c>
      <c r="AG4" s="121">
        <v>193.92223000000001</v>
      </c>
      <c r="AH4" s="121"/>
      <c r="AI4" s="121"/>
      <c r="AJ4" s="119"/>
      <c r="AK4" s="122">
        <v>4.3381999999999997E-2</v>
      </c>
      <c r="AL4" s="122">
        <v>6.7999999999999999E-5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3"/>
  <sheetViews>
    <sheetView rightToLeft="1" topLeftCell="F1" workbookViewId="0">
      <selection activeCell="T23" sqref="T2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875" bestFit="1" customWidth="1"/>
    <col min="4" max="4" width="9.875" bestFit="1" customWidth="1"/>
    <col min="5" max="5" width="9.625" bestFit="1" customWidth="1"/>
    <col min="6" max="6" width="14.87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4.5" bestFit="1" customWidth="1"/>
    <col min="22" max="22" width="8.75" bestFit="1" customWidth="1"/>
    <col min="23" max="23" width="11.625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6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0">
        <v>307</v>
      </c>
      <c r="B2" s="120">
        <v>307</v>
      </c>
      <c r="C2" s="119" t="s">
        <v>1390</v>
      </c>
      <c r="D2" s="120">
        <v>520017484</v>
      </c>
      <c r="E2" s="119" t="s">
        <v>308</v>
      </c>
      <c r="F2" s="119" t="s">
        <v>1390</v>
      </c>
      <c r="G2" s="120">
        <v>23267</v>
      </c>
      <c r="H2" s="119" t="s">
        <v>311</v>
      </c>
      <c r="I2" s="119" t="s">
        <v>764</v>
      </c>
      <c r="J2" s="119" t="s">
        <v>203</v>
      </c>
      <c r="K2" s="119" t="s">
        <v>203</v>
      </c>
      <c r="L2" s="119" t="s">
        <v>325</v>
      </c>
      <c r="M2" s="119" t="s">
        <v>450</v>
      </c>
      <c r="N2" s="119" t="s">
        <v>338</v>
      </c>
      <c r="O2" s="123">
        <v>21218</v>
      </c>
      <c r="P2" s="119" t="s">
        <v>1212</v>
      </c>
      <c r="Q2" s="119" t="s">
        <v>313</v>
      </c>
      <c r="R2" s="119" t="s">
        <v>890</v>
      </c>
      <c r="S2" s="123">
        <v>45291</v>
      </c>
      <c r="T2" s="123"/>
      <c r="U2" s="121">
        <v>1</v>
      </c>
      <c r="V2" s="121">
        <v>1</v>
      </c>
      <c r="W2" s="121">
        <v>0.01</v>
      </c>
      <c r="X2" s="121">
        <v>9.9999999999999995E-7</v>
      </c>
      <c r="Y2" s="122">
        <v>7.4100000000000001E-4</v>
      </c>
      <c r="Z2" s="122">
        <v>0</v>
      </c>
    </row>
    <row r="3" spans="1:26" ht="15" customHeight="1">
      <c r="A3" s="120">
        <v>307</v>
      </c>
      <c r="B3" s="120">
        <v>307</v>
      </c>
      <c r="C3" s="119" t="s">
        <v>1391</v>
      </c>
      <c r="D3" s="120">
        <v>520028473</v>
      </c>
      <c r="E3" s="119" t="s">
        <v>308</v>
      </c>
      <c r="F3" s="119" t="s">
        <v>1392</v>
      </c>
      <c r="G3" s="120">
        <v>729848</v>
      </c>
      <c r="H3" s="119" t="s">
        <v>311</v>
      </c>
      <c r="I3" s="119" t="s">
        <v>764</v>
      </c>
      <c r="J3" s="119" t="s">
        <v>203</v>
      </c>
      <c r="K3" s="119" t="s">
        <v>203</v>
      </c>
      <c r="L3" s="119" t="s">
        <v>325</v>
      </c>
      <c r="M3" s="119" t="s">
        <v>313</v>
      </c>
      <c r="N3" s="119" t="s">
        <v>338</v>
      </c>
      <c r="O3" s="123">
        <v>24473</v>
      </c>
      <c r="P3" s="119" t="s">
        <v>1212</v>
      </c>
      <c r="Q3" s="119" t="s">
        <v>313</v>
      </c>
      <c r="R3" s="119" t="s">
        <v>890</v>
      </c>
      <c r="S3" s="123">
        <v>45291</v>
      </c>
      <c r="T3" s="119"/>
      <c r="U3" s="121">
        <v>23017</v>
      </c>
      <c r="V3" s="121">
        <v>1</v>
      </c>
      <c r="W3" s="121">
        <v>9.9999999999999995E-7</v>
      </c>
      <c r="X3" s="121">
        <v>9.9999999999999995E-7</v>
      </c>
      <c r="Y3" s="122">
        <v>7.4100000000000001E-4</v>
      </c>
      <c r="Z3" s="122">
        <v>0</v>
      </c>
    </row>
    <row r="4" spans="1:26" ht="15" customHeight="1">
      <c r="A4" s="120">
        <v>307</v>
      </c>
      <c r="B4" s="120">
        <v>307</v>
      </c>
      <c r="C4" s="119" t="s">
        <v>1391</v>
      </c>
      <c r="D4" s="120">
        <v>520028473</v>
      </c>
      <c r="E4" s="119" t="s">
        <v>308</v>
      </c>
      <c r="F4" s="119" t="s">
        <v>1393</v>
      </c>
      <c r="G4" s="120">
        <v>729830</v>
      </c>
      <c r="H4" s="119" t="s">
        <v>311</v>
      </c>
      <c r="I4" s="119" t="s">
        <v>764</v>
      </c>
      <c r="J4" s="119" t="s">
        <v>203</v>
      </c>
      <c r="K4" s="119" t="s">
        <v>203</v>
      </c>
      <c r="L4" s="119" t="s">
        <v>325</v>
      </c>
      <c r="M4" s="119" t="s">
        <v>313</v>
      </c>
      <c r="N4" s="119" t="s">
        <v>338</v>
      </c>
      <c r="O4" s="123">
        <v>24473</v>
      </c>
      <c r="P4" s="119" t="s">
        <v>1212</v>
      </c>
      <c r="Q4" s="119" t="s">
        <v>313</v>
      </c>
      <c r="R4" s="119" t="s">
        <v>890</v>
      </c>
      <c r="S4" s="123">
        <v>45291</v>
      </c>
      <c r="T4" s="119"/>
      <c r="U4" s="121">
        <v>309954</v>
      </c>
      <c r="V4" s="121">
        <v>1</v>
      </c>
      <c r="W4" s="121">
        <v>9.9999999999999995E-7</v>
      </c>
      <c r="X4" s="121">
        <v>9.9999999999999995E-7</v>
      </c>
      <c r="Y4" s="122">
        <v>7.4100000000000001E-4</v>
      </c>
      <c r="Z4" s="122">
        <v>0</v>
      </c>
    </row>
    <row r="5" spans="1:26" ht="15" customHeight="1">
      <c r="A5" s="120">
        <v>307</v>
      </c>
      <c r="B5" s="120">
        <v>307</v>
      </c>
      <c r="C5" s="119" t="s">
        <v>1391</v>
      </c>
      <c r="D5" s="120">
        <v>520028473</v>
      </c>
      <c r="E5" s="119" t="s">
        <v>308</v>
      </c>
      <c r="F5" s="119" t="s">
        <v>1394</v>
      </c>
      <c r="G5" s="120">
        <v>729822</v>
      </c>
      <c r="H5" s="119" t="s">
        <v>311</v>
      </c>
      <c r="I5" s="119" t="s">
        <v>764</v>
      </c>
      <c r="J5" s="119" t="s">
        <v>203</v>
      </c>
      <c r="K5" s="119" t="s">
        <v>203</v>
      </c>
      <c r="L5" s="119" t="s">
        <v>325</v>
      </c>
      <c r="M5" s="119" t="s">
        <v>313</v>
      </c>
      <c r="N5" s="119" t="s">
        <v>338</v>
      </c>
      <c r="O5" s="123">
        <v>24473</v>
      </c>
      <c r="P5" s="119" t="s">
        <v>1212</v>
      </c>
      <c r="Q5" s="119" t="s">
        <v>313</v>
      </c>
      <c r="R5" s="119" t="s">
        <v>890</v>
      </c>
      <c r="S5" s="123">
        <v>45291</v>
      </c>
      <c r="T5" s="119"/>
      <c r="U5" s="121">
        <v>107338</v>
      </c>
      <c r="V5" s="121">
        <v>1</v>
      </c>
      <c r="W5" s="121">
        <v>9.9999999999999995E-7</v>
      </c>
      <c r="X5" s="121">
        <v>9.9999999999999995E-7</v>
      </c>
      <c r="Y5" s="122">
        <v>7.4100000000000001E-4</v>
      </c>
      <c r="Z5" s="122">
        <v>0</v>
      </c>
    </row>
    <row r="6" spans="1:26" ht="15" customHeight="1">
      <c r="A6" s="120">
        <v>307</v>
      </c>
      <c r="B6" s="120">
        <v>307</v>
      </c>
      <c r="C6" s="119" t="s">
        <v>1391</v>
      </c>
      <c r="D6" s="120">
        <v>520028473</v>
      </c>
      <c r="E6" s="119" t="s">
        <v>308</v>
      </c>
      <c r="F6" s="119" t="s">
        <v>1395</v>
      </c>
      <c r="G6" s="120">
        <v>729814</v>
      </c>
      <c r="H6" s="119" t="s">
        <v>311</v>
      </c>
      <c r="I6" s="119" t="s">
        <v>764</v>
      </c>
      <c r="J6" s="119" t="s">
        <v>203</v>
      </c>
      <c r="K6" s="119" t="s">
        <v>203</v>
      </c>
      <c r="L6" s="119" t="s">
        <v>325</v>
      </c>
      <c r="M6" s="119" t="s">
        <v>313</v>
      </c>
      <c r="N6" s="119" t="s">
        <v>338</v>
      </c>
      <c r="O6" s="123">
        <v>24473</v>
      </c>
      <c r="P6" s="119" t="s">
        <v>1212</v>
      </c>
      <c r="Q6" s="119" t="s">
        <v>313</v>
      </c>
      <c r="R6" s="119" t="s">
        <v>890</v>
      </c>
      <c r="S6" s="123">
        <v>45291</v>
      </c>
      <c r="T6" s="119"/>
      <c r="U6" s="121">
        <v>43086</v>
      </c>
      <c r="V6" s="121">
        <v>1</v>
      </c>
      <c r="W6" s="121">
        <v>9.9999999999999995E-7</v>
      </c>
      <c r="X6" s="121">
        <v>9.9999999999999995E-7</v>
      </c>
      <c r="Y6" s="122">
        <v>7.4100000000000001E-4</v>
      </c>
      <c r="Z6" s="122">
        <v>0</v>
      </c>
    </row>
    <row r="7" spans="1:26" ht="15" customHeight="1">
      <c r="A7" s="120">
        <v>307</v>
      </c>
      <c r="B7" s="120">
        <v>307</v>
      </c>
      <c r="C7" s="119" t="s">
        <v>1396</v>
      </c>
      <c r="D7" s="120">
        <v>520025495</v>
      </c>
      <c r="E7" s="119" t="s">
        <v>308</v>
      </c>
      <c r="F7" s="119" t="s">
        <v>1397</v>
      </c>
      <c r="G7" s="120">
        <v>729749</v>
      </c>
      <c r="H7" s="119" t="s">
        <v>311</v>
      </c>
      <c r="I7" s="119" t="s">
        <v>764</v>
      </c>
      <c r="J7" s="119" t="s">
        <v>203</v>
      </c>
      <c r="K7" s="119" t="s">
        <v>203</v>
      </c>
      <c r="L7" s="119" t="s">
        <v>325</v>
      </c>
      <c r="M7" s="119" t="s">
        <v>313</v>
      </c>
      <c r="N7" s="119" t="s">
        <v>338</v>
      </c>
      <c r="O7" s="123">
        <v>24473</v>
      </c>
      <c r="P7" s="119" t="s">
        <v>1212</v>
      </c>
      <c r="Q7" s="119" t="s">
        <v>313</v>
      </c>
      <c r="R7" s="119" t="s">
        <v>890</v>
      </c>
      <c r="S7" s="123">
        <v>45291</v>
      </c>
      <c r="T7" s="119"/>
      <c r="U7" s="121">
        <v>93849730</v>
      </c>
      <c r="V7" s="121">
        <v>1</v>
      </c>
      <c r="W7" s="121">
        <v>9.9999999999999995E-7</v>
      </c>
      <c r="X7" s="121">
        <v>9.3999999999999997E-4</v>
      </c>
      <c r="Y7" s="122">
        <v>0.69681199999999999</v>
      </c>
      <c r="Z7" s="122">
        <v>0</v>
      </c>
    </row>
    <row r="8" spans="1:26" ht="15" customHeight="1">
      <c r="A8" s="120">
        <v>307</v>
      </c>
      <c r="B8" s="120">
        <v>307</v>
      </c>
      <c r="C8" s="119" t="s">
        <v>1398</v>
      </c>
      <c r="D8" s="120">
        <v>520025495</v>
      </c>
      <c r="E8" s="119" t="s">
        <v>308</v>
      </c>
      <c r="F8" s="119" t="s">
        <v>1399</v>
      </c>
      <c r="G8" s="120">
        <v>729731</v>
      </c>
      <c r="H8" s="119" t="s">
        <v>311</v>
      </c>
      <c r="I8" s="119" t="s">
        <v>764</v>
      </c>
      <c r="J8" s="119" t="s">
        <v>203</v>
      </c>
      <c r="K8" s="119" t="s">
        <v>203</v>
      </c>
      <c r="L8" s="119" t="s">
        <v>325</v>
      </c>
      <c r="M8" s="119" t="s">
        <v>313</v>
      </c>
      <c r="N8" s="119" t="s">
        <v>338</v>
      </c>
      <c r="O8" s="123">
        <v>24473</v>
      </c>
      <c r="P8" s="119" t="s">
        <v>1212</v>
      </c>
      <c r="Q8" s="119" t="s">
        <v>313</v>
      </c>
      <c r="R8" s="119" t="s">
        <v>890</v>
      </c>
      <c r="S8" s="123">
        <v>45291</v>
      </c>
      <c r="T8" s="119"/>
      <c r="U8" s="121">
        <v>27701</v>
      </c>
      <c r="V8" s="121">
        <v>1</v>
      </c>
      <c r="W8" s="121">
        <v>9.9999999999999995E-7</v>
      </c>
      <c r="X8" s="121">
        <v>9.9999999999999995E-7</v>
      </c>
      <c r="Y8" s="122">
        <v>7.4100000000000001E-4</v>
      </c>
      <c r="Z8" s="122">
        <v>0</v>
      </c>
    </row>
    <row r="9" spans="1:26" ht="15" customHeight="1">
      <c r="A9" s="120">
        <v>307</v>
      </c>
      <c r="B9" s="120">
        <v>307</v>
      </c>
      <c r="C9" s="119" t="s">
        <v>1400</v>
      </c>
      <c r="D9" s="120">
        <v>520023474</v>
      </c>
      <c r="E9" s="119" t="s">
        <v>308</v>
      </c>
      <c r="F9" s="119" t="s">
        <v>1401</v>
      </c>
      <c r="G9" s="120">
        <v>634022</v>
      </c>
      <c r="H9" s="119" t="s">
        <v>311</v>
      </c>
      <c r="I9" s="119" t="s">
        <v>764</v>
      </c>
      <c r="J9" s="119" t="s">
        <v>203</v>
      </c>
      <c r="K9" s="119" t="s">
        <v>203</v>
      </c>
      <c r="L9" s="119" t="s">
        <v>325</v>
      </c>
      <c r="M9" s="119" t="s">
        <v>313</v>
      </c>
      <c r="N9" s="119" t="s">
        <v>338</v>
      </c>
      <c r="O9" s="123">
        <v>22340</v>
      </c>
      <c r="P9" s="119" t="s">
        <v>1212</v>
      </c>
      <c r="Q9" s="119" t="s">
        <v>313</v>
      </c>
      <c r="R9" s="119" t="s">
        <v>890</v>
      </c>
      <c r="S9" s="123">
        <v>45291</v>
      </c>
      <c r="T9" s="119"/>
      <c r="U9" s="121">
        <v>3893.2</v>
      </c>
      <c r="V9" s="121">
        <v>1</v>
      </c>
      <c r="W9" s="121">
        <v>0.01</v>
      </c>
      <c r="X9" s="121">
        <v>3.8999999999999999E-4</v>
      </c>
      <c r="Y9" s="122">
        <v>0.289103</v>
      </c>
      <c r="Z9" s="122">
        <v>0</v>
      </c>
    </row>
    <row r="10" spans="1:26" ht="15" customHeight="1">
      <c r="A10" s="120">
        <v>307</v>
      </c>
      <c r="B10" s="120">
        <v>307</v>
      </c>
      <c r="C10" s="119" t="s">
        <v>1402</v>
      </c>
      <c r="D10" s="120">
        <v>520017708</v>
      </c>
      <c r="E10" s="119" t="s">
        <v>308</v>
      </c>
      <c r="F10" s="119" t="s">
        <v>1403</v>
      </c>
      <c r="G10" s="120">
        <v>44024</v>
      </c>
      <c r="H10" s="119" t="s">
        <v>311</v>
      </c>
      <c r="I10" s="119" t="s">
        <v>764</v>
      </c>
      <c r="J10" s="119" t="s">
        <v>203</v>
      </c>
      <c r="K10" s="119" t="s">
        <v>203</v>
      </c>
      <c r="L10" s="119" t="s">
        <v>325</v>
      </c>
      <c r="M10" s="119" t="s">
        <v>313</v>
      </c>
      <c r="N10" s="119" t="s">
        <v>338</v>
      </c>
      <c r="O10" s="123">
        <v>18811</v>
      </c>
      <c r="P10" s="119" t="s">
        <v>1212</v>
      </c>
      <c r="Q10" s="119" t="s">
        <v>313</v>
      </c>
      <c r="R10" s="119" t="s">
        <v>890</v>
      </c>
      <c r="S10" s="123">
        <v>45291</v>
      </c>
      <c r="T10" s="119"/>
      <c r="U10" s="121">
        <v>1</v>
      </c>
      <c r="V10" s="121">
        <v>1</v>
      </c>
      <c r="W10" s="121">
        <v>0.01</v>
      </c>
      <c r="X10" s="121">
        <v>9.9999999999999995E-7</v>
      </c>
      <c r="Y10" s="122">
        <v>7.4100000000000001E-4</v>
      </c>
      <c r="Z10" s="122">
        <v>0</v>
      </c>
    </row>
    <row r="11" spans="1:26" ht="15" customHeight="1">
      <c r="A11" s="120">
        <v>307</v>
      </c>
      <c r="B11" s="120">
        <v>307</v>
      </c>
      <c r="C11" s="119" t="s">
        <v>1398</v>
      </c>
      <c r="D11" s="120">
        <v>520025495</v>
      </c>
      <c r="E11" s="119" t="s">
        <v>308</v>
      </c>
      <c r="F11" s="119" t="s">
        <v>1404</v>
      </c>
      <c r="G11" s="120">
        <v>23275</v>
      </c>
      <c r="H11" s="119" t="s">
        <v>311</v>
      </c>
      <c r="I11" s="119" t="s">
        <v>764</v>
      </c>
      <c r="J11" s="119" t="s">
        <v>203</v>
      </c>
      <c r="K11" s="119" t="s">
        <v>203</v>
      </c>
      <c r="L11" s="119" t="s">
        <v>325</v>
      </c>
      <c r="M11" s="119" t="s">
        <v>313</v>
      </c>
      <c r="N11" s="119" t="s">
        <v>338</v>
      </c>
      <c r="O11" s="123">
        <v>24473</v>
      </c>
      <c r="P11" s="119" t="s">
        <v>1212</v>
      </c>
      <c r="Q11" s="119" t="s">
        <v>313</v>
      </c>
      <c r="R11" s="119" t="s">
        <v>890</v>
      </c>
      <c r="S11" s="123">
        <v>45291</v>
      </c>
      <c r="T11" s="119"/>
      <c r="U11" s="121">
        <v>42924</v>
      </c>
      <c r="V11" s="121">
        <v>1</v>
      </c>
      <c r="W11" s="121">
        <v>9.9999999999999995E-7</v>
      </c>
      <c r="X11" s="121">
        <v>9.9999999999999995E-7</v>
      </c>
      <c r="Y11" s="122">
        <v>7.4100000000000001E-4</v>
      </c>
      <c r="Z11" s="122">
        <v>0</v>
      </c>
    </row>
    <row r="12" spans="1:26" ht="15" customHeight="1">
      <c r="A12" s="120">
        <v>307</v>
      </c>
      <c r="B12" s="120">
        <v>307</v>
      </c>
      <c r="C12" s="119" t="s">
        <v>1396</v>
      </c>
      <c r="D12" s="120">
        <v>520025495</v>
      </c>
      <c r="E12" s="119" t="s">
        <v>308</v>
      </c>
      <c r="F12" s="119" t="s">
        <v>1405</v>
      </c>
      <c r="G12" s="120">
        <v>729970</v>
      </c>
      <c r="H12" s="119" t="s">
        <v>311</v>
      </c>
      <c r="I12" s="119" t="s">
        <v>764</v>
      </c>
      <c r="J12" s="119" t="s">
        <v>203</v>
      </c>
      <c r="K12" s="119" t="s">
        <v>203</v>
      </c>
      <c r="L12" s="119" t="s">
        <v>325</v>
      </c>
      <c r="M12" s="119" t="s">
        <v>313</v>
      </c>
      <c r="N12" s="119" t="s">
        <v>338</v>
      </c>
      <c r="O12" s="123">
        <v>24473</v>
      </c>
      <c r="P12" s="119" t="s">
        <v>1212</v>
      </c>
      <c r="Q12" s="119" t="s">
        <v>313</v>
      </c>
      <c r="R12" s="119" t="s">
        <v>890</v>
      </c>
      <c r="S12" s="123">
        <v>45291</v>
      </c>
      <c r="T12" s="119"/>
      <c r="U12" s="121">
        <v>800000</v>
      </c>
      <c r="V12" s="121">
        <v>1</v>
      </c>
      <c r="W12" s="121">
        <v>9.9999999999999995E-7</v>
      </c>
      <c r="X12" s="121">
        <v>1.0000000000000001E-5</v>
      </c>
      <c r="Y12" s="122">
        <v>7.4120000000000002E-3</v>
      </c>
      <c r="Z12" s="122">
        <v>0</v>
      </c>
    </row>
    <row r="13" spans="1:26" ht="15" customHeight="1">
      <c r="A13" s="120">
        <v>307</v>
      </c>
      <c r="B13" s="120">
        <v>307</v>
      </c>
      <c r="C13" s="119" t="s">
        <v>1406</v>
      </c>
      <c r="D13" s="120">
        <v>520020579</v>
      </c>
      <c r="E13" s="119" t="s">
        <v>308</v>
      </c>
      <c r="F13" s="119" t="s">
        <v>1407</v>
      </c>
      <c r="G13" s="120">
        <v>797027</v>
      </c>
      <c r="H13" s="119" t="s">
        <v>311</v>
      </c>
      <c r="I13" s="119" t="s">
        <v>764</v>
      </c>
      <c r="J13" s="119" t="s">
        <v>203</v>
      </c>
      <c r="K13" s="119" t="s">
        <v>203</v>
      </c>
      <c r="L13" s="119" t="s">
        <v>325</v>
      </c>
      <c r="M13" s="119" t="s">
        <v>313</v>
      </c>
      <c r="N13" s="119" t="s">
        <v>338</v>
      </c>
      <c r="O13" s="123">
        <v>24965</v>
      </c>
      <c r="P13" s="119" t="s">
        <v>1212</v>
      </c>
      <c r="Q13" s="119" t="s">
        <v>313</v>
      </c>
      <c r="R13" s="119" t="s">
        <v>890</v>
      </c>
      <c r="S13" s="123">
        <v>45291</v>
      </c>
      <c r="T13" s="119"/>
      <c r="U13" s="121">
        <v>9.5</v>
      </c>
      <c r="V13" s="121">
        <v>1</v>
      </c>
      <c r="W13" s="121">
        <v>0.01</v>
      </c>
      <c r="X13" s="121">
        <v>9.9999999999999995E-7</v>
      </c>
      <c r="Y13" s="122">
        <v>7.4100000000000001E-4</v>
      </c>
      <c r="Z13" s="122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5" t="s">
        <v>109</v>
      </c>
      <c r="E1" s="25" t="s">
        <v>110</v>
      </c>
      <c r="F1" s="25" t="s">
        <v>111</v>
      </c>
      <c r="G1" s="1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61</v>
      </c>
      <c r="V1" s="129" t="s">
        <v>117</v>
      </c>
      <c r="W1" s="124" t="s">
        <v>63</v>
      </c>
      <c r="X1" s="127" t="s">
        <v>118</v>
      </c>
      <c r="Y1" s="127" t="s">
        <v>64</v>
      </c>
      <c r="Z1" s="127" t="s">
        <v>65</v>
      </c>
      <c r="AA1" s="11"/>
    </row>
    <row r="2" spans="1:27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3"/>
      <c r="Q2" s="119"/>
      <c r="R2" s="119"/>
      <c r="S2" s="119"/>
      <c r="T2" s="123"/>
      <c r="U2" s="121"/>
      <c r="V2" s="121"/>
      <c r="W2" s="121"/>
      <c r="X2" s="122"/>
      <c r="Y2" s="122"/>
      <c r="Z2" s="122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25" t="s">
        <v>119</v>
      </c>
      <c r="AA1" s="127" t="s">
        <v>64</v>
      </c>
      <c r="AB1" s="127" t="s">
        <v>65</v>
      </c>
    </row>
    <row r="2" spans="1:28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19"/>
      <c r="AA2" s="122"/>
      <c r="AB2" s="12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0.375" bestFit="1" customWidth="1"/>
    <col min="6" max="6" width="9.25" bestFit="1" customWidth="1"/>
    <col min="7" max="7" width="8" bestFit="1" customWidth="1"/>
    <col min="8" max="8" width="9.2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8" bestFit="1" customWidth="1"/>
    <col min="15" max="15" width="9.25" bestFit="1" customWidth="1"/>
    <col min="16" max="16" width="9.75" bestFit="1" customWidth="1"/>
    <col min="17" max="17" width="8.75" bestFit="1" customWidth="1"/>
    <col min="18" max="18" width="11.125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4.375" bestFit="1" customWidth="1"/>
    <col min="25" max="25" width="9.625" bestFit="1" customWidth="1"/>
    <col min="26" max="26" width="9.2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5" t="s">
        <v>120</v>
      </c>
      <c r="E1" s="25" t="s">
        <v>121</v>
      </c>
      <c r="F1" s="124" t="s">
        <v>61</v>
      </c>
      <c r="G1" s="124" t="s">
        <v>122</v>
      </c>
      <c r="H1" s="124" t="s">
        <v>123</v>
      </c>
      <c r="I1" s="127" t="s">
        <v>124</v>
      </c>
      <c r="J1" s="127" t="s">
        <v>125</v>
      </c>
      <c r="K1" s="125" t="s">
        <v>126</v>
      </c>
      <c r="L1" s="25" t="s">
        <v>127</v>
      </c>
      <c r="M1" s="25" t="s">
        <v>61</v>
      </c>
      <c r="N1" s="124" t="s">
        <v>128</v>
      </c>
      <c r="O1" s="124" t="s">
        <v>129</v>
      </c>
      <c r="P1" s="127" t="s">
        <v>130</v>
      </c>
      <c r="Q1" s="127" t="s">
        <v>131</v>
      </c>
      <c r="R1" s="124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6" t="s">
        <v>137</v>
      </c>
      <c r="AA1" s="126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7" t="s">
        <v>144</v>
      </c>
      <c r="AI1" s="124" t="s">
        <v>145</v>
      </c>
      <c r="AJ1" s="124" t="s">
        <v>146</v>
      </c>
      <c r="AK1" s="25" t="s">
        <v>147</v>
      </c>
      <c r="AL1" s="127" t="s">
        <v>148</v>
      </c>
      <c r="AM1" s="25" t="s">
        <v>149</v>
      </c>
      <c r="AN1" s="127" t="s">
        <v>64</v>
      </c>
      <c r="AO1" s="127" t="s">
        <v>65</v>
      </c>
    </row>
    <row r="2" spans="1:41" ht="15" customHeight="1">
      <c r="A2" s="120">
        <v>307</v>
      </c>
      <c r="B2" s="120">
        <v>307</v>
      </c>
      <c r="C2" s="119"/>
      <c r="D2" s="120"/>
      <c r="E2" s="119"/>
      <c r="F2" s="121"/>
      <c r="G2" s="121"/>
      <c r="H2" s="121"/>
      <c r="I2" s="122"/>
      <c r="J2" s="122"/>
      <c r="K2" s="120"/>
      <c r="L2" s="119"/>
      <c r="M2" s="119"/>
      <c r="N2" s="121"/>
      <c r="O2" s="121"/>
      <c r="P2" s="122"/>
      <c r="Q2" s="122"/>
      <c r="R2" s="121"/>
      <c r="S2" s="119"/>
      <c r="T2" s="119"/>
      <c r="U2" s="119"/>
      <c r="V2" s="119"/>
      <c r="W2" s="119"/>
      <c r="X2" s="119"/>
      <c r="Y2" s="119"/>
      <c r="Z2" s="123"/>
      <c r="AA2" s="123"/>
      <c r="AB2" s="119"/>
      <c r="AC2" s="119"/>
      <c r="AD2" s="119"/>
      <c r="AE2" s="119"/>
      <c r="AF2" s="119"/>
      <c r="AG2" s="119"/>
      <c r="AH2" s="122"/>
      <c r="AI2" s="121"/>
      <c r="AJ2" s="121"/>
      <c r="AK2" s="119"/>
      <c r="AL2" s="122"/>
      <c r="AM2" s="119"/>
      <c r="AN2" s="122"/>
      <c r="AO2" s="122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375" bestFit="1" customWidth="1"/>
    <col min="44" max="44" width="10" bestFit="1" customWidth="1"/>
    <col min="45" max="45" width="9.25" bestFit="1" customWidth="1"/>
    <col min="46" max="46" width="9.875" bestFit="1" customWidth="1"/>
    <col min="47" max="47" width="7.5" bestFit="1" customWidth="1"/>
    <col min="48" max="48" width="9.875" bestFit="1" customWidth="1"/>
    <col min="49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5" t="s">
        <v>156</v>
      </c>
      <c r="O1" s="126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4" t="s">
        <v>72</v>
      </c>
      <c r="U1" s="25" t="s">
        <v>159</v>
      </c>
      <c r="V1" s="127" t="s">
        <v>62</v>
      </c>
      <c r="W1" s="25" t="s">
        <v>98</v>
      </c>
      <c r="X1" s="25" t="s">
        <v>85</v>
      </c>
      <c r="Y1" s="127" t="s">
        <v>160</v>
      </c>
      <c r="Z1" s="127" t="s">
        <v>74</v>
      </c>
      <c r="AA1" s="126" t="s">
        <v>73</v>
      </c>
      <c r="AB1" s="25" t="s">
        <v>86</v>
      </c>
      <c r="AC1" s="25" t="s">
        <v>161</v>
      </c>
      <c r="AD1" s="25" t="s">
        <v>162</v>
      </c>
      <c r="AE1" s="127" t="s">
        <v>163</v>
      </c>
      <c r="AF1" s="126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6" t="s">
        <v>106</v>
      </c>
      <c r="AO1" s="126" t="s">
        <v>107</v>
      </c>
      <c r="AP1" s="127" t="s">
        <v>169</v>
      </c>
      <c r="AQ1" s="25" t="s">
        <v>170</v>
      </c>
      <c r="AR1" s="124" t="s">
        <v>171</v>
      </c>
      <c r="AS1" s="124" t="s">
        <v>61</v>
      </c>
      <c r="AT1" s="25" t="s">
        <v>63</v>
      </c>
      <c r="AU1" s="25" t="s">
        <v>172</v>
      </c>
      <c r="AV1" s="124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0">
        <v>307</v>
      </c>
      <c r="B2" s="120">
        <v>307</v>
      </c>
      <c r="C2" s="120"/>
      <c r="D2" s="119"/>
      <c r="E2" s="119"/>
      <c r="F2" s="120"/>
      <c r="G2" s="119"/>
      <c r="H2" s="119"/>
      <c r="I2" s="119"/>
      <c r="J2" s="119"/>
      <c r="K2" s="119"/>
      <c r="L2" s="119"/>
      <c r="M2" s="119"/>
      <c r="N2" s="120"/>
      <c r="O2" s="123"/>
      <c r="P2" s="119"/>
      <c r="Q2" s="119"/>
      <c r="R2" s="119"/>
      <c r="S2" s="119"/>
      <c r="T2" s="121"/>
      <c r="U2" s="119"/>
      <c r="V2" s="122"/>
      <c r="W2" s="119"/>
      <c r="X2" s="119"/>
      <c r="Y2" s="122"/>
      <c r="Z2" s="122"/>
      <c r="AA2" s="123"/>
      <c r="AB2" s="119"/>
      <c r="AC2" s="119"/>
      <c r="AD2" s="121">
        <v>0</v>
      </c>
      <c r="AE2" s="122"/>
      <c r="AF2" s="123"/>
      <c r="AG2" s="119"/>
      <c r="AH2" s="119"/>
      <c r="AI2" s="119"/>
      <c r="AJ2" s="119"/>
      <c r="AK2" s="119"/>
      <c r="AL2" s="119"/>
      <c r="AM2" s="119"/>
      <c r="AN2" s="123"/>
      <c r="AO2" s="123"/>
      <c r="AP2" s="122"/>
      <c r="AQ2" s="121">
        <v>0</v>
      </c>
      <c r="AR2" s="121"/>
      <c r="AS2" s="121"/>
      <c r="AT2" s="121">
        <v>0</v>
      </c>
      <c r="AU2" s="121">
        <v>0</v>
      </c>
      <c r="AV2" s="121"/>
      <c r="AW2" s="121">
        <v>0</v>
      </c>
      <c r="AX2" s="119"/>
      <c r="AY2" s="119"/>
      <c r="AZ2" s="122">
        <v>0</v>
      </c>
      <c r="BA2" s="122">
        <v>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127" t="s">
        <v>62</v>
      </c>
      <c r="U1" s="127" t="s">
        <v>74</v>
      </c>
      <c r="V1" s="25" t="s">
        <v>103</v>
      </c>
      <c r="W1" s="25" t="s">
        <v>104</v>
      </c>
      <c r="X1" s="126" t="s">
        <v>106</v>
      </c>
      <c r="Y1" s="124" t="s">
        <v>76</v>
      </c>
      <c r="Z1" s="124" t="s">
        <v>61</v>
      </c>
      <c r="AA1" s="124" t="s">
        <v>77</v>
      </c>
      <c r="AB1" s="124" t="s">
        <v>63</v>
      </c>
      <c r="AC1" s="127" t="s">
        <v>64</v>
      </c>
      <c r="AD1" s="127" t="s">
        <v>65</v>
      </c>
    </row>
    <row r="2" spans="1:30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22"/>
      <c r="U2" s="122"/>
      <c r="V2" s="119"/>
      <c r="W2" s="119"/>
      <c r="X2" s="123"/>
      <c r="Y2" s="121"/>
      <c r="Z2" s="121"/>
      <c r="AA2" s="121"/>
      <c r="AB2" s="121"/>
      <c r="AC2" s="122"/>
      <c r="AD2" s="122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6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4" t="s">
        <v>72</v>
      </c>
      <c r="O1" s="127" t="s">
        <v>62</v>
      </c>
      <c r="P1" s="127" t="s">
        <v>74</v>
      </c>
      <c r="Q1" s="124" t="s">
        <v>60</v>
      </c>
      <c r="R1" s="124" t="s">
        <v>61</v>
      </c>
      <c r="S1" s="124" t="s">
        <v>174</v>
      </c>
      <c r="T1" s="124" t="s">
        <v>63</v>
      </c>
      <c r="U1" s="127" t="s">
        <v>64</v>
      </c>
      <c r="V1" s="127" t="s">
        <v>65</v>
      </c>
      <c r="W1" s="11"/>
      <c r="X1" s="11"/>
      <c r="Y1" s="11"/>
      <c r="Z1" s="11"/>
    </row>
    <row r="2" spans="1:26" ht="15" customHeight="1">
      <c r="A2" s="120">
        <v>307</v>
      </c>
      <c r="B2" s="120">
        <v>307</v>
      </c>
      <c r="C2" s="119"/>
      <c r="D2" s="119"/>
      <c r="E2" s="119"/>
      <c r="F2" s="119"/>
      <c r="G2" s="123"/>
      <c r="H2" s="119"/>
      <c r="I2" s="119"/>
      <c r="J2" s="119"/>
      <c r="K2" s="119"/>
      <c r="L2" s="119"/>
      <c r="M2" s="119"/>
      <c r="N2" s="121"/>
      <c r="O2" s="122"/>
      <c r="P2" s="122"/>
      <c r="Q2" s="121"/>
      <c r="R2" s="121"/>
      <c r="S2" s="121"/>
      <c r="T2" s="121"/>
      <c r="U2" s="122"/>
      <c r="V2" s="122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6" t="s">
        <v>97</v>
      </c>
      <c r="H1" s="25" t="s">
        <v>177</v>
      </c>
      <c r="I1" s="25" t="s">
        <v>178</v>
      </c>
      <c r="J1" s="25" t="s">
        <v>179</v>
      </c>
      <c r="K1" s="127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6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0">
        <v>307</v>
      </c>
      <c r="B2" s="120">
        <v>307</v>
      </c>
      <c r="C2" s="119"/>
      <c r="D2" s="119"/>
      <c r="E2" s="119"/>
      <c r="F2" s="119"/>
      <c r="G2" s="123"/>
      <c r="H2" s="119"/>
      <c r="I2" s="119"/>
      <c r="J2" s="119"/>
      <c r="K2" s="122"/>
      <c r="L2" s="119"/>
      <c r="M2" s="119"/>
      <c r="N2" s="119"/>
      <c r="O2" s="119"/>
      <c r="P2" s="123"/>
      <c r="Q2" s="119"/>
      <c r="R2" s="121">
        <v>0</v>
      </c>
      <c r="S2" s="121">
        <v>0</v>
      </c>
      <c r="T2" s="121">
        <v>0</v>
      </c>
      <c r="U2" s="121">
        <v>0</v>
      </c>
      <c r="V2" s="119"/>
      <c r="W2" s="122">
        <v>0</v>
      </c>
      <c r="X2" s="122">
        <v>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6" t="s">
        <v>106</v>
      </c>
      <c r="R1" s="126" t="s">
        <v>107</v>
      </c>
      <c r="S1" s="127" t="s">
        <v>182</v>
      </c>
      <c r="T1" s="124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307</v>
      </c>
      <c r="B2" s="120">
        <v>307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3"/>
      <c r="R2" s="123"/>
      <c r="S2" s="122"/>
      <c r="T2" s="121"/>
      <c r="U2" s="121">
        <v>0</v>
      </c>
      <c r="V2" s="122">
        <v>0</v>
      </c>
      <c r="W2" s="122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M4" sqref="M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4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307</v>
      </c>
      <c r="B2" s="120">
        <v>307</v>
      </c>
      <c r="C2" s="119" t="s">
        <v>1408</v>
      </c>
      <c r="D2" s="120">
        <v>7900000</v>
      </c>
      <c r="E2" s="119" t="s">
        <v>1033</v>
      </c>
      <c r="F2" s="119" t="s">
        <v>203</v>
      </c>
      <c r="G2" s="119" t="s">
        <v>203</v>
      </c>
      <c r="H2" s="119" t="s">
        <v>338</v>
      </c>
      <c r="I2" s="123">
        <v>39658</v>
      </c>
      <c r="J2" s="119" t="s">
        <v>1212</v>
      </c>
      <c r="K2" s="123">
        <v>45382</v>
      </c>
      <c r="L2" s="121">
        <v>21000</v>
      </c>
      <c r="M2" s="121">
        <v>1</v>
      </c>
      <c r="N2" s="121">
        <v>21000</v>
      </c>
      <c r="O2" s="121"/>
      <c r="P2" s="119"/>
      <c r="Q2" s="122">
        <v>1.1934E-2</v>
      </c>
      <c r="R2" s="122">
        <v>7.4400000000000004E-3</v>
      </c>
    </row>
    <row r="3" spans="1:26" ht="15" customHeight="1">
      <c r="A3" s="120">
        <v>307</v>
      </c>
      <c r="B3" s="120">
        <v>307</v>
      </c>
      <c r="C3" s="119" t="s">
        <v>1409</v>
      </c>
      <c r="D3" s="120">
        <v>7893815</v>
      </c>
      <c r="E3" s="119" t="s">
        <v>1034</v>
      </c>
      <c r="F3" s="119" t="s">
        <v>203</v>
      </c>
      <c r="G3" s="119" t="s">
        <v>203</v>
      </c>
      <c r="H3" s="119" t="s">
        <v>338</v>
      </c>
      <c r="I3" s="123">
        <v>37668</v>
      </c>
      <c r="J3" s="119" t="s">
        <v>1212</v>
      </c>
      <c r="K3" s="123">
        <v>45379</v>
      </c>
      <c r="L3" s="121">
        <v>1738652.18136</v>
      </c>
      <c r="M3" s="121">
        <v>1</v>
      </c>
      <c r="N3" s="121">
        <v>1738652.18136</v>
      </c>
      <c r="O3" s="119"/>
      <c r="P3" s="119"/>
      <c r="Q3" s="122">
        <v>0.98806499999999997</v>
      </c>
      <c r="R3" s="122">
        <v>0.61598900000000001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126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4" t="s">
        <v>61</v>
      </c>
      <c r="P1" s="127" t="s">
        <v>62</v>
      </c>
      <c r="Q1" s="25" t="s">
        <v>159</v>
      </c>
      <c r="R1" s="124" t="s">
        <v>188</v>
      </c>
      <c r="S1" s="124" t="s">
        <v>189</v>
      </c>
      <c r="T1" s="127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307</v>
      </c>
      <c r="B2" s="120">
        <v>307</v>
      </c>
      <c r="C2" s="120"/>
      <c r="D2" s="119"/>
      <c r="E2" s="119"/>
      <c r="F2" s="120"/>
      <c r="G2" s="123"/>
      <c r="H2" s="119"/>
      <c r="I2" s="119"/>
      <c r="J2" s="119"/>
      <c r="K2" s="119"/>
      <c r="L2" s="119"/>
      <c r="M2" s="119"/>
      <c r="N2" s="119"/>
      <c r="O2" s="121"/>
      <c r="P2" s="122"/>
      <c r="Q2" s="119"/>
      <c r="R2" s="121"/>
      <c r="S2" s="121"/>
      <c r="T2" s="122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B3" sqref="B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5" t="s">
        <v>49</v>
      </c>
      <c r="B1" s="125" t="s">
        <v>50</v>
      </c>
      <c r="C1" s="25" t="s">
        <v>54</v>
      </c>
      <c r="D1" s="25" t="s">
        <v>108</v>
      </c>
      <c r="E1" s="125" t="s">
        <v>109</v>
      </c>
      <c r="F1" s="25" t="s">
        <v>110</v>
      </c>
      <c r="G1" s="25" t="s">
        <v>111</v>
      </c>
      <c r="H1" s="125" t="s">
        <v>112</v>
      </c>
      <c r="I1" s="25" t="s">
        <v>113</v>
      </c>
      <c r="J1" s="25" t="s">
        <v>59</v>
      </c>
      <c r="K1" s="126" t="s">
        <v>191</v>
      </c>
      <c r="L1" s="124" t="s">
        <v>192</v>
      </c>
      <c r="M1" s="124" t="s">
        <v>193</v>
      </c>
      <c r="N1" s="124" t="s">
        <v>194</v>
      </c>
      <c r="O1" s="124" t="s">
        <v>195</v>
      </c>
      <c r="P1" s="127" t="s">
        <v>196</v>
      </c>
      <c r="Q1" s="126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307</v>
      </c>
      <c r="B2" s="120">
        <v>307</v>
      </c>
      <c r="C2" s="119"/>
      <c r="D2" s="119"/>
      <c r="E2" s="120"/>
      <c r="F2" s="119"/>
      <c r="G2" s="119"/>
      <c r="H2" s="120"/>
      <c r="I2" s="119"/>
      <c r="J2" s="119"/>
      <c r="K2" s="123"/>
      <c r="L2" s="121"/>
      <c r="M2" s="121"/>
      <c r="N2" s="121"/>
      <c r="O2" s="121"/>
      <c r="P2" s="122"/>
      <c r="Q2" s="123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2024-06-10T06:08:32Z</dcterms:modified>
</cp:coreProperties>
</file>