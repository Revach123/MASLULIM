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32024\Hamahar_gemel\"/>
    </mc:Choice>
  </mc:AlternateContent>
  <xr:revisionPtr revIDLastSave="0" documentId="13_ncr:1_{A4865112-3FE3-4E36-BB57-F8951C7CF579}" xr6:coauthVersionLast="36" xr6:coauthVersionMax="36" xr10:uidLastSave="{00000000-0000-0000-0000-000000000000}"/>
  <bookViews>
    <workbookView xWindow="-120" yWindow="-120" windowWidth="29040" windowHeight="15720" tabRatio="840" firstSheet="25" activeTab="3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גיליון1" sheetId="59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בחירה'!$A$1:$D$1040</definedName>
    <definedName name="_xlnm._FilterDatabase" localSheetId="31" hidden="1">גיליון1!$A$1:$K$66</definedName>
    <definedName name="_xlnm._FilterDatabase" localSheetId="30" hidden="1">'יתרות התחייבות להשקעה'!$A$1:$Q$51</definedName>
    <definedName name="_xlnm._FilterDatabase" localSheetId="2" hidden="1">'מזומנים ושווי מזומנים'!$A$1:$N$1</definedName>
    <definedName name="_xlnm._FilterDatabase" localSheetId="33" hidden="1">'מיפוי סעיפים'!$A$1:$D$795</definedName>
    <definedName name="_xlnm._FilterDatabase" localSheetId="28" hidden="1">'נכסים אחרים'!$A$1:$R$15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8" i="59" l="1"/>
  <c r="J3" i="59"/>
  <c r="K3" i="59" s="1"/>
  <c r="J4" i="59"/>
  <c r="K4" i="59" s="1"/>
  <c r="J5" i="59"/>
  <c r="K5" i="59" s="1"/>
  <c r="J6" i="59"/>
  <c r="K6" i="59" s="1"/>
  <c r="J7" i="59"/>
  <c r="K7" i="59" s="1"/>
  <c r="J8" i="59"/>
  <c r="K8" i="59" s="1"/>
  <c r="J9" i="59"/>
  <c r="K9" i="59" s="1"/>
  <c r="J10" i="59"/>
  <c r="K10" i="59" s="1"/>
  <c r="J11" i="59"/>
  <c r="K11" i="59" s="1"/>
  <c r="J12" i="59"/>
  <c r="K12" i="59" s="1"/>
  <c r="J13" i="59"/>
  <c r="K13" i="59" s="1"/>
  <c r="J14" i="59"/>
  <c r="K14" i="59" s="1"/>
  <c r="J15" i="59"/>
  <c r="K15" i="59" s="1"/>
  <c r="J16" i="59"/>
  <c r="K16" i="59" s="1"/>
  <c r="J17" i="59"/>
  <c r="K17" i="59" s="1"/>
  <c r="J18" i="59"/>
  <c r="K18" i="59" s="1"/>
  <c r="J19" i="59"/>
  <c r="K19" i="59" s="1"/>
  <c r="J20" i="59"/>
  <c r="K20" i="59" s="1"/>
  <c r="J21" i="59"/>
  <c r="K21" i="59" s="1"/>
  <c r="J22" i="59"/>
  <c r="K22" i="59" s="1"/>
  <c r="J23" i="59"/>
  <c r="K23" i="59" s="1"/>
  <c r="J24" i="59"/>
  <c r="K24" i="59" s="1"/>
  <c r="J25" i="59"/>
  <c r="K25" i="59" s="1"/>
  <c r="J26" i="59"/>
  <c r="K26" i="59" s="1"/>
  <c r="J27" i="59"/>
  <c r="K27" i="59" s="1"/>
  <c r="J28" i="59"/>
  <c r="K28" i="59" s="1"/>
  <c r="J29" i="59"/>
  <c r="K29" i="59" s="1"/>
  <c r="J30" i="59"/>
  <c r="K30" i="59" s="1"/>
  <c r="J31" i="59"/>
  <c r="K31" i="59" s="1"/>
  <c r="J32" i="59"/>
  <c r="K32" i="59" s="1"/>
  <c r="J33" i="59"/>
  <c r="K33" i="59" s="1"/>
  <c r="J34" i="59"/>
  <c r="K34" i="59" s="1"/>
  <c r="J35" i="59"/>
  <c r="K35" i="59" s="1"/>
  <c r="J36" i="59"/>
  <c r="K36" i="59" s="1"/>
  <c r="J37" i="59"/>
  <c r="K37" i="59" s="1"/>
  <c r="J38" i="59"/>
  <c r="K38" i="59" s="1"/>
  <c r="J39" i="59"/>
  <c r="K39" i="59" s="1"/>
  <c r="J40" i="59"/>
  <c r="K40" i="59" s="1"/>
  <c r="J41" i="59"/>
  <c r="K41" i="59" s="1"/>
  <c r="J42" i="59"/>
  <c r="K42" i="59" s="1"/>
  <c r="J43" i="59"/>
  <c r="K43" i="59" s="1"/>
  <c r="J44" i="59"/>
  <c r="K44" i="59" s="1"/>
  <c r="J45" i="59"/>
  <c r="K45" i="59" s="1"/>
  <c r="J46" i="59"/>
  <c r="K46" i="59" s="1"/>
  <c r="J47" i="59"/>
  <c r="K47" i="59" s="1"/>
  <c r="J48" i="59"/>
  <c r="K48" i="59" s="1"/>
  <c r="J49" i="59"/>
  <c r="K49" i="59" s="1"/>
  <c r="J50" i="59"/>
  <c r="K50" i="59" s="1"/>
  <c r="J51" i="59"/>
  <c r="K51" i="59" s="1"/>
  <c r="J52" i="59"/>
  <c r="K52" i="59" s="1"/>
  <c r="J53" i="59"/>
  <c r="K53" i="59" s="1"/>
  <c r="J54" i="59"/>
  <c r="K54" i="59" s="1"/>
  <c r="J55" i="59"/>
  <c r="K55" i="59" s="1"/>
  <c r="J56" i="59"/>
  <c r="K56" i="59" s="1"/>
  <c r="J57" i="59"/>
  <c r="K57" i="59" s="1"/>
  <c r="J58" i="59"/>
  <c r="K58" i="59" s="1"/>
  <c r="J59" i="59"/>
  <c r="K59" i="59" s="1"/>
  <c r="J60" i="59"/>
  <c r="K60" i="59" s="1"/>
  <c r="J61" i="59"/>
  <c r="K61" i="59" s="1"/>
  <c r="J62" i="59"/>
  <c r="K62" i="59" s="1"/>
  <c r="J63" i="59"/>
  <c r="K63" i="59" s="1"/>
  <c r="J64" i="59"/>
  <c r="K64" i="59" s="1"/>
  <c r="J65" i="59"/>
  <c r="K65" i="59" s="1"/>
  <c r="J66" i="59"/>
  <c r="K66" i="59" s="1"/>
  <c r="J2" i="59"/>
  <c r="K2" i="59" s="1"/>
  <c r="B32" i="2" l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D23" i="2"/>
  <c r="B23" i="2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D3" i="2"/>
  <c r="B3" i="2"/>
  <c r="D15" i="38"/>
  <c r="D13" i="38"/>
  <c r="B30" i="2" l="1"/>
  <c r="E24" i="2" s="1"/>
  <c r="E20" i="2"/>
  <c r="E8" i="2"/>
  <c r="E4" i="2"/>
  <c r="E18" i="2"/>
  <c r="E10" i="2"/>
  <c r="E6" i="2"/>
  <c r="E27" i="2"/>
  <c r="E23" i="2"/>
  <c r="E19" i="2"/>
  <c r="E15" i="2"/>
  <c r="E11" i="2"/>
  <c r="E3" i="2"/>
  <c r="E29" i="2"/>
  <c r="E25" i="2"/>
  <c r="E21" i="2"/>
  <c r="E17" i="2"/>
  <c r="E13" i="2"/>
  <c r="E9" i="2"/>
  <c r="E5" i="2"/>
  <c r="E26" i="2"/>
  <c r="E22" i="2"/>
  <c r="E7" i="2"/>
  <c r="D30" i="2"/>
  <c r="E14" i="2" l="1"/>
  <c r="E12" i="2"/>
  <c r="E16" i="2"/>
  <c r="E28" i="2"/>
  <c r="E30" i="2" l="1"/>
</calcChain>
</file>

<file path=xl/sharedStrings.xml><?xml version="1.0" encoding="utf-8"?>
<sst xmlns="http://schemas.openxmlformats.org/spreadsheetml/2006/main" count="24403" uniqueCount="3078">
  <si>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</si>
  <si>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</si>
  <si>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</si>
  <si>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</si>
  <si>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</si>
  <si>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</si>
  <si>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</si>
  <si>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</si>
  <si>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</si>
  <si>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</si>
  <si>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</si>
  <si>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</si>
  <si>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</si>
  <si>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</si>
  <si>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</si>
  <si>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</si>
  <si>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</si>
  <si>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</si>
  <si>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</si>
  <si>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</si>
  <si>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</si>
  <si>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</si>
  <si>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</si>
  <si>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</si>
  <si>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</si>
  <si>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</si>
  <si>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158</t>
  </si>
  <si>
    <t>מדינת ישראל</t>
  </si>
  <si>
    <t>ISRAEL 2 7/8 03/16/26</t>
  </si>
  <si>
    <t>US46513CXR23</t>
  </si>
  <si>
    <t>צמוד מט"ח בריבית קבועה</t>
  </si>
  <si>
    <t>ישראל</t>
  </si>
  <si>
    <t>LSE</t>
  </si>
  <si>
    <t>A1</t>
  </si>
  <si>
    <t>Moodys</t>
  </si>
  <si>
    <t>USD</t>
  </si>
  <si>
    <t>16/03/2026</t>
  </si>
  <si>
    <t>שווי הוגן</t>
  </si>
  <si>
    <t>בנק ישראל- מק"מ</t>
  </si>
  <si>
    <t>מ.ק.מ. 315</t>
  </si>
  <si>
    <t>IL0082503181</t>
  </si>
  <si>
    <t>מק"מ קצר משנים עשר חודשים</t>
  </si>
  <si>
    <t>TASE </t>
  </si>
  <si>
    <t>RF</t>
  </si>
  <si>
    <t>פנימי</t>
  </si>
  <si>
    <t>ILS</t>
  </si>
  <si>
    <t>05/03/2025</t>
  </si>
  <si>
    <t>מלווה קצר מועד 1114</t>
  </si>
  <si>
    <t>IL0082411195</t>
  </si>
  <si>
    <t>TASE</t>
  </si>
  <si>
    <t>06/11/2024</t>
  </si>
  <si>
    <t>מלווה קצר מועד 714</t>
  </si>
  <si>
    <t>IL0082407151</t>
  </si>
  <si>
    <t>03/07/2024</t>
  </si>
  <si>
    <t>מלווה קצר מועד 914</t>
  </si>
  <si>
    <t>IL0082409132</t>
  </si>
  <si>
    <t>04/09/2024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</si>
  <si>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</si>
  <si>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</si>
  <si>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</si>
  <si>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</si>
  <si>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</si>
  <si>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</si>
  <si>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</si>
  <si>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</si>
  <si>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</si>
  <si>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</si>
  <si>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</si>
  <si>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</si>
  <si>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</si>
  <si>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</si>
  <si>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</si>
  <si>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</si>
  <si>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</si>
  <si>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</si>
  <si>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</si>
  <si>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0825</t>
  </si>
  <si>
    <t>IL0011355570</t>
  </si>
  <si>
    <t>31/08/2025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</si>
  <si>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</si>
  <si>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</si>
  <si>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</si>
  <si>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</si>
  <si>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</si>
  <si>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</si>
  <si>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</si>
  <si>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</si>
  <si>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</si>
  <si>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</si>
  <si>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</si>
  <si>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</si>
  <si>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</si>
  <si>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</si>
  <si>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</si>
  <si>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</si>
  <si>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</si>
  <si>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</si>
  <si>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524</t>
  </si>
  <si>
    <t>IL0082405254</t>
  </si>
  <si>
    <t>08/05/2024</t>
  </si>
  <si>
    <t>מקמ 614</t>
  </si>
  <si>
    <t>IL0082406161</t>
  </si>
  <si>
    <t>05/06/2024</t>
  </si>
  <si>
    <t>מלווה קצר מועד 814</t>
  </si>
  <si>
    <t>IL0082408142</t>
  </si>
  <si>
    <t>07/08/2024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</si>
  <si>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</si>
  <si>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</si>
  <si>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</si>
  <si>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</si>
  <si>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</si>
  <si>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</si>
  <si>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ממשלתי שקלי  1026</t>
  </si>
  <si>
    <t>IL0010994569</t>
  </si>
  <si>
    <t>30/10/2026</t>
  </si>
  <si>
    <t>מלווה קצר מועד 1214</t>
  </si>
  <si>
    <t>IL0082412185</t>
  </si>
  <si>
    <t>04/12/2024</t>
  </si>
  <si>
    <t>ממשל צמודה 0545</t>
  </si>
  <si>
    <t>IL0011348658</t>
  </si>
  <si>
    <t>31/05/2045</t>
  </si>
  <si>
    <t>Treasury Bill</t>
  </si>
  <si>
    <t>B 31/10/24</t>
  </si>
  <si>
    <t>US912797HE00</t>
  </si>
  <si>
    <t>חו"ל</t>
  </si>
  <si>
    <t>ארה"ב</t>
  </si>
  <si>
    <t>NYSE </t>
  </si>
  <si>
    <t>Aaa</t>
  </si>
  <si>
    <t>מידרוג Moodys</t>
  </si>
  <si>
    <t>31/10/2024</t>
  </si>
  <si>
    <t>US TREASURY N/B</t>
  </si>
  <si>
    <t>T-3 3/8 15/05/33</t>
  </si>
  <si>
    <t>US91282CHC82</t>
  </si>
  <si>
    <t>15/05/2033</t>
  </si>
  <si>
    <t>מלווה קצר מועד 1014</t>
  </si>
  <si>
    <t>IL0082410106</t>
  </si>
  <si>
    <t>02/10/2024</t>
  </si>
  <si>
    <t>מלווה קצר מועד 125</t>
  </si>
  <si>
    <t>IL0082501284</t>
  </si>
  <si>
    <t>08/01/2025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</si>
  <si>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</si>
  <si>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</si>
  <si>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</si>
  <si>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</si>
  <si>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</si>
  <si>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</si>
  <si>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</si>
  <si>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</si>
  <si>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</si>
  <si>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</si>
  <si>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</si>
  <si>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</si>
  <si>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</si>
  <si>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</si>
  <si>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</si>
  <si>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</si>
  <si>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</si>
  <si>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</si>
  <si>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</si>
  <si>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</si>
  <si>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</si>
  <si>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זכאים מס עמיתים</t>
  </si>
  <si>
    <t>28200000</t>
  </si>
  <si>
    <t>חייבים וזכאים מס</t>
  </si>
  <si>
    <t>חייבים</t>
  </si>
  <si>
    <t>27960000</t>
  </si>
  <si>
    <t xml:space="preserve">חייבים בגין תקבולים </t>
  </si>
  <si>
    <t>31/12/2013</t>
  </si>
  <si>
    <t>31/03/2024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</si>
  <si>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</si>
  <si>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</si>
  <si>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</si>
  <si>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</si>
  <si>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</si>
  <si>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</si>
  <si>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</si>
  <si>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</si>
  <si>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</si>
  <si>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</si>
  <si>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</si>
  <si>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</si>
  <si>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</si>
  <si>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</si>
  <si>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</si>
  <si>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</si>
  <si>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</si>
  <si>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</si>
  <si>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</si>
  <si>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</si>
  <si>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</si>
  <si>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</si>
  <si>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</si>
  <si>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</si>
  <si>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</si>
  <si>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</si>
  <si>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</si>
  <si>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</si>
  <si>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</si>
  <si>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</si>
  <si>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</si>
  <si>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</si>
  <si>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</si>
  <si>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</si>
  <si>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</si>
  <si>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</si>
  <si>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</si>
  <si>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</si>
  <si>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</si>
  <si>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</si>
  <si>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</si>
  <si>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</si>
  <si>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</si>
  <si>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</si>
  <si>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</si>
  <si>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</si>
  <si>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</si>
  <si>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</si>
  <si>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</si>
  <si>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</si>
  <si>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</si>
  <si>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</si>
  <si>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</si>
  <si>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</si>
  <si>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</si>
  <si>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</si>
  <si>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</si>
  <si>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</si>
  <si>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</si>
  <si>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</si>
  <si>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</si>
  <si>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</si>
  <si>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</si>
  <si>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</si>
  <si>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</si>
  <si>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</si>
  <si>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</si>
  <si>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</si>
  <si>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</si>
  <si>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</si>
  <si>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</si>
  <si>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</si>
  <si>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</si>
  <si>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</si>
  <si>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</si>
  <si>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</si>
  <si>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</si>
  <si>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</si>
  <si>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</si>
  <si>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</si>
  <si>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</si>
  <si>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</si>
  <si>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</si>
  <si>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</si>
  <si>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</si>
  <si>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</si>
  <si>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</si>
  <si>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</si>
  <si>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</si>
  <si>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</si>
  <si>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</si>
  <si>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</si>
  <si>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</si>
  <si>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</si>
  <si>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</si>
  <si>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</si>
  <si>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</si>
  <si>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</si>
  <si>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</si>
  <si>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</si>
  <si>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</si>
  <si>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</si>
  <si>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</si>
  <si>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</si>
  <si>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</si>
  <si>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</si>
  <si>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</si>
  <si>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</si>
  <si>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</si>
  <si>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</si>
  <si>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</si>
  <si>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</si>
  <si>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</si>
  <si>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</si>
  <si>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</si>
  <si>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</si>
  <si>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</si>
  <si>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</si>
  <si>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</si>
  <si>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</si>
  <si>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</si>
  <si>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</si>
  <si>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</si>
  <si>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</si>
  <si>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</si>
  <si>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</si>
  <si>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</si>
  <si>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</si>
  <si>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</si>
  <si>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</si>
  <si>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</si>
  <si>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</si>
  <si>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</si>
  <si>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</si>
  <si>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</si>
  <si>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</si>
  <si>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</si>
  <si>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</si>
  <si>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</si>
  <si>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</si>
  <si>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</si>
  <si>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</si>
  <si>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</si>
  <si>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</si>
  <si>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</si>
  <si>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</si>
  <si>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</si>
  <si>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</si>
  <si>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</si>
  <si>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</si>
  <si>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</si>
  <si>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</si>
  <si>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</si>
  <si>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</si>
  <si>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</si>
  <si>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</si>
  <si>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</si>
  <si>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</si>
  <si>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</si>
  <si>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</si>
  <si>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</si>
  <si>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</si>
  <si>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</si>
  <si>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</si>
  <si>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</si>
  <si>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</si>
  <si>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</si>
  <si>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</si>
  <si>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</si>
  <si>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</si>
  <si>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</si>
  <si>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</si>
  <si>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</si>
  <si>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</si>
  <si>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</si>
  <si>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</si>
  <si>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</si>
  <si>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</si>
  <si>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</si>
  <si>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</si>
  <si>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</si>
  <si>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</si>
  <si>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</si>
  <si>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</si>
  <si>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</si>
  <si>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</si>
  <si>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</si>
  <si>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</si>
  <si>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</si>
  <si>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</si>
  <si>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</si>
  <si>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</si>
  <si>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</si>
  <si>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</si>
  <si>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</si>
  <si>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</si>
  <si>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</si>
  <si>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</si>
  <si>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</si>
  <si>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</si>
  <si>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</si>
  <si>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</si>
  <si>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</si>
  <si>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</si>
  <si>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</si>
  <si>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</si>
  <si>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</si>
  <si>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</si>
  <si>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</si>
  <si>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</si>
  <si>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</si>
  <si>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</si>
  <si>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</si>
  <si>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</si>
  <si>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</si>
  <si>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</si>
  <si>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</si>
  <si>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</si>
  <si>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</si>
  <si>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</si>
  <si>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</si>
  <si>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</si>
  <si>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</si>
  <si>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</si>
  <si>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</si>
  <si>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</si>
  <si>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</si>
  <si>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</si>
  <si>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</si>
  <si>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</si>
  <si>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</si>
  <si>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</si>
  <si>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</si>
  <si>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</si>
  <si>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</si>
  <si>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</si>
  <si>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</si>
  <si>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</si>
  <si>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</si>
  <si>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</si>
  <si>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</si>
  <si>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</si>
  <si>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</si>
  <si>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</si>
  <si>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</si>
  <si>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</si>
  <si>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</si>
  <si>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</si>
  <si>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</si>
  <si>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</si>
  <si>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</si>
  <si>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</si>
  <si>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</si>
  <si>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</si>
  <si>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</si>
  <si>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</si>
  <si>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</si>
  <si>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</si>
  <si>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</si>
  <si>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</si>
  <si>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</si>
  <si>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</si>
  <si>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</si>
  <si>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</si>
  <si>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</si>
  <si>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</si>
  <si>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</si>
  <si>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</si>
  <si>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</si>
  <si>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</si>
  <si>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</si>
  <si>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</si>
  <si>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</si>
  <si>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</si>
  <si>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</si>
  <si>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</si>
  <si>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</si>
  <si>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</si>
  <si>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</si>
  <si>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</si>
  <si>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</si>
  <si>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</si>
  <si>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</si>
  <si>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</si>
  <si>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</si>
  <si>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</si>
  <si>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</si>
  <si>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</si>
  <si>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</si>
  <si>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</si>
  <si>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</si>
  <si>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</si>
  <si>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</si>
  <si>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</si>
  <si>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</si>
  <si>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</si>
  <si>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</si>
  <si>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</si>
  <si>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</si>
  <si>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</si>
  <si>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</si>
  <si>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</si>
  <si>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</si>
  <si>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</si>
  <si>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</si>
  <si>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</si>
  <si>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</si>
  <si>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</si>
  <si>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</si>
  <si>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</si>
  <si>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</si>
  <si>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</si>
  <si>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</si>
  <si>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</si>
  <si>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</si>
  <si>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</si>
  <si>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</si>
  <si>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</si>
  <si>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</si>
  <si>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</si>
  <si>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</si>
  <si>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</si>
  <si>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</si>
  <si>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</si>
  <si>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</si>
  <si>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</si>
  <si>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</si>
  <si>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</si>
  <si>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</si>
  <si>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</si>
  <si>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</si>
  <si>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</si>
  <si>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</si>
  <si>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</si>
  <si>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</si>
  <si>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</si>
  <si>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</si>
  <si>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</si>
  <si>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</si>
  <si>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</si>
  <si>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</si>
  <si>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</si>
  <si>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</si>
  <si>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</si>
  <si>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</si>
  <si>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</si>
  <si>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</si>
  <si>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</si>
  <si>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</si>
  <si>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</si>
  <si>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</si>
  <si>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</si>
  <si>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</si>
  <si>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</si>
  <si>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</si>
  <si>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</si>
  <si>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</si>
  <si>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</si>
  <si>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</si>
  <si>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</si>
  <si>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</si>
  <si>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</si>
  <si>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</si>
  <si>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</si>
  <si>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</si>
  <si>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</si>
  <si>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</si>
  <si>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</si>
  <si>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</si>
  <si>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</si>
  <si>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</si>
  <si>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</si>
  <si>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</si>
  <si>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</si>
  <si>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</si>
  <si>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</si>
  <si>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</si>
  <si>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</si>
  <si>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</si>
  <si>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</si>
  <si>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</si>
  <si>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</si>
  <si>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</si>
  <si>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</si>
  <si>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</si>
  <si>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</si>
  <si>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</si>
  <si>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</si>
  <si>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</si>
  <si>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</si>
  <si>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</si>
  <si>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</si>
  <si>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</si>
  <si>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</si>
  <si>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</si>
  <si>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</si>
  <si>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</si>
  <si>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</si>
  <si>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</si>
  <si>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</si>
  <si>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</si>
  <si>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</si>
  <si>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</si>
  <si>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</si>
  <si>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</si>
  <si>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</si>
  <si>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</si>
  <si>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</si>
  <si>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</si>
  <si>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</si>
  <si>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</si>
  <si>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</si>
  <si>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</si>
  <si>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</si>
  <si>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</si>
  <si>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</si>
  <si>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</si>
  <si>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</si>
  <si>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</si>
  <si>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</si>
  <si>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</si>
  <si>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</si>
  <si>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</si>
  <si>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</si>
  <si>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</si>
  <si>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</si>
  <si>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</si>
  <si>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</si>
  <si>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</si>
  <si>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</si>
  <si>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</si>
  <si>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</si>
  <si>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</si>
  <si>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</si>
  <si>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</si>
  <si>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</si>
  <si>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</si>
  <si>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</si>
  <si>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</si>
  <si>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</si>
  <si>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</si>
  <si>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</si>
  <si>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</si>
  <si>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</si>
  <si>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</si>
  <si>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</si>
  <si>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</si>
  <si>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</si>
  <si>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</si>
  <si>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</si>
  <si>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</si>
  <si>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</si>
  <si>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</si>
  <si>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</si>
  <si>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</si>
  <si>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</si>
  <si>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</si>
  <si>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</si>
  <si>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</si>
  <si>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</si>
  <si>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</si>
  <si>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</si>
  <si>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</si>
  <si>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</si>
  <si>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</si>
  <si>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</si>
  <si>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</si>
  <si>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</si>
  <si>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</si>
  <si>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</si>
  <si>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</si>
  <si>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</si>
  <si>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</si>
  <si>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</si>
  <si>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</si>
  <si>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</si>
  <si>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</si>
  <si>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</si>
  <si>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</si>
  <si>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</si>
  <si>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</si>
  <si>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</si>
  <si>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</si>
  <si>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</si>
  <si>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</si>
  <si>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</si>
  <si>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</si>
  <si>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</si>
  <si>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</si>
  <si>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</si>
  <si>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</si>
  <si>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</si>
  <si>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</si>
  <si>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</si>
  <si>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</si>
  <si>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</si>
  <si>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</si>
  <si>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</si>
  <si>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</si>
  <si>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</si>
  <si>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</si>
  <si>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</si>
  <si>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</si>
  <si>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</si>
  <si>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</si>
  <si>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</si>
  <si>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</si>
  <si>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</si>
  <si>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</si>
  <si>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</si>
  <si>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</si>
  <si>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</si>
  <si>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</si>
  <si>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</si>
  <si>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</si>
  <si>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</si>
  <si>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</si>
  <si>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</si>
  <si>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</si>
  <si>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</si>
  <si>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</si>
  <si>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</si>
  <si>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</si>
  <si>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</si>
  <si>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</si>
  <si>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</si>
  <si>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</si>
  <si>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</si>
  <si>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</si>
  <si>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</si>
  <si>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</si>
  <si>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</si>
  <si>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</si>
  <si>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</si>
  <si>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</si>
  <si>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</si>
  <si>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</si>
  <si>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</si>
  <si>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</si>
  <si>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</si>
  <si>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</si>
  <si>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</si>
  <si>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</si>
  <si>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</si>
  <si>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</si>
  <si>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</si>
  <si>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</si>
  <si>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</si>
  <si>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</si>
  <si>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</si>
  <si>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</si>
  <si>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</si>
  <si>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</si>
  <si>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</si>
  <si>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</si>
  <si>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</si>
  <si>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</si>
  <si>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</si>
  <si>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</si>
  <si>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</si>
  <si>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</si>
  <si>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</si>
  <si>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</si>
  <si>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</si>
  <si>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</si>
  <si>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</si>
  <si>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</si>
  <si>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</si>
  <si>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</si>
  <si>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</si>
  <si>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</si>
  <si>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</si>
  <si>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</si>
  <si>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</si>
  <si>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</si>
  <si>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</si>
  <si>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</si>
  <si>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</si>
  <si>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</si>
  <si>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</si>
  <si>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</si>
  <si>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</si>
  <si>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</si>
  <si>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</si>
  <si>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</si>
  <si>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</si>
  <si>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</si>
  <si>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</si>
  <si>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</si>
  <si>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</si>
  <si>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</si>
  <si>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</si>
  <si>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</si>
  <si>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</si>
  <si>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</si>
  <si>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</si>
  <si>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</si>
  <si>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</si>
  <si>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</si>
  <si>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</si>
  <si>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</si>
  <si>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</si>
  <si>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</si>
  <si>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</si>
  <si>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</si>
  <si>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</si>
  <si>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</si>
  <si>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</si>
  <si>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</si>
  <si>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</si>
  <si>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</si>
  <si>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</si>
  <si>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</si>
  <si>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</si>
  <si>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</si>
  <si>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</si>
  <si>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</si>
  <si>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</si>
  <si>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</si>
  <si>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</si>
  <si>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</si>
  <si>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</si>
  <si>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</si>
  <si>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</si>
  <si>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</si>
  <si>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</si>
  <si>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</si>
  <si>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</si>
  <si>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</si>
  <si>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</si>
  <si>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</si>
  <si>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</si>
  <si>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</si>
  <si>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</si>
  <si>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</si>
  <si>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</si>
  <si>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</si>
  <si>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</si>
  <si>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</si>
  <si>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</si>
  <si>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</si>
  <si>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</si>
  <si>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</si>
  <si>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</si>
  <si>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</si>
  <si>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</si>
  <si>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</si>
  <si>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</si>
  <si>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</si>
  <si>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</si>
  <si>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</si>
  <si>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</si>
  <si>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</si>
  <si>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</si>
  <si>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</si>
  <si>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</si>
  <si>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</si>
  <si>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</si>
  <si>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</si>
  <si>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</si>
  <si>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</si>
  <si>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</si>
  <si>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</si>
  <si>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</si>
  <si>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</si>
  <si>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</si>
  <si>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</si>
  <si>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</si>
  <si>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</si>
  <si>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</si>
  <si>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</si>
  <si>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</si>
  <si>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</si>
  <si>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</si>
  <si>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</si>
  <si>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</si>
  <si>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</si>
  <si>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</si>
  <si>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</si>
  <si>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</si>
  <si>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</si>
  <si>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</si>
  <si>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</si>
  <si>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</si>
  <si>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</si>
  <si>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</si>
  <si>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</si>
  <si>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</si>
  <si>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</si>
  <si>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</si>
  <si>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</si>
  <si>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</si>
  <si>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</si>
  <si>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</si>
  <si>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</si>
  <si>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</si>
  <si>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</si>
  <si>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</si>
  <si>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</si>
  <si>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</si>
  <si>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</si>
  <si>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</si>
  <si>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</si>
  <si>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</si>
  <si>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</si>
  <si>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</si>
  <si>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</si>
  <si>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</si>
  <si>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</si>
  <si>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</si>
  <si>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</si>
  <si>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</si>
  <si>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</si>
  <si>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</si>
  <si>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</si>
  <si>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</si>
  <si>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</si>
  <si>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</si>
  <si>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</si>
  <si>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</si>
  <si>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</si>
  <si>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</si>
  <si>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</si>
  <si>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</si>
  <si>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</si>
  <si>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</si>
  <si>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</si>
  <si>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</si>
  <si>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</si>
  <si>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</si>
  <si>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</si>
  <si>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</si>
  <si>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</si>
  <si>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</si>
  <si>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</si>
  <si>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</si>
  <si>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</si>
  <si>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</si>
  <si>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</si>
  <si>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</si>
  <si>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</si>
  <si>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</si>
  <si>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</si>
  <si>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</si>
  <si>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</si>
  <si>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</si>
  <si>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</si>
  <si>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</si>
  <si>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</si>
  <si>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</si>
  <si>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</si>
  <si>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</si>
  <si>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</si>
  <si>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</si>
  <si>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</si>
  <si>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</si>
  <si>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</si>
  <si>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</si>
  <si>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</si>
  <si>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</si>
  <si>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</si>
  <si>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</si>
  <si>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</si>
  <si>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</si>
  <si>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</si>
  <si>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</si>
  <si>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</si>
  <si>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</si>
  <si>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</si>
  <si>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</si>
  <si>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</si>
  <si>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</si>
  <si>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</si>
  <si>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</si>
  <si>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</si>
  <si>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</si>
  <si>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</si>
  <si>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</si>
  <si>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</si>
  <si>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</si>
  <si>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</si>
  <si>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</si>
  <si>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</si>
  <si>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</si>
  <si>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</si>
  <si>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</si>
  <si>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</si>
  <si>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</si>
  <si>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</si>
  <si>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</si>
  <si>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</si>
  <si>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</si>
  <si>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</si>
  <si>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</si>
  <si>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</si>
  <si>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</si>
  <si>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</si>
  <si>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</si>
  <si>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</si>
  <si>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</si>
  <si>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</si>
  <si>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</si>
  <si>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</si>
  <si>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</si>
  <si>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</si>
  <si>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</si>
  <si>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</si>
  <si>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</si>
  <si>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</si>
  <si>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</si>
  <si>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</si>
  <si>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</si>
  <si>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</si>
  <si>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</si>
  <si>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</si>
  <si>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</si>
  <si>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</si>
  <si>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</si>
  <si>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</si>
  <si>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</si>
  <si>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</si>
  <si>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</si>
  <si>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</si>
  <si>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</si>
  <si>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</si>
  <si>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</si>
  <si>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</si>
  <si>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</si>
  <si>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</si>
  <si>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</si>
  <si>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</si>
  <si>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</si>
  <si>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</si>
  <si>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</si>
  <si>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</si>
  <si>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</si>
  <si>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</si>
  <si>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</si>
  <si>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</si>
  <si>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</si>
  <si>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</si>
  <si>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</si>
  <si>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</si>
  <si>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</si>
  <si>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</si>
  <si>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</si>
  <si>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</si>
  <si>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</si>
  <si>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</si>
  <si>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</si>
  <si>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</si>
  <si>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</si>
  <si>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</si>
  <si>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</si>
  <si>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</si>
  <si>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</si>
  <si>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</si>
  <si>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</si>
  <si>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</si>
  <si>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</si>
  <si>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</si>
  <si>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</si>
  <si>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</si>
  <si>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</si>
  <si>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</si>
  <si>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</si>
  <si>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</si>
  <si>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</si>
  <si>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</si>
  <si>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</si>
  <si>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</si>
  <si>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</si>
  <si>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</si>
  <si>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</si>
  <si>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</si>
  <si>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</si>
  <si>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</si>
  <si>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</si>
  <si>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</si>
  <si>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</si>
  <si>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</si>
  <si>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</si>
  <si>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</si>
  <si>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</si>
  <si>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</si>
  <si>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</si>
  <si>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</si>
  <si>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</si>
  <si>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</si>
  <si>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</si>
  <si>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</si>
  <si>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</si>
  <si>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</si>
  <si>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</si>
  <si>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</si>
  <si>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</si>
  <si>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</si>
  <si>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</si>
  <si>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</si>
  <si>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</si>
  <si>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</si>
  <si>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</si>
  <si>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</si>
  <si>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</si>
  <si>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</si>
  <si>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</si>
  <si>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</si>
  <si>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</si>
  <si>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</si>
  <si>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</si>
  <si>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</si>
  <si>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</si>
  <si>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</si>
  <si>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</si>
  <si>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</si>
  <si>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</si>
  <si>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</si>
  <si>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</si>
  <si>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</si>
  <si>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</si>
  <si>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</si>
  <si>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</si>
  <si>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</si>
  <si>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</si>
  <si>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</si>
  <si>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</si>
  <si>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</si>
  <si>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</si>
  <si>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</si>
  <si>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</si>
  <si>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</si>
  <si>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</si>
  <si>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</si>
  <si>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</si>
  <si>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</si>
  <si>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</si>
  <si>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</si>
  <si>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</si>
  <si>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</si>
  <si>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</si>
  <si>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</si>
  <si>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</si>
  <si>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</si>
  <si>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</si>
  <si>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</si>
  <si>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</si>
  <si>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</si>
  <si>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</si>
  <si>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</si>
  <si>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</si>
  <si>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</si>
  <si>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</si>
  <si>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</si>
  <si>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</si>
  <si>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</si>
  <si>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</si>
  <si>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</si>
  <si>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</si>
  <si>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</si>
  <si>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</si>
  <si>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</si>
  <si>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</si>
  <si>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</si>
  <si>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</si>
  <si>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</si>
  <si>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</si>
  <si>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</si>
  <si>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</si>
  <si>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</si>
  <si>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</si>
  <si>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</si>
  <si>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</si>
  <si>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</si>
  <si>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</si>
  <si>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</si>
  <si>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</si>
  <si>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</si>
  <si>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</si>
  <si>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</si>
  <si>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</si>
  <si>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</si>
  <si>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</si>
  <si>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</si>
  <si>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</si>
  <si>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</si>
  <si>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</si>
  <si>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</si>
  <si>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</si>
  <si>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</si>
  <si>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</si>
  <si>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</si>
  <si>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</si>
  <si>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</si>
  <si>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</si>
  <si>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</si>
  <si>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</si>
  <si>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</si>
  <si>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</si>
  <si>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</si>
  <si>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</si>
  <si>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</si>
  <si>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</si>
  <si>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</si>
  <si>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</si>
  <si>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</si>
  <si>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</si>
  <si>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</si>
  <si>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</si>
  <si>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</si>
  <si>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</si>
  <si>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</si>
  <si>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</si>
  <si>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</si>
  <si>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</si>
  <si>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</si>
  <si>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</si>
  <si>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</si>
  <si>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</si>
  <si>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</si>
  <si>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</si>
  <si>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</si>
  <si>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</si>
  <si>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</si>
  <si>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</si>
  <si>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</si>
  <si>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</si>
  <si>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</si>
  <si>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</si>
  <si>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</si>
  <si>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</si>
  <si>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גמול פועלים סהר</t>
  </si>
  <si>
    <t>33-414</t>
  </si>
  <si>
    <t>AAA</t>
  </si>
  <si>
    <t>בנק לאומי לישראל בע"מ</t>
  </si>
  <si>
    <t>10-800</t>
  </si>
  <si>
    <t>CHF</t>
  </si>
  <si>
    <t>HKD</t>
  </si>
  <si>
    <t>EUR</t>
  </si>
  <si>
    <t>JPY</t>
  </si>
  <si>
    <t>GBP</t>
  </si>
  <si>
    <t>SGD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</si>
  <si>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</si>
  <si>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</si>
  <si>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</si>
  <si>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</si>
  <si>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</si>
  <si>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</si>
  <si>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</si>
  <si>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</si>
  <si>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</si>
  <si>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</si>
  <si>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</si>
  <si>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</si>
  <si>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</si>
  <si>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</si>
  <si>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</si>
  <si>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</si>
  <si>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</si>
  <si>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</si>
  <si>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</si>
  <si>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</si>
  <si>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</si>
  <si>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</si>
  <si>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</si>
  <si>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</si>
  <si>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</si>
  <si>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</si>
  <si>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</si>
  <si>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</si>
  <si>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</si>
  <si>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</si>
  <si>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</si>
  <si>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</si>
  <si>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</si>
  <si>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</si>
  <si>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</si>
  <si>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</si>
  <si>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</si>
  <si>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</si>
  <si>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</si>
  <si>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</si>
  <si>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</si>
  <si>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</si>
  <si>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</si>
  <si>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</si>
  <si>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</si>
  <si>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</si>
  <si>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</si>
  <si>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</si>
  <si>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</si>
  <si>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</si>
  <si>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</si>
  <si>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</si>
  <si>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</si>
  <si>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</si>
  <si>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</si>
  <si>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</si>
  <si>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</si>
  <si>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</si>
  <si>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</si>
  <si>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</si>
  <si>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</si>
  <si>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</si>
  <si>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</si>
  <si>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</si>
  <si>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</si>
  <si>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</si>
  <si>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</si>
  <si>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</si>
  <si>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</si>
  <si>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</si>
  <si>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</si>
  <si>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</si>
  <si>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</si>
  <si>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</si>
  <si>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</si>
  <si>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</si>
  <si>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</si>
  <si>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</si>
  <si>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</si>
  <si>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</si>
  <si>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</si>
  <si>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</si>
  <si>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</si>
  <si>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</si>
  <si>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</si>
  <si>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</si>
  <si>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</si>
  <si>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</si>
  <si>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</si>
  <si>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</si>
  <si>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</si>
  <si>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</si>
  <si>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</si>
  <si>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</si>
  <si>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</si>
  <si>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</si>
  <si>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</si>
  <si>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</si>
  <si>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</si>
  <si>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</si>
  <si>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</si>
  <si>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</si>
  <si>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</si>
  <si>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</si>
  <si>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</si>
  <si>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</si>
  <si>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</si>
  <si>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</si>
  <si>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</si>
  <si>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</si>
  <si>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</si>
  <si>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</si>
  <si>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</si>
  <si>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9936</t>
  </si>
  <si>
    <t>9929267</t>
  </si>
  <si>
    <t>28/03/2024</t>
  </si>
  <si>
    <t>28/06/2024</t>
  </si>
  <si>
    <t>393.911</t>
  </si>
  <si>
    <t>0.0000</t>
  </si>
  <si>
    <t>POALILIT</t>
  </si>
  <si>
    <t>9935</t>
  </si>
  <si>
    <t>9929102</t>
  </si>
  <si>
    <t xml:space="preserve">USD </t>
  </si>
  <si>
    <t>26/03/2024</t>
  </si>
  <si>
    <t>362.982</t>
  </si>
  <si>
    <t>9929105</t>
  </si>
  <si>
    <t xml:space="preserve">EUR </t>
  </si>
  <si>
    <t>9929266</t>
  </si>
  <si>
    <t>362.981</t>
  </si>
  <si>
    <t>9929109</t>
  </si>
  <si>
    <t xml:space="preserve">JPY </t>
  </si>
  <si>
    <t>2.430</t>
  </si>
  <si>
    <t>9937</t>
  </si>
  <si>
    <t>1522</t>
  </si>
  <si>
    <t>516432044</t>
  </si>
  <si>
    <t>ח.פ</t>
  </si>
  <si>
    <t>עוגן חוב בכיר</t>
  </si>
  <si>
    <t>50007335</t>
  </si>
  <si>
    <t xml:space="preserve">תשתיות (שלב הבניה)  - </t>
  </si>
  <si>
    <t>30/01/2022</t>
  </si>
  <si>
    <t>N/R</t>
  </si>
  <si>
    <t>קבועה</t>
  </si>
  <si>
    <t>other</t>
  </si>
  <si>
    <t>15/07/2024</t>
  </si>
  <si>
    <t>בליץ טכנולוגיות בעמ</t>
  </si>
  <si>
    <t>520038779</t>
  </si>
  <si>
    <t>בליץ אופציה לא סחירה</t>
  </si>
  <si>
    <t>50006774</t>
  </si>
  <si>
    <t>01/06/2024</t>
  </si>
  <si>
    <t>10/06/2021</t>
  </si>
  <si>
    <t>10/10/2023</t>
  </si>
  <si>
    <t>ע.י נופר אנרגי' בע"מ</t>
  </si>
  <si>
    <t>514599943</t>
  </si>
  <si>
    <t>נופר אנרגי- כתבי אופציה</t>
  </si>
  <si>
    <t>983730193</t>
  </si>
  <si>
    <t>02/01/2025</t>
  </si>
  <si>
    <t>03/01/2024</t>
  </si>
  <si>
    <t>שגריר רכב</t>
  </si>
  <si>
    <t>515158665</t>
  </si>
  <si>
    <t>שגריר כתב אופציה חסום</t>
  </si>
  <si>
    <t>IL0011383796</t>
  </si>
  <si>
    <t>08/06/2025</t>
  </si>
  <si>
    <t>28/06/2022</t>
  </si>
  <si>
    <t>שווי הוגן (בש"ח)</t>
  </si>
  <si>
    <t>מגדל קרנות נאמנות בע"מ</t>
  </si>
  <si>
    <t>511303661</t>
  </si>
  <si>
    <t>MTF מח SP500 ממ</t>
  </si>
  <si>
    <t>IL0051258692</t>
  </si>
  <si>
    <t xml:space="preserve">מניות בחו"ל משולבת </t>
  </si>
  <si>
    <t>קסם קרנות נאמנות בע"מ</t>
  </si>
  <si>
    <t>510938608</t>
  </si>
  <si>
    <t>קסם 500נאףמנטרל</t>
  </si>
  <si>
    <t>IL0051229578</t>
  </si>
  <si>
    <t>מניות בחו"ל חשופות מט"ח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</si>
  <si>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</si>
  <si>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</si>
  <si>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</si>
  <si>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</si>
  <si>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</si>
  <si>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קסם KTF ת"א 100</t>
  </si>
  <si>
    <t>IL0051133457</t>
  </si>
  <si>
    <t>קסם תל בונד שקלי</t>
  </si>
  <si>
    <t>IL0011464141</t>
  </si>
  <si>
    <t xml:space="preserve">אג"ח בישראל - חברות והמרה  </t>
  </si>
  <si>
    <t>קסם.תלבונד ש 50</t>
  </si>
  <si>
    <t>IL0011507626</t>
  </si>
  <si>
    <t>Real Estate Credit Investments Pcc ltd</t>
  </si>
  <si>
    <t>549300D9O5F5P2DTYB19</t>
  </si>
  <si>
    <t>SPDR BLOOMBERG SASB US CORPORA</t>
  </si>
  <si>
    <t>IE00BLF7VX27</t>
  </si>
  <si>
    <t>Vanguard Group</t>
  </si>
  <si>
    <t>QS6WHLCJOJSYY4PYNF72</t>
  </si>
  <si>
    <t>VANGUARD USD CORPORATE BOND UC</t>
  </si>
  <si>
    <t>IE00BGYWFK87</t>
  </si>
  <si>
    <t>ISHARES USD CROP BOND UCITS ET</t>
  </si>
  <si>
    <t>549300QQR5SNTQVNFC45</t>
  </si>
  <si>
    <t>ITB US</t>
  </si>
  <si>
    <t>US4642887529</t>
  </si>
  <si>
    <t>MTF סל תא 90</t>
  </si>
  <si>
    <t>IL0011502593</t>
  </si>
  <si>
    <t>קסם קרן סל תא 125</t>
  </si>
  <si>
    <t>IL0011463564</t>
  </si>
  <si>
    <t>קסם תא נדלן</t>
  </si>
  <si>
    <t>IL0011465478</t>
  </si>
  <si>
    <t xml:space="preserve">BlackRock  Asset Managment </t>
  </si>
  <si>
    <t>549300IJBBIPXKWNXJ28</t>
  </si>
  <si>
    <t>ISHARES EURO STOXX 50 DE</t>
  </si>
  <si>
    <t>DE0005933956</t>
  </si>
  <si>
    <t>Ishares Phlx Se</t>
  </si>
  <si>
    <t>US4642875235</t>
  </si>
  <si>
    <t>Invesco investment management limited</t>
  </si>
  <si>
    <t>635400KFAN415FMIGG54</t>
  </si>
  <si>
    <t>Powershares  QQQ NAS1</t>
  </si>
  <si>
    <t>US46090E1038</t>
  </si>
  <si>
    <t>SOURCE S&amp;P 500 UCITS EFT</t>
  </si>
  <si>
    <t>IE00B3YCGJ38</t>
  </si>
  <si>
    <t>State Street Corp</t>
  </si>
  <si>
    <t>549300E2D1JKWI3P9D54</t>
  </si>
  <si>
    <t>SPDR S&amp;P 500 ETF TRUST</t>
  </si>
  <si>
    <t>US78462F1030</t>
  </si>
  <si>
    <t>S&amp;P 500</t>
  </si>
  <si>
    <t>Y6X4K52KMJMZE7I7MY94</t>
  </si>
  <si>
    <t>SPDR S&amp;P 500 UCITS EFT</t>
  </si>
  <si>
    <t>IE000XZSV718</t>
  </si>
  <si>
    <t>Van Eck ETF</t>
  </si>
  <si>
    <t>549300WSDUDKDJCJOV22</t>
  </si>
  <si>
    <t>VANECK VECTORS SEMICONDUCTOR</t>
  </si>
  <si>
    <t>US92189F6768</t>
  </si>
  <si>
    <t>VANGUARD FTSE BMERGING  MARKETS</t>
  </si>
  <si>
    <t>IE00B3VVMM84</t>
  </si>
  <si>
    <t>שווקים מתעוררים</t>
  </si>
  <si>
    <t>VANGUARD S&amp;P 50</t>
  </si>
  <si>
    <t>us9229083632</t>
  </si>
  <si>
    <t>WisdomTree Europe ltd</t>
  </si>
  <si>
    <t>549300R6SLTQ0LZOHH17</t>
  </si>
  <si>
    <t>WisdomTree Japan Hedged</t>
  </si>
  <si>
    <t>US97717W8516</t>
  </si>
  <si>
    <t>מור ניהול קרנות נאמנות בע"מ</t>
  </si>
  <si>
    <t>514884485</t>
  </si>
  <si>
    <t>מור סל S&amp;P 500 ממ</t>
  </si>
  <si>
    <t>IL0011658288</t>
  </si>
  <si>
    <t>הראל קרנות נאמנות בע"מ</t>
  </si>
  <si>
    <t>511776783</t>
  </si>
  <si>
    <t>הראל סל תא 90</t>
  </si>
  <si>
    <t>IL0011489312</t>
  </si>
  <si>
    <t>הראל סל תא נדלן</t>
  </si>
  <si>
    <t>IL0011489643</t>
  </si>
  <si>
    <t>הראל סל תל בונד שקלי</t>
  </si>
  <si>
    <t>IL0011505232</t>
  </si>
  <si>
    <t>הראל קרן סל תא 125</t>
  </si>
  <si>
    <t>IL0011488991</t>
  </si>
  <si>
    <t>מיטב קרנות נאמנות בע"מ</t>
  </si>
  <si>
    <t>513534974</t>
  </si>
  <si>
    <t>תכלית תל בונד שקלי סד-2</t>
  </si>
  <si>
    <t>IL0011451841</t>
  </si>
  <si>
    <t>Amundi Asset Management</t>
  </si>
  <si>
    <t>549300W6M26WPJCWRV83</t>
  </si>
  <si>
    <t>AMUNDI S&amp;P 500 UCITS ETF</t>
  </si>
  <si>
    <t>LU1681049018</t>
  </si>
  <si>
    <t>IE00BYXYYJ35</t>
  </si>
  <si>
    <t>IVV US iShares S&amp;P 500 Index F</t>
  </si>
  <si>
    <t>US4642872000</t>
  </si>
  <si>
    <t>KRANESHARES</t>
  </si>
  <si>
    <t>5493005Q82TVCXGCDA70</t>
  </si>
  <si>
    <t>KRANESHARES Csi China Internet Etf</t>
  </si>
  <si>
    <t>US5007673065</t>
  </si>
  <si>
    <t>LYXOR ETF</t>
  </si>
  <si>
    <t>549300D36R80ZKQLJ385</t>
  </si>
  <si>
    <t>Lyxor S&amp;P 500 Ucits Etf - c-eu</t>
  </si>
  <si>
    <t>LU1135865084</t>
  </si>
  <si>
    <t>NEXT FUNDS TOPIX EXCHANGE TRAD</t>
  </si>
  <si>
    <t>353800U3TPEO41XXQE39</t>
  </si>
  <si>
    <t>JP3027630007</t>
  </si>
  <si>
    <t>SPDR PORTFOLIO S&amp;P 500 ETF</t>
  </si>
  <si>
    <t>US78464A8541</t>
  </si>
  <si>
    <t>SXLE LN</t>
  </si>
  <si>
    <t>549300M0AUGU3NFNF319</t>
  </si>
  <si>
    <t>SPDR S&amp;P U.S. ENERGY SELECT SE</t>
  </si>
  <si>
    <t>IE00BWBXM492</t>
  </si>
  <si>
    <t>SPDR S&amp;P U.S. FINANCIALS SELEC</t>
  </si>
  <si>
    <t>IE00BWBXM500</t>
  </si>
  <si>
    <t>VANGUARD FTSE EMERGING MARKETS</t>
  </si>
  <si>
    <t>WISDOMTREE JAPAN EQUITY UCITS</t>
  </si>
  <si>
    <t>IE00BYQCZD50</t>
  </si>
  <si>
    <t>MTF סל תלבונד 60</t>
  </si>
  <si>
    <t>IL0011499964</t>
  </si>
  <si>
    <t>MTF500SP ממ</t>
  </si>
  <si>
    <t>IL0011505729</t>
  </si>
  <si>
    <t>קסם S&amp;P 500 (4D) ETF</t>
  </si>
  <si>
    <t>IL0011464711</t>
  </si>
  <si>
    <t>קסם קרן סל תל בונד 60</t>
  </si>
  <si>
    <t>IL0011462327</t>
  </si>
  <si>
    <t>תכלית תל בונד 60</t>
  </si>
  <si>
    <t>IL0011451015</t>
  </si>
  <si>
    <t>Cef Ishares Russell iwm</t>
  </si>
  <si>
    <t>US4642876555</t>
  </si>
  <si>
    <t>SPDR S&amp;P US TECHNOLOGY SELECT</t>
  </si>
  <si>
    <t>IE00BWBXM948</t>
  </si>
  <si>
    <t>נובה מכשירי מדידה בע"מ</t>
  </si>
  <si>
    <t>511812463</t>
  </si>
  <si>
    <t>Nova measuring inst</t>
  </si>
  <si>
    <t>IL0010845571</t>
  </si>
  <si>
    <t>איידנטי הלת'קייר בע"מ</t>
  </si>
  <si>
    <t>515679405</t>
  </si>
  <si>
    <t>איידנטי הלת'קייר</t>
  </si>
  <si>
    <t>IL0011774507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</si>
  <si>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</si>
  <si>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</si>
  <si>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</si>
  <si>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</si>
  <si>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</si>
  <si>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</si>
  <si>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</si>
  <si>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</si>
  <si>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</si>
  <si>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</si>
  <si>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</si>
  <si>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</si>
  <si>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</si>
  <si>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</si>
  <si>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</si>
  <si>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</si>
  <si>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</si>
  <si>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</si>
  <si>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</si>
  <si>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</si>
  <si>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</si>
  <si>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</si>
  <si>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</si>
  <si>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</si>
  <si>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בליץ</t>
  </si>
  <si>
    <t>IL0004240102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</si>
  <si>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</si>
  <si>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</si>
  <si>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</si>
  <si>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</si>
  <si>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</si>
  <si>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</si>
  <si>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</si>
  <si>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</si>
  <si>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</si>
  <si>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</si>
  <si>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</si>
  <si>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</si>
  <si>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</si>
  <si>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</si>
  <si>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</si>
  <si>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</si>
  <si>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</si>
  <si>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</si>
  <si>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</si>
  <si>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</si>
  <si>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</si>
  <si>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</si>
  <si>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</si>
  <si>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</si>
  <si>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</si>
  <si>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</si>
  <si>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</si>
  <si>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</si>
  <si>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</si>
  <si>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</si>
  <si>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</si>
  <si>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מיטרוניקס בע"מ</t>
  </si>
  <si>
    <t>511527202</t>
  </si>
  <si>
    <t>מיטרוניקס</t>
  </si>
  <si>
    <t>IL0010910656</t>
  </si>
  <si>
    <t>מליסרון בע"מ</t>
  </si>
  <si>
    <t>520037789</t>
  </si>
  <si>
    <t>מליסרון</t>
  </si>
  <si>
    <t>IL0003230146</t>
  </si>
  <si>
    <t>נאוויטס פטרוליום, שותפות מוגבלת</t>
  </si>
  <si>
    <t>550263107</t>
  </si>
  <si>
    <t>נאוויטס פט יהש</t>
  </si>
  <si>
    <t>IL0011419699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</si>
  <si>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</si>
  <si>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</si>
  <si>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</si>
  <si>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</si>
  <si>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</si>
  <si>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</si>
  <si>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</si>
  <si>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</si>
  <si>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</si>
  <si>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</si>
  <si>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</si>
  <si>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</si>
  <si>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</si>
  <si>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</si>
  <si>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</si>
  <si>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</si>
  <si>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</si>
  <si>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</si>
  <si>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</si>
  <si>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</si>
  <si>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</si>
  <si>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</si>
  <si>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</si>
  <si>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</si>
  <si>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</si>
  <si>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קמטק בע"מ</t>
  </si>
  <si>
    <t>511235434</t>
  </si>
  <si>
    <t>קמטק</t>
  </si>
  <si>
    <t>IL0010952641</t>
  </si>
  <si>
    <t>ריט 1 בע"מ</t>
  </si>
  <si>
    <t>513821488</t>
  </si>
  <si>
    <t>ריט 1</t>
  </si>
  <si>
    <t>IL0010989205</t>
  </si>
  <si>
    <t>תדיראן גרופ בע"מ</t>
  </si>
  <si>
    <t>520036732</t>
  </si>
  <si>
    <t>תדיראן גרופ</t>
  </si>
  <si>
    <t>IL0002580129</t>
  </si>
  <si>
    <t>amazon.com</t>
  </si>
  <si>
    <t>549300LQHH5G4WPME241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</si>
  <si>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</si>
  <si>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</si>
  <si>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</si>
  <si>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</si>
  <si>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</si>
  <si>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</si>
  <si>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Broadcom Inc</t>
  </si>
  <si>
    <t>549300GR48KUO03W2V88</t>
  </si>
  <si>
    <t>BROADCOM LTD</t>
  </si>
  <si>
    <t>US11135F1012</t>
  </si>
  <si>
    <t>COSTCO WHOLESAL</t>
  </si>
  <si>
    <t>29DX7H14B9S6O3FD6V18</t>
  </si>
  <si>
    <t>US22160K1051</t>
  </si>
  <si>
    <t>Food &amp; Staples Retailing Consumer Staples Distribution &amp; Retail</t>
  </si>
  <si>
    <t>ALPHABET INC</t>
  </si>
  <si>
    <t>7ZW8QJWVPR4P1J1KQY45</t>
  </si>
  <si>
    <t>Google Us Class c</t>
  </si>
  <si>
    <t>US02079K1079</t>
  </si>
  <si>
    <t>MASTERCARD INC</t>
  </si>
  <si>
    <t>AR5L2ODV9HN37376R084</t>
  </si>
  <si>
    <t>MASTERCARD UNC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</si>
  <si>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</si>
  <si>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</si>
  <si>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</si>
  <si>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</si>
  <si>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</si>
  <si>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</si>
  <si>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NICE LTD</t>
  </si>
  <si>
    <t>254900YTY4EF5Z4W0A51</t>
  </si>
  <si>
    <t>NICE SYS ADR</t>
  </si>
  <si>
    <t>US6536561086</t>
  </si>
  <si>
    <t xml:space="preserve">אורמת טכנולגיות אינק </t>
  </si>
  <si>
    <t>5493000TSHHWY24VHM09</t>
  </si>
  <si>
    <t>Ormat Technologies</t>
  </si>
  <si>
    <t>US6866881021</t>
  </si>
  <si>
    <t>אדגר השקעות ופיתוח בע"מ</t>
  </si>
  <si>
    <t>520035171</t>
  </si>
  <si>
    <t>אדגר</t>
  </si>
  <si>
    <t>IL0018200837</t>
  </si>
  <si>
    <t>קבוצת דלק בע"מ</t>
  </si>
  <si>
    <t>520044322</t>
  </si>
  <si>
    <t>דלק קבוצה</t>
  </si>
  <si>
    <t>IL0010841281</t>
  </si>
  <si>
    <t>טרמינל איקס אונליין בע"מ</t>
  </si>
  <si>
    <t>515722536</t>
  </si>
  <si>
    <t>טרמינל איקס אונליין בעמ</t>
  </si>
  <si>
    <t>IL0011787145</t>
  </si>
  <si>
    <t>מגדל אחזקות ביטוח ופיננסים בע"מ</t>
  </si>
  <si>
    <t>520029984</t>
  </si>
  <si>
    <t>מגדל ביטוח</t>
  </si>
  <si>
    <t>IL0010811656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</si>
  <si>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</si>
  <si>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</si>
  <si>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</si>
  <si>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</si>
  <si>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</si>
  <si>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</si>
  <si>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</si>
  <si>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</si>
  <si>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אי.טי.גי. איי גרופ בע"מ</t>
  </si>
  <si>
    <t>513764399</t>
  </si>
  <si>
    <t>אי. טי. ג'י. איי</t>
  </si>
  <si>
    <t>IL0011761140</t>
  </si>
  <si>
    <t>איי.סי.אל גרופ בע"מ (דואלי)</t>
  </si>
  <si>
    <t>520027830</t>
  </si>
  <si>
    <t>איי.סי.אל</t>
  </si>
  <si>
    <t>IL0002810146</t>
  </si>
  <si>
    <t>יוטרון בע"מ</t>
  </si>
  <si>
    <t>515883809</t>
  </si>
  <si>
    <t>יוטרון</t>
  </si>
  <si>
    <t>IL0011571143</t>
  </si>
  <si>
    <t>מבנה נדל"ן (כ.ד)  בע"מ</t>
  </si>
  <si>
    <t>520024126</t>
  </si>
  <si>
    <t>מבנה</t>
  </si>
  <si>
    <t>IL0002260193</t>
  </si>
  <si>
    <t>מגוריט ישראל בעמ</t>
  </si>
  <si>
    <t>515434074</t>
  </si>
  <si>
    <t>מגוריט</t>
  </si>
  <si>
    <t>IL0011391955</t>
  </si>
  <si>
    <t>Advanced Micro Devices inc</t>
  </si>
  <si>
    <t>R2I72C950HOYXII45366</t>
  </si>
  <si>
    <t>ADVANCED MICRO DEVICES INC</t>
  </si>
  <si>
    <t>US0079031078</t>
  </si>
  <si>
    <t>AIRBUS GROUP</t>
  </si>
  <si>
    <t>549300HMUDNO0RY56D37</t>
  </si>
  <si>
    <t>AIRbUS</t>
  </si>
  <si>
    <t>NL0000235190</t>
  </si>
  <si>
    <t>Google Inc</t>
  </si>
  <si>
    <t>US38259P5089</t>
  </si>
  <si>
    <t>JOHNSON &amp; JOHNSON</t>
  </si>
  <si>
    <t>549300R22LSX6OHWEN64</t>
  </si>
  <si>
    <t>US4781601046</t>
  </si>
  <si>
    <t>Nutrien Ltd</t>
  </si>
  <si>
    <t>5493002QQ7GD21OWF963</t>
  </si>
  <si>
    <t>NUTRIEN LTD</t>
  </si>
  <si>
    <t>CA67077M1086</t>
  </si>
  <si>
    <t>NVIDIA CORP</t>
  </si>
  <si>
    <t>549300S4KLFTLO7GSQ80</t>
  </si>
  <si>
    <t>Nvidia corp</t>
  </si>
  <si>
    <t>US67066G1040</t>
  </si>
  <si>
    <t>Paypal Holdings inc</t>
  </si>
  <si>
    <t>5493005X2GO78EFZ3E94</t>
  </si>
  <si>
    <t>Paypal Holdings</t>
  </si>
  <si>
    <t>US70450Y1038</t>
  </si>
  <si>
    <t>Samsung Electronics co ltd</t>
  </si>
  <si>
    <t>9884007ER46L6N7EI764</t>
  </si>
  <si>
    <t>Samsung Electronics Co Lt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</si>
  <si>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</si>
  <si>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</si>
  <si>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</si>
  <si>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</si>
  <si>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</si>
  <si>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</si>
  <si>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</si>
  <si>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</si>
  <si>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</si>
  <si>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</si>
  <si>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WMT US Wal-Mart Stores Inc</t>
  </si>
  <si>
    <t>US9311421039</t>
  </si>
  <si>
    <t>MONDAY.COM LTD</t>
  </si>
  <si>
    <t>514025428</t>
  </si>
  <si>
    <t>DTL MOC.YADNOM</t>
  </si>
  <si>
    <t>IL0011762130</t>
  </si>
  <si>
    <t>JFROG LTD</t>
  </si>
  <si>
    <t>514130491</t>
  </si>
  <si>
    <t>IL0011684185</t>
  </si>
  <si>
    <t>UDEMY INC</t>
  </si>
  <si>
    <t>2549000T304QU9SAM180</t>
  </si>
  <si>
    <t>US9026851066</t>
  </si>
  <si>
    <t>CAMTEK LTDQ</t>
  </si>
  <si>
    <t>Cineworld Group PLC</t>
  </si>
  <si>
    <t>213800J2J3TOOI176M73</t>
  </si>
  <si>
    <t>CINEWORLD GROUP</t>
  </si>
  <si>
    <t>GB00B15FWH70</t>
  </si>
  <si>
    <t>DarioHealth corp</t>
  </si>
  <si>
    <t>89812</t>
  </si>
  <si>
    <t>DARIOHEALTH CORP</t>
  </si>
  <si>
    <t>US23725P2092</t>
  </si>
  <si>
    <t>Selina</t>
  </si>
  <si>
    <t>549300BAEIWO0QPTC061</t>
  </si>
  <si>
    <t>SELINA HOSPITALITY</t>
  </si>
  <si>
    <t>GB00BQ1MW662</t>
  </si>
  <si>
    <t>Vbare Iberian Properties SOCIM</t>
  </si>
  <si>
    <t>959800X1MGWGZZW5ZS47</t>
  </si>
  <si>
    <t>VBARE IBERIAN PROPERTIES SOCIM</t>
  </si>
  <si>
    <t>ES0105196002</t>
  </si>
  <si>
    <t>אורמת טכנולוגיות</t>
  </si>
  <si>
    <t>JD.com Inc</t>
  </si>
  <si>
    <t>549300HVTWB0GJZ16V92</t>
  </si>
  <si>
    <t>JD.COM INC</t>
  </si>
  <si>
    <t>KYG8208B1014</t>
  </si>
  <si>
    <t>איירפורט סיטי בע"מ</t>
  </si>
  <si>
    <t>511659401</t>
  </si>
  <si>
    <t>איירפורט אגח ה</t>
  </si>
  <si>
    <t>IL0011334872</t>
  </si>
  <si>
    <t>AA</t>
  </si>
  <si>
    <t>אלביט מערכות ב' 1.08%</t>
  </si>
  <si>
    <t>IL0011782351</t>
  </si>
  <si>
    <t>01/07/2029</t>
  </si>
  <si>
    <t>אלוני חץ  אגח ט</t>
  </si>
  <si>
    <t>IL0039003541</t>
  </si>
  <si>
    <t>AA-</t>
  </si>
  <si>
    <t>28/02/2027</t>
  </si>
  <si>
    <t>אלוני חץ אגח טו</t>
  </si>
  <si>
    <t>IL0011894149</t>
  </si>
  <si>
    <t>Aa3</t>
  </si>
  <si>
    <t>28/02/2037</t>
  </si>
  <si>
    <t>אלקטרה בע"מ</t>
  </si>
  <si>
    <t>520028911</t>
  </si>
  <si>
    <t>אלקטרה אגח ה</t>
  </si>
  <si>
    <t>IL0073902228</t>
  </si>
  <si>
    <t>A+</t>
  </si>
  <si>
    <t>10/01/2031</t>
  </si>
  <si>
    <t>אמות אגח ד</t>
  </si>
  <si>
    <t>IL0011331498</t>
  </si>
  <si>
    <t>Aa2</t>
  </si>
  <si>
    <t>02/07/2028</t>
  </si>
  <si>
    <t>ביג מרכזי קניות (2004) בע"מ</t>
  </si>
  <si>
    <t>513623314</t>
  </si>
  <si>
    <t>ביג אגח ז</t>
  </si>
  <si>
    <t>IL0011360844</t>
  </si>
  <si>
    <t>11/05/2025</t>
  </si>
  <si>
    <t>פז בית זיקוק לנפט-אשדוד בע"מ</t>
  </si>
  <si>
    <t>513775163</t>
  </si>
  <si>
    <t>בית זיקוק אשדוד אגח 2</t>
  </si>
  <si>
    <t>IL0011994881</t>
  </si>
  <si>
    <t>A3</t>
  </si>
  <si>
    <t>30/04/2029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</si>
  <si>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</si>
  <si>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</si>
  <si>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</si>
  <si>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</si>
  <si>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</si>
  <si>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</si>
  <si>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</si>
  <si>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</si>
  <si>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הראל ביטוח מימון והנפקות בע"מ</t>
  </si>
  <si>
    <t>513834200</t>
  </si>
  <si>
    <t>הראל הנפ אגח טז</t>
  </si>
  <si>
    <t>IL0011576019</t>
  </si>
  <si>
    <t>30/06/2026</t>
  </si>
  <si>
    <t>הראל הנפק אגח ז</t>
  </si>
  <si>
    <t>IL0011260770</t>
  </si>
  <si>
    <t>31/05/2024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</si>
  <si>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</si>
  <si>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</si>
  <si>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</si>
  <si>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</si>
  <si>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</si>
  <si>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</si>
  <si>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</si>
  <si>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</si>
  <si>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חברת החשמל לישראל בע"מ</t>
  </si>
  <si>
    <t>520000472</t>
  </si>
  <si>
    <t>חשמל אגח 27</t>
  </si>
  <si>
    <t>IL0060002107</t>
  </si>
  <si>
    <t>Aa1</t>
  </si>
  <si>
    <t>12/04/2029</t>
  </si>
  <si>
    <t>חשמל אגח 31</t>
  </si>
  <si>
    <t>IL0060002859</t>
  </si>
  <si>
    <t>21/09/2031</t>
  </si>
  <si>
    <t>ישרס חברה להשקעות בע"מ</t>
  </si>
  <si>
    <t>520017807</t>
  </si>
  <si>
    <t>ישרס אגח יד</t>
  </si>
  <si>
    <t>IL0061301995</t>
  </si>
  <si>
    <t>01/03/2027</t>
  </si>
  <si>
    <t>כללביט מימון בע"מ</t>
  </si>
  <si>
    <t>513754069</t>
  </si>
  <si>
    <t>כלל אגח יא</t>
  </si>
  <si>
    <t>IL0011606477</t>
  </si>
  <si>
    <t>לאומי   אגח 179</t>
  </si>
  <si>
    <t>IL0060403727</t>
  </si>
  <si>
    <t>לאומי אגח 186</t>
  </si>
  <si>
    <t>IL0012018391</t>
  </si>
  <si>
    <t>30/11/2033</t>
  </si>
  <si>
    <t>מבני תעשיה אגח טז</t>
  </si>
  <si>
    <t>IL0022604388</t>
  </si>
  <si>
    <t>30/06/2028</t>
  </si>
  <si>
    <t>מבני תעשיה אגח יז</t>
  </si>
  <si>
    <t>IL0022604461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</si>
  <si>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</si>
  <si>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</si>
  <si>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</si>
  <si>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</si>
  <si>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</si>
  <si>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</si>
  <si>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</si>
  <si>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</si>
  <si>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</si>
  <si>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</si>
  <si>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</si>
  <si>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</si>
  <si>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</si>
  <si>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</si>
  <si>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</si>
  <si>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</si>
  <si>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 xml:space="preserve">מימון ישיר מקבוצת ישיר 2006 בע"מ </t>
  </si>
  <si>
    <t>513893123</t>
  </si>
  <si>
    <t>מימון ישיר אגח ו</t>
  </si>
  <si>
    <t>IL0011916595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</si>
  <si>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</si>
  <si>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</si>
  <si>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</si>
  <si>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</si>
  <si>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</si>
  <si>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</si>
  <si>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</si>
  <si>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</si>
  <si>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מליסרון אגח כ</t>
  </si>
  <si>
    <t>IL0032304227</t>
  </si>
  <si>
    <t>01/07/2030</t>
  </si>
  <si>
    <t>עזריאלי אגח ה</t>
  </si>
  <si>
    <t>IL0011566036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</si>
  <si>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</si>
  <si>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</si>
  <si>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</si>
  <si>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</si>
  <si>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</si>
  <si>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</si>
  <si>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</si>
  <si>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</si>
  <si>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</si>
  <si>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פז חברת הנפט בע"מ</t>
  </si>
  <si>
    <t>510216054</t>
  </si>
  <si>
    <t>פז נפט אגח ד</t>
  </si>
  <si>
    <t>IL0011325052</t>
  </si>
  <si>
    <t>הפניקס גיוסי הון (2009) בע"מ</t>
  </si>
  <si>
    <t>514290345</t>
  </si>
  <si>
    <t>פניקס הון אגח טו</t>
  </si>
  <si>
    <t>IL0012019530</t>
  </si>
  <si>
    <t>30/06/2030</t>
  </si>
  <si>
    <t>שופר-סל בע"מ</t>
  </si>
  <si>
    <t>520022732</t>
  </si>
  <si>
    <t>שופרסל אגח ה</t>
  </si>
  <si>
    <t>IL0077702095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</si>
  <si>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</si>
  <si>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</si>
  <si>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</si>
  <si>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</si>
  <si>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</si>
  <si>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</si>
  <si>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</si>
  <si>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</si>
  <si>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יט</t>
  </si>
  <si>
    <t>IL0011927311</t>
  </si>
  <si>
    <t>21/12/2031</t>
  </si>
  <si>
    <t>Athene Global Funding</t>
  </si>
  <si>
    <t>549300LM1QSI4MSIL320</t>
  </si>
  <si>
    <t>ATH 1.985 08/19/28</t>
  </si>
  <si>
    <t>US04685A3C32</t>
  </si>
  <si>
    <t>21/08/2028</t>
  </si>
  <si>
    <t>לוויתן בונד בע"מ</t>
  </si>
  <si>
    <t>516223864</t>
  </si>
  <si>
    <t>LVIA 6.125% 6/25</t>
  </si>
  <si>
    <t>IL0011677742</t>
  </si>
  <si>
    <t>Ba3</t>
  </si>
  <si>
    <t>30/06/2025</t>
  </si>
  <si>
    <t>אאורה השקעות בע"מ</t>
  </si>
  <si>
    <t>520038274</t>
  </si>
  <si>
    <t>אאורה אגח יז %3.85 31/01/2029</t>
  </si>
  <si>
    <t>IL0011935801</t>
  </si>
  <si>
    <t>A-</t>
  </si>
  <si>
    <t>31/01/2029</t>
  </si>
  <si>
    <t>אלומיי קפיטל בע"מ</t>
  </si>
  <si>
    <t>520039868</t>
  </si>
  <si>
    <t>אלומיי אגח ו</t>
  </si>
  <si>
    <t>IL0012030743</t>
  </si>
  <si>
    <t>Baa1</t>
  </si>
  <si>
    <t xml:space="preserve">אס.אר.אקורד בע"מ </t>
  </si>
  <si>
    <t>520038670</t>
  </si>
  <si>
    <t>אסאר אקורד אגח א</t>
  </si>
  <si>
    <t>IL0042203492</t>
  </si>
  <si>
    <t>30/09/2024</t>
  </si>
  <si>
    <t>אסאר אקורד אגח ב</t>
  </si>
  <si>
    <t>IL0042203724</t>
  </si>
  <si>
    <t>30/06/2027</t>
  </si>
  <si>
    <t>אקסטל לימיטד</t>
  </si>
  <si>
    <t>1811308</t>
  </si>
  <si>
    <t>אקסטל אג"ח ג</t>
  </si>
  <si>
    <t>IL0011750416</t>
  </si>
  <si>
    <t>31/03/2026</t>
  </si>
  <si>
    <t>אקסטל אגח ד- חסום עד 24/06/24</t>
  </si>
  <si>
    <t>IL0011831695</t>
  </si>
  <si>
    <t>31/12/2027</t>
  </si>
  <si>
    <t>בתי זקוק לנפט בע"מ</t>
  </si>
  <si>
    <t>520036658</t>
  </si>
  <si>
    <t>בזן אגח יב</t>
  </si>
  <si>
    <t>IL0025905782</t>
  </si>
  <si>
    <t>25/09/2029</t>
  </si>
  <si>
    <t>גבאי מניבים ופיתוח בע"מ</t>
  </si>
  <si>
    <t>520032178</t>
  </si>
  <si>
    <t>גבאי מניבים אגח י עד 25.04.2024 חסום</t>
  </si>
  <si>
    <t>IL0077102395</t>
  </si>
  <si>
    <t>ויי בוקס נדלן בע"מ</t>
  </si>
  <si>
    <t>520038688</t>
  </si>
  <si>
    <t>וויי בוקס אג ג</t>
  </si>
  <si>
    <t>IL0048601772</t>
  </si>
  <si>
    <t>31/12/2025</t>
  </si>
  <si>
    <t xml:space="preserve">קבוצת חג'ג' ייזום נדל"ן בע"מ </t>
  </si>
  <si>
    <t>520033309</t>
  </si>
  <si>
    <t>חג'ג' אגח להמרה י</t>
  </si>
  <si>
    <t>IL0082302949</t>
  </si>
  <si>
    <t>BBB+</t>
  </si>
  <si>
    <t>31/12/2024</t>
  </si>
  <si>
    <t>מזרחי הנפקות 40</t>
  </si>
  <si>
    <t>IL0023101673</t>
  </si>
  <si>
    <t>סטרוברי פילדס ריט לימיטד</t>
  </si>
  <si>
    <t>1863501</t>
  </si>
  <si>
    <t>סטרוברי אגח ד  חסום עד 03.02.2024</t>
  </si>
  <si>
    <t>11970290</t>
  </si>
  <si>
    <t>A</t>
  </si>
  <si>
    <t>30/09/2026</t>
  </si>
  <si>
    <t>סיאון אינווסטמנט קורפוריישן</t>
  </si>
  <si>
    <t>14242259</t>
  </si>
  <si>
    <t>סיאון אגח א</t>
  </si>
  <si>
    <t>IL0011940181</t>
  </si>
  <si>
    <t>31/08/2026</t>
  </si>
  <si>
    <t>סיאון אגח א - חסום עד 05/04/24</t>
  </si>
  <si>
    <t>עזריאלי קבוצה אגח ב סחיר</t>
  </si>
  <si>
    <t>IL0011344368</t>
  </si>
  <si>
    <t>AA+</t>
  </si>
  <si>
    <t>01/04/2025</t>
  </si>
  <si>
    <t>עמרם אברהם חברה לבנין בע"מ</t>
  </si>
  <si>
    <t>513201582</t>
  </si>
  <si>
    <t>עמרם אברהם אגח א</t>
  </si>
  <si>
    <t>IL0011880445</t>
  </si>
  <si>
    <t>פסיפיק אוק אסאואר(בי וי איי) הולדינגס</t>
  </si>
  <si>
    <t>1900288</t>
  </si>
  <si>
    <t>פסיפיק אגח ג</t>
  </si>
  <si>
    <t>IL0011976805</t>
  </si>
  <si>
    <t>LUMIIT 3.275 01/29/31</t>
  </si>
  <si>
    <t>IL0060404899</t>
  </si>
  <si>
    <t>BBB</t>
  </si>
  <si>
    <t>29/01/2031</t>
  </si>
  <si>
    <t>LVIATH 6.5 30/06/27</t>
  </si>
  <si>
    <t>IL0011677825</t>
  </si>
  <si>
    <t>BB-</t>
  </si>
  <si>
    <t>MZRHIT 3.077 04/07/31</t>
  </si>
  <si>
    <t>IL0069508369</t>
  </si>
  <si>
    <t>BBB-</t>
  </si>
  <si>
    <t>07/04/2031</t>
  </si>
  <si>
    <t>Summit Properties Limited</t>
  </si>
  <si>
    <t>213800KLWIACHRBYR158</t>
  </si>
  <si>
    <t>SMTPLN 2 01/31/25</t>
  </si>
  <si>
    <t>XS1757821688</t>
  </si>
  <si>
    <t>Ba1</t>
  </si>
  <si>
    <t>31/01/2025</t>
  </si>
  <si>
    <t>DELL INC</t>
  </si>
  <si>
    <t>3E70L4WYANTIWWIPHC81</t>
  </si>
  <si>
    <t>DELL 5 1/4 02/01/28</t>
  </si>
  <si>
    <t>US24703DBJ90</t>
  </si>
  <si>
    <t>01/02/2028</t>
  </si>
  <si>
    <t>אלקטרה    אגח ד</t>
  </si>
  <si>
    <t>IL0073901493</t>
  </si>
  <si>
    <t>אנלייט אנר אגח ו</t>
  </si>
  <si>
    <t>IL0072001733</t>
  </si>
  <si>
    <t>A2</t>
  </si>
  <si>
    <t>01/09/2026</t>
  </si>
  <si>
    <t>אנרג'יקס אגח א</t>
  </si>
  <si>
    <t>IL0011617516</t>
  </si>
  <si>
    <t>01/08/2030</t>
  </si>
  <si>
    <t>בזן אגח ה</t>
  </si>
  <si>
    <t>IL0025903886</t>
  </si>
  <si>
    <t>30/06/2024</t>
  </si>
  <si>
    <t>בזק אגח 10</t>
  </si>
  <si>
    <t>IL0023001840</t>
  </si>
  <si>
    <t>01/12/2025</t>
  </si>
  <si>
    <t>ביג אגח יד</t>
  </si>
  <si>
    <t>IL0011615122</t>
  </si>
  <si>
    <t>30/11/2025</t>
  </si>
  <si>
    <t>חברת גב-ים לקרקעות בע"מ</t>
  </si>
  <si>
    <t>520001736</t>
  </si>
  <si>
    <t>גב ים אגח ט</t>
  </si>
  <si>
    <t>IL0075902192</t>
  </si>
  <si>
    <t>30/06/2033</t>
  </si>
  <si>
    <t>גירון פיתוח ובניה בע"מ</t>
  </si>
  <si>
    <t>520044520</t>
  </si>
  <si>
    <t>גירון אגח ו</t>
  </si>
  <si>
    <t>IL0011398497</t>
  </si>
  <si>
    <t>החברה לישראל בע"מ</t>
  </si>
  <si>
    <t>520028010</t>
  </si>
  <si>
    <t>חברה לישראל אגח 14</t>
  </si>
  <si>
    <t>IL0057603016</t>
  </si>
  <si>
    <t>חשמל     אגח 29</t>
  </si>
  <si>
    <t>IL0060002362</t>
  </si>
  <si>
    <t>01/03/2026</t>
  </si>
  <si>
    <t>חשמל אגח 33</t>
  </si>
  <si>
    <t>IL0060003923</t>
  </si>
  <si>
    <t>30/05/2036</t>
  </si>
  <si>
    <t>לאומי   אגח 180</t>
  </si>
  <si>
    <t>IL0060404220</t>
  </si>
  <si>
    <t>28/02/2025</t>
  </si>
  <si>
    <t>מבני תעש אגח כג</t>
  </si>
  <si>
    <t>IL0022605450</t>
  </si>
  <si>
    <t>מז טפ הנ אגח 62</t>
  </si>
  <si>
    <t>IL0023104982</t>
  </si>
  <si>
    <t>22/10/2028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</si>
  <si>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</si>
  <si>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</si>
  <si>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</si>
  <si>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</si>
  <si>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</si>
  <si>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</si>
  <si>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>מליסרון אגח י'</t>
  </si>
  <si>
    <t>IL0032301900</t>
  </si>
  <si>
    <t>סלקום ישראל בע"מ</t>
  </si>
  <si>
    <t>511930125</t>
  </si>
  <si>
    <t>סלקום אגח ט</t>
  </si>
  <si>
    <t>IL0011328361</t>
  </si>
  <si>
    <t>06/07/2025</t>
  </si>
  <si>
    <t>עזריאלי אגח ז</t>
  </si>
  <si>
    <t>IL0011786725</t>
  </si>
  <si>
    <t>02/07/2036</t>
  </si>
  <si>
    <t>פועלים אגח 100</t>
  </si>
  <si>
    <t>IL0066204889</t>
  </si>
  <si>
    <t>פועלים אגח 203</t>
  </si>
  <si>
    <t>IL0011998684</t>
  </si>
  <si>
    <t>02/12/2030</t>
  </si>
  <si>
    <t>פז נפט אגח ז</t>
  </si>
  <si>
    <t>IL0011425951</t>
  </si>
  <si>
    <t>01/12/2030</t>
  </si>
  <si>
    <t>חברת פרטנר תקשורת בע"מ</t>
  </si>
  <si>
    <t>520044314</t>
  </si>
  <si>
    <t>פרטנר אגח ו</t>
  </si>
  <si>
    <t>IL0011414153</t>
  </si>
  <si>
    <t>25/06/2024</t>
  </si>
  <si>
    <t>פרטנר אגח ז</t>
  </si>
  <si>
    <t>IL0011563975</t>
  </si>
  <si>
    <t>25/06/2027</t>
  </si>
  <si>
    <t>קרסו מוטורס בע"מ</t>
  </si>
  <si>
    <t>514065283</t>
  </si>
  <si>
    <t>קרסו מוטורס   אגח ג</t>
  </si>
  <si>
    <t>IL0011418295</t>
  </si>
  <si>
    <t>01/09/2027</t>
  </si>
  <si>
    <t>שופרסל אגח ד</t>
  </si>
  <si>
    <t>IL0077701915</t>
  </si>
  <si>
    <t>שיכון ובינוי בע"מ</t>
  </si>
  <si>
    <t>520036104</t>
  </si>
  <si>
    <t>שיכון ובינוי אגח 7</t>
  </si>
  <si>
    <t>IL0011297418</t>
  </si>
  <si>
    <t>תמר פטרוליום בעמ</t>
  </si>
  <si>
    <t>515334662</t>
  </si>
  <si>
    <t>תמר פטרוליום אגח א</t>
  </si>
  <si>
    <t>IL0011413320</t>
  </si>
  <si>
    <t>30/08/2028</t>
  </si>
  <si>
    <t>אאורה אגח טז</t>
  </si>
  <si>
    <t>IL0037305799</t>
  </si>
  <si>
    <t>30/09/2027</t>
  </si>
  <si>
    <t>אאורה אגח יז חסום עד 14.05.24</t>
  </si>
  <si>
    <t>אדמה פתרונות לחקלאות בע"מ</t>
  </si>
  <si>
    <t>520043605</t>
  </si>
  <si>
    <t>אדמה אגח ב</t>
  </si>
  <si>
    <t>IL0011109159</t>
  </si>
  <si>
    <t>30/11/2036</t>
  </si>
  <si>
    <t>אלבר שירותי מימונית בע"מ</t>
  </si>
  <si>
    <t>512025891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</si>
  <si>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</si>
  <si>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</si>
  <si>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</si>
  <si>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</si>
  <si>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</si>
  <si>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</si>
  <si>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</si>
  <si>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</si>
  <si>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</si>
  <si>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</si>
  <si>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</si>
  <si>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אמ.ג'י.ג'י בי וי אי לימיטד</t>
  </si>
  <si>
    <t>1981143</t>
  </si>
  <si>
    <t>אמ.ג'יג'י אגח ב</t>
  </si>
  <si>
    <t>IL0011608119</t>
  </si>
  <si>
    <t>21/09/2025</t>
  </si>
  <si>
    <t>אנלייט אנרגיה אגח ד</t>
  </si>
  <si>
    <t>IL0072002566</t>
  </si>
  <si>
    <t>02/09/2029</t>
  </si>
  <si>
    <t>אפקון החזקות בע"מ</t>
  </si>
  <si>
    <t>520033473</t>
  </si>
  <si>
    <t>אפקון אגח ד - חסום עד 23/02/24</t>
  </si>
  <si>
    <t>IL0057801685</t>
  </si>
  <si>
    <t>31/03/2029</t>
  </si>
  <si>
    <t>אפקון החזקות אגח ד</t>
  </si>
  <si>
    <t>01/04/2029</t>
  </si>
  <si>
    <t>ארפורט אגח ט</t>
  </si>
  <si>
    <t>IL0011609448</t>
  </si>
  <si>
    <t>30/08/2035</t>
  </si>
  <si>
    <t>בזן אגח ו</t>
  </si>
  <si>
    <t>IL0025903969</t>
  </si>
  <si>
    <t>30/06/2023</t>
  </si>
  <si>
    <t>ביג אגח טו</t>
  </si>
  <si>
    <t>IL0011622219</t>
  </si>
  <si>
    <t>31/01/2030</t>
  </si>
  <si>
    <t>ביג אגח יא</t>
  </si>
  <si>
    <t>IL0011511172</t>
  </si>
  <si>
    <t>20/10/2027</t>
  </si>
  <si>
    <t>גב ים סד' ו'</t>
  </si>
  <si>
    <t>IL0075901285</t>
  </si>
  <si>
    <t>גבאי מניבים אגח י</t>
  </si>
  <si>
    <t>דלתא-גליל תעשיות בע"מ</t>
  </si>
  <si>
    <t>520025602</t>
  </si>
  <si>
    <t>דלתא אגח א</t>
  </si>
  <si>
    <t>IL0062701441</t>
  </si>
  <si>
    <t>31/08/2028</t>
  </si>
  <si>
    <t>חברת הכשרת הישוב בישראל בע"מ</t>
  </si>
  <si>
    <t>520020116</t>
  </si>
  <si>
    <t>הכשרת הישוב אגח 25</t>
  </si>
  <si>
    <t>IL0011915274</t>
  </si>
  <si>
    <t>יוניברסל מוטורס  ישראל בע"מ</t>
  </si>
  <si>
    <t>511809071</t>
  </si>
  <si>
    <t>יוניברסל אגח ה</t>
  </si>
  <si>
    <t>IL0011926081</t>
  </si>
  <si>
    <t>10/02/2031</t>
  </si>
  <si>
    <t>ירושלים מימון והנפקות (2005) בע"מ</t>
  </si>
  <si>
    <t>513682146</t>
  </si>
  <si>
    <t>ירושלים הנפ אגח יג</t>
  </si>
  <si>
    <t>IL0011425126</t>
  </si>
  <si>
    <t>ישראמקו נגב 2 שותפות מוגבלת</t>
  </si>
  <si>
    <t>550010003</t>
  </si>
  <si>
    <t>ישראמקו נגב 2 א</t>
  </si>
  <si>
    <t>IL0023201747</t>
  </si>
  <si>
    <t>10/10/2025</t>
  </si>
  <si>
    <t>ישרס אגח טו</t>
  </si>
  <si>
    <t>IL0061302076</t>
  </si>
  <si>
    <t>16/05/2027</t>
  </si>
  <si>
    <t>ישרס אגח יח</t>
  </si>
  <si>
    <t>IL0061302803</t>
  </si>
  <si>
    <t>10/04/2030</t>
  </si>
  <si>
    <t>כלל ביטוח אגח ג</t>
  </si>
  <si>
    <t>IL0012013913</t>
  </si>
  <si>
    <t>02/11/2031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</si>
  <si>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</si>
  <si>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</si>
  <si>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</si>
  <si>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</si>
  <si>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</si>
  <si>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</si>
  <si>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לאומי אגח  185</t>
  </si>
  <si>
    <t>IL0012018219</t>
  </si>
  <si>
    <t>31/08/2029</t>
  </si>
  <si>
    <t>לאומי אגח 184</t>
  </si>
  <si>
    <t>IL0060406043</t>
  </si>
  <si>
    <t>05/05/2030</t>
  </si>
  <si>
    <t>לוזון רונסון</t>
  </si>
  <si>
    <t>560040545</t>
  </si>
  <si>
    <t>לוזון רונסון אגח א 8.15% 25/09/2030</t>
  </si>
  <si>
    <t>IL0012023409</t>
  </si>
  <si>
    <t>25/09/2030</t>
  </si>
  <si>
    <t>מבני תעשיה  אגח כ</t>
  </si>
  <si>
    <t>IL0022604958</t>
  </si>
  <si>
    <t>מז טפ הנפ אגח61</t>
  </si>
  <si>
    <t>IL0023104644</t>
  </si>
  <si>
    <t>04/12/2026</t>
  </si>
  <si>
    <t>מזרחי טפחות הנפ 9/24</t>
  </si>
  <si>
    <t>IL0023102176</t>
  </si>
  <si>
    <t>29/09/2024</t>
  </si>
  <si>
    <t>מימון ישיר אגח ב</t>
  </si>
  <si>
    <t>IL0011681454</t>
  </si>
  <si>
    <t>31/07/2023</t>
  </si>
  <si>
    <t>מימון ישיר אגח ה</t>
  </si>
  <si>
    <t>IL0011828311</t>
  </si>
  <si>
    <t>31/07/2031</t>
  </si>
  <si>
    <t>מימון ישיר ד</t>
  </si>
  <si>
    <t>IL0011756603</t>
  </si>
  <si>
    <t>01/02/2026</t>
  </si>
  <si>
    <t>מליסרון אגח יד</t>
  </si>
  <si>
    <t>IL0032302320</t>
  </si>
  <si>
    <t>27/04/2026</t>
  </si>
  <si>
    <t>ממן-מסופי מטען וניטול בע"מ</t>
  </si>
  <si>
    <t>520036435</t>
  </si>
  <si>
    <t>ממן אגח ב</t>
  </si>
  <si>
    <t>IL0023800464</t>
  </si>
  <si>
    <t>מנורה מבטחים החזקות בע"מ</t>
  </si>
  <si>
    <t>520007469</t>
  </si>
  <si>
    <t>מנורה מב  אגח ג</t>
  </si>
  <si>
    <t>IL0056600633</t>
  </si>
  <si>
    <t>מרכנתיל הנפקות בע"מ</t>
  </si>
  <si>
    <t>513686154</t>
  </si>
  <si>
    <t>מרכנתיל 4</t>
  </si>
  <si>
    <t>IL0011713059</t>
  </si>
  <si>
    <t>30/01/2030</t>
  </si>
  <si>
    <t>נופר אנרג אגח א</t>
  </si>
  <si>
    <t>IL0011793408</t>
  </si>
  <si>
    <t>חברה לנכסים ולבנין בע"מ</t>
  </si>
  <si>
    <t>520025438</t>
  </si>
  <si>
    <t>נכסים ובנין אגח י</t>
  </si>
  <si>
    <t>IL0011936304</t>
  </si>
  <si>
    <t>נמקו ריאליטי לטד</t>
  </si>
  <si>
    <t>1905761</t>
  </si>
  <si>
    <t>נמקו אגח ג</t>
  </si>
  <si>
    <t>IL0011987612</t>
  </si>
  <si>
    <t>סאמיט אחזקות נדל"ן בע"מ</t>
  </si>
  <si>
    <t>520043720</t>
  </si>
  <si>
    <t>סאמיט אגח ו</t>
  </si>
  <si>
    <t>IL0011309395</t>
  </si>
  <si>
    <t>סלע קפיטל נדל"ן בע"מ</t>
  </si>
  <si>
    <t>513992529</t>
  </si>
  <si>
    <t>סלע נדלן אגח ג</t>
  </si>
  <si>
    <t>IL0011389736</t>
  </si>
  <si>
    <t>13/04/2029</t>
  </si>
  <si>
    <t>ספיר קורפ בע"מ</t>
  </si>
  <si>
    <t>520038340</t>
  </si>
  <si>
    <t>ספיר קורפ אגח יח</t>
  </si>
  <si>
    <t>IL0036501406</t>
  </si>
  <si>
    <t>15/07/2025</t>
  </si>
  <si>
    <t>עזריאלי אגח ד</t>
  </si>
  <si>
    <t>IL0011386500</t>
  </si>
  <si>
    <t>05/07/2030</t>
  </si>
  <si>
    <t>הפועלים הנפקות בע"מ</t>
  </si>
  <si>
    <t>520032640</t>
  </si>
  <si>
    <t>פועלים הנפקות סדרה 34</t>
  </si>
  <si>
    <t>IL0019405765</t>
  </si>
  <si>
    <t>26/03/2023</t>
  </si>
  <si>
    <t>פועלים התחייבות נדחים ו</t>
  </si>
  <si>
    <t>IL0066205530</t>
  </si>
  <si>
    <t>13/03/2028</t>
  </si>
  <si>
    <t>פורמולה אגח א</t>
  </si>
  <si>
    <t>IL0025601423</t>
  </si>
  <si>
    <t>02/07/2024</t>
  </si>
  <si>
    <t>פז נפט  ו</t>
  </si>
  <si>
    <t>IL0011395428</t>
  </si>
  <si>
    <t>30/11/2028</t>
  </si>
  <si>
    <t>פתאל נכסים(אירופה)בע"מ</t>
  </si>
  <si>
    <t>515328250</t>
  </si>
  <si>
    <t>פתאל אירופה אגח ג</t>
  </si>
  <si>
    <t>IL0011418527</t>
  </si>
  <si>
    <t>פתאל החזקות 1998 בע"מ</t>
  </si>
  <si>
    <t>512607888</t>
  </si>
  <si>
    <t>פתאל החזקות אגח ג</t>
  </si>
  <si>
    <t>IL0011617854</t>
  </si>
  <si>
    <t>31/08/2031</t>
  </si>
  <si>
    <t>ריט 1 אגח ד</t>
  </si>
  <si>
    <t>IL0011298994</t>
  </si>
  <si>
    <t>20/09/2024</t>
  </si>
  <si>
    <t>ריט 1 אגח ו</t>
  </si>
  <si>
    <t>IL0011385445</t>
  </si>
  <si>
    <t>רני צים מרכזי קניות בע"מ</t>
  </si>
  <si>
    <t>514353671</t>
  </si>
  <si>
    <t>רני צים ג</t>
  </si>
  <si>
    <t>IL0011831935</t>
  </si>
  <si>
    <t xml:space="preserve">א.נ שוהם בידנס בע"מ </t>
  </si>
  <si>
    <t>520043860</t>
  </si>
  <si>
    <t>שוהם ביזנס אגח ד</t>
  </si>
  <si>
    <t>IL0011820474</t>
  </si>
  <si>
    <t>Baa2</t>
  </si>
  <si>
    <t>שופרסל אגח ו</t>
  </si>
  <si>
    <t>IL0077702178</t>
  </si>
  <si>
    <t>08/10/2028</t>
  </si>
  <si>
    <t>תמר פטרו אגח ב</t>
  </si>
  <si>
    <t>IL0011435935</t>
  </si>
  <si>
    <t>BOEING CO</t>
  </si>
  <si>
    <t>549300U5Y5EL6PHYLF13</t>
  </si>
  <si>
    <t>BA 2.196 02/04/26</t>
  </si>
  <si>
    <t>US097023DG73</t>
  </si>
  <si>
    <t>04/02/2026</t>
  </si>
  <si>
    <t>CITIGROUP INC</t>
  </si>
  <si>
    <t>6SHGI4ZSSLCXXQSBB395</t>
  </si>
  <si>
    <t>C 4.14 05/24/25</t>
  </si>
  <si>
    <t>US172967NQ03</t>
  </si>
  <si>
    <t>24/05/2025</t>
  </si>
  <si>
    <t>GENERAL MOTORS CORP</t>
  </si>
  <si>
    <t>2YD5STGSJNMUB7H76907</t>
  </si>
  <si>
    <t>GM 4.35 04/09/25</t>
  </si>
  <si>
    <t>US37045XCK00</t>
  </si>
  <si>
    <t>09/04/2025</t>
  </si>
  <si>
    <t>Energean plc</t>
  </si>
  <si>
    <t>549300RVMKU0CYUZBB05</t>
  </si>
  <si>
    <t>ENOIGA 5 3/8 30/03/28</t>
  </si>
  <si>
    <t>IL0011736738</t>
  </si>
  <si>
    <t>30/03/2028</t>
  </si>
  <si>
    <t>ENOIGA 5 7/8 30/03/31</t>
  </si>
  <si>
    <t>IL0011736811</t>
  </si>
  <si>
    <t>30/03/2031</t>
  </si>
  <si>
    <t>JPMORGAN CHASE</t>
  </si>
  <si>
    <t>8I5DZWZKVSZI1NUHU748</t>
  </si>
  <si>
    <t>JPM 4.912 07/25/33</t>
  </si>
  <si>
    <t>US46647PDH64</t>
  </si>
  <si>
    <t>25/07/2033</t>
  </si>
  <si>
    <t>UNITEDHEALTH GROUP</t>
  </si>
  <si>
    <t>549300GHBMY8T5GXDE41</t>
  </si>
  <si>
    <t>UHN 5.3 02/15/30</t>
  </si>
  <si>
    <t>US91324PEQ19</t>
  </si>
  <si>
    <t>15/02/2030</t>
  </si>
  <si>
    <t>נאוויטס פטרו אגח ה חסום עד 11/07/24</t>
  </si>
  <si>
    <t>IL0011979122</t>
  </si>
  <si>
    <t>31/12/2028</t>
  </si>
  <si>
    <t>נמקו  אגח ב' 2020/2032 4.5%</t>
  </si>
  <si>
    <t>IL0011602583</t>
  </si>
  <si>
    <t>15/10/2032</t>
  </si>
  <si>
    <t>סאפיינס אינטרנשיונל קורפוריישן N.V</t>
  </si>
  <si>
    <t>53368</t>
  </si>
  <si>
    <t>סאפיינס אגח ב</t>
  </si>
  <si>
    <t>IL0011419368</t>
  </si>
  <si>
    <t>01/01/2026</t>
  </si>
  <si>
    <t>פסיפיק  אגח ב</t>
  </si>
  <si>
    <t>IL0011630626</t>
  </si>
  <si>
    <t>אדגר אגח י</t>
  </si>
  <si>
    <t>IL0018202080</t>
  </si>
  <si>
    <t>או.פי.סי. אנרגיה בע"מ</t>
  </si>
  <si>
    <t>514401702</t>
  </si>
  <si>
    <t>או.פי.סי  אגח ג</t>
  </si>
  <si>
    <t>IL0011803553</t>
  </si>
  <si>
    <t>31/08/2030</t>
  </si>
  <si>
    <t>אלקו בע"מ</t>
  </si>
  <si>
    <t>520025370</t>
  </si>
  <si>
    <t>אלקו סדרה אגח יג 2022/2029</t>
  </si>
  <si>
    <t>IL0069402332</t>
  </si>
  <si>
    <t>16/09/2029</t>
  </si>
  <si>
    <t>אפי נכסים בע"מ</t>
  </si>
  <si>
    <t>510560188</t>
  </si>
  <si>
    <t>אפי נכסים אגח 8</t>
  </si>
  <si>
    <t>IL0011422313</t>
  </si>
  <si>
    <t>15/10/2026</t>
  </si>
  <si>
    <t>אפי נכסים אגח יא</t>
  </si>
  <si>
    <t>IL0011716284</t>
  </si>
  <si>
    <t>אפי נכסים אגח יב</t>
  </si>
  <si>
    <t>IL0011737645</t>
  </si>
  <si>
    <t>15/09/2027</t>
  </si>
  <si>
    <t>הבינלאומי הראשון הנפקות בע"מ</t>
  </si>
  <si>
    <t>513141879</t>
  </si>
  <si>
    <t>בינל הנפק אגח יא</t>
  </si>
  <si>
    <t>IL0011670481</t>
  </si>
  <si>
    <t>23/06/2024</t>
  </si>
  <si>
    <t>דה לסר גרופ לימיטד</t>
  </si>
  <si>
    <t>1427976</t>
  </si>
  <si>
    <t>דה לסר ה</t>
  </si>
  <si>
    <t>IL0011356644</t>
  </si>
  <si>
    <t>15/05/2026</t>
  </si>
  <si>
    <t>הכשרת ישוב אגח 21</t>
  </si>
  <si>
    <t>IL0061202243</t>
  </si>
  <si>
    <t>וויי בוקס אגח ד</t>
  </si>
  <si>
    <t>IL0048601939</t>
  </si>
  <si>
    <t>01/09/2024</t>
  </si>
  <si>
    <t>כללביט אגח י'</t>
  </si>
  <si>
    <t>IL0011360687</t>
  </si>
  <si>
    <t>31/07/2024</t>
  </si>
  <si>
    <t>לאומי אגח 182</t>
  </si>
  <si>
    <t>IL0060405391</t>
  </si>
  <si>
    <t>25/11/2027</t>
  </si>
  <si>
    <t>לאומי אגח סד 183</t>
  </si>
  <si>
    <t>IL0060405474</t>
  </si>
  <si>
    <t>25/11/2029</t>
  </si>
  <si>
    <t>מימון ישיר אגח ג</t>
  </si>
  <si>
    <t>IL0011712143</t>
  </si>
  <si>
    <t>נכסים ובנין ד</t>
  </si>
  <si>
    <t>IL0069901549</t>
  </si>
  <si>
    <t>פורמולה אג"ח ג</t>
  </si>
  <si>
    <t>IL0025602090</t>
  </si>
  <si>
    <t>01/12/2026</t>
  </si>
  <si>
    <t>רוטשטיין נדל"ן  בע"מ</t>
  </si>
  <si>
    <t>520039959</t>
  </si>
  <si>
    <t>רוטשטיין אגח ט</t>
  </si>
  <si>
    <t>IL0053902248</t>
  </si>
  <si>
    <t>14/07/2025</t>
  </si>
  <si>
    <t>ריט 1 סד ה</t>
  </si>
  <si>
    <t>IL0011367534</t>
  </si>
  <si>
    <t>20/09/2028</t>
  </si>
  <si>
    <t>ש.י.ר שלמה נדל"ן בע"מ</t>
  </si>
  <si>
    <t>513957472</t>
  </si>
  <si>
    <t>שלמה נדלן אגח ד</t>
  </si>
  <si>
    <t>IL0011576688</t>
  </si>
  <si>
    <t>31/10/2030</t>
  </si>
  <si>
    <t>אלוני חץ אגח יב</t>
  </si>
  <si>
    <t>IL0039004952</t>
  </si>
  <si>
    <t>28/02/2031</t>
  </si>
  <si>
    <t>קבוצת אשטרום</t>
  </si>
  <si>
    <t>510381601</t>
  </si>
  <si>
    <t>אשטרום קב אגח ג</t>
  </si>
  <si>
    <t>IL0011401028</t>
  </si>
  <si>
    <t>15/01/2029</t>
  </si>
  <si>
    <t>בזן אגח י</t>
  </si>
  <si>
    <t>IL0025905113</t>
  </si>
  <si>
    <t>25/09/2031</t>
  </si>
  <si>
    <t>בינל הנפקות אגח יב</t>
  </si>
  <si>
    <t>IL0011823858</t>
  </si>
  <si>
    <t>07/12/2027</t>
  </si>
  <si>
    <t>הכשרת ישוב אגח 22</t>
  </si>
  <si>
    <t>IL0061202409</t>
  </si>
  <si>
    <t>וילאר אינטרנשיונל בע"מ</t>
  </si>
  <si>
    <t>520038910</t>
  </si>
  <si>
    <t>וילאר אינטרנ' ח'</t>
  </si>
  <si>
    <t>IL0041601563</t>
  </si>
  <si>
    <t>27/06/2025</t>
  </si>
  <si>
    <t>ישראכרט בע"מ</t>
  </si>
  <si>
    <t>510706153</t>
  </si>
  <si>
    <t>ישראכרט אג"ח א 2024 1.49%</t>
  </si>
  <si>
    <t>IL0011575367</t>
  </si>
  <si>
    <t>כלל ביטוח אגח א</t>
  </si>
  <si>
    <t>IL0011934812</t>
  </si>
  <si>
    <t>28/02/2028</t>
  </si>
  <si>
    <t>מז טפ הנ אגח 63</t>
  </si>
  <si>
    <t>IL0023105484</t>
  </si>
  <si>
    <t>13/04/2031</t>
  </si>
  <si>
    <t>מז טפחות הנפ אגח57</t>
  </si>
  <si>
    <t>IL0023104230</t>
  </si>
  <si>
    <t>01/03/2025</t>
  </si>
  <si>
    <t>מיטב דש השקעות בע"מ</t>
  </si>
  <si>
    <t>520043795</t>
  </si>
  <si>
    <t>מיטב השקעות אג3</t>
  </si>
  <si>
    <t>IL0011217630</t>
  </si>
  <si>
    <t>10/12/2025</t>
  </si>
  <si>
    <t>פז נפט  אגח ח</t>
  </si>
  <si>
    <t>IL0011628174</t>
  </si>
  <si>
    <t>פניקס הון אגח ח</t>
  </si>
  <si>
    <t>IL0011398158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</si>
  <si>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</si>
  <si>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</si>
  <si>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</si>
  <si>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</si>
  <si>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</si>
  <si>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</si>
  <si>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</si>
  <si>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מגה אור נעמ 3 18062024</t>
  </si>
  <si>
    <t>IL0011969552</t>
  </si>
  <si>
    <t>18/06/2024</t>
  </si>
  <si>
    <t>חוזים עתידיים בחול</t>
  </si>
  <si>
    <t>10527</t>
  </si>
  <si>
    <t>HWAM4_SP500 MIC EMIN FUTJUN24</t>
  </si>
  <si>
    <t>HWAM4 INDEX</t>
  </si>
  <si>
    <t>SXOM4_STOX EURP 600 JUN24</t>
  </si>
  <si>
    <t>SXOM4 INDEX</t>
  </si>
  <si>
    <t>ESM4_S&amp;P 500 EMINI FUT JUN24</t>
  </si>
  <si>
    <t>ESM4</t>
  </si>
  <si>
    <t>NASDAQD </t>
  </si>
  <si>
    <t>NQM4_NASDAQ 100 E-MINI JUN24</t>
  </si>
  <si>
    <t>NQM4</t>
  </si>
  <si>
    <t>HWBM4_NASDAQ 100 MICRO EMINJUN24</t>
  </si>
  <si>
    <t>HWBM4</t>
  </si>
  <si>
    <t>אלומיי אופ 2</t>
  </si>
  <si>
    <t>IL0012030826</t>
  </si>
  <si>
    <t>05/01/2028</t>
  </si>
  <si>
    <t>בית בכפר בע"מ</t>
  </si>
  <si>
    <t>511605719</t>
  </si>
  <si>
    <t>בית בכפר   אר 1</t>
  </si>
  <si>
    <t>IL0011836645</t>
  </si>
  <si>
    <t>30/01/2025</t>
  </si>
  <si>
    <t>גרופ 107 בע"מ</t>
  </si>
  <si>
    <t>516199445</t>
  </si>
  <si>
    <t>גרופ 107 אפ 1</t>
  </si>
  <si>
    <t>IL0011801995</t>
  </si>
  <si>
    <t>זוז פאוור בע"מ</t>
  </si>
  <si>
    <t>514881564</t>
  </si>
  <si>
    <t>זוז פאוור אופ 3</t>
  </si>
  <si>
    <t>IL0011853210</t>
  </si>
  <si>
    <t>20/03/2025</t>
  </si>
  <si>
    <t>טראקנט אנטרפרייז בע"מ</t>
  </si>
  <si>
    <t>515446474</t>
  </si>
  <si>
    <t>טרקנט אופ 1</t>
  </si>
  <si>
    <t>IL0011741019</t>
  </si>
  <si>
    <t>02/03/2025</t>
  </si>
  <si>
    <t>פיימנט טכנולוגיות</t>
  </si>
  <si>
    <t>515166544</t>
  </si>
  <si>
    <t>פיימנט אפ 1</t>
  </si>
  <si>
    <t>IL0011808842</t>
  </si>
  <si>
    <t>15/10/2024</t>
  </si>
  <si>
    <t>קונטיניואל בע"מ</t>
  </si>
  <si>
    <t>514949973</t>
  </si>
  <si>
    <t>קונטיניואל אופ</t>
  </si>
  <si>
    <t>IL0011822785</t>
  </si>
  <si>
    <t>12/12/2024</t>
  </si>
  <si>
    <t>איידנטי אופ' 2</t>
  </si>
  <si>
    <t>IL0011774762</t>
  </si>
  <si>
    <t>16/06/2024</t>
  </si>
  <si>
    <t>שמיים אימפרוב בע"מ</t>
  </si>
  <si>
    <t>515181014</t>
  </si>
  <si>
    <t>שמיים אופ 1</t>
  </si>
  <si>
    <t>IL0011762478</t>
  </si>
  <si>
    <t>01/06/2025</t>
  </si>
  <si>
    <t>דמרי אופ 3</t>
  </si>
  <si>
    <t>IL0012028374</t>
  </si>
  <si>
    <t>04/08/2024</t>
  </si>
  <si>
    <t>NAV
(במטבע הדיווח של קרן ההשקעה)</t>
  </si>
  <si>
    <t>HAREL FINANCE ALTERNATIVE HAMA</t>
  </si>
  <si>
    <t>Harel Alternative Cedit Co-invest</t>
  </si>
  <si>
    <t>24/04/2023</t>
  </si>
  <si>
    <t>Klirmark</t>
  </si>
  <si>
    <t>CO-101523</t>
  </si>
  <si>
    <t>Klirmark Fund IV</t>
  </si>
  <si>
    <t>כתובת: ז'בוטינסקי 2 , רמת גן , ישראל</t>
  </si>
  <si>
    <t>19/04/2023</t>
  </si>
  <si>
    <t>SPHERA</t>
  </si>
  <si>
    <t>540305869</t>
  </si>
  <si>
    <t>קרן ספרה פארקינג</t>
  </si>
  <si>
    <t>06/12/2021</t>
  </si>
  <si>
    <t>BRIDGES ISRAEL GP GROWTH FUND 1 LIMITED PARTNERSHI</t>
  </si>
  <si>
    <t>540279460</t>
  </si>
  <si>
    <t>BRIDGES ISRAEL GROWTH INVESTMENTS 1</t>
  </si>
  <si>
    <t>28/10/2019</t>
  </si>
  <si>
    <t>Kedma Capital</t>
  </si>
  <si>
    <t>540286333</t>
  </si>
  <si>
    <t>KEDMA CAPITAL PARTNERS III LTD</t>
  </si>
  <si>
    <t>17/04/2019</t>
  </si>
  <si>
    <t>12/12/2023</t>
  </si>
  <si>
    <t>מרקסטון - קרן הון סיכון</t>
  </si>
  <si>
    <t>513473264</t>
  </si>
  <si>
    <t>MARKSTONE CAPITAL</t>
  </si>
  <si>
    <t>ג'נריישן ניהול בע"מ</t>
  </si>
  <si>
    <t>515785012</t>
  </si>
  <si>
    <t>ויולה ג'נריישן ניהול</t>
  </si>
  <si>
    <t>23/08/2018</t>
  </si>
  <si>
    <t>29/11/2023</t>
  </si>
  <si>
    <t>יסודות א נדלן שותפות מוגבלת</t>
  </si>
  <si>
    <t>550257125</t>
  </si>
  <si>
    <t>יסודות נדל"ן ג' פיתוח ושותפות P</t>
  </si>
  <si>
    <t>15/06/2021</t>
  </si>
  <si>
    <t>קרן ברוש 2234</t>
  </si>
  <si>
    <t>774636625</t>
  </si>
  <si>
    <t>קרן ברוש</t>
  </si>
  <si>
    <t>23/12/2020</t>
  </si>
  <si>
    <t>14/03/2024</t>
  </si>
  <si>
    <t>נוקד אקוויטי השקעות בע"מ</t>
  </si>
  <si>
    <t>515419356</t>
  </si>
  <si>
    <t>קרן גידור נוקד במרס</t>
  </si>
  <si>
    <t>04/05/2020</t>
  </si>
  <si>
    <t>קרן גידור-נוקד</t>
  </si>
  <si>
    <t>28/09/2017</t>
  </si>
  <si>
    <t>תשתיות ישראל  ג'י. פי. 4 שותפות מוגבלת</t>
  </si>
  <si>
    <t>550243026</t>
  </si>
  <si>
    <t>תשתיות ישראל 4 - קופות המחר</t>
  </si>
  <si>
    <t>25/08/2021</t>
  </si>
  <si>
    <t>Qumra Capital GP II, L.P.</t>
  </si>
  <si>
    <t>12840</t>
  </si>
  <si>
    <t>Qumra Opportunity fund</t>
  </si>
  <si>
    <t>18/02/2024</t>
  </si>
  <si>
    <t>21/12/2023</t>
  </si>
  <si>
    <t>איבו קרן מלונאות ש.מ.</t>
  </si>
  <si>
    <t>31/01/2023</t>
  </si>
  <si>
    <t>קוגיטו קפיטל אל.אמ.אי שותף כללי, שותפות מוגבלת</t>
  </si>
  <si>
    <t>550270912</t>
  </si>
  <si>
    <t>קוגיטו קפיטל 2</t>
  </si>
  <si>
    <t>05/02/2024</t>
  </si>
  <si>
    <t>AGILITI INC</t>
  </si>
  <si>
    <t>89987</t>
  </si>
  <si>
    <t>קרן גידור אג'יליטי</t>
  </si>
  <si>
    <t>03/04/2023</t>
  </si>
  <si>
    <t>LCN חו"לrth American Fund GP III, L.P.</t>
  </si>
  <si>
    <t>540300902</t>
  </si>
  <si>
    <t>CIP VII Cerberus</t>
  </si>
  <si>
    <t>25/08/2022</t>
  </si>
  <si>
    <t>31/01/2024</t>
  </si>
  <si>
    <t>Hamilton Lane Advisors, LLC</t>
  </si>
  <si>
    <t>23-2962336</t>
  </si>
  <si>
    <t>HAMILTON STRATEGIC OPP 2020 VI - קופות המחר</t>
  </si>
  <si>
    <t>22/11/2021</t>
  </si>
  <si>
    <t>המילטון ליין (ישראל)</t>
  </si>
  <si>
    <t>Hamilton Strategic Opp VII</t>
  </si>
  <si>
    <t>14/06/2022</t>
  </si>
  <si>
    <t>INSIGHT VENTURE PARTNERS IX</t>
  </si>
  <si>
    <t>89445</t>
  </si>
  <si>
    <t>Insight Partners XII</t>
  </si>
  <si>
    <t>12/07/2021</t>
  </si>
  <si>
    <t>19/03/2024</t>
  </si>
  <si>
    <t>Invesco Credit Partners II</t>
  </si>
  <si>
    <t>13/07/2022</t>
  </si>
  <si>
    <t>15/02/2024</t>
  </si>
  <si>
    <t>viola credit vi</t>
  </si>
  <si>
    <t>25/10/2021</t>
  </si>
  <si>
    <t>21/02/2024</t>
  </si>
  <si>
    <t>FORTISSIMO CAPITA FUND</t>
  </si>
  <si>
    <t>530278498</t>
  </si>
  <si>
    <t>פורטיסימו 4</t>
  </si>
  <si>
    <t>23/10/2023</t>
  </si>
  <si>
    <t>ALTO FUND</t>
  </si>
  <si>
    <t>27092</t>
  </si>
  <si>
    <t>ALTO FUND 2</t>
  </si>
  <si>
    <t>28/12/2015</t>
  </si>
  <si>
    <t>22/02/2024</t>
  </si>
  <si>
    <t>ALTO III</t>
  </si>
  <si>
    <t>23/04/2018</t>
  </si>
  <si>
    <t>28/12/2023</t>
  </si>
  <si>
    <t>bain capital senior loan fund</t>
  </si>
  <si>
    <t>27725</t>
  </si>
  <si>
    <t>BAIN CAPITAL DSS</t>
  </si>
  <si>
    <t>17/06/2020</t>
  </si>
  <si>
    <t>AP Fund III GP, LLC</t>
  </si>
  <si>
    <t>84-2057868</t>
  </si>
  <si>
    <t>BLUE ATLANTIC PARTNERS</t>
  </si>
  <si>
    <t>22/06/2017</t>
  </si>
  <si>
    <t>27/03/2024</t>
  </si>
  <si>
    <t xml:space="preserve">Direct Lending Fund III General Partner </t>
  </si>
  <si>
    <t>540298221</t>
  </si>
  <si>
    <t>COLCHIS INCOME FUND NEW</t>
  </si>
  <si>
    <t>31/07/2019</t>
  </si>
  <si>
    <t>07/03/2024</t>
  </si>
  <si>
    <t xml:space="preserve"> B216569</t>
  </si>
  <si>
    <t>Direct Lending Fund III</t>
  </si>
  <si>
    <t>08/11/2020</t>
  </si>
  <si>
    <t>אלקטרה מוצרי צריכה בע"מ</t>
  </si>
  <si>
    <t>520039967</t>
  </si>
  <si>
    <t>ELELCTRA MULTI FAMILY NADLAN II</t>
  </si>
  <si>
    <t>15/01/2019</t>
  </si>
  <si>
    <t>EQT Infrastructure V</t>
  </si>
  <si>
    <t>2020 2423 842</t>
  </si>
  <si>
    <t>30/08/2021</t>
  </si>
  <si>
    <t>25/02/2024</t>
  </si>
  <si>
    <t>ני"ע זרים בחו"ל</t>
  </si>
  <si>
    <t>549300W384M3RI3VXU42</t>
  </si>
  <si>
    <t>Forma Fund I</t>
  </si>
  <si>
    <t>09/09/2021</t>
  </si>
  <si>
    <t>FORTTISSMO V - קופות המחר</t>
  </si>
  <si>
    <t>31/08/2021</t>
  </si>
  <si>
    <t>HAMILTON LANE 4</t>
  </si>
  <si>
    <t>ECP V, LLC</t>
  </si>
  <si>
    <t>27330</t>
  </si>
  <si>
    <t>Harbourvest 2018 Global Fund L.P</t>
  </si>
  <si>
    <t>13/12/2018</t>
  </si>
  <si>
    <t>26/12/2023</t>
  </si>
  <si>
    <t>Insight Associates XI, L.P.</t>
  </si>
  <si>
    <t>981502442</t>
  </si>
  <si>
    <t>INSIGHT PARTNERS XI</t>
  </si>
  <si>
    <t>16/03/2020</t>
  </si>
  <si>
    <t>29/02/2024</t>
  </si>
  <si>
    <t xml:space="preserve">Klirmark Opportunity Fund </t>
  </si>
  <si>
    <t>KLIRMARK III</t>
  </si>
  <si>
    <t>13/11/2019</t>
  </si>
  <si>
    <t>Liquidity</t>
  </si>
  <si>
    <t>28352</t>
  </si>
  <si>
    <t>Liquidity Capital II</t>
  </si>
  <si>
    <t>17/02/2021</t>
  </si>
  <si>
    <t>LLCP VI FUNF</t>
  </si>
  <si>
    <t>27822</t>
  </si>
  <si>
    <t>LLCP VI FUND</t>
  </si>
  <si>
    <t>14/10/2018</t>
  </si>
  <si>
    <t>Moneta Capital</t>
  </si>
  <si>
    <t>540296522</t>
  </si>
  <si>
    <t>MONETA CAPITAL</t>
  </si>
  <si>
    <t>24/01/2019</t>
  </si>
  <si>
    <t>27/11/2023</t>
  </si>
  <si>
    <t>MV Senior GP S.à r.l</t>
  </si>
  <si>
    <t>2016 2429 508</t>
  </si>
  <si>
    <t>MV SENIOR II DEEDER II UL SCSP</t>
  </si>
  <si>
    <t>20/07/2020</t>
  </si>
  <si>
    <t xml:space="preserve">Pantheon Access Feeder LP </t>
  </si>
  <si>
    <t>B 201.101</t>
  </si>
  <si>
    <t>PANTHEON ACCESS</t>
  </si>
  <si>
    <t>29/06/2021</t>
  </si>
  <si>
    <t>PHOENIX CO INVEST</t>
  </si>
  <si>
    <t>13139</t>
  </si>
  <si>
    <t>19/08/2019</t>
  </si>
  <si>
    <t>06/03/2024</t>
  </si>
  <si>
    <t>Harel Hamagen L.P</t>
  </si>
  <si>
    <t>28278</t>
  </si>
  <si>
    <t>הראל המגן</t>
  </si>
  <si>
    <t>18/05/2020</t>
  </si>
  <si>
    <t>קרן פאגאיה אופורטוניטי</t>
  </si>
  <si>
    <t>31/08/2022</t>
  </si>
  <si>
    <t>Apexus Logisitcs RE Fund L.P</t>
  </si>
  <si>
    <t>89867</t>
  </si>
  <si>
    <t>Apexus</t>
  </si>
  <si>
    <t>29/01/2024</t>
  </si>
  <si>
    <t>GZYUYYBVN9JCLNYWZ615</t>
  </si>
  <si>
    <t>Arkin Bio Capital</t>
  </si>
  <si>
    <t>Oak Street Real Estate Capital Fund</t>
  </si>
  <si>
    <t>9492</t>
  </si>
  <si>
    <t>Blue Owl Real Estate Fund VI</t>
  </si>
  <si>
    <t>Coller Credit Opportunities</t>
  </si>
  <si>
    <t>89525</t>
  </si>
  <si>
    <t>28/02/2024</t>
  </si>
  <si>
    <t>Crossroads European Real Estate Fund II</t>
  </si>
  <si>
    <t>3333</t>
  </si>
  <si>
    <t>25/11/2021</t>
  </si>
  <si>
    <t>ELECTRA AMERICA PRINCIPAL HOSPITALITY LP</t>
  </si>
  <si>
    <t>28654</t>
  </si>
  <si>
    <t>Electra America Principal Hospitality</t>
  </si>
  <si>
    <t>Electra capital Pm fund Lp</t>
  </si>
  <si>
    <t>08/06/2021</t>
  </si>
  <si>
    <t>hanaco growth venturres</t>
  </si>
  <si>
    <t>28364</t>
  </si>
  <si>
    <t>Hanaco growth venturres</t>
  </si>
  <si>
    <t>HANACO II L.P</t>
  </si>
  <si>
    <t>89459</t>
  </si>
  <si>
    <t>hanaco II L.P</t>
  </si>
  <si>
    <t>אי.בי.אי IBI</t>
  </si>
  <si>
    <t>550270045</t>
  </si>
  <si>
    <t>I.B.I PILLAR GOTTINGEN ASSETS</t>
  </si>
  <si>
    <t>14/09/2021</t>
  </si>
  <si>
    <t>IBI CCF</t>
  </si>
  <si>
    <t>13/03/2024</t>
  </si>
  <si>
    <t>IBI CONSUMER</t>
  </si>
  <si>
    <t>21/01/2016</t>
  </si>
  <si>
    <t>LCN EUROPEAN FUND III SLP</t>
  </si>
  <si>
    <t>31/03/2021</t>
  </si>
  <si>
    <t xml:space="preserve">LCCP </t>
  </si>
  <si>
    <t>28600</t>
  </si>
  <si>
    <t>LLCP Lower Middle Market (LLM) III</t>
  </si>
  <si>
    <t>11/03/2024</t>
  </si>
  <si>
    <t xml:space="preserve">Madison Reality Capital DEBT </t>
  </si>
  <si>
    <t>27905</t>
  </si>
  <si>
    <t>Madison Realty Capital Debt Fund VI LP</t>
  </si>
  <si>
    <t>04/03/2024</t>
  </si>
  <si>
    <t>OEP VIII General Partner, L.P.</t>
  </si>
  <si>
    <t>981582217</t>
  </si>
  <si>
    <t>One Equity Partners VIII, L.P</t>
  </si>
  <si>
    <t xml:space="preserve">Pagaya Smartresi F1 </t>
  </si>
  <si>
    <t>89415</t>
  </si>
  <si>
    <t>Pagaya Smatresi F1</t>
  </si>
  <si>
    <t>04/01/2024</t>
  </si>
  <si>
    <t>VERTEX ISRAEL FUND II LP</t>
  </si>
  <si>
    <t>89453</t>
  </si>
  <si>
    <t>PARTNERSHIP VERTEX VENTURES</t>
  </si>
  <si>
    <t>פרגרין ניהול קרנות (ישראל) בע"מ</t>
  </si>
  <si>
    <t>Peregrine Ventures Growth General Partner LP</t>
  </si>
  <si>
    <t>13/07/2021</t>
  </si>
  <si>
    <t>17/12/2023</t>
  </si>
  <si>
    <t>Rapyd financial network 2016 ltd</t>
  </si>
  <si>
    <t>28595</t>
  </si>
  <si>
    <t>TARGET GLOBAL -FLUORINE (RAPYD</t>
  </si>
  <si>
    <t>Target Global</t>
  </si>
  <si>
    <t>89655</t>
  </si>
  <si>
    <t>Target Global Growth Fund II</t>
  </si>
  <si>
    <t>17/03/2024</t>
  </si>
  <si>
    <t>Vertex Israel Opportunity II Fund</t>
  </si>
  <si>
    <t>01/02/2024</t>
  </si>
  <si>
    <t>Viola Credit GL II, Limited Partnership</t>
  </si>
  <si>
    <t>89968</t>
  </si>
  <si>
    <t>קרן גידור איביאי SBL</t>
  </si>
  <si>
    <t>20/06/2021</t>
  </si>
  <si>
    <t>18/05/2023</t>
  </si>
  <si>
    <t>קרן נוקד אגח 6</t>
  </si>
  <si>
    <t>31/01/2021</t>
  </si>
  <si>
    <t>וויו (veev) גרופ</t>
  </si>
  <si>
    <t>832652993</t>
  </si>
  <si>
    <t>C  וויו גרופ</t>
  </si>
  <si>
    <t>US9224741010</t>
  </si>
  <si>
    <t>08/03/2021</t>
  </si>
  <si>
    <t>28/11/2023</t>
  </si>
  <si>
    <t>PROSPECT CAPITAL CORP</t>
  </si>
  <si>
    <t>549300FSD8T39P5Q0O47</t>
  </si>
  <si>
    <t>מניות בכורה Prospect 5.5% 1025</t>
  </si>
  <si>
    <t>US74348T5083</t>
  </si>
  <si>
    <t>27/04/2021</t>
  </si>
  <si>
    <t>ג'נריישן ניהול בע"מ (מחר השתלמות)</t>
  </si>
  <si>
    <t>560930</t>
  </si>
  <si>
    <t>18/04/2021</t>
  </si>
  <si>
    <t xml:space="preserve">לוסיקס בע"מ </t>
  </si>
  <si>
    <t>515374742</t>
  </si>
  <si>
    <t>Lusix</t>
  </si>
  <si>
    <t>62020193</t>
  </si>
  <si>
    <t>10/02/2022</t>
  </si>
  <si>
    <t>11/10/2023</t>
  </si>
  <si>
    <t>UVEYE LTD</t>
  </si>
  <si>
    <t>514234202</t>
  </si>
  <si>
    <t>62018262</t>
  </si>
  <si>
    <t>18/05/2021</t>
  </si>
  <si>
    <t>26/12/2022</t>
  </si>
  <si>
    <t>wefox</t>
  </si>
  <si>
    <t>28503</t>
  </si>
  <si>
    <t>TARGET GLOBAL-NICKEL (WEFOX)</t>
  </si>
  <si>
    <t>62018396</t>
  </si>
  <si>
    <t>03/07/2022</t>
  </si>
  <si>
    <t>Verbit Inc</t>
  </si>
  <si>
    <t>28460</t>
  </si>
  <si>
    <t>0</t>
  </si>
  <si>
    <t>20/03/2023</t>
  </si>
  <si>
    <t xml:space="preserve">י.ח.ק להשקעות שותפות מוגבלת </t>
  </si>
  <si>
    <t>550016091</t>
  </si>
  <si>
    <t>י.ח.ק.  אגח ב רמ</t>
  </si>
  <si>
    <t>IL0011817835</t>
  </si>
  <si>
    <t>17/11/2021</t>
  </si>
  <si>
    <t>רפאל-רשות לפיתוח אמצעי לחימה בע"מ</t>
  </si>
  <si>
    <t>520042185</t>
  </si>
  <si>
    <t>רפאל אגח סדרה ה 2020/2026</t>
  </si>
  <si>
    <t>IL0011402927</t>
  </si>
  <si>
    <t>04/05/2021</t>
  </si>
  <si>
    <t>15/03/2026</t>
  </si>
  <si>
    <t>אי תלות</t>
  </si>
  <si>
    <t>אגרקסקו חברה ליצוא חקלאי בע"מ</t>
  </si>
  <si>
    <t>510155625</t>
  </si>
  <si>
    <t>אגרקסקו אגח א לס 2017</t>
  </si>
  <si>
    <t>IL0011091803</t>
  </si>
  <si>
    <t>C</t>
  </si>
  <si>
    <t>30/04/2017</t>
  </si>
  <si>
    <t>אורמת אגח 4 רמ</t>
  </si>
  <si>
    <t>IL0011672123</t>
  </si>
  <si>
    <t>01/07/2020</t>
  </si>
  <si>
    <t>20/06/2041</t>
  </si>
  <si>
    <t>אידיבי חברה לאחזקות בע"מ</t>
  </si>
  <si>
    <t>520028283</t>
  </si>
  <si>
    <t>אי די בי הסדר ח</t>
  </si>
  <si>
    <t>7360225</t>
  </si>
  <si>
    <t>17/08/2014</t>
  </si>
  <si>
    <t>D</t>
  </si>
  <si>
    <t>אלון חברת הדלק לישראל בע"מ</t>
  </si>
  <si>
    <t>520041690</t>
  </si>
  <si>
    <t>אלון דלק אגח א` לס (Guy Fund)</t>
  </si>
  <si>
    <t>IL0011015679</t>
  </si>
  <si>
    <t>30/08/2018</t>
  </si>
  <si>
    <t>31/08/2023</t>
  </si>
  <si>
    <t>אלון דלק אגח א` לס (Guy Fund)- נייר הפחתה</t>
  </si>
  <si>
    <t>20/03/2024</t>
  </si>
  <si>
    <t>אלון דלק אגח א` לס (Guy Fund)- ציטוט פרטני</t>
  </si>
  <si>
    <t>אליהו הנפקות בע"מ</t>
  </si>
  <si>
    <t>515703528</t>
  </si>
  <si>
    <t>אליהו הנפ אגח א לס</t>
  </si>
  <si>
    <t>IL0011420093</t>
  </si>
  <si>
    <t>19/09/2017</t>
  </si>
  <si>
    <t>18/09/2025</t>
  </si>
  <si>
    <t>ביטוח ישיר - השקעות פיננסיות בע"מ</t>
  </si>
  <si>
    <t>520044439</t>
  </si>
  <si>
    <t>ביטוח ישיר אגח יא רמ</t>
  </si>
  <si>
    <t>IL0011388258</t>
  </si>
  <si>
    <t>28/07/2016</t>
  </si>
  <si>
    <t>וי.אי.די. התפלת מי אשקלון</t>
  </si>
  <si>
    <t>513102384</t>
  </si>
  <si>
    <t>וי.אי.די. אג"ח מאוחד 0706</t>
  </si>
  <si>
    <t>IL0010979974</t>
  </si>
  <si>
    <t>22/10/2025</t>
  </si>
  <si>
    <t>מת"ם - מרכז תעשיות מדע חיפה בע"מ</t>
  </si>
  <si>
    <t>510687403</t>
  </si>
  <si>
    <t>מתם מרכז תעשיות מדע חיפה אגח א ר.מ</t>
  </si>
  <si>
    <t>IL0011389991</t>
  </si>
  <si>
    <t>24/08/2016</t>
  </si>
  <si>
    <t>20/07/2040</t>
  </si>
  <si>
    <t>נתיבי הגז הטבעי לישראל בע"מ</t>
  </si>
  <si>
    <t>513436394</t>
  </si>
  <si>
    <t>נתיבי גז אג"ח א - רמ</t>
  </si>
  <si>
    <t>IL0011030843</t>
  </si>
  <si>
    <t>29/12/2026</t>
  </si>
  <si>
    <t>קאר אנד גו 4.95% 2009</t>
  </si>
  <si>
    <t>1088210</t>
  </si>
  <si>
    <t>01/11/2011</t>
  </si>
  <si>
    <t>אמפל-אמריקן ישראל קורפוריישן</t>
  </si>
  <si>
    <t>130435685</t>
  </si>
  <si>
    <t>אמפל אמריקן אגח א</t>
  </si>
  <si>
    <t>IL0011008336</t>
  </si>
  <si>
    <t>30/03/2014</t>
  </si>
  <si>
    <t>20/11/2020</t>
  </si>
  <si>
    <t>20/05/2021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</si>
  <si>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</si>
  <si>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</si>
  <si>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</si>
  <si>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</si>
  <si>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</si>
  <si>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</si>
  <si>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</si>
  <si>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</si>
  <si>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</si>
  <si>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</si>
  <si>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</si>
  <si>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</si>
  <si>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</si>
  <si>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</si>
  <si>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</si>
  <si>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</si>
  <si>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</si>
  <si>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מפעלי פלדה אג1</t>
  </si>
  <si>
    <t>IL0039800185</t>
  </si>
  <si>
    <t>עוגן-אג"ח חברתית 2 בע"מ</t>
  </si>
  <si>
    <t>516556545</t>
  </si>
  <si>
    <t>עוגן חברתית 2 אגחא-רמ</t>
  </si>
  <si>
    <t>IL0011968315</t>
  </si>
  <si>
    <t>19/06/2023</t>
  </si>
  <si>
    <t>רפאל אגח ג</t>
  </si>
  <si>
    <t>IL0011402760</t>
  </si>
  <si>
    <t>20/12/2037</t>
  </si>
  <si>
    <t>רפאל סד' ד 2020/2034</t>
  </si>
  <si>
    <t>IL0011402844</t>
  </si>
  <si>
    <t>20/09/2026</t>
  </si>
  <si>
    <t>מימון ישיר סידרה 4 רמ</t>
  </si>
  <si>
    <t>515631026</t>
  </si>
  <si>
    <t>מימון ישיר אגח 4 רמ</t>
  </si>
  <si>
    <t>IL0011426371</t>
  </si>
  <si>
    <t>20/12/2017</t>
  </si>
  <si>
    <t>12/03/2026</t>
  </si>
  <si>
    <t>הראל פיקדון סחיר בע"מ</t>
  </si>
  <si>
    <t>515989440</t>
  </si>
  <si>
    <t>הראל פיקדון אגח ב'</t>
  </si>
  <si>
    <t>IL0011625022</t>
  </si>
  <si>
    <t>אלה פקדונות בע"מ</t>
  </si>
  <si>
    <t>515666881</t>
  </si>
  <si>
    <t>אלה פקדון אגח ה</t>
  </si>
  <si>
    <t>IL0011625774</t>
  </si>
  <si>
    <t>אלה פקדון אגח ד</t>
  </si>
  <si>
    <t>IL0011623043</t>
  </si>
  <si>
    <t>אדמה נעמ סדרה 2</t>
  </si>
  <si>
    <t>IL0011619835</t>
  </si>
  <si>
    <t>15/06/2023</t>
  </si>
  <si>
    <t>15/11/2024</t>
  </si>
  <si>
    <t>מרווח הוגן</t>
  </si>
  <si>
    <t>אורמת נעמ 2 לא סחיר</t>
  </si>
  <si>
    <t>IL0012004680</t>
  </si>
  <si>
    <t>01/11/2023</t>
  </si>
  <si>
    <t>25/09/2028</t>
  </si>
  <si>
    <t>אלביט מערכות נעמ1-ל</t>
  </si>
  <si>
    <t>IL0011991572</t>
  </si>
  <si>
    <t>04/08/2028</t>
  </si>
  <si>
    <t xml:space="preserve"> Hamilton Strategic Opp VII בקופה 60+</t>
  </si>
  <si>
    <t>דולר</t>
  </si>
  <si>
    <t xml:space="preserve"> Invesco Credit Partners II בקופה 60+</t>
  </si>
  <si>
    <t xml:space="preserve"> Invesco Credit Partners II</t>
  </si>
  <si>
    <t>BAIN</t>
  </si>
  <si>
    <t>30253</t>
  </si>
  <si>
    <t>Bain Capital DSS 2019</t>
  </si>
  <si>
    <t>נדלן</t>
  </si>
  <si>
    <t>Blue Owl RE Fund VI</t>
  </si>
  <si>
    <t>טכנולוגיה</t>
  </si>
  <si>
    <t>Bridges Israel Growth</t>
  </si>
  <si>
    <t>Cerberus</t>
  </si>
  <si>
    <t>30512</t>
  </si>
  <si>
    <t>Coller Credit Opportunities I</t>
  </si>
  <si>
    <t>Crossroads European RE II</t>
  </si>
  <si>
    <t>יורו</t>
  </si>
  <si>
    <t>Direct Lending</t>
  </si>
  <si>
    <t>30676</t>
  </si>
  <si>
    <t>Direct Lending III</t>
  </si>
  <si>
    <t xml:space="preserve"> </t>
  </si>
  <si>
    <t>EQT Infrastructure V (General Partner) S.? r.l.</t>
  </si>
  <si>
    <t>EQT Infrastructure V (יורו)</t>
  </si>
  <si>
    <t>תעשייה ושירותים</t>
  </si>
  <si>
    <t>Hamilton Co-invest IV</t>
  </si>
  <si>
    <t>Hanaco II</t>
  </si>
  <si>
    <t>HarbourVest</t>
  </si>
  <si>
    <t>28993</t>
  </si>
  <si>
    <t>HarbourVest 2018 Global</t>
  </si>
  <si>
    <t>הראל</t>
  </si>
  <si>
    <t>1175</t>
  </si>
  <si>
    <t>Harel Alternative Credit Co-Invest</t>
  </si>
  <si>
    <t>שקל</t>
  </si>
  <si>
    <t>IBI</t>
  </si>
  <si>
    <t>IBI Pillar Gatingen</t>
  </si>
  <si>
    <t>תשי</t>
  </si>
  <si>
    <t>513858407</t>
  </si>
  <si>
    <t>IIF IV  (תשי 4)</t>
  </si>
  <si>
    <t>98-1502442</t>
  </si>
  <si>
    <t>Insight Partners XI</t>
  </si>
  <si>
    <t>Invesco Credit Partners</t>
  </si>
  <si>
    <t>30649</t>
  </si>
  <si>
    <t>516014008</t>
  </si>
  <si>
    <t>Klirmark Fund III</t>
  </si>
  <si>
    <t>516738689</t>
  </si>
  <si>
    <t>LCN EUROPEAN FUND III</t>
  </si>
  <si>
    <t>Liquidity Capital  II</t>
  </si>
  <si>
    <t>LLCP</t>
  </si>
  <si>
    <t>30208</t>
  </si>
  <si>
    <t>LLCP  VI</t>
  </si>
  <si>
    <t>LLCP Lower Middle Market III-A</t>
  </si>
  <si>
    <t>Madison Realty Capital Debt VI</t>
  </si>
  <si>
    <t>MV Credit Senior II</t>
  </si>
  <si>
    <t>One Equity Partners VIII</t>
  </si>
  <si>
    <t>Pantheon Access Feeder 2017</t>
  </si>
  <si>
    <t>Peregrine Ventures Growth</t>
  </si>
  <si>
    <t>Vertex Israel Opportunity II</t>
  </si>
  <si>
    <t>ויולה</t>
  </si>
  <si>
    <t>30589</t>
  </si>
  <si>
    <t>Viola Credit ALF II</t>
  </si>
  <si>
    <t>Viola Credit GL II</t>
  </si>
  <si>
    <t>המילטון 2020</t>
  </si>
  <si>
    <t>הפניקס קו אינווסט</t>
  </si>
  <si>
    <t>יסודות נדלן</t>
  </si>
  <si>
    <t>29636</t>
  </si>
  <si>
    <t>יסודות נדלן ג</t>
  </si>
  <si>
    <t>מונטה</t>
  </si>
  <si>
    <t>30283</t>
  </si>
  <si>
    <t>ספרה</t>
  </si>
  <si>
    <t>29109</t>
  </si>
  <si>
    <t>ספרה פארקינג</t>
  </si>
  <si>
    <t>פורטיסימו</t>
  </si>
  <si>
    <t>5286</t>
  </si>
  <si>
    <t>פורטיסימו V</t>
  </si>
  <si>
    <t>פורטיסימו VI</t>
  </si>
  <si>
    <t>פורמה</t>
  </si>
  <si>
    <t>30067</t>
  </si>
  <si>
    <t>קדמה</t>
  </si>
  <si>
    <t>29695</t>
  </si>
  <si>
    <t>קדמה  3</t>
  </si>
  <si>
    <t>MV Senior GP S r.l</t>
  </si>
  <si>
    <t>Pantheon Access GP S r.l</t>
  </si>
  <si>
    <t>מס' נייר</t>
  </si>
  <si>
    <t>שם הקרן</t>
  </si>
  <si>
    <t>השקעה בחו"ל/בארץ</t>
  </si>
  <si>
    <t>מטבע</t>
  </si>
  <si>
    <t>התחייבות במטבע</t>
  </si>
  <si>
    <t>קריאות לכסף במטבע</t>
  </si>
  <si>
    <t>יתרת התחייבות במטח</t>
  </si>
  <si>
    <t>שיערוך במטבע</t>
  </si>
  <si>
    <t>יתרת התחייבות בשח</t>
  </si>
  <si>
    <t>ארץ</t>
  </si>
  <si>
    <t>Hamilton Strategic Opp 2020 VI</t>
  </si>
  <si>
    <t>Apexus Logistic Fund</t>
  </si>
  <si>
    <t>Hanaco growth ventures</t>
  </si>
  <si>
    <t>IBI EVO מלונאות</t>
  </si>
  <si>
    <t>Pagaya Smartresi F1</t>
  </si>
  <si>
    <t>קומרה אופורטוניטי</t>
  </si>
  <si>
    <t>Electra Capital PM I  Feeder 4</t>
  </si>
  <si>
    <t>IBI SBL</t>
  </si>
  <si>
    <t>אג'יליטי אסטרטגיות</t>
  </si>
  <si>
    <t>Alto II</t>
  </si>
  <si>
    <t>Alto III</t>
  </si>
  <si>
    <t>Blue Atlantic PTNR II</t>
  </si>
  <si>
    <t>אלקטרה II</t>
  </si>
  <si>
    <t>Colchis Income Fund</t>
  </si>
  <si>
    <t>פאגאיה אופורטוניטי</t>
  </si>
  <si>
    <t>ברוש</t>
  </si>
  <si>
    <t>נוקד אגח</t>
  </si>
  <si>
    <t>נוקד אקוויטי</t>
  </si>
  <si>
    <t>יתרה רשימות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</si>
</sst>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_ * #,##0_ ;_ * \-#,##0_ ;_ * &quot;-&quot;??_ ;_ @_ "/>
  </numFmts>
  <fonts count="34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9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43" fontId="3" fillId="0" borderId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8" fillId="3" borderId="9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2" xfId="2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11" xfId="4" applyNumberFormat="1" applyFont="1" applyFill="1" applyBorder="1" applyAlignment="1">
      <alignment horizontal="center" vertical="center" wrapText="1"/>
    </xf>
    <xf numFmtId="9" fontId="16" fillId="0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5" fillId="0" borderId="0" xfId="0" applyNumberFormat="1" applyFont="1" applyFill="1" applyBorder="1" applyProtection="1">
      <protection locked="0"/>
    </xf>
    <xf numFmtId="4" fontId="26" fillId="0" borderId="0" xfId="0" applyNumberFormat="1" applyFont="1" applyFill="1" applyBorder="1" applyProtection="1">
      <protection locked="0"/>
    </xf>
    <xf numFmtId="4" fontId="26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166" fontId="8" fillId="3" borderId="3" xfId="4" applyNumberFormat="1" applyFont="1" applyFill="1" applyBorder="1" applyAlignment="1">
      <alignment horizontal="center" vertical="center" wrapText="1"/>
    </xf>
    <xf numFmtId="166" fontId="27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5" fillId="0" borderId="0" xfId="4" applyNumberFormat="1" applyFont="1" applyFill="1" applyBorder="1"/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6" fontId="4" fillId="0" borderId="0" xfId="4" applyNumberFormat="1" applyFont="1" applyFill="1" applyBorder="1"/>
    <xf numFmtId="166" fontId="4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5" fillId="0" borderId="0" xfId="4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6" fontId="0" fillId="0" borderId="0" xfId="0" applyNumberFormat="1" applyFont="1" applyFill="1" applyBorder="1"/>
    <xf numFmtId="2" fontId="8" fillId="3" borderId="3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Protection="1">
      <protection locked="0"/>
    </xf>
    <xf numFmtId="166" fontId="3" fillId="0" borderId="0" xfId="4" applyNumberFormat="1" applyFont="1" applyFill="1" applyBorder="1"/>
    <xf numFmtId="0" fontId="10" fillId="0" borderId="0" xfId="1" applyNumberFormat="1"/>
    <xf numFmtId="14" fontId="8" fillId="3" borderId="3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Fill="1" applyBorder="1"/>
    <xf numFmtId="43" fontId="10" fillId="0" borderId="0" xfId="1"/>
    <xf numFmtId="0" fontId="30" fillId="0" borderId="21" xfId="0" applyFont="1" applyFill="1" applyBorder="1" applyAlignment="1" applyProtection="1">
      <alignment horizontal="center" vertical="center"/>
    </xf>
    <xf numFmtId="0" fontId="30" fillId="7" borderId="21" xfId="0" applyFont="1" applyFill="1" applyBorder="1" applyAlignment="1" applyProtection="1">
      <alignment horizontal="center" vertical="center"/>
    </xf>
    <xf numFmtId="167" fontId="30" fillId="7" borderId="21" xfId="5" applyNumberFormat="1" applyFont="1" applyFill="1" applyBorder="1" applyAlignment="1" applyProtection="1">
      <alignment horizontal="center" vertical="center"/>
    </xf>
    <xf numFmtId="0" fontId="31" fillId="8" borderId="22" xfId="0" applyFont="1" applyFill="1" applyBorder="1" applyAlignment="1" applyProtection="1">
      <alignment horizontal="right" vertical="center"/>
    </xf>
    <xf numFmtId="0" fontId="31" fillId="8" borderId="22" xfId="0" applyFont="1" applyFill="1" applyBorder="1" applyAlignment="1" applyProtection="1">
      <alignment vertical="center"/>
    </xf>
    <xf numFmtId="4" fontId="31" fillId="8" borderId="22" xfId="0" applyNumberFormat="1" applyFont="1" applyFill="1" applyBorder="1" applyAlignment="1" applyProtection="1">
      <alignment horizontal="right" vertical="center"/>
    </xf>
    <xf numFmtId="43" fontId="31" fillId="8" borderId="22" xfId="5" applyFont="1" applyFill="1" applyBorder="1" applyAlignment="1" applyProtection="1">
      <alignment horizontal="right" vertical="center"/>
    </xf>
    <xf numFmtId="0" fontId="31" fillId="8" borderId="22" xfId="0" applyFont="1" applyFill="1" applyBorder="1" applyAlignment="1" applyProtection="1">
      <alignment horizontal="right" vertical="center" wrapText="1"/>
    </xf>
    <xf numFmtId="0" fontId="31" fillId="8" borderId="22" xfId="0" applyFont="1" applyFill="1" applyBorder="1" applyAlignment="1" applyProtection="1">
      <alignment vertical="center" wrapText="1"/>
    </xf>
    <xf numFmtId="4" fontId="31" fillId="8" borderId="22" xfId="0" applyNumberFormat="1" applyFont="1" applyFill="1" applyBorder="1" applyAlignment="1" applyProtection="1">
      <alignment horizontal="right" vertical="center" wrapText="1"/>
    </xf>
    <xf numFmtId="43" fontId="31" fillId="8" borderId="22" xfId="5" applyFont="1" applyFill="1" applyBorder="1" applyAlignment="1" applyProtection="1">
      <alignment horizontal="right" vertical="center" wrapText="1"/>
    </xf>
    <xf numFmtId="0" fontId="29" fillId="9" borderId="22" xfId="0" applyFont="1" applyFill="1" applyBorder="1" applyAlignment="1" applyProtection="1">
      <alignment horizontal="right" vertical="center" wrapText="1"/>
    </xf>
    <xf numFmtId="0" fontId="29" fillId="9" borderId="22" xfId="0" applyFont="1" applyFill="1" applyBorder="1" applyAlignment="1" applyProtection="1">
      <alignment vertical="center" wrapText="1"/>
    </xf>
    <xf numFmtId="4" fontId="29" fillId="9" borderId="22" xfId="0" applyNumberFormat="1" applyFont="1" applyFill="1" applyBorder="1" applyAlignment="1" applyProtection="1">
      <alignment horizontal="right" vertical="center" wrapText="1"/>
    </xf>
    <xf numFmtId="43" fontId="29" fillId="9" borderId="22" xfId="1" applyFont="1" applyFill="1" applyBorder="1" applyAlignment="1" applyProtection="1">
      <alignment horizontal="right" vertical="center" wrapText="1"/>
    </xf>
    <xf numFmtId="0" fontId="29" fillId="10" borderId="22" xfId="0" applyFont="1" applyFill="1" applyBorder="1" applyAlignment="1" applyProtection="1">
      <alignment horizontal="right" vertical="center" wrapText="1"/>
    </xf>
    <xf numFmtId="0" fontId="29" fillId="10" borderId="22" xfId="0" applyFont="1" applyFill="1" applyBorder="1" applyAlignment="1" applyProtection="1">
      <alignment vertical="center" wrapText="1"/>
    </xf>
    <xf numFmtId="4" fontId="29" fillId="10" borderId="22" xfId="0" applyNumberFormat="1" applyFont="1" applyFill="1" applyBorder="1" applyAlignment="1" applyProtection="1">
      <alignment horizontal="right" vertical="center" wrapText="1"/>
    </xf>
    <xf numFmtId="43" fontId="29" fillId="10" borderId="22" xfId="1" applyFont="1" applyFill="1" applyBorder="1" applyAlignment="1" applyProtection="1">
      <alignment horizontal="right" vertical="center" wrapText="1"/>
    </xf>
    <xf numFmtId="0" fontId="0" fillId="0" borderId="0" xfId="0" applyFont="1" applyFill="1" applyAlignment="1"/>
    <xf numFmtId="0" fontId="0" fillId="0" borderId="0" xfId="0" applyFont="1" applyAlignment="1"/>
    <xf numFmtId="43" fontId="3" fillId="0" borderId="0" xfId="1" applyFont="1" applyAlignment="1"/>
    <xf numFmtId="4" fontId="0" fillId="0" borderId="0" xfId="0" applyNumberFormat="1" applyFont="1" applyFill="1" applyBorder="1"/>
    <xf numFmtId="4" fontId="0" fillId="0" borderId="0" xfId="0" applyNumberFormat="1" applyFont="1" applyFill="1" applyAlignment="1"/>
    <xf numFmtId="0" fontId="3" fillId="0" borderId="0" xfId="6" applyFont="1"/>
    <xf numFmtId="0" fontId="3" fillId="0" borderId="0" xfId="6" applyFont="1" applyAlignment="1">
      <alignment horizontal="right"/>
    </xf>
    <xf numFmtId="0" fontId="2" fillId="0" borderId="0" xfId="6"/>
    <xf numFmtId="0" fontId="3" fillId="0" borderId="0" xfId="6" applyFont="1" applyProtection="1">
      <protection locked="0"/>
    </xf>
    <xf numFmtId="14" fontId="3" fillId="0" borderId="0" xfId="6" applyNumberFormat="1" applyFont="1"/>
    <xf numFmtId="167" fontId="0" fillId="0" borderId="0" xfId="7" applyNumberFormat="1" applyFont="1"/>
    <xf numFmtId="167" fontId="2" fillId="0" borderId="0" xfId="6" applyNumberFormat="1"/>
    <xf numFmtId="43" fontId="0" fillId="0" borderId="0" xfId="7" applyFont="1"/>
    <xf numFmtId="14" fontId="2" fillId="0" borderId="0" xfId="6" applyNumberFormat="1"/>
    <xf numFmtId="14" fontId="3" fillId="0" borderId="0" xfId="6" applyNumberFormat="1" applyFont="1" applyProtection="1">
      <protection locked="0"/>
    </xf>
    <xf numFmtId="14" fontId="9" fillId="0" borderId="0" xfId="0" applyNumberFormat="1" applyFont="1" applyFill="1" applyBorder="1"/>
    <xf numFmtId="14" fontId="32" fillId="0" borderId="0" xfId="0" applyNumberFormat="1" applyFont="1" applyFill="1" applyBorder="1" applyAlignment="1">
      <alignment vertical="center" wrapText="1"/>
    </xf>
    <xf numFmtId="0" fontId="33" fillId="0" borderId="0" xfId="6" applyFont="1"/>
    <xf numFmtId="43" fontId="3" fillId="0" borderId="0" xfId="7" applyFont="1"/>
    <xf numFmtId="14" fontId="0" fillId="0" borderId="0" xfId="0" applyNumberFormat="1" applyFont="1" applyFill="1" applyBorder="1"/>
  </cellXfs>
  <cellStyles count="9">
    <cellStyle name="Comma" xfId="1" builtinId="3"/>
    <cellStyle name="Comma 2" xfId="7" xr:uid="{3BC13166-F02C-4AB2-9310-9EFF98C79D78}"/>
    <cellStyle name="Comma 3" xfId="5" xr:uid="{40CC9A0E-4320-4F42-9BE6-2D5858C288E0}"/>
    <cellStyle name="Normal" xfId="0" builtinId="0"/>
    <cellStyle name="Normal 2" xfId="6" xr:uid="{D58C7C5D-B793-4FA8-BD45-C9782C659C27}"/>
    <cellStyle name="Normal 3" xfId="2" xr:uid="{00000000-0005-0000-0000-000002000000}"/>
    <cellStyle name="Normal 9" xfId="3" xr:uid="{00000000-0005-0000-0000-000003000000}"/>
    <cellStyle name="Percent" xfId="4" builtinId="5"/>
    <cellStyle name="Percent 2" xfId="8" xr:uid="{F9F69838-DBD1-48DD-A8F1-261C3BB057FE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3" sqref="D3"/>
    </sheetView>
  </sheetViews>
  <sheetFormatPr defaultRowHeight="14"/>
  <cols>
    <col min="1" max="1" width="29.5" bestFit="1" customWidth="1"/>
    <col min="2" max="2" width="11" customWidth="1"/>
    <col min="3" max="3" width="4.58203125" customWidth="1"/>
    <col min="4" max="4" width="67.5" customWidth="1"/>
    <col min="10" max="10" width="34.75" customWidth="1"/>
    <col min="11" max="11" width="25.83203125" customWidth="1"/>
    <col min="12" max="12" width="21.5" customWidth="1"/>
  </cols>
  <sheetData>
    <row r="1" spans="1:8" ht="18">
      <c r="A1" s="35" t="s">
        <v>197</v>
      </c>
      <c r="B1" s="36"/>
      <c r="C1" s="36"/>
      <c r="D1" s="36"/>
    </row>
    <row r="3" spans="1:8">
      <c r="A3" t="s">
        <v>198</v>
      </c>
      <c r="D3" s="104" t="s">
        <v>199</v>
      </c>
    </row>
    <row r="5" spans="1:8">
      <c r="A5" t="s">
        <v>200</v>
      </c>
      <c r="D5" s="104"/>
    </row>
    <row r="7" spans="1:8">
      <c r="A7" t="s">
        <v>201</v>
      </c>
      <c r="D7" s="104"/>
    </row>
    <row r="8" spans="1:8">
      <c r="D8" s="34"/>
      <c r="E8" s="34"/>
      <c r="F8" s="34"/>
      <c r="G8" s="34"/>
      <c r="H8" s="34"/>
    </row>
    <row r="9" spans="1:8">
      <c r="A9" t="s">
        <v>202</v>
      </c>
      <c r="D9" s="104"/>
    </row>
    <row r="11" spans="1:8">
      <c r="A11" t="s">
        <v>203</v>
      </c>
      <c r="D11" s="104"/>
    </row>
    <row r="13" spans="1:8">
      <c r="A13" t="s">
        <v>204</v>
      </c>
      <c r="D13" s="105" t="str">
        <f>IFERROR(VLOOKUP(D11,'File Name Info'!A35:B121,2,0),"תא מחושב")</f>
        <v>תא מחושב</v>
      </c>
    </row>
    <row r="15" spans="1:8">
      <c r="A15" s="20" t="s">
        <v>205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שם קובץ לשמירה</v>
      </c>
    </row>
    <row r="16" spans="1:8">
      <c r="A16" s="20"/>
      <c r="D16" s="34"/>
      <c r="E16" s="34"/>
      <c r="F16" s="34"/>
      <c r="G16" s="34"/>
      <c r="H16" s="34"/>
    </row>
    <row r="17" spans="1:8">
      <c r="A17" s="20" t="s">
        <v>206</v>
      </c>
      <c r="B17" s="18" t="s">
        <v>207</v>
      </c>
      <c r="C17" s="18"/>
      <c r="D17" s="106"/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208</v>
      </c>
      <c r="C19" s="18"/>
      <c r="D19" s="106"/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209</v>
      </c>
      <c r="C21" s="18"/>
      <c r="D21" s="107"/>
    </row>
    <row r="22" spans="1:8">
      <c r="A22" s="16"/>
      <c r="B22" s="17"/>
      <c r="C22" s="17"/>
    </row>
    <row r="23" spans="1:8">
      <c r="A23" s="20" t="s">
        <v>210</v>
      </c>
      <c r="D23" t="s">
        <v>211</v>
      </c>
    </row>
    <row r="25" spans="1:8">
      <c r="D25" s="1"/>
    </row>
    <row r="28" spans="1:8" ht="14.15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5"/>
  <sheetViews>
    <sheetView showGridLines="0" rightToLeft="1" workbookViewId="0">
      <selection activeCell="A33" sqref="A33"/>
    </sheetView>
  </sheetViews>
  <sheetFormatPr defaultColWidth="9" defaultRowHeight="12.5"/>
  <cols>
    <col min="1" max="1" width="42.75" style="9" customWidth="1"/>
    <col min="2" max="2" width="13" style="140" customWidth="1"/>
    <col min="3" max="3" width="13" style="10" customWidth="1"/>
    <col min="4" max="4" width="14.33203125" style="140" bestFit="1" customWidth="1"/>
    <col min="5" max="5" width="13" style="145" customWidth="1"/>
    <col min="6" max="6" width="11.08203125" style="9" customWidth="1"/>
    <col min="7" max="8" width="8.58203125" style="9" customWidth="1"/>
    <col min="9" max="10" width="9" style="9" customWidth="1"/>
    <col min="11" max="12" width="8.582031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1195</v>
      </c>
      <c r="D1" s="141"/>
      <c r="E1" s="142"/>
    </row>
    <row r="2" spans="1:5" ht="39.75" customHeight="1">
      <c r="A2" s="47"/>
      <c r="B2" s="137" t="s">
        <v>37</v>
      </c>
      <c r="C2" s="48" t="s">
        <v>920</v>
      </c>
      <c r="D2" s="137" t="s">
        <v>22</v>
      </c>
      <c r="E2" s="142" t="s">
        <v>1196</v>
      </c>
    </row>
    <row r="3" spans="1:5">
      <c r="A3" s="50" t="s">
        <v>973</v>
      </c>
      <c r="B3" s="138">
        <f>SUM('מזומנים ושווי מזומנים'!O:O)</f>
        <v>57099.609000000026</v>
      </c>
      <c r="C3" s="51"/>
      <c r="D3" s="138">
        <f>B3+C3</f>
        <v>57099.609000000026</v>
      </c>
      <c r="E3" s="143">
        <f>SUM('מזומנים ושווי מזומנים'!O:O)/B30</f>
        <v>4.9061827130906698E-2</v>
      </c>
    </row>
    <row r="4" spans="1:5">
      <c r="A4" s="50" t="s">
        <v>983</v>
      </c>
      <c r="B4" s="138">
        <f>SUM('איגרות חוב ממשלתיות'!U:U)</f>
        <v>252168.13399999996</v>
      </c>
      <c r="C4" s="51"/>
      <c r="D4" s="138">
        <f t="shared" ref="D4:D29" si="0">B4+C4</f>
        <v>252168.13399999996</v>
      </c>
      <c r="E4" s="143">
        <f>SUM('איגרות חוב ממשלתיות'!U:U)/B30</f>
        <v>0.21667100029058531</v>
      </c>
    </row>
    <row r="5" spans="1:5">
      <c r="A5" s="50" t="s">
        <v>988</v>
      </c>
      <c r="B5" s="138">
        <f>SUM('ניירות ערך מסחריים'!AD:AD)</f>
        <v>931.54200000000003</v>
      </c>
      <c r="C5" s="51"/>
      <c r="D5" s="138">
        <f t="shared" si="0"/>
        <v>931.54200000000003</v>
      </c>
      <c r="E5" s="143">
        <f>SUM('ניירות ערך מסחריים'!AD:AD)/B30</f>
        <v>8.0041095498883474E-4</v>
      </c>
    </row>
    <row r="6" spans="1:5">
      <c r="A6" s="50" t="s">
        <v>989</v>
      </c>
      <c r="B6" s="138">
        <f>SUM('איגרות חוב'!AD:AD)</f>
        <v>179439.10000000015</v>
      </c>
      <c r="C6" s="51"/>
      <c r="D6" s="138">
        <f t="shared" si="0"/>
        <v>179439.10000000015</v>
      </c>
      <c r="E6" s="143">
        <f>SUM('איגרות חוב'!AD:AD)/B30</f>
        <v>0.15417986670846526</v>
      </c>
    </row>
    <row r="7" spans="1:5">
      <c r="A7" s="50" t="s">
        <v>996</v>
      </c>
      <c r="B7" s="138">
        <f>SUM('מניות מבכ ויהש'!U:U)</f>
        <v>168001.34900000019</v>
      </c>
      <c r="C7" s="51"/>
      <c r="D7" s="138">
        <f t="shared" si="0"/>
        <v>168001.34900000019</v>
      </c>
      <c r="E7" s="143">
        <f>SUM('מניות מבכ ויהש'!U:U)/B30</f>
        <v>0.14435218185814774</v>
      </c>
    </row>
    <row r="8" spans="1:5">
      <c r="A8" s="50" t="s">
        <v>493</v>
      </c>
      <c r="B8" s="138">
        <f>SUM('קרנות סל'!T:T)</f>
        <v>250540.48400000005</v>
      </c>
      <c r="C8" s="51"/>
      <c r="D8" s="138">
        <f t="shared" si="0"/>
        <v>250540.48400000005</v>
      </c>
      <c r="E8" s="143">
        <f>SUM('קרנות סל'!T:T)/B30</f>
        <v>0.21527247087281617</v>
      </c>
    </row>
    <row r="9" spans="1:5">
      <c r="A9" s="50" t="s">
        <v>1009</v>
      </c>
      <c r="B9" s="138">
        <f>SUM('קרנות נאמנות'!T:T)</f>
        <v>8024.9929999999995</v>
      </c>
      <c r="C9" s="51"/>
      <c r="D9" s="138">
        <f t="shared" si="0"/>
        <v>8024.9929999999995</v>
      </c>
      <c r="E9" s="143">
        <f>SUM('קרנות נאמנות'!T:T)/B30</f>
        <v>6.8953330187030894E-3</v>
      </c>
    </row>
    <row r="10" spans="1:5">
      <c r="A10" s="50" t="s">
        <v>1140</v>
      </c>
      <c r="B10" s="138">
        <f>SUM('כתבי אופציה'!W:W)</f>
        <v>281.90399999999994</v>
      </c>
      <c r="C10" s="51"/>
      <c r="D10" s="138">
        <f t="shared" si="0"/>
        <v>281.90399999999994</v>
      </c>
      <c r="E10" s="143">
        <f>SUM('כתבי אופציה'!W:W)/B30</f>
        <v>2.4222101618088333E-4</v>
      </c>
    </row>
    <row r="11" spans="1:5">
      <c r="A11" s="50" t="s">
        <v>1012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1145</v>
      </c>
      <c r="B12" s="138">
        <f>SUM('חוזים עתידיים'!R:R)</f>
        <v>4693.7700000000004</v>
      </c>
      <c r="C12" s="51"/>
      <c r="D12" s="138">
        <f t="shared" si="0"/>
        <v>4693.7700000000004</v>
      </c>
      <c r="E12" s="143">
        <f>SUM('חוזים עתידיים'!R:R)/B30</f>
        <v>4.0330386908995442E-3</v>
      </c>
    </row>
    <row r="13" spans="1:5">
      <c r="A13" s="50" t="s">
        <v>1017</v>
      </c>
      <c r="B13" s="138">
        <f>SUM('מוצרים מובנים'!Z:Z)</f>
        <v>977.18700000000001</v>
      </c>
      <c r="C13" s="51"/>
      <c r="D13" s="138">
        <f t="shared" si="0"/>
        <v>977.18700000000001</v>
      </c>
      <c r="E13" s="143">
        <f>SUM('מוצרים מובנים'!Z:Z)/B30</f>
        <v>8.3963061233167642E-4</v>
      </c>
    </row>
    <row r="14" spans="1:5">
      <c r="A14" s="50" t="s">
        <v>1024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1025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1031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1035</v>
      </c>
      <c r="B17" s="138">
        <f>SUM('לא סחיר ניירות ערך מסחריים'!AI:AI)</f>
        <v>2240.2000000000003</v>
      </c>
      <c r="C17" s="51"/>
      <c r="D17" s="138">
        <f t="shared" si="0"/>
        <v>2240.2000000000003</v>
      </c>
      <c r="E17" s="143">
        <f>SUM('לא סחיר ניירות ערך מסחריים'!AI:AI)/B30</f>
        <v>1.924852149839715E-3</v>
      </c>
    </row>
    <row r="18" spans="1:5">
      <c r="A18" s="50" t="s">
        <v>1037</v>
      </c>
      <c r="B18" s="138">
        <f>SUM('לא סחיר איגרות חוב'!AG:AG)</f>
        <v>11848.375000000002</v>
      </c>
      <c r="C18" s="51"/>
      <c r="D18" s="138">
        <f t="shared" si="0"/>
        <v>11848.375000000002</v>
      </c>
      <c r="E18" s="143">
        <f>SUM('לא סחיר איגרות חוב'!AG:AG)/B30</f>
        <v>1.0180506245360743E-2</v>
      </c>
    </row>
    <row r="19" spans="1:5">
      <c r="A19" s="50" t="s">
        <v>1040</v>
      </c>
      <c r="B19" s="138">
        <f>SUM('לא סחיר מניות מבכ ויהש'!X:X)</f>
        <v>13229.949000000002</v>
      </c>
      <c r="C19" s="51"/>
      <c r="D19" s="138">
        <f t="shared" si="0"/>
        <v>13229.949000000002</v>
      </c>
      <c r="E19" s="143">
        <f>SUM('לא סחיר מניות מבכ ויהש'!X:X)/B30</f>
        <v>1.1367599221015887E-2</v>
      </c>
    </row>
    <row r="20" spans="1:5">
      <c r="A20" s="50" t="s">
        <v>797</v>
      </c>
      <c r="B20" s="138">
        <f>SUM('קרנות השקעה'!W:W)</f>
        <v>213737.87999999998</v>
      </c>
      <c r="C20" s="51"/>
      <c r="D20" s="138">
        <f t="shared" si="0"/>
        <v>213737.87999999998</v>
      </c>
      <c r="E20" s="143">
        <f>SUM('קרנות השקעה'!W:W)/B30</f>
        <v>0.18365048559065394</v>
      </c>
    </row>
    <row r="21" spans="1:5">
      <c r="A21" s="50" t="s">
        <v>1156</v>
      </c>
      <c r="B21" s="138">
        <f>SUM('לא סחיר כתבי אופציה'!Z:Z)</f>
        <v>10.380999999999998</v>
      </c>
      <c r="C21" s="51"/>
      <c r="D21" s="138">
        <f t="shared" si="0"/>
        <v>10.380999999999998</v>
      </c>
      <c r="E21" s="143">
        <f>SUM('לא סחיר כתבי אופציה'!Z:Z)/B30</f>
        <v>8.9196902809954804E-6</v>
      </c>
    </row>
    <row r="22" spans="1:5">
      <c r="A22" s="50" t="s">
        <v>1055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1064</v>
      </c>
      <c r="B23" s="138">
        <f>SUM('לא סחיר נגזרים אחרים'!R:R)</f>
        <v>-766.73100000000011</v>
      </c>
      <c r="C23" s="51"/>
      <c r="D23" s="138">
        <f t="shared" si="0"/>
        <v>-766.73100000000011</v>
      </c>
      <c r="E23" s="143">
        <f>SUM('לא סחיר נגזרים אחרים'!R:R)/B30</f>
        <v>-6.5880002397051803E-4</v>
      </c>
    </row>
    <row r="24" spans="1:5">
      <c r="A24" s="50" t="s">
        <v>1057</v>
      </c>
      <c r="B24" s="138">
        <f>SUM(הלוואות!AT:AT)</f>
        <v>654.80600000000004</v>
      </c>
      <c r="C24" s="51"/>
      <c r="D24" s="138">
        <f t="shared" si="0"/>
        <v>654.80600000000004</v>
      </c>
      <c r="E24" s="143">
        <f>SUM(הלוואות!AT:AT)/B30</f>
        <v>5.6263045122218749E-4</v>
      </c>
    </row>
    <row r="25" spans="1:5">
      <c r="A25" s="50" t="s">
        <v>1076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1081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1084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1118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1087</v>
      </c>
      <c r="B29" s="138">
        <f>SUM('נכסים אחרים'!N:N)</f>
        <v>716.71599999999989</v>
      </c>
      <c r="C29" s="51"/>
      <c r="D29" s="138">
        <f t="shared" si="0"/>
        <v>716.71599999999989</v>
      </c>
      <c r="E29" s="143">
        <f>SUM('נכסים אחרים'!N:N)/B30</f>
        <v>6.1582552157152075E-4</v>
      </c>
    </row>
    <row r="30" spans="1:5" ht="13">
      <c r="A30" s="49" t="s">
        <v>1197</v>
      </c>
      <c r="B30" s="139">
        <f>IF(SUM(B3:B29)=0,0.0001,SUM(B3:B29))</f>
        <v>1163829.6480000007</v>
      </c>
      <c r="C30" s="52">
        <f t="shared" ref="C30:E30" si="1">SUM(C3:C29)</f>
        <v>0</v>
      </c>
      <c r="D30" s="139">
        <f t="shared" si="1"/>
        <v>1163829.6480000007</v>
      </c>
      <c r="E30" s="144">
        <f t="shared" si="1"/>
        <v>0.99999999999999967</v>
      </c>
    </row>
    <row r="31" spans="1:5">
      <c r="A31" s="50" t="s">
        <v>1194</v>
      </c>
      <c r="B31" s="138"/>
      <c r="C31" s="51"/>
      <c r="D31" s="138"/>
      <c r="E31" s="143"/>
    </row>
    <row r="32" spans="1:5">
      <c r="A32" s="50" t="s">
        <v>1198</v>
      </c>
      <c r="B32" s="138">
        <f>SUM('יתרות התחייבות להשקעה'!O:O)</f>
        <v>53859.23466492501</v>
      </c>
      <c r="C32" s="51"/>
      <c r="D32" s="138"/>
      <c r="E32" s="143"/>
    </row>
    <row r="35" spans="4:4" ht="14">
      <c r="D35" s="178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50"/>
  <sheetViews>
    <sheetView rightToLeft="1" zoomScale="70" zoomScaleNormal="70" workbookViewId="0"/>
  </sheetViews>
  <sheetFormatPr defaultColWidth="9" defaultRowHeight="14"/>
  <cols>
    <col min="1" max="4" width="11.58203125" style="2" customWidth="1"/>
    <col min="5" max="5" width="11.58203125" style="4" customWidth="1"/>
    <col min="6" max="13" width="11.58203125" style="2" customWidth="1"/>
    <col min="14" max="14" width="11.58203125" style="148" customWidth="1"/>
    <col min="15" max="18" width="11.582031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189</v>
      </c>
      <c r="D1" s="22" t="s">
        <v>190</v>
      </c>
      <c r="E1" s="22" t="s">
        <v>191</v>
      </c>
      <c r="F1" s="22" t="s">
        <v>5</v>
      </c>
      <c r="G1" s="22" t="s">
        <v>6</v>
      </c>
      <c r="H1" s="22" t="s">
        <v>145</v>
      </c>
      <c r="I1" s="22" t="s">
        <v>193</v>
      </c>
      <c r="J1" s="22" t="s">
        <v>10</v>
      </c>
      <c r="K1" s="22" t="s">
        <v>11</v>
      </c>
      <c r="L1" s="22" t="s">
        <v>155</v>
      </c>
      <c r="M1" s="22" t="s">
        <v>18</v>
      </c>
      <c r="N1" s="162" t="s">
        <v>14</v>
      </c>
      <c r="O1" s="22" t="s">
        <v>20</v>
      </c>
      <c r="P1" s="166" t="s">
        <v>24</v>
      </c>
      <c r="Q1" s="166" t="s">
        <v>25</v>
      </c>
    </row>
    <row r="2" spans="1:17">
      <c r="A2" s="2" t="s">
        <v>26</v>
      </c>
      <c r="B2" s="2">
        <v>1441</v>
      </c>
      <c r="C2" s="2" t="s">
        <v>1199</v>
      </c>
      <c r="D2" s="2" t="s">
        <v>1200</v>
      </c>
      <c r="E2" s="4" t="s">
        <v>337</v>
      </c>
      <c r="F2" s="2" t="s">
        <v>977</v>
      </c>
      <c r="G2" s="2" t="s">
        <v>31</v>
      </c>
      <c r="H2" s="2" t="s">
        <v>159</v>
      </c>
      <c r="I2" s="2" t="s">
        <v>1201</v>
      </c>
      <c r="J2" s="2" t="s">
        <v>435</v>
      </c>
      <c r="K2" s="2" t="s">
        <v>45</v>
      </c>
      <c r="L2" s="152">
        <v>0</v>
      </c>
      <c r="M2" s="153">
        <v>1</v>
      </c>
      <c r="N2" s="163">
        <v>0</v>
      </c>
      <c r="O2" s="153">
        <v>247.03800000000001</v>
      </c>
      <c r="P2" s="167">
        <v>0.88361112804953501</v>
      </c>
      <c r="Q2" s="167">
        <v>2.2524114947375402E-2</v>
      </c>
    </row>
    <row r="3" spans="1:17">
      <c r="A3" s="2" t="s">
        <v>26</v>
      </c>
      <c r="B3" s="2">
        <v>1441</v>
      </c>
      <c r="C3" s="2" t="s">
        <v>1199</v>
      </c>
      <c r="D3" s="2" t="s">
        <v>1200</v>
      </c>
      <c r="E3" s="21" t="s">
        <v>337</v>
      </c>
      <c r="F3" s="2" t="s">
        <v>976</v>
      </c>
      <c r="G3" s="2" t="s">
        <v>124</v>
      </c>
      <c r="H3" s="2" t="s">
        <v>159</v>
      </c>
      <c r="I3" s="2" t="s">
        <v>1201</v>
      </c>
      <c r="J3" s="2" t="s">
        <v>435</v>
      </c>
      <c r="K3" s="2" t="s">
        <v>35</v>
      </c>
      <c r="L3" s="153">
        <v>4.3209999999999997</v>
      </c>
      <c r="M3" s="153">
        <v>3.681</v>
      </c>
      <c r="N3" s="164">
        <v>0</v>
      </c>
      <c r="O3" s="153">
        <v>15.904</v>
      </c>
      <c r="P3" s="167">
        <v>5.6886520858341498E-2</v>
      </c>
      <c r="Q3" s="167">
        <v>1.4500932526709E-3</v>
      </c>
    </row>
    <row r="4" spans="1:17">
      <c r="A4" s="2" t="s">
        <v>26</v>
      </c>
      <c r="B4" s="2">
        <v>1441</v>
      </c>
      <c r="C4" s="2" t="s">
        <v>1199</v>
      </c>
      <c r="D4" s="2" t="s">
        <v>1200</v>
      </c>
      <c r="E4" s="21" t="s">
        <v>337</v>
      </c>
      <c r="F4" s="2" t="s">
        <v>974</v>
      </c>
      <c r="G4" s="2" t="s">
        <v>31</v>
      </c>
      <c r="H4" s="2" t="s">
        <v>159</v>
      </c>
      <c r="I4" s="2" t="s">
        <v>1201</v>
      </c>
      <c r="J4" s="2" t="s">
        <v>435</v>
      </c>
      <c r="K4" s="2" t="s">
        <v>45</v>
      </c>
      <c r="L4" s="153">
        <v>0</v>
      </c>
      <c r="M4" s="153">
        <v>1</v>
      </c>
      <c r="N4" s="164">
        <v>0</v>
      </c>
      <c r="O4" s="153">
        <v>-1E-3</v>
      </c>
      <c r="P4" s="167">
        <v>-2.6110809993579998E-6</v>
      </c>
      <c r="Q4" s="167">
        <v>-6.6559017535539998E-8</v>
      </c>
    </row>
    <row r="5" spans="1:17">
      <c r="A5" s="2" t="s">
        <v>26</v>
      </c>
      <c r="B5" s="2">
        <v>1441</v>
      </c>
      <c r="C5" s="2" t="s">
        <v>1202</v>
      </c>
      <c r="D5" s="2" t="s">
        <v>1203</v>
      </c>
      <c r="E5" s="21" t="s">
        <v>337</v>
      </c>
      <c r="F5" s="2" t="s">
        <v>974</v>
      </c>
      <c r="G5" s="2" t="s">
        <v>31</v>
      </c>
      <c r="H5" s="2" t="s">
        <v>159</v>
      </c>
      <c r="I5" s="2" t="s">
        <v>1201</v>
      </c>
      <c r="J5" s="2" t="s">
        <v>435</v>
      </c>
      <c r="K5" s="2" t="s">
        <v>45</v>
      </c>
      <c r="L5" s="153">
        <v>0</v>
      </c>
      <c r="M5" s="153">
        <v>1</v>
      </c>
      <c r="N5" s="164">
        <v>0</v>
      </c>
      <c r="O5" s="153">
        <v>16.635999999999999</v>
      </c>
      <c r="P5" s="167">
        <v>5.9504962173122601E-2</v>
      </c>
      <c r="Q5" s="167">
        <v>1.51683989187096E-3</v>
      </c>
    </row>
    <row r="6" spans="1:17">
      <c r="A6" s="2" t="s">
        <v>26</v>
      </c>
      <c r="B6" s="2">
        <v>1522</v>
      </c>
      <c r="C6" s="2" t="s">
        <v>1199</v>
      </c>
      <c r="D6" s="2" t="s">
        <v>1200</v>
      </c>
      <c r="E6" s="21" t="s">
        <v>337</v>
      </c>
      <c r="F6" s="2" t="s">
        <v>977</v>
      </c>
      <c r="G6" s="2" t="s">
        <v>31</v>
      </c>
      <c r="H6" s="2" t="s">
        <v>159</v>
      </c>
      <c r="I6" s="2" t="s">
        <v>1201</v>
      </c>
      <c r="J6" s="2" t="s">
        <v>435</v>
      </c>
      <c r="K6" s="2" t="s">
        <v>45</v>
      </c>
      <c r="L6" s="153">
        <v>0</v>
      </c>
      <c r="M6" s="153">
        <v>1</v>
      </c>
      <c r="N6" s="164">
        <v>0</v>
      </c>
      <c r="O6" s="153">
        <v>385.69600000000003</v>
      </c>
      <c r="P6" s="167">
        <v>0.85272291394477995</v>
      </c>
      <c r="Q6" s="167">
        <v>3.82344120279796E-2</v>
      </c>
    </row>
    <row r="7" spans="1:17">
      <c r="A7" s="2" t="s">
        <v>26</v>
      </c>
      <c r="B7" s="2">
        <v>1522</v>
      </c>
      <c r="C7" s="2" t="s">
        <v>1199</v>
      </c>
      <c r="D7" s="2" t="s">
        <v>1200</v>
      </c>
      <c r="E7" s="21" t="s">
        <v>337</v>
      </c>
      <c r="F7" s="2" t="s">
        <v>976</v>
      </c>
      <c r="G7" s="2" t="s">
        <v>31</v>
      </c>
      <c r="H7" s="2" t="s">
        <v>159</v>
      </c>
      <c r="I7" s="2" t="s">
        <v>1201</v>
      </c>
      <c r="J7" s="2" t="s">
        <v>435</v>
      </c>
      <c r="K7" s="2" t="s">
        <v>1204</v>
      </c>
      <c r="L7" s="153">
        <v>5.0460000000000003</v>
      </c>
      <c r="M7" s="153">
        <v>4.0739999999999998</v>
      </c>
      <c r="N7" s="164">
        <v>0</v>
      </c>
      <c r="O7" s="153">
        <v>20.558</v>
      </c>
      <c r="P7" s="167">
        <v>4.5451821465965603E-2</v>
      </c>
      <c r="Q7" s="167">
        <v>2.0379699442020999E-3</v>
      </c>
    </row>
    <row r="8" spans="1:17">
      <c r="A8" s="2" t="s">
        <v>26</v>
      </c>
      <c r="B8" s="2">
        <v>1522</v>
      </c>
      <c r="C8" s="2" t="s">
        <v>1199</v>
      </c>
      <c r="D8" s="2" t="s">
        <v>1200</v>
      </c>
      <c r="E8" s="21" t="s">
        <v>337</v>
      </c>
      <c r="F8" s="2" t="s">
        <v>976</v>
      </c>
      <c r="G8" s="2" t="s">
        <v>124</v>
      </c>
      <c r="H8" s="2" t="s">
        <v>159</v>
      </c>
      <c r="I8" s="2" t="s">
        <v>1201</v>
      </c>
      <c r="J8" s="2" t="s">
        <v>435</v>
      </c>
      <c r="K8" s="2" t="s">
        <v>35</v>
      </c>
      <c r="L8" s="153">
        <v>-3.1360000000000001</v>
      </c>
      <c r="M8" s="153">
        <v>3.681</v>
      </c>
      <c r="N8" s="164">
        <v>0</v>
      </c>
      <c r="O8" s="153">
        <v>-11.544</v>
      </c>
      <c r="P8" s="167">
        <v>-2.55219237526274E-2</v>
      </c>
      <c r="Q8" s="167">
        <v>-1.14435267605325E-3</v>
      </c>
    </row>
    <row r="9" spans="1:17">
      <c r="A9" s="2" t="s">
        <v>26</v>
      </c>
      <c r="B9" s="2">
        <v>1522</v>
      </c>
      <c r="C9" s="2" t="s">
        <v>1199</v>
      </c>
      <c r="D9" s="2" t="s">
        <v>1200</v>
      </c>
      <c r="E9" s="21" t="s">
        <v>337</v>
      </c>
      <c r="F9" s="2" t="s">
        <v>976</v>
      </c>
      <c r="G9" s="2" t="s">
        <v>124</v>
      </c>
      <c r="H9" s="2" t="s">
        <v>159</v>
      </c>
      <c r="I9" s="2" t="s">
        <v>1201</v>
      </c>
      <c r="J9" s="2" t="s">
        <v>435</v>
      </c>
      <c r="K9" s="2" t="s">
        <v>1205</v>
      </c>
      <c r="L9" s="153">
        <v>2.66</v>
      </c>
      <c r="M9" s="153">
        <v>0.47</v>
      </c>
      <c r="N9" s="164">
        <v>0</v>
      </c>
      <c r="O9" s="153">
        <v>1.2509999999999999</v>
      </c>
      <c r="P9" s="167">
        <v>2.7665277638216999E-3</v>
      </c>
      <c r="Q9" s="167">
        <v>1.24045643290469E-4</v>
      </c>
    </row>
    <row r="10" spans="1:17">
      <c r="A10" s="2" t="s">
        <v>26</v>
      </c>
      <c r="B10" s="2">
        <v>1522</v>
      </c>
      <c r="C10" s="2" t="s">
        <v>1199</v>
      </c>
      <c r="D10" s="2" t="s">
        <v>1200</v>
      </c>
      <c r="E10" s="21" t="s">
        <v>337</v>
      </c>
      <c r="F10" s="2" t="s">
        <v>976</v>
      </c>
      <c r="G10" s="2" t="s">
        <v>124</v>
      </c>
      <c r="H10" s="2" t="s">
        <v>159</v>
      </c>
      <c r="I10" s="2" t="s">
        <v>1201</v>
      </c>
      <c r="J10" s="2" t="s">
        <v>435</v>
      </c>
      <c r="K10" s="2" t="s">
        <v>1206</v>
      </c>
      <c r="L10" s="153">
        <v>7.2050000000000001</v>
      </c>
      <c r="M10" s="153">
        <v>3.9790000000000001</v>
      </c>
      <c r="N10" s="164">
        <v>0</v>
      </c>
      <c r="O10" s="153">
        <v>28.670999999999999</v>
      </c>
      <c r="P10" s="167">
        <v>6.3388048367122599E-2</v>
      </c>
      <c r="Q10" s="167">
        <v>2.8421949490089701E-3</v>
      </c>
    </row>
    <row r="11" spans="1:17">
      <c r="A11" s="2" t="s">
        <v>26</v>
      </c>
      <c r="B11" s="2">
        <v>1522</v>
      </c>
      <c r="C11" s="2" t="s">
        <v>1199</v>
      </c>
      <c r="D11" s="2" t="s">
        <v>1200</v>
      </c>
      <c r="E11" s="21" t="s">
        <v>337</v>
      </c>
      <c r="F11" s="2" t="s">
        <v>976</v>
      </c>
      <c r="G11" s="2" t="s">
        <v>124</v>
      </c>
      <c r="H11" s="2" t="s">
        <v>159</v>
      </c>
      <c r="I11" s="2" t="s">
        <v>1201</v>
      </c>
      <c r="J11" s="2" t="s">
        <v>435</v>
      </c>
      <c r="K11" s="2" t="s">
        <v>1207</v>
      </c>
      <c r="L11" s="153">
        <v>0.67</v>
      </c>
      <c r="M11" s="153">
        <v>2.4329999999999998</v>
      </c>
      <c r="N11" s="164">
        <v>0</v>
      </c>
      <c r="O11" s="153">
        <v>1.6E-2</v>
      </c>
      <c r="P11" s="167">
        <v>3.6058989546631599E-5</v>
      </c>
      <c r="Q11" s="167">
        <v>1.6168139041327601E-6</v>
      </c>
    </row>
    <row r="12" spans="1:17">
      <c r="A12" s="2" t="s">
        <v>26</v>
      </c>
      <c r="B12" s="2">
        <v>1522</v>
      </c>
      <c r="C12" s="2" t="s">
        <v>1199</v>
      </c>
      <c r="D12" s="2" t="s">
        <v>1200</v>
      </c>
      <c r="E12" s="21" t="s">
        <v>337</v>
      </c>
      <c r="F12" s="2" t="s">
        <v>976</v>
      </c>
      <c r="G12" s="2" t="s">
        <v>124</v>
      </c>
      <c r="H12" s="2" t="s">
        <v>159</v>
      </c>
      <c r="I12" s="2" t="s">
        <v>1201</v>
      </c>
      <c r="J12" s="2" t="s">
        <v>435</v>
      </c>
      <c r="K12" s="2" t="s">
        <v>1208</v>
      </c>
      <c r="L12" s="153">
        <v>0.496</v>
      </c>
      <c r="M12" s="153">
        <v>4.6539999999999999</v>
      </c>
      <c r="N12" s="164">
        <v>0</v>
      </c>
      <c r="O12" s="153">
        <v>2.31</v>
      </c>
      <c r="P12" s="167">
        <v>5.1067955341325003E-3</v>
      </c>
      <c r="Q12" s="167">
        <v>2.2897862998825399E-4</v>
      </c>
    </row>
    <row r="13" spans="1:17">
      <c r="A13" s="2" t="s">
        <v>26</v>
      </c>
      <c r="B13" s="2">
        <v>1522</v>
      </c>
      <c r="C13" s="2" t="s">
        <v>1202</v>
      </c>
      <c r="D13" s="2" t="s">
        <v>1203</v>
      </c>
      <c r="E13" s="21" t="s">
        <v>337</v>
      </c>
      <c r="F13" s="2" t="s">
        <v>974</v>
      </c>
      <c r="G13" s="2" t="s">
        <v>31</v>
      </c>
      <c r="H13" s="2" t="s">
        <v>159</v>
      </c>
      <c r="I13" s="2" t="s">
        <v>1201</v>
      </c>
      <c r="J13" s="2" t="s">
        <v>435</v>
      </c>
      <c r="K13" s="2" t="s">
        <v>45</v>
      </c>
      <c r="L13" s="153">
        <v>0</v>
      </c>
      <c r="M13" s="153">
        <v>1</v>
      </c>
      <c r="N13" s="164">
        <v>0</v>
      </c>
      <c r="O13" s="153">
        <v>25.352</v>
      </c>
      <c r="P13" s="167">
        <v>5.6050575709194798E-2</v>
      </c>
      <c r="Q13" s="167">
        <v>2.51319716056041E-3</v>
      </c>
    </row>
    <row r="14" spans="1:17">
      <c r="A14" s="2" t="s">
        <v>26</v>
      </c>
      <c r="B14" s="2">
        <v>9935</v>
      </c>
      <c r="C14" s="2" t="s">
        <v>1199</v>
      </c>
      <c r="D14" s="2" t="s">
        <v>1200</v>
      </c>
      <c r="E14" s="21" t="s">
        <v>337</v>
      </c>
      <c r="F14" s="2" t="s">
        <v>977</v>
      </c>
      <c r="G14" s="2" t="s">
        <v>31</v>
      </c>
      <c r="H14" s="2" t="s">
        <v>159</v>
      </c>
      <c r="I14" s="2" t="s">
        <v>1201</v>
      </c>
      <c r="J14" s="2" t="s">
        <v>435</v>
      </c>
      <c r="K14" s="2" t="s">
        <v>45</v>
      </c>
      <c r="L14" s="153">
        <v>0</v>
      </c>
      <c r="M14" s="153">
        <v>1</v>
      </c>
      <c r="N14" s="164">
        <v>0</v>
      </c>
      <c r="O14" s="153">
        <v>11904.339</v>
      </c>
      <c r="P14" s="167">
        <v>0.22134403687444101</v>
      </c>
      <c r="Q14" s="167">
        <v>1.0859653838031899E-2</v>
      </c>
    </row>
    <row r="15" spans="1:17">
      <c r="A15" s="2" t="s">
        <v>26</v>
      </c>
      <c r="B15" s="2">
        <v>9935</v>
      </c>
      <c r="C15" s="2" t="s">
        <v>1199</v>
      </c>
      <c r="D15" s="2" t="s">
        <v>1200</v>
      </c>
      <c r="E15" s="21" t="s">
        <v>337</v>
      </c>
      <c r="F15" s="2" t="s">
        <v>976</v>
      </c>
      <c r="G15" s="2" t="s">
        <v>31</v>
      </c>
      <c r="H15" s="2" t="s">
        <v>159</v>
      </c>
      <c r="I15" s="2" t="s">
        <v>1201</v>
      </c>
      <c r="J15" s="2" t="s">
        <v>435</v>
      </c>
      <c r="K15" s="2" t="s">
        <v>1204</v>
      </c>
      <c r="L15" s="153">
        <v>18.338999999999999</v>
      </c>
      <c r="M15" s="153">
        <v>4.0739999999999998</v>
      </c>
      <c r="N15" s="164">
        <v>0</v>
      </c>
      <c r="O15" s="153">
        <v>74.713999999999999</v>
      </c>
      <c r="P15" s="167">
        <v>1.3892042152877299E-3</v>
      </c>
      <c r="Q15" s="167">
        <v>6.81575934973901E-5</v>
      </c>
    </row>
    <row r="16" spans="1:17">
      <c r="A16" s="2" t="s">
        <v>26</v>
      </c>
      <c r="B16" s="2">
        <v>9935</v>
      </c>
      <c r="C16" s="2" t="s">
        <v>1199</v>
      </c>
      <c r="D16" s="2" t="s">
        <v>1200</v>
      </c>
      <c r="E16" s="21" t="s">
        <v>337</v>
      </c>
      <c r="F16" s="2" t="s">
        <v>977</v>
      </c>
      <c r="G16" s="2" t="s">
        <v>31</v>
      </c>
      <c r="H16" s="2" t="s">
        <v>159</v>
      </c>
      <c r="I16" s="2" t="s">
        <v>1201</v>
      </c>
      <c r="J16" s="2" t="s">
        <v>435</v>
      </c>
      <c r="K16" s="2" t="s">
        <v>45</v>
      </c>
      <c r="L16" s="153">
        <v>0</v>
      </c>
      <c r="M16" s="153">
        <v>1</v>
      </c>
      <c r="N16" s="164">
        <v>0</v>
      </c>
      <c r="O16" s="153">
        <v>8614.2980000000007</v>
      </c>
      <c r="P16" s="167">
        <v>0.16017046081869399</v>
      </c>
      <c r="Q16" s="167">
        <v>7.8583357569996098E-3</v>
      </c>
    </row>
    <row r="17" spans="1:17">
      <c r="A17" s="2" t="s">
        <v>26</v>
      </c>
      <c r="B17" s="2">
        <v>9935</v>
      </c>
      <c r="C17" s="2" t="s">
        <v>1199</v>
      </c>
      <c r="D17" s="2" t="s">
        <v>1200</v>
      </c>
      <c r="E17" s="21" t="s">
        <v>337</v>
      </c>
      <c r="F17" s="2" t="s">
        <v>976</v>
      </c>
      <c r="G17" s="2" t="s">
        <v>31</v>
      </c>
      <c r="H17" s="2" t="s">
        <v>159</v>
      </c>
      <c r="I17" s="2" t="s">
        <v>1201</v>
      </c>
      <c r="J17" s="2" t="s">
        <v>435</v>
      </c>
      <c r="K17" s="2" t="s">
        <v>1209</v>
      </c>
      <c r="L17" s="153">
        <v>1.1220000000000001</v>
      </c>
      <c r="M17" s="153">
        <v>2.7280000000000002</v>
      </c>
      <c r="N17" s="164">
        <v>0</v>
      </c>
      <c r="O17" s="153">
        <v>3.06</v>
      </c>
      <c r="P17" s="167">
        <v>5.6887626043030702E-5</v>
      </c>
      <c r="Q17" s="167">
        <v>2.7910393937793801E-6</v>
      </c>
    </row>
    <row r="18" spans="1:17">
      <c r="A18" s="2" t="s">
        <v>26</v>
      </c>
      <c r="B18" s="2">
        <v>9935</v>
      </c>
      <c r="C18" s="2" t="s">
        <v>1199</v>
      </c>
      <c r="D18" s="2" t="s">
        <v>1200</v>
      </c>
      <c r="E18" s="21" t="s">
        <v>337</v>
      </c>
      <c r="F18" s="2" t="s">
        <v>977</v>
      </c>
      <c r="G18" s="2" t="s">
        <v>31</v>
      </c>
      <c r="H18" s="2" t="s">
        <v>159</v>
      </c>
      <c r="I18" s="2" t="s">
        <v>1201</v>
      </c>
      <c r="J18" s="2" t="s">
        <v>435</v>
      </c>
      <c r="K18" s="2" t="s">
        <v>45</v>
      </c>
      <c r="L18" s="153">
        <v>0</v>
      </c>
      <c r="M18" s="153">
        <v>1</v>
      </c>
      <c r="N18" s="164">
        <v>0</v>
      </c>
      <c r="O18" s="153">
        <v>20199.095000000001</v>
      </c>
      <c r="P18" s="167">
        <v>0.375573084010494</v>
      </c>
      <c r="Q18" s="167">
        <v>1.84264900054644E-2</v>
      </c>
    </row>
    <row r="19" spans="1:17">
      <c r="A19" s="2" t="s">
        <v>26</v>
      </c>
      <c r="B19" s="2">
        <v>9935</v>
      </c>
      <c r="C19" s="2" t="s">
        <v>1199</v>
      </c>
      <c r="D19" s="2" t="s">
        <v>1200</v>
      </c>
      <c r="E19" s="21" t="s">
        <v>337</v>
      </c>
      <c r="F19" s="2" t="s">
        <v>976</v>
      </c>
      <c r="G19" s="2" t="s">
        <v>31</v>
      </c>
      <c r="H19" s="2" t="s">
        <v>159</v>
      </c>
      <c r="I19" s="2" t="s">
        <v>1201</v>
      </c>
      <c r="J19" s="2" t="s">
        <v>435</v>
      </c>
      <c r="K19" s="2" t="s">
        <v>1204</v>
      </c>
      <c r="L19" s="153">
        <v>105.87</v>
      </c>
      <c r="M19" s="153">
        <v>4.0739999999999998</v>
      </c>
      <c r="N19" s="164">
        <v>0</v>
      </c>
      <c r="O19" s="153">
        <v>431.31599999999997</v>
      </c>
      <c r="P19" s="167">
        <v>8.0196940458360701E-3</v>
      </c>
      <c r="Q19" s="167">
        <v>3.9346486336159202E-4</v>
      </c>
    </row>
    <row r="20" spans="1:17">
      <c r="A20" s="2" t="s">
        <v>26</v>
      </c>
      <c r="B20" s="2">
        <v>9935</v>
      </c>
      <c r="C20" s="2" t="s">
        <v>1202</v>
      </c>
      <c r="D20" s="2" t="s">
        <v>1203</v>
      </c>
      <c r="E20" s="21" t="s">
        <v>337</v>
      </c>
      <c r="F20" s="2" t="s">
        <v>974</v>
      </c>
      <c r="G20" s="2" t="s">
        <v>31</v>
      </c>
      <c r="H20" s="2" t="s">
        <v>159</v>
      </c>
      <c r="I20" s="2" t="s">
        <v>1201</v>
      </c>
      <c r="J20" s="2" t="s">
        <v>435</v>
      </c>
      <c r="K20" s="2" t="s">
        <v>45</v>
      </c>
      <c r="L20" s="153">
        <v>0</v>
      </c>
      <c r="M20" s="153">
        <v>1</v>
      </c>
      <c r="N20" s="164">
        <v>0</v>
      </c>
      <c r="O20" s="153">
        <v>-1398.229</v>
      </c>
      <c r="P20" s="167">
        <v>-2.5998057973896201E-2</v>
      </c>
      <c r="Q20" s="167">
        <v>-1.27552525943019E-3</v>
      </c>
    </row>
    <row r="21" spans="1:17">
      <c r="A21" s="2" t="s">
        <v>26</v>
      </c>
      <c r="B21" s="2">
        <v>9935</v>
      </c>
      <c r="C21" s="2" t="s">
        <v>1199</v>
      </c>
      <c r="D21" s="2" t="s">
        <v>1200</v>
      </c>
      <c r="E21" s="4" t="s">
        <v>337</v>
      </c>
      <c r="F21" s="2" t="s">
        <v>976</v>
      </c>
      <c r="G21" s="2" t="s">
        <v>124</v>
      </c>
      <c r="H21" s="2" t="s">
        <v>159</v>
      </c>
      <c r="I21" s="2" t="s">
        <v>1201</v>
      </c>
      <c r="J21" s="2" t="s">
        <v>435</v>
      </c>
      <c r="K21" s="2" t="s">
        <v>35</v>
      </c>
      <c r="L21" s="153">
        <v>1514.874</v>
      </c>
      <c r="M21" s="153">
        <v>3.681</v>
      </c>
      <c r="N21" s="165">
        <v>0</v>
      </c>
      <c r="O21" s="153">
        <v>5576.2529999999997</v>
      </c>
      <c r="P21" s="167">
        <v>0.10368239198092501</v>
      </c>
      <c r="Q21" s="167">
        <v>5.0868995700601603E-3</v>
      </c>
    </row>
    <row r="22" spans="1:17">
      <c r="A22" s="2" t="s">
        <v>26</v>
      </c>
      <c r="B22" s="2">
        <v>9935</v>
      </c>
      <c r="C22" s="2" t="s">
        <v>1199</v>
      </c>
      <c r="D22" s="2" t="s">
        <v>1200</v>
      </c>
      <c r="E22" s="4" t="s">
        <v>337</v>
      </c>
      <c r="F22" s="2" t="s">
        <v>976</v>
      </c>
      <c r="G22" s="2" t="s">
        <v>124</v>
      </c>
      <c r="H22" s="2" t="s">
        <v>159</v>
      </c>
      <c r="I22" s="2" t="s">
        <v>1201</v>
      </c>
      <c r="J22" s="2" t="s">
        <v>435</v>
      </c>
      <c r="K22" s="2" t="s">
        <v>1205</v>
      </c>
      <c r="L22" s="153">
        <v>1E-3</v>
      </c>
      <c r="M22" s="153">
        <v>0.47</v>
      </c>
      <c r="N22" s="165">
        <v>0</v>
      </c>
      <c r="O22" s="153">
        <v>0</v>
      </c>
      <c r="P22" s="167">
        <v>5.6851669072949608E-9</v>
      </c>
      <c r="Q22" s="167">
        <v>2.78927526110312E-10</v>
      </c>
    </row>
    <row r="23" spans="1:17">
      <c r="A23" s="2" t="s">
        <v>26</v>
      </c>
      <c r="B23" s="2">
        <v>9935</v>
      </c>
      <c r="C23" s="2" t="s">
        <v>1199</v>
      </c>
      <c r="D23" s="2" t="s">
        <v>1200</v>
      </c>
      <c r="E23" s="4" t="s">
        <v>337</v>
      </c>
      <c r="F23" s="2" t="s">
        <v>976</v>
      </c>
      <c r="G23" s="2" t="s">
        <v>124</v>
      </c>
      <c r="H23" s="2" t="s">
        <v>159</v>
      </c>
      <c r="I23" s="2" t="s">
        <v>1201</v>
      </c>
      <c r="J23" s="2" t="s">
        <v>435</v>
      </c>
      <c r="K23" s="2" t="s">
        <v>1206</v>
      </c>
      <c r="L23" s="153">
        <v>30.11</v>
      </c>
      <c r="M23" s="153">
        <v>3.9790000000000001</v>
      </c>
      <c r="N23" s="165">
        <v>0</v>
      </c>
      <c r="O23" s="153">
        <v>119.813</v>
      </c>
      <c r="P23" s="167">
        <v>2.2277437113106899E-3</v>
      </c>
      <c r="Q23" s="167">
        <v>1.09298293671267E-4</v>
      </c>
    </row>
    <row r="24" spans="1:17">
      <c r="A24" s="2" t="s">
        <v>26</v>
      </c>
      <c r="B24" s="2">
        <v>9935</v>
      </c>
      <c r="C24" s="2" t="s">
        <v>1199</v>
      </c>
      <c r="D24" s="2" t="s">
        <v>1200</v>
      </c>
      <c r="E24" s="4" t="s">
        <v>337</v>
      </c>
      <c r="F24" s="2" t="s">
        <v>976</v>
      </c>
      <c r="G24" s="2" t="s">
        <v>124</v>
      </c>
      <c r="H24" s="2" t="s">
        <v>159</v>
      </c>
      <c r="I24" s="2" t="s">
        <v>1201</v>
      </c>
      <c r="J24" s="2" t="s">
        <v>435</v>
      </c>
      <c r="K24" s="2" t="s">
        <v>1207</v>
      </c>
      <c r="L24" s="153">
        <v>3046.83</v>
      </c>
      <c r="M24" s="153">
        <v>2.4329999999999998</v>
      </c>
      <c r="N24" s="165">
        <v>0</v>
      </c>
      <c r="O24" s="153">
        <v>74.141999999999996</v>
      </c>
      <c r="P24" s="167">
        <v>1.37855556744874E-3</v>
      </c>
      <c r="Q24" s="167">
        <v>6.7635146039543602E-5</v>
      </c>
    </row>
    <row r="25" spans="1:17">
      <c r="A25" s="2" t="s">
        <v>26</v>
      </c>
      <c r="B25" s="2">
        <v>9935</v>
      </c>
      <c r="C25" s="2" t="s">
        <v>1199</v>
      </c>
      <c r="D25" s="2" t="s">
        <v>1200</v>
      </c>
      <c r="E25" s="4" t="s">
        <v>337</v>
      </c>
      <c r="F25" s="2" t="s">
        <v>974</v>
      </c>
      <c r="G25" s="2" t="s">
        <v>31</v>
      </c>
      <c r="H25" s="2" t="s">
        <v>159</v>
      </c>
      <c r="I25" s="2" t="s">
        <v>1201</v>
      </c>
      <c r="J25" s="2" t="s">
        <v>435</v>
      </c>
      <c r="K25" s="2" t="s">
        <v>45</v>
      </c>
      <c r="L25" s="153">
        <v>0</v>
      </c>
      <c r="M25" s="153">
        <v>1</v>
      </c>
      <c r="N25" s="165">
        <v>0</v>
      </c>
      <c r="O25" s="153">
        <v>-1E-3</v>
      </c>
      <c r="P25" s="167">
        <v>-1.2457685203714099E-8</v>
      </c>
      <c r="Q25" s="167">
        <v>-6.1120304321660505E-10</v>
      </c>
    </row>
    <row r="26" spans="1:17">
      <c r="A26" s="2" t="s">
        <v>26</v>
      </c>
      <c r="B26" s="2">
        <v>9935</v>
      </c>
      <c r="C26" s="2" t="s">
        <v>1199</v>
      </c>
      <c r="D26" s="2" t="s">
        <v>1200</v>
      </c>
      <c r="E26" s="4" t="s">
        <v>337</v>
      </c>
      <c r="F26" s="2" t="s">
        <v>976</v>
      </c>
      <c r="G26" s="2" t="s">
        <v>124</v>
      </c>
      <c r="H26" s="2" t="s">
        <v>159</v>
      </c>
      <c r="I26" s="2" t="s">
        <v>1201</v>
      </c>
      <c r="J26" s="2" t="s">
        <v>435</v>
      </c>
      <c r="K26" s="2" t="s">
        <v>35</v>
      </c>
      <c r="L26" s="153">
        <v>1517.98</v>
      </c>
      <c r="M26" s="153">
        <v>3.681</v>
      </c>
      <c r="N26" s="165">
        <v>0</v>
      </c>
      <c r="O26" s="153">
        <v>5587.6859999999997</v>
      </c>
      <c r="P26" s="167">
        <v>0.10389497903301501</v>
      </c>
      <c r="Q26" s="167">
        <v>5.0973295858344602E-3</v>
      </c>
    </row>
    <row r="27" spans="1:17">
      <c r="A27" s="2" t="s">
        <v>26</v>
      </c>
      <c r="B27" s="2">
        <v>9935</v>
      </c>
      <c r="C27" s="2" t="s">
        <v>1199</v>
      </c>
      <c r="D27" s="2" t="s">
        <v>1200</v>
      </c>
      <c r="E27" s="4" t="s">
        <v>337</v>
      </c>
      <c r="F27" s="2" t="s">
        <v>976</v>
      </c>
      <c r="G27" s="2" t="s">
        <v>124</v>
      </c>
      <c r="H27" s="2" t="s">
        <v>159</v>
      </c>
      <c r="I27" s="2" t="s">
        <v>1201</v>
      </c>
      <c r="J27" s="2" t="s">
        <v>435</v>
      </c>
      <c r="K27" s="2" t="s">
        <v>1206</v>
      </c>
      <c r="L27" s="153">
        <v>213.08600000000001</v>
      </c>
      <c r="M27" s="153">
        <v>3.9790000000000001</v>
      </c>
      <c r="N27" s="165">
        <v>0</v>
      </c>
      <c r="O27" s="153">
        <v>847.88900000000001</v>
      </c>
      <c r="P27" s="167">
        <v>1.57652837019585E-2</v>
      </c>
      <c r="Q27" s="167">
        <v>7.7348152712490895E-4</v>
      </c>
    </row>
    <row r="28" spans="1:17">
      <c r="A28" s="2" t="s">
        <v>26</v>
      </c>
      <c r="B28" s="2">
        <v>9935</v>
      </c>
      <c r="C28" s="2" t="s">
        <v>1199</v>
      </c>
      <c r="D28" s="2" t="s">
        <v>1200</v>
      </c>
      <c r="E28" s="4" t="s">
        <v>337</v>
      </c>
      <c r="F28" s="2" t="s">
        <v>976</v>
      </c>
      <c r="G28" s="2" t="s">
        <v>124</v>
      </c>
      <c r="H28" s="2" t="s">
        <v>159</v>
      </c>
      <c r="I28" s="2" t="s">
        <v>1201</v>
      </c>
      <c r="J28" s="2" t="s">
        <v>435</v>
      </c>
      <c r="K28" s="2" t="s">
        <v>1208</v>
      </c>
      <c r="L28" s="153">
        <v>88.138999999999996</v>
      </c>
      <c r="M28" s="153">
        <v>4.6539999999999999</v>
      </c>
      <c r="N28" s="165">
        <v>0</v>
      </c>
      <c r="O28" s="153">
        <v>410.15499999999997</v>
      </c>
      <c r="P28" s="167">
        <v>7.6262454860371301E-3</v>
      </c>
      <c r="Q28" s="167">
        <v>3.7416136089175802E-4</v>
      </c>
    </row>
    <row r="29" spans="1:17">
      <c r="A29" s="2" t="s">
        <v>26</v>
      </c>
      <c r="B29" s="2">
        <v>9935</v>
      </c>
      <c r="C29" s="2" t="s">
        <v>1199</v>
      </c>
      <c r="D29" s="2" t="s">
        <v>1200</v>
      </c>
      <c r="E29" s="4" t="s">
        <v>337</v>
      </c>
      <c r="F29" s="2" t="s">
        <v>974</v>
      </c>
      <c r="G29" s="2" t="s">
        <v>31</v>
      </c>
      <c r="H29" s="2" t="s">
        <v>159</v>
      </c>
      <c r="I29" s="2" t="s">
        <v>1201</v>
      </c>
      <c r="J29" s="2" t="s">
        <v>435</v>
      </c>
      <c r="K29" s="2" t="s">
        <v>45</v>
      </c>
      <c r="L29" s="153">
        <v>0</v>
      </c>
      <c r="M29" s="153">
        <v>1</v>
      </c>
      <c r="N29" s="165">
        <v>0</v>
      </c>
      <c r="O29" s="153">
        <v>-1E-3</v>
      </c>
      <c r="P29" s="167">
        <v>-1.4131105604212999E-8</v>
      </c>
      <c r="Q29" s="167">
        <v>-6.9330494454420899E-10</v>
      </c>
    </row>
    <row r="30" spans="1:17">
      <c r="A30" s="2" t="s">
        <v>26</v>
      </c>
      <c r="B30" s="2">
        <v>9935</v>
      </c>
      <c r="C30" s="2" t="s">
        <v>1199</v>
      </c>
      <c r="D30" s="2" t="s">
        <v>1200</v>
      </c>
      <c r="E30" s="4" t="s">
        <v>337</v>
      </c>
      <c r="F30" s="2" t="s">
        <v>976</v>
      </c>
      <c r="G30" s="2" t="s">
        <v>124</v>
      </c>
      <c r="H30" s="2" t="s">
        <v>159</v>
      </c>
      <c r="I30" s="2" t="s">
        <v>1201</v>
      </c>
      <c r="J30" s="2" t="s">
        <v>435</v>
      </c>
      <c r="K30" s="2" t="s">
        <v>35</v>
      </c>
      <c r="L30" s="153">
        <v>2582.5610000000001</v>
      </c>
      <c r="M30" s="153">
        <v>3.681</v>
      </c>
      <c r="N30" s="165">
        <v>0</v>
      </c>
      <c r="O30" s="153">
        <v>641.56799999999998</v>
      </c>
      <c r="P30" s="167">
        <v>1.1929039365344399E-2</v>
      </c>
      <c r="Q30" s="167">
        <v>5.8526644745971195E-4</v>
      </c>
    </row>
    <row r="31" spans="1:17">
      <c r="A31" s="2" t="s">
        <v>26</v>
      </c>
      <c r="B31" s="2">
        <v>9935</v>
      </c>
      <c r="C31" s="2" t="s">
        <v>1199</v>
      </c>
      <c r="D31" s="2" t="s">
        <v>1200</v>
      </c>
      <c r="E31" s="4" t="s">
        <v>337</v>
      </c>
      <c r="F31" s="2" t="s">
        <v>976</v>
      </c>
      <c r="G31" s="2" t="s">
        <v>124</v>
      </c>
      <c r="H31" s="2" t="s">
        <v>159</v>
      </c>
      <c r="I31" s="2" t="s">
        <v>1201</v>
      </c>
      <c r="J31" s="2" t="s">
        <v>435</v>
      </c>
      <c r="K31" s="2" t="s">
        <v>1205</v>
      </c>
      <c r="L31" s="153">
        <v>1.5029999999999999</v>
      </c>
      <c r="M31" s="153">
        <v>0.47</v>
      </c>
      <c r="N31" s="165">
        <v>0</v>
      </c>
      <c r="O31" s="153">
        <v>0.70699999999999996</v>
      </c>
      <c r="P31" s="167">
        <v>1.3142531535753199E-5</v>
      </c>
      <c r="Q31" s="167">
        <v>6.4480319889827305E-7</v>
      </c>
    </row>
    <row r="32" spans="1:17">
      <c r="A32" s="2" t="s">
        <v>26</v>
      </c>
      <c r="B32" s="2">
        <v>9935</v>
      </c>
      <c r="C32" s="2" t="s">
        <v>1199</v>
      </c>
      <c r="D32" s="2" t="s">
        <v>1200</v>
      </c>
      <c r="E32" s="4" t="s">
        <v>337</v>
      </c>
      <c r="F32" s="2" t="s">
        <v>976</v>
      </c>
      <c r="G32" s="2" t="s">
        <v>124</v>
      </c>
      <c r="H32" s="2" t="s">
        <v>159</v>
      </c>
      <c r="I32" s="2" t="s">
        <v>1201</v>
      </c>
      <c r="J32" s="2" t="s">
        <v>435</v>
      </c>
      <c r="K32" s="2" t="s">
        <v>1206</v>
      </c>
      <c r="L32" s="153">
        <v>173.46299999999999</v>
      </c>
      <c r="M32" s="153">
        <v>3.9790000000000001</v>
      </c>
      <c r="N32" s="165">
        <v>0</v>
      </c>
      <c r="O32" s="153">
        <v>690.22699999999998</v>
      </c>
      <c r="P32" s="167">
        <v>1.28337856747354E-2</v>
      </c>
      <c r="Q32" s="167">
        <v>6.2965540805681698E-4</v>
      </c>
    </row>
    <row r="33" spans="1:17">
      <c r="A33" s="2" t="s">
        <v>26</v>
      </c>
      <c r="B33" s="2">
        <v>9935</v>
      </c>
      <c r="C33" s="2" t="s">
        <v>1199</v>
      </c>
      <c r="D33" s="2" t="s">
        <v>1200</v>
      </c>
      <c r="E33" s="4" t="s">
        <v>337</v>
      </c>
      <c r="F33" s="2" t="s">
        <v>976</v>
      </c>
      <c r="G33" s="2" t="s">
        <v>124</v>
      </c>
      <c r="H33" s="2" t="s">
        <v>159</v>
      </c>
      <c r="I33" s="2" t="s">
        <v>1201</v>
      </c>
      <c r="J33" s="2" t="s">
        <v>435</v>
      </c>
      <c r="K33" s="2" t="s">
        <v>1208</v>
      </c>
      <c r="L33" s="153">
        <v>1.081</v>
      </c>
      <c r="M33" s="153">
        <v>4.6539999999999999</v>
      </c>
      <c r="N33" s="165">
        <v>0</v>
      </c>
      <c r="O33" s="153">
        <v>5.032</v>
      </c>
      <c r="P33" s="167">
        <v>9.3566546686110503E-5</v>
      </c>
      <c r="Q33" s="167">
        <v>4.5905926456360701E-6</v>
      </c>
    </row>
    <row r="34" spans="1:17">
      <c r="A34" s="2" t="s">
        <v>26</v>
      </c>
      <c r="B34" s="2">
        <v>9935</v>
      </c>
      <c r="C34" s="2" t="s">
        <v>1199</v>
      </c>
      <c r="D34" s="2" t="s">
        <v>1200</v>
      </c>
      <c r="E34" s="4" t="s">
        <v>337</v>
      </c>
      <c r="F34" s="2" t="s">
        <v>974</v>
      </c>
      <c r="G34" s="2" t="s">
        <v>31</v>
      </c>
      <c r="H34" s="2" t="s">
        <v>159</v>
      </c>
      <c r="I34" s="2" t="s">
        <v>1201</v>
      </c>
      <c r="J34" s="2" t="s">
        <v>435</v>
      </c>
      <c r="K34" s="2" t="s">
        <v>45</v>
      </c>
      <c r="L34" s="153">
        <v>0</v>
      </c>
      <c r="M34" s="153">
        <v>1</v>
      </c>
      <c r="N34" s="165">
        <v>0</v>
      </c>
      <c r="O34" s="153">
        <v>-1E-3</v>
      </c>
      <c r="P34" s="167">
        <v>-2.3985692407151001E-8</v>
      </c>
      <c r="Q34" s="167">
        <v>-1.1767939190289902E-9</v>
      </c>
    </row>
    <row r="35" spans="1:17">
      <c r="A35" s="2" t="s">
        <v>26</v>
      </c>
      <c r="B35" s="2">
        <v>9936</v>
      </c>
      <c r="C35" s="2" t="s">
        <v>1199</v>
      </c>
      <c r="D35" s="2" t="s">
        <v>1200</v>
      </c>
      <c r="E35" s="4" t="s">
        <v>337</v>
      </c>
      <c r="F35" s="2" t="s">
        <v>977</v>
      </c>
      <c r="G35" s="2" t="s">
        <v>31</v>
      </c>
      <c r="H35" s="2" t="s">
        <v>159</v>
      </c>
      <c r="I35" s="2" t="s">
        <v>1201</v>
      </c>
      <c r="J35" s="2" t="s">
        <v>435</v>
      </c>
      <c r="K35" s="2" t="s">
        <v>45</v>
      </c>
      <c r="L35" s="153">
        <v>0</v>
      </c>
      <c r="M35" s="153">
        <v>1</v>
      </c>
      <c r="N35" s="165">
        <v>0</v>
      </c>
      <c r="O35" s="153">
        <v>956.31399999999996</v>
      </c>
      <c r="P35" s="167">
        <v>0.64365800578644194</v>
      </c>
      <c r="Q35" s="167">
        <v>6.2821752012809803E-2</v>
      </c>
    </row>
    <row r="36" spans="1:17">
      <c r="A36" s="2" t="s">
        <v>26</v>
      </c>
      <c r="B36" s="2">
        <v>9936</v>
      </c>
      <c r="C36" s="2" t="s">
        <v>1199</v>
      </c>
      <c r="D36" s="2" t="s">
        <v>1200</v>
      </c>
      <c r="E36" s="4" t="s">
        <v>337</v>
      </c>
      <c r="F36" s="2" t="s">
        <v>976</v>
      </c>
      <c r="G36" s="2" t="s">
        <v>31</v>
      </c>
      <c r="H36" s="2" t="s">
        <v>159</v>
      </c>
      <c r="I36" s="2" t="s">
        <v>1201</v>
      </c>
      <c r="J36" s="2" t="s">
        <v>435</v>
      </c>
      <c r="K36" s="2" t="s">
        <v>1204</v>
      </c>
      <c r="L36" s="153">
        <v>3.6389999999999998</v>
      </c>
      <c r="M36" s="153">
        <v>4.0739999999999998</v>
      </c>
      <c r="N36" s="165">
        <v>0</v>
      </c>
      <c r="O36" s="153">
        <v>14.824</v>
      </c>
      <c r="P36" s="167">
        <v>9.9775061745252195E-3</v>
      </c>
      <c r="Q36" s="167">
        <v>9.73815928594646E-4</v>
      </c>
    </row>
    <row r="37" spans="1:17">
      <c r="A37" s="2" t="s">
        <v>26</v>
      </c>
      <c r="B37" s="2">
        <v>9936</v>
      </c>
      <c r="C37" s="2" t="s">
        <v>1202</v>
      </c>
      <c r="D37" s="2" t="s">
        <v>1203</v>
      </c>
      <c r="E37" s="4" t="s">
        <v>337</v>
      </c>
      <c r="F37" s="2" t="s">
        <v>974</v>
      </c>
      <c r="G37" s="2" t="s">
        <v>31</v>
      </c>
      <c r="H37" s="2" t="s">
        <v>159</v>
      </c>
      <c r="I37" s="2" t="s">
        <v>1201</v>
      </c>
      <c r="J37" s="2" t="s">
        <v>435</v>
      </c>
      <c r="K37" s="2" t="s">
        <v>45</v>
      </c>
      <c r="L37" s="153">
        <v>0</v>
      </c>
      <c r="M37" s="153">
        <v>1</v>
      </c>
      <c r="N37" s="165">
        <v>0</v>
      </c>
      <c r="O37" s="153">
        <v>427.21899999999999</v>
      </c>
      <c r="P37" s="167">
        <v>0.28754463474613301</v>
      </c>
      <c r="Q37" s="167">
        <v>2.8064682757366299E-2</v>
      </c>
    </row>
    <row r="38" spans="1:17">
      <c r="A38" s="2" t="s">
        <v>26</v>
      </c>
      <c r="B38" s="2">
        <v>9936</v>
      </c>
      <c r="C38" s="2" t="s">
        <v>1199</v>
      </c>
      <c r="D38" s="2" t="s">
        <v>1200</v>
      </c>
      <c r="E38" s="4" t="s">
        <v>337</v>
      </c>
      <c r="F38" s="2" t="s">
        <v>976</v>
      </c>
      <c r="G38" s="2" t="s">
        <v>124</v>
      </c>
      <c r="H38" s="2" t="s">
        <v>159</v>
      </c>
      <c r="I38" s="2" t="s">
        <v>1201</v>
      </c>
      <c r="J38" s="2" t="s">
        <v>435</v>
      </c>
      <c r="K38" s="2" t="s">
        <v>35</v>
      </c>
      <c r="L38" s="153">
        <v>13.887</v>
      </c>
      <c r="M38" s="153">
        <v>3.681</v>
      </c>
      <c r="N38" s="165">
        <v>0</v>
      </c>
      <c r="O38" s="153">
        <v>51.118000000000002</v>
      </c>
      <c r="P38" s="167">
        <v>3.4405810842516101E-2</v>
      </c>
      <c r="Q38" s="167">
        <v>3.3580461939679901E-3</v>
      </c>
    </row>
    <row r="39" spans="1:17">
      <c r="A39" s="2" t="s">
        <v>26</v>
      </c>
      <c r="B39" s="2">
        <v>9936</v>
      </c>
      <c r="C39" s="2" t="s">
        <v>1199</v>
      </c>
      <c r="D39" s="2" t="s">
        <v>1200</v>
      </c>
      <c r="E39" s="4" t="s">
        <v>337</v>
      </c>
      <c r="F39" s="2" t="s">
        <v>976</v>
      </c>
      <c r="G39" s="2" t="s">
        <v>124</v>
      </c>
      <c r="H39" s="2" t="s">
        <v>159</v>
      </c>
      <c r="I39" s="2" t="s">
        <v>1201</v>
      </c>
      <c r="J39" s="2" t="s">
        <v>435</v>
      </c>
      <c r="K39" s="2" t="s">
        <v>1205</v>
      </c>
      <c r="L39" s="153">
        <v>0.47099999999999997</v>
      </c>
      <c r="M39" s="153">
        <v>0.47</v>
      </c>
      <c r="N39" s="165">
        <v>0</v>
      </c>
      <c r="O39" s="153">
        <v>0.222</v>
      </c>
      <c r="P39" s="167">
        <v>1.4919207620901599E-4</v>
      </c>
      <c r="Q39" s="167">
        <v>1.45613159933083E-5</v>
      </c>
    </row>
    <row r="40" spans="1:17">
      <c r="A40" s="2" t="s">
        <v>26</v>
      </c>
      <c r="B40" s="2">
        <v>9936</v>
      </c>
      <c r="C40" s="2" t="s">
        <v>1199</v>
      </c>
      <c r="D40" s="2" t="s">
        <v>1200</v>
      </c>
      <c r="E40" s="4" t="s">
        <v>337</v>
      </c>
      <c r="F40" s="2" t="s">
        <v>976</v>
      </c>
      <c r="G40" s="2" t="s">
        <v>124</v>
      </c>
      <c r="H40" s="2" t="s">
        <v>159</v>
      </c>
      <c r="I40" s="2" t="s">
        <v>1201</v>
      </c>
      <c r="J40" s="2" t="s">
        <v>435</v>
      </c>
      <c r="K40" s="2" t="s">
        <v>1206</v>
      </c>
      <c r="L40" s="153">
        <v>8.7420000000000009</v>
      </c>
      <c r="M40" s="153">
        <v>3.9790000000000001</v>
      </c>
      <c r="N40" s="165">
        <v>0</v>
      </c>
      <c r="O40" s="153">
        <v>34.784999999999997</v>
      </c>
      <c r="P40" s="167">
        <v>2.34125327798691E-2</v>
      </c>
      <c r="Q40" s="167">
        <v>2.28508977603973E-3</v>
      </c>
    </row>
    <row r="41" spans="1:17">
      <c r="A41" s="2" t="s">
        <v>26</v>
      </c>
      <c r="B41" s="2">
        <v>9936</v>
      </c>
      <c r="C41" s="2" t="s">
        <v>1199</v>
      </c>
      <c r="D41" s="2" t="s">
        <v>1200</v>
      </c>
      <c r="E41" s="4" t="s">
        <v>337</v>
      </c>
      <c r="F41" s="2" t="s">
        <v>976</v>
      </c>
      <c r="G41" s="2" t="s">
        <v>124</v>
      </c>
      <c r="H41" s="2" t="s">
        <v>159</v>
      </c>
      <c r="I41" s="2" t="s">
        <v>1201</v>
      </c>
      <c r="J41" s="2" t="s">
        <v>435</v>
      </c>
      <c r="K41" s="2" t="s">
        <v>1207</v>
      </c>
      <c r="L41" s="153">
        <v>3.0310000000000001</v>
      </c>
      <c r="M41" s="153">
        <v>2.4329999999999998</v>
      </c>
      <c r="N41" s="165">
        <v>0</v>
      </c>
      <c r="O41" s="153">
        <v>7.3999999999999996E-2</v>
      </c>
      <c r="P41" s="167">
        <v>4.9644034099653603E-5</v>
      </c>
      <c r="Q41" s="167">
        <v>4.8453140815258801E-6</v>
      </c>
    </row>
    <row r="42" spans="1:17">
      <c r="A42" s="2" t="s">
        <v>26</v>
      </c>
      <c r="B42" s="2">
        <v>9936</v>
      </c>
      <c r="C42" s="2" t="s">
        <v>1199</v>
      </c>
      <c r="D42" s="2" t="s">
        <v>1200</v>
      </c>
      <c r="E42" s="4" t="s">
        <v>337</v>
      </c>
      <c r="F42" s="2" t="s">
        <v>976</v>
      </c>
      <c r="G42" s="2" t="s">
        <v>124</v>
      </c>
      <c r="H42" s="2" t="s">
        <v>159</v>
      </c>
      <c r="I42" s="2" t="s">
        <v>1201</v>
      </c>
      <c r="J42" s="2" t="s">
        <v>435</v>
      </c>
      <c r="K42" s="2" t="s">
        <v>1208</v>
      </c>
      <c r="L42" s="153">
        <v>0.25600000000000001</v>
      </c>
      <c r="M42" s="153">
        <v>4.6539999999999999</v>
      </c>
      <c r="N42" s="165">
        <v>0</v>
      </c>
      <c r="O42" s="153">
        <v>1.1919999999999999</v>
      </c>
      <c r="P42" s="167">
        <v>8.0222260902135397E-4</v>
      </c>
      <c r="Q42" s="167">
        <v>7.8297837283064698E-5</v>
      </c>
    </row>
    <row r="43" spans="1:17">
      <c r="A43" s="2" t="s">
        <v>26</v>
      </c>
      <c r="B43" s="2">
        <v>9936</v>
      </c>
      <c r="C43" s="2" t="s">
        <v>1199</v>
      </c>
      <c r="D43" s="2" t="s">
        <v>1200</v>
      </c>
      <c r="E43" s="4" t="s">
        <v>337</v>
      </c>
      <c r="F43" s="2" t="s">
        <v>974</v>
      </c>
      <c r="G43" s="2" t="s">
        <v>31</v>
      </c>
      <c r="H43" s="2" t="s">
        <v>159</v>
      </c>
      <c r="I43" s="2" t="s">
        <v>1201</v>
      </c>
      <c r="J43" s="2" t="s">
        <v>435</v>
      </c>
      <c r="K43" s="2" t="s">
        <v>45</v>
      </c>
      <c r="L43" s="153">
        <v>0</v>
      </c>
      <c r="M43" s="153">
        <v>1</v>
      </c>
      <c r="N43" s="165">
        <v>0</v>
      </c>
      <c r="O43" s="153">
        <v>1E-3</v>
      </c>
      <c r="P43" s="167">
        <v>4.5095118498693299E-7</v>
      </c>
      <c r="Q43" s="167">
        <v>4.4013347551729502E-8</v>
      </c>
    </row>
    <row r="44" spans="1:17">
      <c r="A44" s="2" t="s">
        <v>26</v>
      </c>
      <c r="B44" s="2">
        <v>9937</v>
      </c>
      <c r="C44" s="2" t="s">
        <v>1199</v>
      </c>
      <c r="D44" s="2" t="s">
        <v>1200</v>
      </c>
      <c r="E44" s="4" t="s">
        <v>337</v>
      </c>
      <c r="F44" s="2" t="s">
        <v>976</v>
      </c>
      <c r="G44" s="2" t="s">
        <v>31</v>
      </c>
      <c r="H44" s="2" t="s">
        <v>159</v>
      </c>
      <c r="I44" s="2" t="s">
        <v>1201</v>
      </c>
      <c r="J44" s="2" t="s">
        <v>435</v>
      </c>
      <c r="K44" s="2" t="s">
        <v>1209</v>
      </c>
      <c r="L44" s="153">
        <v>0.13900000000000001</v>
      </c>
      <c r="M44" s="153">
        <v>2.7280000000000002</v>
      </c>
      <c r="N44" s="165">
        <v>0</v>
      </c>
      <c r="O44" s="153">
        <v>0.379</v>
      </c>
      <c r="P44" s="167">
        <v>3.4437618291310602E-4</v>
      </c>
      <c r="Q44" s="167">
        <v>1.2048067940814199E-5</v>
      </c>
    </row>
    <row r="45" spans="1:17">
      <c r="A45" s="2" t="s">
        <v>26</v>
      </c>
      <c r="B45" s="2">
        <v>9937</v>
      </c>
      <c r="C45" s="2" t="s">
        <v>1199</v>
      </c>
      <c r="D45" s="2" t="s">
        <v>1200</v>
      </c>
      <c r="E45" s="4" t="s">
        <v>337</v>
      </c>
      <c r="F45" s="2" t="s">
        <v>977</v>
      </c>
      <c r="G45" s="2" t="s">
        <v>31</v>
      </c>
      <c r="H45" s="2" t="s">
        <v>159</v>
      </c>
      <c r="I45" s="2" t="s">
        <v>1201</v>
      </c>
      <c r="J45" s="2" t="s">
        <v>435</v>
      </c>
      <c r="K45" s="2" t="s">
        <v>45</v>
      </c>
      <c r="L45" s="153">
        <v>0</v>
      </c>
      <c r="M45" s="153">
        <v>1</v>
      </c>
      <c r="N45" s="165">
        <v>0</v>
      </c>
      <c r="O45" s="153">
        <v>1296.317</v>
      </c>
      <c r="P45" s="167">
        <v>1.17856608735902</v>
      </c>
      <c r="Q45" s="167">
        <v>4.1232364483300997E-2</v>
      </c>
    </row>
    <row r="46" spans="1:17">
      <c r="A46" s="2" t="s">
        <v>26</v>
      </c>
      <c r="B46" s="2">
        <v>9937</v>
      </c>
      <c r="C46" s="2" t="s">
        <v>1199</v>
      </c>
      <c r="D46" s="2" t="s">
        <v>1200</v>
      </c>
      <c r="E46" s="4" t="s">
        <v>337</v>
      </c>
      <c r="F46" s="2" t="s">
        <v>976</v>
      </c>
      <c r="G46" s="2" t="s">
        <v>31</v>
      </c>
      <c r="H46" s="2" t="s">
        <v>159</v>
      </c>
      <c r="I46" s="2" t="s">
        <v>1201</v>
      </c>
      <c r="J46" s="2" t="s">
        <v>435</v>
      </c>
      <c r="K46" s="2" t="s">
        <v>1204</v>
      </c>
      <c r="L46" s="153">
        <v>8.4179999999999993</v>
      </c>
      <c r="M46" s="153">
        <v>4.0739999999999998</v>
      </c>
      <c r="N46" s="165">
        <v>0</v>
      </c>
      <c r="O46" s="153">
        <v>34.296999999999997</v>
      </c>
      <c r="P46" s="167">
        <v>3.1181540476330399E-2</v>
      </c>
      <c r="Q46" s="167">
        <v>1.0908922765221201E-3</v>
      </c>
    </row>
    <row r="47" spans="1:17">
      <c r="A47" s="2" t="s">
        <v>26</v>
      </c>
      <c r="B47" s="2">
        <v>9937</v>
      </c>
      <c r="C47" s="2" t="s">
        <v>1199</v>
      </c>
      <c r="D47" s="2" t="s">
        <v>1200</v>
      </c>
      <c r="E47" s="4" t="s">
        <v>337</v>
      </c>
      <c r="F47" s="2" t="s">
        <v>976</v>
      </c>
      <c r="G47" s="2" t="s">
        <v>124</v>
      </c>
      <c r="H47" s="2" t="s">
        <v>159</v>
      </c>
      <c r="I47" s="2" t="s">
        <v>1201</v>
      </c>
      <c r="J47" s="2" t="s">
        <v>435</v>
      </c>
      <c r="K47" s="2" t="s">
        <v>35</v>
      </c>
      <c r="L47" s="153">
        <v>32.621000000000002</v>
      </c>
      <c r="M47" s="153">
        <v>3.681</v>
      </c>
      <c r="N47" s="165">
        <v>0</v>
      </c>
      <c r="O47" s="153">
        <v>120.07599999999999</v>
      </c>
      <c r="P47" s="167">
        <v>0.109169189924033</v>
      </c>
      <c r="Q47" s="167">
        <v>3.8193054064376902E-3</v>
      </c>
    </row>
    <row r="48" spans="1:17">
      <c r="A48" s="2" t="s">
        <v>26</v>
      </c>
      <c r="B48" s="2">
        <v>9937</v>
      </c>
      <c r="C48" s="2" t="s">
        <v>1199</v>
      </c>
      <c r="D48" s="2" t="s">
        <v>1200</v>
      </c>
      <c r="E48" s="4" t="s">
        <v>337</v>
      </c>
      <c r="F48" s="2" t="s">
        <v>976</v>
      </c>
      <c r="G48" s="2" t="s">
        <v>124</v>
      </c>
      <c r="H48" s="2" t="s">
        <v>159</v>
      </c>
      <c r="I48" s="2" t="s">
        <v>1201</v>
      </c>
      <c r="J48" s="2" t="s">
        <v>435</v>
      </c>
      <c r="K48" s="2" t="s">
        <v>1205</v>
      </c>
      <c r="L48" s="153">
        <v>0</v>
      </c>
      <c r="M48" s="153">
        <v>0.47</v>
      </c>
      <c r="N48" s="165">
        <v>0</v>
      </c>
      <c r="O48" s="153">
        <v>0</v>
      </c>
      <c r="P48" s="167">
        <v>-8.5534272645075306E-9</v>
      </c>
      <c r="Q48" s="167">
        <v>-2.9924332146861001E-10</v>
      </c>
    </row>
    <row r="49" spans="1:17">
      <c r="A49" s="2" t="s">
        <v>26</v>
      </c>
      <c r="B49" s="2">
        <v>9937</v>
      </c>
      <c r="C49" s="2" t="s">
        <v>1199</v>
      </c>
      <c r="D49" s="2" t="s">
        <v>1200</v>
      </c>
      <c r="E49" s="4" t="s">
        <v>337</v>
      </c>
      <c r="F49" s="2" t="s">
        <v>976</v>
      </c>
      <c r="G49" s="2" t="s">
        <v>124</v>
      </c>
      <c r="H49" s="2" t="s">
        <v>159</v>
      </c>
      <c r="I49" s="2" t="s">
        <v>1201</v>
      </c>
      <c r="J49" s="2" t="s">
        <v>435</v>
      </c>
      <c r="K49" s="2" t="s">
        <v>1206</v>
      </c>
      <c r="L49" s="153">
        <v>2.8260000000000001</v>
      </c>
      <c r="M49" s="153">
        <v>3.9790000000000001</v>
      </c>
      <c r="N49" s="165">
        <v>0</v>
      </c>
      <c r="O49" s="153">
        <v>11.244999999999999</v>
      </c>
      <c r="P49" s="167">
        <v>1.02235424799663E-2</v>
      </c>
      <c r="Q49" s="167">
        <v>3.5767262809087501E-4</v>
      </c>
    </row>
    <row r="50" spans="1:17">
      <c r="A50" s="2" t="s">
        <v>26</v>
      </c>
      <c r="B50" s="2">
        <v>9937</v>
      </c>
      <c r="C50" s="2" t="s">
        <v>1202</v>
      </c>
      <c r="D50" s="2" t="s">
        <v>1203</v>
      </c>
      <c r="E50" s="4" t="s">
        <v>337</v>
      </c>
      <c r="F50" s="2" t="s">
        <v>974</v>
      </c>
      <c r="G50" s="2" t="s">
        <v>31</v>
      </c>
      <c r="H50" s="2" t="s">
        <v>159</v>
      </c>
      <c r="I50" s="2" t="s">
        <v>1201</v>
      </c>
      <c r="J50" s="2" t="s">
        <v>435</v>
      </c>
      <c r="K50" s="2" t="s">
        <v>45</v>
      </c>
      <c r="L50" s="153">
        <v>0</v>
      </c>
      <c r="M50" s="153">
        <v>1</v>
      </c>
      <c r="N50" s="165">
        <v>0</v>
      </c>
      <c r="O50" s="153">
        <v>-362.40300000000002</v>
      </c>
      <c r="P50" s="167">
        <v>-0.32948434601940801</v>
      </c>
      <c r="Q50" s="167">
        <v>-1.15270741219587E-2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9"/>
  <sheetViews>
    <sheetView rightToLeft="1" zoomScale="70" zoomScaleNormal="70" workbookViewId="0">
      <selection activeCell="K31" sqref="K31"/>
    </sheetView>
  </sheetViews>
  <sheetFormatPr defaultColWidth="9" defaultRowHeight="14"/>
  <cols>
    <col min="1" max="14" width="11.58203125" style="4" customWidth="1"/>
    <col min="15" max="15" width="11.58203125" style="149" customWidth="1"/>
    <col min="16" max="30" width="11.582031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2" t="s">
        <v>14</v>
      </c>
      <c r="P1" s="166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6" t="s">
        <v>23</v>
      </c>
      <c r="Y1" s="166" t="s">
        <v>24</v>
      </c>
      <c r="Z1" s="166" t="s">
        <v>25</v>
      </c>
    </row>
    <row r="2" spans="1:26">
      <c r="A2" s="21" t="s">
        <v>26</v>
      </c>
      <c r="B2" s="21">
        <v>1441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3.22</v>
      </c>
      <c r="N2" s="4" t="s">
        <v>36</v>
      </c>
      <c r="O2" s="164">
        <v>2.8750000000000001E-2</v>
      </c>
      <c r="P2" s="169">
        <v>4.5100000000000001E-2</v>
      </c>
      <c r="R2" s="154">
        <v>100000</v>
      </c>
      <c r="S2" s="154">
        <v>3.681</v>
      </c>
      <c r="T2" s="154">
        <v>95.364999999999995</v>
      </c>
      <c r="U2" s="154">
        <v>351.04</v>
      </c>
      <c r="W2" s="21" t="s">
        <v>37</v>
      </c>
      <c r="X2" s="169">
        <v>0.1</v>
      </c>
      <c r="Y2" s="169">
        <v>4.1204083569504002E-2</v>
      </c>
      <c r="Z2" s="169">
        <v>3.2006651376176601E-2</v>
      </c>
    </row>
    <row r="3" spans="1:26">
      <c r="A3" s="21" t="s">
        <v>26</v>
      </c>
      <c r="B3" s="21">
        <v>1441</v>
      </c>
      <c r="C3" s="21" t="s">
        <v>38</v>
      </c>
      <c r="D3" s="21" t="s">
        <v>39</v>
      </c>
      <c r="E3" s="21" t="s">
        <v>40</v>
      </c>
      <c r="F3" s="21" t="s">
        <v>41</v>
      </c>
      <c r="G3" s="21" t="s">
        <v>31</v>
      </c>
      <c r="H3" s="21" t="s">
        <v>31</v>
      </c>
      <c r="I3" s="21" t="s">
        <v>42</v>
      </c>
      <c r="J3" s="21" t="s">
        <v>43</v>
      </c>
      <c r="K3" s="21" t="s">
        <v>44</v>
      </c>
      <c r="L3" s="4" t="s">
        <v>45</v>
      </c>
      <c r="M3" s="154">
        <v>0.94</v>
      </c>
      <c r="N3" s="4" t="s">
        <v>46</v>
      </c>
      <c r="O3" s="164">
        <v>0</v>
      </c>
      <c r="P3" s="169">
        <v>4.0960000000000003E-2</v>
      </c>
      <c r="R3" s="154">
        <v>860000</v>
      </c>
      <c r="S3" s="154">
        <v>1</v>
      </c>
      <c r="T3" s="154">
        <v>96.38</v>
      </c>
      <c r="U3" s="154">
        <v>828.86800000000005</v>
      </c>
      <c r="W3" s="21" t="s">
        <v>37</v>
      </c>
      <c r="X3" s="169">
        <v>0</v>
      </c>
      <c r="Y3" s="169">
        <v>9.7290276076749005E-2</v>
      </c>
      <c r="Z3" s="169">
        <v>7.5573479104997301E-2</v>
      </c>
    </row>
    <row r="4" spans="1:26">
      <c r="A4" s="21" t="s">
        <v>26</v>
      </c>
      <c r="B4" s="21">
        <v>1441</v>
      </c>
      <c r="C4" s="21" t="s">
        <v>38</v>
      </c>
      <c r="D4" s="21" t="s">
        <v>47</v>
      </c>
      <c r="E4" s="21" t="s">
        <v>48</v>
      </c>
      <c r="F4" s="21" t="s">
        <v>41</v>
      </c>
      <c r="G4" s="21" t="s">
        <v>31</v>
      </c>
      <c r="H4" s="21" t="s">
        <v>31</v>
      </c>
      <c r="I4" s="21" t="s">
        <v>49</v>
      </c>
      <c r="J4" s="21" t="s">
        <v>43</v>
      </c>
      <c r="K4" s="21" t="s">
        <v>44</v>
      </c>
      <c r="L4" s="4" t="s">
        <v>45</v>
      </c>
      <c r="M4" s="154">
        <v>0.6</v>
      </c>
      <c r="N4" s="4" t="s">
        <v>50</v>
      </c>
      <c r="O4" s="164">
        <v>0</v>
      </c>
      <c r="P4" s="169">
        <v>4.274E-2</v>
      </c>
      <c r="R4" s="154">
        <v>30000</v>
      </c>
      <c r="S4" s="154">
        <v>1</v>
      </c>
      <c r="T4" s="154">
        <v>97.52</v>
      </c>
      <c r="U4" s="154">
        <v>29.256</v>
      </c>
      <c r="W4" s="21" t="s">
        <v>37</v>
      </c>
      <c r="X4" s="169">
        <v>0</v>
      </c>
      <c r="Y4" s="169">
        <v>3.43398987160968E-3</v>
      </c>
      <c r="Z4" s="169">
        <v>2.66746659865721E-3</v>
      </c>
    </row>
    <row r="5" spans="1:26">
      <c r="A5" s="21" t="s">
        <v>26</v>
      </c>
      <c r="B5" s="21">
        <v>1441</v>
      </c>
      <c r="C5" s="21" t="s">
        <v>38</v>
      </c>
      <c r="D5" s="21" t="s">
        <v>51</v>
      </c>
      <c r="E5" s="21" t="s">
        <v>52</v>
      </c>
      <c r="F5" s="21" t="s">
        <v>41</v>
      </c>
      <c r="G5" s="21" t="s">
        <v>31</v>
      </c>
      <c r="H5" s="21" t="s">
        <v>31</v>
      </c>
      <c r="I5" s="21" t="s">
        <v>49</v>
      </c>
      <c r="J5" s="21" t="s">
        <v>43</v>
      </c>
      <c r="K5" s="21" t="s">
        <v>44</v>
      </c>
      <c r="L5" s="4" t="s">
        <v>45</v>
      </c>
      <c r="M5" s="154">
        <v>0.255</v>
      </c>
      <c r="N5" s="4" t="s">
        <v>53</v>
      </c>
      <c r="O5" s="164">
        <v>0</v>
      </c>
      <c r="P5" s="169">
        <v>4.3119999999999999E-2</v>
      </c>
      <c r="R5" s="154">
        <v>60000</v>
      </c>
      <c r="S5" s="154">
        <v>1</v>
      </c>
      <c r="T5" s="154">
        <v>98.95</v>
      </c>
      <c r="U5" s="154">
        <v>59.37</v>
      </c>
      <c r="W5" s="21" t="s">
        <v>37</v>
      </c>
      <c r="X5" s="169">
        <v>3.0000000000000001E-6</v>
      </c>
      <c r="Y5" s="169">
        <v>6.9686894543842803E-3</v>
      </c>
      <c r="Z5" s="169">
        <v>5.4131628371027604E-3</v>
      </c>
    </row>
    <row r="6" spans="1:26">
      <c r="A6" s="21" t="s">
        <v>26</v>
      </c>
      <c r="B6" s="21">
        <v>1441</v>
      </c>
      <c r="C6" s="21" t="s">
        <v>38</v>
      </c>
      <c r="D6" s="21" t="s">
        <v>54</v>
      </c>
      <c r="E6" s="21" t="s">
        <v>55</v>
      </c>
      <c r="F6" s="21" t="s">
        <v>41</v>
      </c>
      <c r="G6" s="21" t="s">
        <v>31</v>
      </c>
      <c r="H6" s="21" t="s">
        <v>31</v>
      </c>
      <c r="I6" s="21" t="s">
        <v>49</v>
      </c>
      <c r="J6" s="21" t="s">
        <v>43</v>
      </c>
      <c r="K6" s="21" t="s">
        <v>44</v>
      </c>
      <c r="L6" s="4" t="s">
        <v>45</v>
      </c>
      <c r="M6" s="154">
        <v>0.42699999999999999</v>
      </c>
      <c r="N6" s="4" t="s">
        <v>56</v>
      </c>
      <c r="O6" s="164">
        <v>0</v>
      </c>
      <c r="P6" s="169">
        <v>4.317E-2</v>
      </c>
      <c r="R6" s="154">
        <v>125000</v>
      </c>
      <c r="S6" s="154">
        <v>1</v>
      </c>
      <c r="T6" s="154">
        <v>98.21</v>
      </c>
      <c r="U6" s="154">
        <v>122.762</v>
      </c>
      <c r="W6" s="21" t="s">
        <v>37</v>
      </c>
      <c r="X6" s="169">
        <v>6.9999999999999999E-6</v>
      </c>
      <c r="Y6" s="169">
        <v>1.44095290406577E-2</v>
      </c>
      <c r="Z6" s="169">
        <v>1.1193084096173599E-2</v>
      </c>
    </row>
    <row r="7" spans="1:26">
      <c r="A7" s="21" t="s">
        <v>26</v>
      </c>
      <c r="B7" s="21">
        <v>1441</v>
      </c>
      <c r="C7" s="21" t="s">
        <v>57</v>
      </c>
      <c r="D7" s="21" t="s">
        <v>58</v>
      </c>
      <c r="E7" s="21" t="s">
        <v>59</v>
      </c>
      <c r="F7" s="21" t="s">
        <v>60</v>
      </c>
      <c r="G7" s="21" t="s">
        <v>31</v>
      </c>
      <c r="H7" s="21" t="s">
        <v>31</v>
      </c>
      <c r="I7" s="21" t="s">
        <v>49</v>
      </c>
      <c r="J7" s="21" t="s">
        <v>43</v>
      </c>
      <c r="K7" s="21" t="s">
        <v>44</v>
      </c>
      <c r="L7" s="4" t="s">
        <v>45</v>
      </c>
      <c r="M7" s="154">
        <v>3.1190000000000002</v>
      </c>
      <c r="N7" s="4" t="s">
        <v>61</v>
      </c>
      <c r="O7" s="164">
        <v>7.4999999999999997E-3</v>
      </c>
      <c r="P7" s="169">
        <v>1.1520000000000001E-2</v>
      </c>
      <c r="R7" s="154">
        <v>888842</v>
      </c>
      <c r="S7" s="154">
        <v>1</v>
      </c>
      <c r="T7" s="154">
        <v>111.88</v>
      </c>
      <c r="U7" s="154">
        <v>994.43600000000004</v>
      </c>
      <c r="W7" s="21" t="s">
        <v>37</v>
      </c>
      <c r="X7" s="169">
        <v>4.1999999999999998E-5</v>
      </c>
      <c r="Y7" s="169">
        <v>0.116724248947433</v>
      </c>
      <c r="Z7" s="169">
        <v>9.0669468158529096E-2</v>
      </c>
    </row>
    <row r="8" spans="1:26">
      <c r="A8" s="21" t="s">
        <v>26</v>
      </c>
      <c r="B8" s="21">
        <v>1441</v>
      </c>
      <c r="C8" s="21" t="s">
        <v>57</v>
      </c>
      <c r="D8" s="21" t="s">
        <v>62</v>
      </c>
      <c r="E8" s="21" t="s">
        <v>63</v>
      </c>
      <c r="F8" s="21" t="s">
        <v>60</v>
      </c>
      <c r="G8" s="21" t="s">
        <v>31</v>
      </c>
      <c r="H8" s="21" t="s">
        <v>31</v>
      </c>
      <c r="I8" s="21" t="s">
        <v>49</v>
      </c>
      <c r="J8" s="21" t="s">
        <v>43</v>
      </c>
      <c r="K8" s="21" t="s">
        <v>44</v>
      </c>
      <c r="L8" s="4" t="s">
        <v>45</v>
      </c>
      <c r="M8" s="154">
        <v>1.5760000000000001</v>
      </c>
      <c r="N8" s="4" t="s">
        <v>64</v>
      </c>
      <c r="O8" s="164">
        <v>7.4999999999999997E-3</v>
      </c>
      <c r="P8" s="169">
        <v>7.9699999999999997E-3</v>
      </c>
      <c r="R8" s="154">
        <v>1277299</v>
      </c>
      <c r="S8" s="154">
        <v>1</v>
      </c>
      <c r="T8" s="154">
        <v>112.14</v>
      </c>
      <c r="U8" s="154">
        <v>1432.3630000000001</v>
      </c>
      <c r="W8" s="21" t="s">
        <v>37</v>
      </c>
      <c r="X8" s="169">
        <v>5.8999999999999998E-5</v>
      </c>
      <c r="Y8" s="169">
        <v>0.168126892707816</v>
      </c>
      <c r="Z8" s="169">
        <v>0.1305981925986</v>
      </c>
    </row>
    <row r="9" spans="1:26">
      <c r="A9" s="21" t="s">
        <v>26</v>
      </c>
      <c r="B9" s="21">
        <v>1441</v>
      </c>
      <c r="C9" s="21" t="s">
        <v>57</v>
      </c>
      <c r="D9" s="21" t="s">
        <v>65</v>
      </c>
      <c r="E9" s="21" t="s">
        <v>66</v>
      </c>
      <c r="F9" s="21" t="s">
        <v>60</v>
      </c>
      <c r="G9" s="21" t="s">
        <v>31</v>
      </c>
      <c r="H9" s="21" t="s">
        <v>31</v>
      </c>
      <c r="I9" s="21" t="s">
        <v>49</v>
      </c>
      <c r="J9" s="21" t="s">
        <v>43</v>
      </c>
      <c r="K9" s="21" t="s">
        <v>44</v>
      </c>
      <c r="L9" s="4" t="s">
        <v>45</v>
      </c>
      <c r="M9" s="154">
        <v>7.6379999999999999</v>
      </c>
      <c r="N9" s="4" t="s">
        <v>67</v>
      </c>
      <c r="O9" s="164">
        <v>1E-3</v>
      </c>
      <c r="P9" s="169">
        <v>1.5559999999999999E-2</v>
      </c>
      <c r="R9" s="154">
        <v>54000</v>
      </c>
      <c r="S9" s="154">
        <v>1</v>
      </c>
      <c r="T9" s="154">
        <v>99.81</v>
      </c>
      <c r="U9" s="154">
        <v>53.896999999999998</v>
      </c>
      <c r="W9" s="21" t="s">
        <v>37</v>
      </c>
      <c r="X9" s="169">
        <v>1.9999999999999999E-6</v>
      </c>
      <c r="Y9" s="169">
        <v>6.3263305204435101E-3</v>
      </c>
      <c r="Z9" s="169">
        <v>4.9141890297534499E-3</v>
      </c>
    </row>
    <row r="10" spans="1:26">
      <c r="A10" s="21" t="s">
        <v>26</v>
      </c>
      <c r="B10" s="21">
        <v>1441</v>
      </c>
      <c r="C10" s="21" t="s">
        <v>68</v>
      </c>
      <c r="D10" s="21" t="s">
        <v>69</v>
      </c>
      <c r="E10" s="21" t="s">
        <v>70</v>
      </c>
      <c r="F10" s="21" t="s">
        <v>71</v>
      </c>
      <c r="G10" s="21" t="s">
        <v>31</v>
      </c>
      <c r="H10" s="21" t="s">
        <v>31</v>
      </c>
      <c r="I10" s="21" t="s">
        <v>49</v>
      </c>
      <c r="J10" s="21" t="s">
        <v>43</v>
      </c>
      <c r="K10" s="21" t="s">
        <v>44</v>
      </c>
      <c r="L10" s="4" t="s">
        <v>45</v>
      </c>
      <c r="M10" s="154">
        <v>4.2690000000000001</v>
      </c>
      <c r="N10" s="4" t="s">
        <v>72</v>
      </c>
      <c r="O10" s="164">
        <v>2.2499999999999999E-2</v>
      </c>
      <c r="P10" s="169">
        <v>4.0719999999999999E-2</v>
      </c>
      <c r="R10" s="154">
        <v>70000</v>
      </c>
      <c r="S10" s="154">
        <v>1</v>
      </c>
      <c r="T10" s="154">
        <v>93.79</v>
      </c>
      <c r="U10" s="154">
        <v>65.653000000000006</v>
      </c>
      <c r="W10" s="21" t="s">
        <v>37</v>
      </c>
      <c r="X10" s="169">
        <v>3.0000000000000001E-6</v>
      </c>
      <c r="Y10" s="169">
        <v>7.70617094068875E-3</v>
      </c>
      <c r="Z10" s="169">
        <v>5.9860262715901499E-3</v>
      </c>
    </row>
    <row r="11" spans="1:26">
      <c r="A11" s="21" t="s">
        <v>26</v>
      </c>
      <c r="B11" s="21">
        <v>1441</v>
      </c>
      <c r="C11" s="21" t="s">
        <v>68</v>
      </c>
      <c r="D11" s="21" t="s">
        <v>73</v>
      </c>
      <c r="E11" s="21" t="s">
        <v>74</v>
      </c>
      <c r="F11" s="21" t="s">
        <v>71</v>
      </c>
      <c r="G11" s="21" t="s">
        <v>31</v>
      </c>
      <c r="H11" s="21" t="s">
        <v>31</v>
      </c>
      <c r="I11" s="21" t="s">
        <v>49</v>
      </c>
      <c r="J11" s="21" t="s">
        <v>43</v>
      </c>
      <c r="K11" s="21" t="s">
        <v>44</v>
      </c>
      <c r="L11" s="4" t="s">
        <v>45</v>
      </c>
      <c r="M11" s="154">
        <v>1.9039999999999999</v>
      </c>
      <c r="N11" s="4" t="s">
        <v>75</v>
      </c>
      <c r="O11" s="164">
        <v>5.0000000000000001E-3</v>
      </c>
      <c r="P11" s="169">
        <v>4.0289999999999999E-2</v>
      </c>
      <c r="R11" s="154">
        <v>808000</v>
      </c>
      <c r="S11" s="154">
        <v>1</v>
      </c>
      <c r="T11" s="154">
        <v>93.69</v>
      </c>
      <c r="U11" s="154">
        <v>757.01499999999999</v>
      </c>
      <c r="W11" s="21" t="s">
        <v>37</v>
      </c>
      <c r="X11" s="169">
        <v>3.8000000000000002E-5</v>
      </c>
      <c r="Y11" s="169">
        <v>8.8856389439929406E-2</v>
      </c>
      <c r="Z11" s="169">
        <v>6.9022175303384004E-2</v>
      </c>
    </row>
    <row r="12" spans="1:26">
      <c r="A12" s="21" t="s">
        <v>26</v>
      </c>
      <c r="B12" s="21">
        <v>1441</v>
      </c>
      <c r="C12" s="21" t="s">
        <v>68</v>
      </c>
      <c r="D12" s="21" t="s">
        <v>76</v>
      </c>
      <c r="E12" s="21" t="s">
        <v>77</v>
      </c>
      <c r="F12" s="21" t="s">
        <v>71</v>
      </c>
      <c r="G12" s="21" t="s">
        <v>31</v>
      </c>
      <c r="H12" s="21" t="s">
        <v>31</v>
      </c>
      <c r="I12" s="21" t="s">
        <v>49</v>
      </c>
      <c r="J12" s="21" t="s">
        <v>43</v>
      </c>
      <c r="K12" s="21" t="s">
        <v>44</v>
      </c>
      <c r="L12" s="4" t="s">
        <v>45</v>
      </c>
      <c r="M12" s="154">
        <v>1.399</v>
      </c>
      <c r="N12" s="4" t="s">
        <v>78</v>
      </c>
      <c r="O12" s="164">
        <v>1.7500000000000002E-2</v>
      </c>
      <c r="P12" s="169">
        <v>4.0219999999999999E-2</v>
      </c>
      <c r="R12" s="154">
        <v>344000</v>
      </c>
      <c r="S12" s="154">
        <v>1</v>
      </c>
      <c r="T12" s="154">
        <v>97.96</v>
      </c>
      <c r="U12" s="154">
        <v>336.98200000000003</v>
      </c>
      <c r="W12" s="21" t="s">
        <v>37</v>
      </c>
      <c r="X12" s="169">
        <v>1.4E-5</v>
      </c>
      <c r="Y12" s="169">
        <v>3.95540794541537E-2</v>
      </c>
      <c r="Z12" s="169">
        <v>3.0724955439408699E-2</v>
      </c>
    </row>
    <row r="13" spans="1:26">
      <c r="A13" s="21" t="s">
        <v>26</v>
      </c>
      <c r="B13" s="21">
        <v>1441</v>
      </c>
      <c r="C13" s="21" t="s">
        <v>68</v>
      </c>
      <c r="D13" s="21" t="s">
        <v>79</v>
      </c>
      <c r="E13" s="21" t="s">
        <v>80</v>
      </c>
      <c r="F13" s="21" t="s">
        <v>71</v>
      </c>
      <c r="G13" s="21" t="s">
        <v>31</v>
      </c>
      <c r="H13" s="21" t="s">
        <v>31</v>
      </c>
      <c r="I13" s="21" t="s">
        <v>49</v>
      </c>
      <c r="J13" s="21" t="s">
        <v>43</v>
      </c>
      <c r="K13" s="21" t="s">
        <v>44</v>
      </c>
      <c r="L13" s="4" t="s">
        <v>45</v>
      </c>
      <c r="M13" s="154">
        <v>11.997999999999999</v>
      </c>
      <c r="N13" s="4" t="s">
        <v>81</v>
      </c>
      <c r="O13" s="164">
        <v>5.5E-2</v>
      </c>
      <c r="P13" s="169">
        <v>4.7149999999999997E-2</v>
      </c>
      <c r="R13" s="154">
        <v>148322</v>
      </c>
      <c r="S13" s="154">
        <v>1</v>
      </c>
      <c r="T13" s="154">
        <v>110.25</v>
      </c>
      <c r="U13" s="154">
        <v>163.52500000000001</v>
      </c>
      <c r="W13" s="21" t="s">
        <v>37</v>
      </c>
      <c r="X13" s="169">
        <v>7.9999999999999996E-6</v>
      </c>
      <c r="Y13" s="169">
        <v>1.9194121237521199E-2</v>
      </c>
      <c r="Z13" s="169">
        <v>1.4909676267526401E-2</v>
      </c>
    </row>
    <row r="14" spans="1:26">
      <c r="A14" s="21" t="s">
        <v>26</v>
      </c>
      <c r="B14" s="21">
        <v>1441</v>
      </c>
      <c r="C14" s="21" t="s">
        <v>57</v>
      </c>
      <c r="D14" s="21" t="s">
        <v>82</v>
      </c>
      <c r="E14" s="21" t="s">
        <v>83</v>
      </c>
      <c r="F14" s="21" t="s">
        <v>60</v>
      </c>
      <c r="G14" s="21" t="s">
        <v>31</v>
      </c>
      <c r="H14" s="21" t="s">
        <v>31</v>
      </c>
      <c r="I14" s="21" t="s">
        <v>49</v>
      </c>
      <c r="J14" s="21" t="s">
        <v>43</v>
      </c>
      <c r="K14" s="21" t="s">
        <v>44</v>
      </c>
      <c r="L14" s="4" t="s">
        <v>45</v>
      </c>
      <c r="M14" s="154">
        <v>5.0910000000000002</v>
      </c>
      <c r="N14" s="4" t="s">
        <v>84</v>
      </c>
      <c r="O14" s="164">
        <v>5.0000000000000001E-3</v>
      </c>
      <c r="P14" s="169">
        <v>1.34E-2</v>
      </c>
      <c r="R14" s="154">
        <v>640000</v>
      </c>
      <c r="S14" s="154">
        <v>1</v>
      </c>
      <c r="T14" s="154">
        <v>107.2</v>
      </c>
      <c r="U14" s="154">
        <v>686.08</v>
      </c>
      <c r="W14" s="21" t="s">
        <v>37</v>
      </c>
      <c r="X14" s="169">
        <v>3.1000000000000001E-5</v>
      </c>
      <c r="Y14" s="169">
        <v>8.0530208200504799E-2</v>
      </c>
      <c r="Z14" s="169">
        <v>6.2554535275045606E-2</v>
      </c>
    </row>
    <row r="15" spans="1:26">
      <c r="A15" s="21" t="s">
        <v>26</v>
      </c>
      <c r="B15" s="21">
        <v>1441</v>
      </c>
      <c r="C15" s="21" t="s">
        <v>57</v>
      </c>
      <c r="D15" s="21" t="s">
        <v>85</v>
      </c>
      <c r="E15" s="21" t="s">
        <v>86</v>
      </c>
      <c r="F15" s="21" t="s">
        <v>60</v>
      </c>
      <c r="G15" s="21" t="s">
        <v>31</v>
      </c>
      <c r="H15" s="21" t="s">
        <v>31</v>
      </c>
      <c r="I15" s="21" t="s">
        <v>49</v>
      </c>
      <c r="J15" s="21" t="s">
        <v>43</v>
      </c>
      <c r="K15" s="21" t="s">
        <v>44</v>
      </c>
      <c r="L15" s="4" t="s">
        <v>45</v>
      </c>
      <c r="M15" s="154">
        <v>2.3279999999999998</v>
      </c>
      <c r="N15" s="4" t="s">
        <v>87</v>
      </c>
      <c r="O15" s="164">
        <v>1E-3</v>
      </c>
      <c r="P15" s="169">
        <v>1.0410000000000001E-2</v>
      </c>
      <c r="R15" s="154">
        <v>662000</v>
      </c>
      <c r="S15" s="154">
        <v>1</v>
      </c>
      <c r="T15" s="154">
        <v>109.23</v>
      </c>
      <c r="U15" s="154">
        <v>723.10299999999995</v>
      </c>
      <c r="W15" s="21" t="s">
        <v>37</v>
      </c>
      <c r="X15" s="169">
        <v>3.3000000000000003E-5</v>
      </c>
      <c r="Y15" s="169">
        <v>8.4875820499542801E-2</v>
      </c>
      <c r="Z15" s="169">
        <v>6.5930135114239202E-2</v>
      </c>
    </row>
    <row r="16" spans="1:26">
      <c r="A16" s="21" t="s">
        <v>26</v>
      </c>
      <c r="B16" s="21">
        <v>1441</v>
      </c>
      <c r="C16" s="21" t="s">
        <v>57</v>
      </c>
      <c r="D16" s="21" t="s">
        <v>88</v>
      </c>
      <c r="E16" s="21" t="s">
        <v>89</v>
      </c>
      <c r="F16" s="21" t="s">
        <v>60</v>
      </c>
      <c r="G16" s="21" t="s">
        <v>31</v>
      </c>
      <c r="H16" s="21" t="s">
        <v>31</v>
      </c>
      <c r="I16" s="21" t="s">
        <v>49</v>
      </c>
      <c r="J16" s="21" t="s">
        <v>43</v>
      </c>
      <c r="K16" s="21" t="s">
        <v>44</v>
      </c>
      <c r="L16" s="4" t="s">
        <v>45</v>
      </c>
      <c r="M16" s="154">
        <v>4.4779999999999998</v>
      </c>
      <c r="N16" s="4" t="s">
        <v>90</v>
      </c>
      <c r="O16" s="164">
        <v>1.0999999999999999E-2</v>
      </c>
      <c r="P16" s="169">
        <v>1.302E-2</v>
      </c>
      <c r="R16" s="154">
        <v>180000</v>
      </c>
      <c r="S16" s="154">
        <v>1</v>
      </c>
      <c r="T16" s="154">
        <v>100.29</v>
      </c>
      <c r="U16" s="154">
        <v>180.52199999999999</v>
      </c>
      <c r="W16" s="21" t="s">
        <v>37</v>
      </c>
      <c r="X16" s="169">
        <v>0</v>
      </c>
      <c r="Y16" s="169">
        <v>2.1189182376357699E-2</v>
      </c>
      <c r="Z16" s="169">
        <v>1.64594067993846E-2</v>
      </c>
    </row>
    <row r="17" spans="1:26">
      <c r="A17" s="21" t="s">
        <v>26</v>
      </c>
      <c r="B17" s="21">
        <v>1441</v>
      </c>
      <c r="C17" s="21" t="s">
        <v>68</v>
      </c>
      <c r="D17" s="21" t="s">
        <v>91</v>
      </c>
      <c r="E17" s="21" t="s">
        <v>92</v>
      </c>
      <c r="F17" s="21" t="s">
        <v>71</v>
      </c>
      <c r="G17" s="21" t="s">
        <v>31</v>
      </c>
      <c r="H17" s="21" t="s">
        <v>31</v>
      </c>
      <c r="I17" s="21" t="s">
        <v>49</v>
      </c>
      <c r="J17" s="21" t="s">
        <v>43</v>
      </c>
      <c r="K17" s="21" t="s">
        <v>44</v>
      </c>
      <c r="L17" s="4" t="s">
        <v>45</v>
      </c>
      <c r="M17" s="154">
        <v>5.8360000000000003</v>
      </c>
      <c r="N17" s="4" t="s">
        <v>93</v>
      </c>
      <c r="O17" s="164">
        <v>0.01</v>
      </c>
      <c r="P17" s="169">
        <v>4.1730000000000003E-2</v>
      </c>
      <c r="R17" s="154">
        <v>1210000</v>
      </c>
      <c r="S17" s="154">
        <v>1</v>
      </c>
      <c r="T17" s="154">
        <v>83.47</v>
      </c>
      <c r="U17" s="154">
        <v>1009.987</v>
      </c>
      <c r="W17" s="21" t="s">
        <v>37</v>
      </c>
      <c r="X17" s="169">
        <v>3.1999999999999999E-5</v>
      </c>
      <c r="Y17" s="169">
        <v>0.118549532692694</v>
      </c>
      <c r="Z17" s="169">
        <v>9.2087318415982902E-2</v>
      </c>
    </row>
    <row r="18" spans="1:26">
      <c r="A18" s="21" t="s">
        <v>26</v>
      </c>
      <c r="B18" s="21">
        <v>1441</v>
      </c>
      <c r="C18" s="21" t="s">
        <v>68</v>
      </c>
      <c r="D18" s="21" t="s">
        <v>94</v>
      </c>
      <c r="E18" s="21" t="s">
        <v>95</v>
      </c>
      <c r="F18" s="21" t="s">
        <v>71</v>
      </c>
      <c r="G18" s="21" t="s">
        <v>31</v>
      </c>
      <c r="H18" s="21" t="s">
        <v>31</v>
      </c>
      <c r="I18" s="21" t="s">
        <v>49</v>
      </c>
      <c r="J18" s="21" t="s">
        <v>43</v>
      </c>
      <c r="K18" s="21" t="s">
        <v>44</v>
      </c>
      <c r="L18" s="4" t="s">
        <v>45</v>
      </c>
      <c r="M18" s="154">
        <v>7.56</v>
      </c>
      <c r="N18" s="4" t="s">
        <v>96</v>
      </c>
      <c r="O18" s="164">
        <v>1.2999999999999999E-2</v>
      </c>
      <c r="P18" s="169">
        <v>4.3119999999999999E-2</v>
      </c>
      <c r="R18" s="154">
        <v>446000</v>
      </c>
      <c r="S18" s="154">
        <v>1</v>
      </c>
      <c r="T18" s="154">
        <v>81.010000000000005</v>
      </c>
      <c r="U18" s="154">
        <v>361.30500000000001</v>
      </c>
      <c r="W18" s="21" t="s">
        <v>37</v>
      </c>
      <c r="X18" s="169">
        <v>2.0999999999999999E-5</v>
      </c>
      <c r="Y18" s="169">
        <v>4.2408953273379298E-2</v>
      </c>
      <c r="Z18" s="169">
        <v>3.2942574256262E-2</v>
      </c>
    </row>
    <row r="19" spans="1:26">
      <c r="A19" s="21" t="s">
        <v>26</v>
      </c>
      <c r="B19" s="21">
        <v>1441</v>
      </c>
      <c r="C19" s="21" t="s">
        <v>38</v>
      </c>
      <c r="D19" s="21" t="s">
        <v>97</v>
      </c>
      <c r="E19" s="21" t="s">
        <v>98</v>
      </c>
      <c r="F19" s="21" t="s">
        <v>41</v>
      </c>
      <c r="G19" s="21" t="s">
        <v>31</v>
      </c>
      <c r="H19" s="21" t="s">
        <v>31</v>
      </c>
      <c r="I19" s="21" t="s">
        <v>49</v>
      </c>
      <c r="J19" s="21" t="s">
        <v>43</v>
      </c>
      <c r="K19" s="21" t="s">
        <v>44</v>
      </c>
      <c r="L19" s="4" t="s">
        <v>45</v>
      </c>
      <c r="M19" s="154">
        <v>0.10100000000000001</v>
      </c>
      <c r="N19" s="4" t="s">
        <v>99</v>
      </c>
      <c r="O19" s="164">
        <v>0</v>
      </c>
      <c r="P19" s="169">
        <v>4.3430000000000003E-2</v>
      </c>
      <c r="R19" s="154">
        <v>335000</v>
      </c>
      <c r="S19" s="154">
        <v>1</v>
      </c>
      <c r="T19" s="154">
        <v>99.58</v>
      </c>
      <c r="U19" s="154">
        <v>333.59300000000002</v>
      </c>
      <c r="W19" s="21" t="s">
        <v>37</v>
      </c>
      <c r="X19" s="169">
        <v>1.9000000000000001E-5</v>
      </c>
      <c r="Y19" s="169">
        <v>3.9156240881866498E-2</v>
      </c>
      <c r="Z19" s="169">
        <v>3.0415921009223801E-2</v>
      </c>
    </row>
    <row r="20" spans="1:26">
      <c r="A20" s="4" t="s">
        <v>26</v>
      </c>
      <c r="B20" s="4">
        <v>1441</v>
      </c>
      <c r="C20" s="4" t="s">
        <v>38</v>
      </c>
      <c r="D20" s="4" t="s">
        <v>100</v>
      </c>
      <c r="E20" s="4" t="s">
        <v>101</v>
      </c>
      <c r="F20" s="21" t="s">
        <v>41</v>
      </c>
      <c r="G20" s="21" t="s">
        <v>31</v>
      </c>
      <c r="H20" s="21" t="s">
        <v>31</v>
      </c>
      <c r="I20" s="21" t="s">
        <v>49</v>
      </c>
      <c r="J20" s="4" t="s">
        <v>43</v>
      </c>
      <c r="K20" s="21" t="s">
        <v>44</v>
      </c>
      <c r="L20" s="4" t="s">
        <v>45</v>
      </c>
      <c r="M20" s="154">
        <v>0.17799999999999999</v>
      </c>
      <c r="N20" s="4" t="s">
        <v>102</v>
      </c>
      <c r="O20" s="164">
        <v>0</v>
      </c>
      <c r="P20" s="169">
        <v>4.3180000000000003E-2</v>
      </c>
      <c r="R20" s="154">
        <v>30000</v>
      </c>
      <c r="S20" s="154">
        <v>1</v>
      </c>
      <c r="T20" s="154">
        <v>99.26</v>
      </c>
      <c r="U20" s="154">
        <v>29.777999999999999</v>
      </c>
      <c r="W20" s="21" t="s">
        <v>37</v>
      </c>
      <c r="X20" s="169">
        <v>1.9999999999999999E-6</v>
      </c>
      <c r="Y20" s="169">
        <v>3.49526081476596E-3</v>
      </c>
      <c r="Z20" s="169">
        <v>2.7150608550319298E-3</v>
      </c>
    </row>
    <row r="21" spans="1:26">
      <c r="A21" s="4" t="s">
        <v>26</v>
      </c>
      <c r="B21" s="4">
        <v>1522</v>
      </c>
      <c r="C21" s="4" t="s">
        <v>38</v>
      </c>
      <c r="D21" s="4" t="s">
        <v>39</v>
      </c>
      <c r="E21" s="4" t="s">
        <v>40</v>
      </c>
      <c r="F21" s="4" t="s">
        <v>41</v>
      </c>
      <c r="G21" s="4" t="s">
        <v>31</v>
      </c>
      <c r="H21" s="4" t="s">
        <v>31</v>
      </c>
      <c r="I21" s="4" t="s">
        <v>42</v>
      </c>
      <c r="J21" s="4" t="s">
        <v>43</v>
      </c>
      <c r="K21" s="4" t="s">
        <v>44</v>
      </c>
      <c r="L21" s="21" t="s">
        <v>45</v>
      </c>
      <c r="M21" s="154">
        <v>0.94</v>
      </c>
      <c r="N21" s="4" t="s">
        <v>46</v>
      </c>
      <c r="O21" s="168">
        <v>0</v>
      </c>
      <c r="P21" s="169">
        <v>4.0960000000000003E-2</v>
      </c>
      <c r="R21" s="154">
        <v>410000</v>
      </c>
      <c r="S21" s="154">
        <v>1</v>
      </c>
      <c r="T21" s="154">
        <v>96.38</v>
      </c>
      <c r="U21" s="154">
        <v>395.15800000000002</v>
      </c>
      <c r="W21" s="4" t="s">
        <v>37</v>
      </c>
      <c r="X21" s="169">
        <v>0</v>
      </c>
      <c r="Y21" s="169">
        <v>0.25237409827503299</v>
      </c>
      <c r="Z21" s="169">
        <v>3.9172427698692398E-2</v>
      </c>
    </row>
    <row r="22" spans="1:26">
      <c r="A22" s="4" t="s">
        <v>26</v>
      </c>
      <c r="B22" s="4">
        <v>1522</v>
      </c>
      <c r="C22" s="4" t="s">
        <v>38</v>
      </c>
      <c r="D22" s="4" t="s">
        <v>51</v>
      </c>
      <c r="E22" s="4" t="s">
        <v>52</v>
      </c>
      <c r="F22" s="4" t="s">
        <v>41</v>
      </c>
      <c r="G22" s="4" t="s">
        <v>31</v>
      </c>
      <c r="H22" s="4" t="s">
        <v>31</v>
      </c>
      <c r="I22" s="4" t="s">
        <v>49</v>
      </c>
      <c r="J22" s="4" t="s">
        <v>43</v>
      </c>
      <c r="K22" s="4" t="s">
        <v>44</v>
      </c>
      <c r="L22" s="21" t="s">
        <v>45</v>
      </c>
      <c r="M22" s="154">
        <v>0.255</v>
      </c>
      <c r="N22" s="4" t="s">
        <v>53</v>
      </c>
      <c r="O22" s="168">
        <v>0</v>
      </c>
      <c r="P22" s="169">
        <v>4.3119999999999999E-2</v>
      </c>
      <c r="R22" s="154">
        <v>370000</v>
      </c>
      <c r="S22" s="154">
        <v>1</v>
      </c>
      <c r="T22" s="154">
        <v>98.95</v>
      </c>
      <c r="U22" s="154">
        <v>366.11500000000001</v>
      </c>
      <c r="W22" s="4" t="s">
        <v>37</v>
      </c>
      <c r="X22" s="169">
        <v>2.0999999999999999E-5</v>
      </c>
      <c r="Y22" s="169">
        <v>0.23382531288741101</v>
      </c>
      <c r="Z22" s="169">
        <v>3.6293364595697902E-2</v>
      </c>
    </row>
    <row r="23" spans="1:26">
      <c r="A23" s="4" t="s">
        <v>26</v>
      </c>
      <c r="B23" s="4">
        <v>1522</v>
      </c>
      <c r="C23" s="4" t="s">
        <v>38</v>
      </c>
      <c r="D23" s="4" t="s">
        <v>103</v>
      </c>
      <c r="E23" s="4" t="s">
        <v>104</v>
      </c>
      <c r="F23" s="4" t="s">
        <v>41</v>
      </c>
      <c r="G23" s="4" t="s">
        <v>31</v>
      </c>
      <c r="H23" s="4" t="s">
        <v>31</v>
      </c>
      <c r="I23" s="4" t="s">
        <v>49</v>
      </c>
      <c r="J23" s="4" t="s">
        <v>43</v>
      </c>
      <c r="K23" s="4" t="s">
        <v>44</v>
      </c>
      <c r="L23" s="21" t="s">
        <v>45</v>
      </c>
      <c r="M23" s="154">
        <v>0.35099999999999998</v>
      </c>
      <c r="N23" s="4" t="s">
        <v>105</v>
      </c>
      <c r="O23" s="168">
        <v>0</v>
      </c>
      <c r="P23" s="169">
        <v>4.283E-2</v>
      </c>
      <c r="R23" s="154">
        <v>85000</v>
      </c>
      <c r="S23" s="154">
        <v>1</v>
      </c>
      <c r="T23" s="154">
        <v>98.55</v>
      </c>
      <c r="U23" s="154">
        <v>83.766999999999996</v>
      </c>
      <c r="W23" s="4" t="s">
        <v>37</v>
      </c>
      <c r="X23" s="169">
        <v>5.0000000000000004E-6</v>
      </c>
      <c r="Y23" s="169">
        <v>5.3499479391164499E-2</v>
      </c>
      <c r="Z23" s="169">
        <v>8.3039602823433093E-3</v>
      </c>
    </row>
    <row r="24" spans="1:26">
      <c r="A24" s="4" t="s">
        <v>26</v>
      </c>
      <c r="B24" s="4">
        <v>1522</v>
      </c>
      <c r="C24" s="4" t="s">
        <v>38</v>
      </c>
      <c r="D24" s="4" t="s">
        <v>97</v>
      </c>
      <c r="E24" s="4" t="s">
        <v>98</v>
      </c>
      <c r="F24" s="4" t="s">
        <v>41</v>
      </c>
      <c r="G24" s="4" t="s">
        <v>31</v>
      </c>
      <c r="H24" s="4" t="s">
        <v>31</v>
      </c>
      <c r="I24" s="4" t="s">
        <v>49</v>
      </c>
      <c r="J24" s="4" t="s">
        <v>43</v>
      </c>
      <c r="K24" s="4" t="s">
        <v>44</v>
      </c>
      <c r="L24" s="21" t="s">
        <v>45</v>
      </c>
      <c r="M24" s="154">
        <v>0.10100000000000001</v>
      </c>
      <c r="N24" s="4" t="s">
        <v>99</v>
      </c>
      <c r="O24" s="168">
        <v>0</v>
      </c>
      <c r="P24" s="169">
        <v>4.3430000000000003E-2</v>
      </c>
      <c r="R24" s="154">
        <v>650000</v>
      </c>
      <c r="S24" s="154">
        <v>1</v>
      </c>
      <c r="T24" s="154">
        <v>99.58</v>
      </c>
      <c r="U24" s="154">
        <v>647.27</v>
      </c>
      <c r="W24" s="4" t="s">
        <v>37</v>
      </c>
      <c r="X24" s="169">
        <v>3.6000000000000001E-5</v>
      </c>
      <c r="Y24" s="169">
        <v>0.41338953681939999</v>
      </c>
      <c r="Z24" s="169">
        <v>6.4164555131194706E-2</v>
      </c>
    </row>
    <row r="25" spans="1:26">
      <c r="A25" s="4" t="s">
        <v>26</v>
      </c>
      <c r="B25" s="4">
        <v>1522</v>
      </c>
      <c r="C25" s="4" t="s">
        <v>38</v>
      </c>
      <c r="D25" s="4" t="s">
        <v>100</v>
      </c>
      <c r="E25" s="4" t="s">
        <v>101</v>
      </c>
      <c r="F25" s="4" t="s">
        <v>41</v>
      </c>
      <c r="G25" s="4" t="s">
        <v>31</v>
      </c>
      <c r="H25" s="4" t="s">
        <v>31</v>
      </c>
      <c r="I25" s="4" t="s">
        <v>49</v>
      </c>
      <c r="J25" s="4" t="s">
        <v>43</v>
      </c>
      <c r="K25" s="4" t="s">
        <v>44</v>
      </c>
      <c r="L25" s="21" t="s">
        <v>45</v>
      </c>
      <c r="M25" s="154">
        <v>0.17799999999999999</v>
      </c>
      <c r="N25" s="4" t="s">
        <v>102</v>
      </c>
      <c r="O25" s="168">
        <v>0</v>
      </c>
      <c r="P25" s="169">
        <v>4.3180000000000003E-2</v>
      </c>
      <c r="R25" s="154">
        <v>74000</v>
      </c>
      <c r="S25" s="154">
        <v>1</v>
      </c>
      <c r="T25" s="154">
        <v>99.26</v>
      </c>
      <c r="U25" s="154">
        <v>73.451999999999998</v>
      </c>
      <c r="W25" s="4" t="s">
        <v>37</v>
      </c>
      <c r="X25" s="169">
        <v>3.9999999999999998E-6</v>
      </c>
      <c r="Y25" s="169">
        <v>4.6911572626992297E-2</v>
      </c>
      <c r="Z25" s="169">
        <v>7.2814135821505201E-3</v>
      </c>
    </row>
    <row r="26" spans="1:26">
      <c r="A26" s="4" t="s">
        <v>26</v>
      </c>
      <c r="B26" s="4">
        <v>9935</v>
      </c>
      <c r="C26" s="4" t="s">
        <v>38</v>
      </c>
      <c r="D26" s="4" t="s">
        <v>47</v>
      </c>
      <c r="E26" s="4" t="s">
        <v>48</v>
      </c>
      <c r="F26" s="4" t="s">
        <v>41</v>
      </c>
      <c r="G26" s="4" t="s">
        <v>31</v>
      </c>
      <c r="H26" s="4" t="s">
        <v>31</v>
      </c>
      <c r="I26" s="4" t="s">
        <v>49</v>
      </c>
      <c r="J26" s="4" t="s">
        <v>43</v>
      </c>
      <c r="K26" s="4" t="s">
        <v>44</v>
      </c>
      <c r="L26" s="21" t="s">
        <v>45</v>
      </c>
      <c r="M26" s="154">
        <v>0.6</v>
      </c>
      <c r="N26" s="4" t="s">
        <v>50</v>
      </c>
      <c r="O26" s="168">
        <v>0</v>
      </c>
      <c r="P26" s="169">
        <v>4.274E-2</v>
      </c>
      <c r="R26" s="154">
        <v>1300000</v>
      </c>
      <c r="S26" s="154">
        <v>1</v>
      </c>
      <c r="T26" s="154">
        <v>97.52</v>
      </c>
      <c r="U26" s="154">
        <v>1267.76</v>
      </c>
      <c r="W26" s="4" t="s">
        <v>37</v>
      </c>
      <c r="X26" s="169">
        <v>0</v>
      </c>
      <c r="Y26" s="169">
        <v>5.57465292339295E-3</v>
      </c>
      <c r="Z26" s="169">
        <v>1.15650562696759E-3</v>
      </c>
    </row>
    <row r="27" spans="1:26">
      <c r="A27" s="4" t="s">
        <v>26</v>
      </c>
      <c r="B27" s="4">
        <v>9935</v>
      </c>
      <c r="C27" s="4" t="s">
        <v>38</v>
      </c>
      <c r="D27" s="4" t="s">
        <v>103</v>
      </c>
      <c r="E27" s="4" t="s">
        <v>104</v>
      </c>
      <c r="F27" s="4" t="s">
        <v>41</v>
      </c>
      <c r="G27" s="4" t="s">
        <v>31</v>
      </c>
      <c r="H27" s="4" t="s">
        <v>31</v>
      </c>
      <c r="I27" s="4" t="s">
        <v>49</v>
      </c>
      <c r="J27" s="4" t="s">
        <v>43</v>
      </c>
      <c r="K27" s="4" t="s">
        <v>44</v>
      </c>
      <c r="L27" s="4" t="s">
        <v>45</v>
      </c>
      <c r="M27" s="154">
        <v>0.35099999999999998</v>
      </c>
      <c r="N27" s="4" t="s">
        <v>105</v>
      </c>
      <c r="O27" s="168">
        <v>0</v>
      </c>
      <c r="P27" s="169">
        <v>4.283E-2</v>
      </c>
      <c r="R27" s="154">
        <v>3200000</v>
      </c>
      <c r="S27" s="154">
        <v>1</v>
      </c>
      <c r="T27" s="154">
        <v>98.55</v>
      </c>
      <c r="U27" s="154">
        <v>3153.6</v>
      </c>
      <c r="W27" s="4" t="s">
        <v>37</v>
      </c>
      <c r="X27" s="169">
        <v>1.7799999999999999E-4</v>
      </c>
      <c r="Y27" s="169">
        <v>1.3867155817514401E-2</v>
      </c>
      <c r="Z27" s="169">
        <v>2.87685062251923E-3</v>
      </c>
    </row>
    <row r="28" spans="1:26">
      <c r="A28" s="4" t="s">
        <v>26</v>
      </c>
      <c r="B28" s="4">
        <v>9935</v>
      </c>
      <c r="C28" s="4" t="s">
        <v>57</v>
      </c>
      <c r="D28" s="4" t="s">
        <v>58</v>
      </c>
      <c r="E28" s="4" t="s">
        <v>59</v>
      </c>
      <c r="F28" s="4" t="s">
        <v>60</v>
      </c>
      <c r="G28" s="4" t="s">
        <v>31</v>
      </c>
      <c r="H28" s="4" t="s">
        <v>31</v>
      </c>
      <c r="I28" s="4" t="s">
        <v>49</v>
      </c>
      <c r="J28" s="4" t="s">
        <v>43</v>
      </c>
      <c r="K28" s="4" t="s">
        <v>44</v>
      </c>
      <c r="L28" s="4" t="s">
        <v>45</v>
      </c>
      <c r="M28" s="154">
        <v>3.1190000000000002</v>
      </c>
      <c r="N28" s="4" t="s">
        <v>61</v>
      </c>
      <c r="O28" s="168">
        <v>7.4999999999999997E-3</v>
      </c>
      <c r="P28" s="169">
        <v>1.1520000000000001E-2</v>
      </c>
      <c r="R28" s="154">
        <v>14200000</v>
      </c>
      <c r="S28" s="154">
        <v>1</v>
      </c>
      <c r="T28" s="154">
        <v>111.88</v>
      </c>
      <c r="U28" s="154">
        <v>15886.96</v>
      </c>
      <c r="W28" s="4" t="s">
        <v>37</v>
      </c>
      <c r="X28" s="169">
        <v>6.78E-4</v>
      </c>
      <c r="Y28" s="169">
        <v>6.9858875503113205E-2</v>
      </c>
      <c r="Z28" s="169">
        <v>1.4492773581284301E-2</v>
      </c>
    </row>
    <row r="29" spans="1:26">
      <c r="A29" s="4" t="s">
        <v>26</v>
      </c>
      <c r="B29" s="4">
        <v>9935</v>
      </c>
      <c r="C29" s="4" t="s">
        <v>57</v>
      </c>
      <c r="D29" s="4" t="s">
        <v>62</v>
      </c>
      <c r="E29" s="4" t="s">
        <v>63</v>
      </c>
      <c r="F29" s="4" t="s">
        <v>60</v>
      </c>
      <c r="G29" s="4" t="s">
        <v>31</v>
      </c>
      <c r="H29" s="4" t="s">
        <v>31</v>
      </c>
      <c r="I29" s="4" t="s">
        <v>49</v>
      </c>
      <c r="J29" s="4" t="s">
        <v>43</v>
      </c>
      <c r="K29" s="4" t="s">
        <v>44</v>
      </c>
      <c r="L29" s="4" t="s">
        <v>45</v>
      </c>
      <c r="M29" s="154">
        <v>1.5760000000000001</v>
      </c>
      <c r="N29" s="4" t="s">
        <v>64</v>
      </c>
      <c r="O29" s="168">
        <v>7.4999999999999997E-3</v>
      </c>
      <c r="P29" s="169">
        <v>7.9699999999999997E-3</v>
      </c>
      <c r="R29" s="154">
        <v>10380000</v>
      </c>
      <c r="S29" s="154">
        <v>1</v>
      </c>
      <c r="T29" s="154">
        <v>112.14</v>
      </c>
      <c r="U29" s="154">
        <v>11640.132</v>
      </c>
      <c r="W29" s="4" t="s">
        <v>37</v>
      </c>
      <c r="X29" s="169">
        <v>4.7800000000000002E-4</v>
      </c>
      <c r="Y29" s="169">
        <v>5.1184526947119197E-2</v>
      </c>
      <c r="Z29" s="169">
        <v>1.0618632987825401E-2</v>
      </c>
    </row>
    <row r="30" spans="1:26">
      <c r="A30" s="4" t="s">
        <v>26</v>
      </c>
      <c r="B30" s="4">
        <v>9935</v>
      </c>
      <c r="C30" s="4" t="s">
        <v>57</v>
      </c>
      <c r="D30" s="4" t="s">
        <v>65</v>
      </c>
      <c r="E30" s="4" t="s">
        <v>66</v>
      </c>
      <c r="F30" s="4" t="s">
        <v>60</v>
      </c>
      <c r="G30" s="4" t="s">
        <v>31</v>
      </c>
      <c r="H30" s="4" t="s">
        <v>31</v>
      </c>
      <c r="I30" s="4" t="s">
        <v>49</v>
      </c>
      <c r="J30" s="4" t="s">
        <v>43</v>
      </c>
      <c r="K30" s="4" t="s">
        <v>44</v>
      </c>
      <c r="L30" s="4" t="s">
        <v>45</v>
      </c>
      <c r="M30" s="154">
        <v>7.6379999999999999</v>
      </c>
      <c r="N30" s="4" t="s">
        <v>67</v>
      </c>
      <c r="O30" s="168">
        <v>1E-3</v>
      </c>
      <c r="P30" s="169">
        <v>1.5559999999999999E-2</v>
      </c>
      <c r="R30" s="154">
        <v>1265000</v>
      </c>
      <c r="S30" s="154">
        <v>1</v>
      </c>
      <c r="T30" s="154">
        <v>99.81</v>
      </c>
      <c r="U30" s="154">
        <v>1262.597</v>
      </c>
      <c r="W30" s="4" t="s">
        <v>37</v>
      </c>
      <c r="X30" s="169">
        <v>4.8999999999999998E-5</v>
      </c>
      <c r="Y30" s="169">
        <v>5.5519477423098202E-3</v>
      </c>
      <c r="Z30" s="169">
        <v>1.15179525843975E-3</v>
      </c>
    </row>
    <row r="31" spans="1:26">
      <c r="A31" s="4" t="s">
        <v>26</v>
      </c>
      <c r="B31" s="4">
        <v>9935</v>
      </c>
      <c r="C31" s="4" t="s">
        <v>68</v>
      </c>
      <c r="D31" s="4" t="s">
        <v>73</v>
      </c>
      <c r="E31" s="4" t="s">
        <v>74</v>
      </c>
      <c r="F31" s="4" t="s">
        <v>71</v>
      </c>
      <c r="G31" s="4" t="s">
        <v>31</v>
      </c>
      <c r="H31" s="4" t="s">
        <v>31</v>
      </c>
      <c r="I31" s="4" t="s">
        <v>49</v>
      </c>
      <c r="J31" s="4" t="s">
        <v>43</v>
      </c>
      <c r="K31" s="4" t="s">
        <v>44</v>
      </c>
      <c r="L31" s="4" t="s">
        <v>45</v>
      </c>
      <c r="M31" s="154">
        <v>1.9039999999999999</v>
      </c>
      <c r="N31" s="4" t="s">
        <v>75</v>
      </c>
      <c r="O31" s="168">
        <v>5.0000000000000001E-3</v>
      </c>
      <c r="P31" s="169">
        <v>4.0289999999999999E-2</v>
      </c>
      <c r="R31" s="154">
        <v>1420000</v>
      </c>
      <c r="S31" s="154">
        <v>1</v>
      </c>
      <c r="T31" s="154">
        <v>93.69</v>
      </c>
      <c r="U31" s="154">
        <v>1330.3979999999999</v>
      </c>
      <c r="W31" s="4" t="s">
        <v>37</v>
      </c>
      <c r="X31" s="169">
        <v>6.7000000000000002E-5</v>
      </c>
      <c r="Y31" s="169">
        <v>5.8500876348647401E-3</v>
      </c>
      <c r="Z31" s="169">
        <v>1.2136467258049E-3</v>
      </c>
    </row>
    <row r="32" spans="1:26">
      <c r="A32" s="4" t="s">
        <v>26</v>
      </c>
      <c r="B32" s="4">
        <v>9935</v>
      </c>
      <c r="C32" s="4" t="s">
        <v>68</v>
      </c>
      <c r="D32" s="4" t="s">
        <v>106</v>
      </c>
      <c r="E32" s="4" t="s">
        <v>107</v>
      </c>
      <c r="F32" s="4" t="s">
        <v>71</v>
      </c>
      <c r="G32" s="4" t="s">
        <v>31</v>
      </c>
      <c r="H32" s="4" t="s">
        <v>31</v>
      </c>
      <c r="I32" s="4" t="s">
        <v>49</v>
      </c>
      <c r="J32" s="4" t="s">
        <v>43</v>
      </c>
      <c r="K32" s="4" t="s">
        <v>44</v>
      </c>
      <c r="L32" s="4" t="s">
        <v>45</v>
      </c>
      <c r="M32" s="154">
        <v>4.5629999999999997</v>
      </c>
      <c r="N32" s="4" t="s">
        <v>108</v>
      </c>
      <c r="O32" s="168">
        <v>3.7499999999999999E-2</v>
      </c>
      <c r="P32" s="169">
        <v>4.0939999999999997E-2</v>
      </c>
      <c r="R32" s="154">
        <v>2700000</v>
      </c>
      <c r="S32" s="154">
        <v>1</v>
      </c>
      <c r="T32" s="154">
        <v>98.83</v>
      </c>
      <c r="U32" s="154">
        <v>2668.41</v>
      </c>
      <c r="W32" s="4" t="s">
        <v>37</v>
      </c>
      <c r="X32" s="169">
        <v>2.1100000000000001E-4</v>
      </c>
      <c r="Y32" s="169">
        <v>1.1733655902781999E-2</v>
      </c>
      <c r="Z32" s="169">
        <v>2.4342392724621201E-3</v>
      </c>
    </row>
    <row r="33" spans="1:26">
      <c r="A33" s="4" t="s">
        <v>26</v>
      </c>
      <c r="B33" s="4">
        <v>9935</v>
      </c>
      <c r="C33" s="4" t="s">
        <v>68</v>
      </c>
      <c r="D33" s="4" t="s">
        <v>109</v>
      </c>
      <c r="E33" s="4" t="s">
        <v>110</v>
      </c>
      <c r="F33" s="4" t="s">
        <v>71</v>
      </c>
      <c r="G33" s="4" t="s">
        <v>31</v>
      </c>
      <c r="H33" s="4" t="s">
        <v>31</v>
      </c>
      <c r="I33" s="4" t="s">
        <v>49</v>
      </c>
      <c r="J33" s="4" t="s">
        <v>43</v>
      </c>
      <c r="K33" s="4" t="s">
        <v>44</v>
      </c>
      <c r="L33" s="4" t="s">
        <v>45</v>
      </c>
      <c r="M33" s="154">
        <v>2.9369999999999998</v>
      </c>
      <c r="N33" s="4" t="s">
        <v>111</v>
      </c>
      <c r="O33" s="168">
        <v>0.02</v>
      </c>
      <c r="P33" s="169">
        <v>4.0149999999999998E-2</v>
      </c>
      <c r="R33" s="154">
        <v>6834185</v>
      </c>
      <c r="S33" s="154">
        <v>1</v>
      </c>
      <c r="T33" s="154">
        <v>94.43</v>
      </c>
      <c r="U33" s="154">
        <v>6453.5209999999997</v>
      </c>
      <c r="W33" s="4" t="s">
        <v>37</v>
      </c>
      <c r="X33" s="169">
        <v>3.1500000000000001E-4</v>
      </c>
      <c r="Y33" s="169">
        <v>2.8377720646081701E-2</v>
      </c>
      <c r="Z33" s="169">
        <v>5.8871815086441103E-3</v>
      </c>
    </row>
    <row r="34" spans="1:26">
      <c r="A34" s="4" t="s">
        <v>26</v>
      </c>
      <c r="B34" s="4">
        <v>9935</v>
      </c>
      <c r="C34" s="4" t="s">
        <v>68</v>
      </c>
      <c r="D34" s="4" t="s">
        <v>76</v>
      </c>
      <c r="E34" s="4" t="s">
        <v>77</v>
      </c>
      <c r="F34" s="4" t="s">
        <v>71</v>
      </c>
      <c r="G34" s="4" t="s">
        <v>31</v>
      </c>
      <c r="H34" s="4" t="s">
        <v>31</v>
      </c>
      <c r="I34" s="4" t="s">
        <v>49</v>
      </c>
      <c r="J34" s="4" t="s">
        <v>43</v>
      </c>
      <c r="K34" s="4" t="s">
        <v>44</v>
      </c>
      <c r="L34" s="4" t="s">
        <v>45</v>
      </c>
      <c r="M34" s="154">
        <v>1.399</v>
      </c>
      <c r="N34" s="4" t="s">
        <v>78</v>
      </c>
      <c r="O34" s="168">
        <v>1.7500000000000002E-2</v>
      </c>
      <c r="P34" s="169">
        <v>4.0219999999999999E-2</v>
      </c>
      <c r="R34" s="154">
        <v>3663130</v>
      </c>
      <c r="S34" s="154">
        <v>1</v>
      </c>
      <c r="T34" s="154">
        <v>97.96</v>
      </c>
      <c r="U34" s="154">
        <v>3588.402</v>
      </c>
      <c r="W34" s="4" t="s">
        <v>37</v>
      </c>
      <c r="X34" s="169">
        <v>1.54E-4</v>
      </c>
      <c r="Y34" s="169">
        <v>1.57790879382988E-2</v>
      </c>
      <c r="Z34" s="169">
        <v>3.2734959897650802E-3</v>
      </c>
    </row>
    <row r="35" spans="1:26">
      <c r="A35" s="4" t="s">
        <v>26</v>
      </c>
      <c r="B35" s="4">
        <v>9935</v>
      </c>
      <c r="C35" s="4" t="s">
        <v>68</v>
      </c>
      <c r="D35" s="4" t="s">
        <v>112</v>
      </c>
      <c r="E35" s="4" t="s">
        <v>113</v>
      </c>
      <c r="F35" s="4" t="s">
        <v>71</v>
      </c>
      <c r="G35" s="4" t="s">
        <v>31</v>
      </c>
      <c r="H35" s="4" t="s">
        <v>31</v>
      </c>
      <c r="I35" s="4" t="s">
        <v>49</v>
      </c>
      <c r="J35" s="4" t="s">
        <v>43</v>
      </c>
      <c r="K35" s="4" t="s">
        <v>44</v>
      </c>
      <c r="L35" s="4" t="s">
        <v>45</v>
      </c>
      <c r="M35" s="154">
        <v>2.4129999999999998</v>
      </c>
      <c r="N35" s="4" t="s">
        <v>114</v>
      </c>
      <c r="O35" s="168">
        <v>6.25E-2</v>
      </c>
      <c r="P35" s="169">
        <v>3.9949999999999999E-2</v>
      </c>
      <c r="R35" s="154">
        <v>2150573.5</v>
      </c>
      <c r="S35" s="154">
        <v>1</v>
      </c>
      <c r="T35" s="154">
        <v>108.03</v>
      </c>
      <c r="U35" s="154">
        <v>2323.2649999999999</v>
      </c>
      <c r="W35" s="4" t="s">
        <v>37</v>
      </c>
      <c r="X35" s="169">
        <v>1.44E-4</v>
      </c>
      <c r="Y35" s="169">
        <v>1.0215966371316901E-2</v>
      </c>
      <c r="Z35" s="169">
        <v>2.1193826334480899E-3</v>
      </c>
    </row>
    <row r="36" spans="1:26">
      <c r="A36" s="4" t="s">
        <v>26</v>
      </c>
      <c r="B36" s="4">
        <v>9935</v>
      </c>
      <c r="C36" s="4" t="s">
        <v>68</v>
      </c>
      <c r="D36" s="4" t="s">
        <v>79</v>
      </c>
      <c r="E36" s="4" t="s">
        <v>80</v>
      </c>
      <c r="F36" s="4" t="s">
        <v>71</v>
      </c>
      <c r="G36" s="4" t="s">
        <v>31</v>
      </c>
      <c r="H36" s="4" t="s">
        <v>31</v>
      </c>
      <c r="I36" s="4" t="s">
        <v>49</v>
      </c>
      <c r="J36" s="4" t="s">
        <v>43</v>
      </c>
      <c r="K36" s="4" t="s">
        <v>44</v>
      </c>
      <c r="L36" s="4" t="s">
        <v>45</v>
      </c>
      <c r="M36" s="154">
        <v>11.997999999999999</v>
      </c>
      <c r="N36" s="4" t="s">
        <v>81</v>
      </c>
      <c r="O36" s="168">
        <v>5.5E-2</v>
      </c>
      <c r="P36" s="169">
        <v>4.7149999999999997E-2</v>
      </c>
      <c r="R36" s="154">
        <v>6300000</v>
      </c>
      <c r="S36" s="154">
        <v>1</v>
      </c>
      <c r="T36" s="154">
        <v>110.25</v>
      </c>
      <c r="U36" s="154">
        <v>6945.75</v>
      </c>
      <c r="W36" s="4" t="s">
        <v>37</v>
      </c>
      <c r="X36" s="169">
        <v>3.3199999999999999E-4</v>
      </c>
      <c r="Y36" s="169">
        <v>3.05421732367771E-2</v>
      </c>
      <c r="Z36" s="169">
        <v>6.3362142349578099E-3</v>
      </c>
    </row>
    <row r="37" spans="1:26">
      <c r="A37" s="4" t="s">
        <v>26</v>
      </c>
      <c r="B37" s="4">
        <v>9935</v>
      </c>
      <c r="C37" s="4" t="s">
        <v>57</v>
      </c>
      <c r="D37" s="4" t="s">
        <v>82</v>
      </c>
      <c r="E37" s="4" t="s">
        <v>83</v>
      </c>
      <c r="F37" s="4" t="s">
        <v>60</v>
      </c>
      <c r="G37" s="4" t="s">
        <v>31</v>
      </c>
      <c r="H37" s="4" t="s">
        <v>31</v>
      </c>
      <c r="I37" s="4" t="s">
        <v>49</v>
      </c>
      <c r="J37" s="4" t="s">
        <v>43</v>
      </c>
      <c r="K37" s="4" t="s">
        <v>44</v>
      </c>
      <c r="L37" s="4" t="s">
        <v>45</v>
      </c>
      <c r="M37" s="154">
        <v>5.0910000000000002</v>
      </c>
      <c r="N37" s="4" t="s">
        <v>84</v>
      </c>
      <c r="O37" s="168">
        <v>5.0000000000000001E-3</v>
      </c>
      <c r="P37" s="169">
        <v>1.34E-2</v>
      </c>
      <c r="R37" s="154">
        <v>16075000</v>
      </c>
      <c r="S37" s="154">
        <v>1</v>
      </c>
      <c r="T37" s="154">
        <v>107.2</v>
      </c>
      <c r="U37" s="154">
        <v>17232.400000000001</v>
      </c>
      <c r="W37" s="4" t="s">
        <v>37</v>
      </c>
      <c r="X37" s="169">
        <v>7.9100000000000004E-4</v>
      </c>
      <c r="Y37" s="169">
        <v>7.5775106516278001E-2</v>
      </c>
      <c r="Z37" s="169">
        <v>1.5720142271531099E-2</v>
      </c>
    </row>
    <row r="38" spans="1:26">
      <c r="A38" s="4" t="s">
        <v>26</v>
      </c>
      <c r="B38" s="4">
        <v>9935</v>
      </c>
      <c r="C38" s="4" t="s">
        <v>57</v>
      </c>
      <c r="D38" s="4" t="s">
        <v>85</v>
      </c>
      <c r="E38" s="4" t="s">
        <v>86</v>
      </c>
      <c r="F38" s="4" t="s">
        <v>60</v>
      </c>
      <c r="G38" s="4" t="s">
        <v>31</v>
      </c>
      <c r="H38" s="4" t="s">
        <v>31</v>
      </c>
      <c r="I38" s="4" t="s">
        <v>49</v>
      </c>
      <c r="J38" s="4" t="s">
        <v>43</v>
      </c>
      <c r="K38" s="4" t="s">
        <v>44</v>
      </c>
      <c r="L38" s="4" t="s">
        <v>45</v>
      </c>
      <c r="M38" s="154">
        <v>2.3279999999999998</v>
      </c>
      <c r="N38" s="4" t="s">
        <v>87</v>
      </c>
      <c r="O38" s="168">
        <v>1E-3</v>
      </c>
      <c r="P38" s="169">
        <v>1.0410000000000001E-2</v>
      </c>
      <c r="R38" s="154">
        <v>9905000</v>
      </c>
      <c r="S38" s="154">
        <v>1</v>
      </c>
      <c r="T38" s="154">
        <v>109.23</v>
      </c>
      <c r="U38" s="154">
        <v>10819.231</v>
      </c>
      <c r="W38" s="4" t="s">
        <v>37</v>
      </c>
      <c r="X38" s="169">
        <v>4.9399999999999997E-4</v>
      </c>
      <c r="Y38" s="169">
        <v>4.7574825290544E-2</v>
      </c>
      <c r="Z38" s="169">
        <v>9.86977196726113E-3</v>
      </c>
    </row>
    <row r="39" spans="1:26">
      <c r="A39" s="4" t="s">
        <v>26</v>
      </c>
      <c r="B39" s="4">
        <v>9935</v>
      </c>
      <c r="C39" s="4" t="s">
        <v>57</v>
      </c>
      <c r="D39" s="4" t="s">
        <v>88</v>
      </c>
      <c r="E39" s="4" t="s">
        <v>89</v>
      </c>
      <c r="F39" s="4" t="s">
        <v>60</v>
      </c>
      <c r="G39" s="4" t="s">
        <v>31</v>
      </c>
      <c r="H39" s="4" t="s">
        <v>31</v>
      </c>
      <c r="I39" s="4" t="s">
        <v>49</v>
      </c>
      <c r="J39" s="4" t="s">
        <v>43</v>
      </c>
      <c r="K39" s="4" t="s">
        <v>44</v>
      </c>
      <c r="L39" s="4" t="s">
        <v>45</v>
      </c>
      <c r="M39" s="154">
        <v>4.4779999999999998</v>
      </c>
      <c r="N39" s="4" t="s">
        <v>90</v>
      </c>
      <c r="O39" s="168">
        <v>1.0999999999999999E-2</v>
      </c>
      <c r="P39" s="169">
        <v>1.302E-2</v>
      </c>
      <c r="R39" s="154">
        <v>1500000</v>
      </c>
      <c r="S39" s="154">
        <v>1</v>
      </c>
      <c r="T39" s="154">
        <v>100.29</v>
      </c>
      <c r="U39" s="154">
        <v>1504.35</v>
      </c>
      <c r="W39" s="4" t="s">
        <v>37</v>
      </c>
      <c r="X39" s="169">
        <v>0</v>
      </c>
      <c r="Y39" s="169">
        <v>6.6149974169449899E-3</v>
      </c>
      <c r="Z39" s="169">
        <v>1.3723332806909001E-3</v>
      </c>
    </row>
    <row r="40" spans="1:26">
      <c r="A40" s="4" t="s">
        <v>26</v>
      </c>
      <c r="B40" s="4">
        <v>9935</v>
      </c>
      <c r="C40" s="4" t="s">
        <v>68</v>
      </c>
      <c r="D40" s="4" t="s">
        <v>91</v>
      </c>
      <c r="E40" s="4" t="s">
        <v>92</v>
      </c>
      <c r="F40" s="4" t="s">
        <v>71</v>
      </c>
      <c r="G40" s="4" t="s">
        <v>31</v>
      </c>
      <c r="H40" s="4" t="s">
        <v>31</v>
      </c>
      <c r="I40" s="4" t="s">
        <v>49</v>
      </c>
      <c r="J40" s="4" t="s">
        <v>43</v>
      </c>
      <c r="K40" s="4" t="s">
        <v>44</v>
      </c>
      <c r="L40" s="4" t="s">
        <v>45</v>
      </c>
      <c r="M40" s="154">
        <v>5.8360000000000003</v>
      </c>
      <c r="N40" s="4" t="s">
        <v>93</v>
      </c>
      <c r="O40" s="168">
        <v>0.01</v>
      </c>
      <c r="P40" s="169">
        <v>4.1730000000000003E-2</v>
      </c>
      <c r="R40" s="154">
        <v>13800000</v>
      </c>
      <c r="S40" s="154">
        <v>1</v>
      </c>
      <c r="T40" s="154">
        <v>83.47</v>
      </c>
      <c r="U40" s="154">
        <v>11518.86</v>
      </c>
      <c r="W40" s="4" t="s">
        <v>37</v>
      </c>
      <c r="X40" s="169">
        <v>3.6600000000000001E-4</v>
      </c>
      <c r="Y40" s="169">
        <v>5.0651264098215798E-2</v>
      </c>
      <c r="Z40" s="169">
        <v>1.05080034125165E-2</v>
      </c>
    </row>
    <row r="41" spans="1:26">
      <c r="A41" s="4" t="s">
        <v>26</v>
      </c>
      <c r="B41" s="4">
        <v>9935</v>
      </c>
      <c r="C41" s="4" t="s">
        <v>68</v>
      </c>
      <c r="D41" s="4" t="s">
        <v>94</v>
      </c>
      <c r="E41" s="4" t="s">
        <v>95</v>
      </c>
      <c r="F41" s="4" t="s">
        <v>71</v>
      </c>
      <c r="G41" s="4" t="s">
        <v>31</v>
      </c>
      <c r="H41" s="4" t="s">
        <v>31</v>
      </c>
      <c r="I41" s="4" t="s">
        <v>49</v>
      </c>
      <c r="J41" s="4" t="s">
        <v>43</v>
      </c>
      <c r="K41" s="4" t="s">
        <v>44</v>
      </c>
      <c r="L41" s="4" t="s">
        <v>45</v>
      </c>
      <c r="M41" s="154">
        <v>7.56</v>
      </c>
      <c r="N41" s="4" t="s">
        <v>96</v>
      </c>
      <c r="O41" s="168">
        <v>1.2999999999999999E-2</v>
      </c>
      <c r="P41" s="169">
        <v>4.3119999999999999E-2</v>
      </c>
      <c r="R41" s="154">
        <v>14930000</v>
      </c>
      <c r="S41" s="154">
        <v>1</v>
      </c>
      <c r="T41" s="154">
        <v>81.010000000000005</v>
      </c>
      <c r="U41" s="154">
        <v>12094.793</v>
      </c>
      <c r="W41" s="4" t="s">
        <v>37</v>
      </c>
      <c r="X41" s="169">
        <v>6.9300000000000004E-4</v>
      </c>
      <c r="Y41" s="169">
        <v>5.3183783330664001E-2</v>
      </c>
      <c r="Z41" s="169">
        <v>1.1033394460708799E-2</v>
      </c>
    </row>
    <row r="42" spans="1:26">
      <c r="A42" s="4" t="s">
        <v>26</v>
      </c>
      <c r="B42" s="4">
        <v>9935</v>
      </c>
      <c r="C42" s="4" t="s">
        <v>38</v>
      </c>
      <c r="D42" s="4" t="s">
        <v>115</v>
      </c>
      <c r="E42" s="4" t="s">
        <v>116</v>
      </c>
      <c r="F42" s="4" t="s">
        <v>41</v>
      </c>
      <c r="G42" s="4" t="s">
        <v>31</v>
      </c>
      <c r="H42" s="4" t="s">
        <v>31</v>
      </c>
      <c r="I42" s="4" t="s">
        <v>49</v>
      </c>
      <c r="J42" s="4" t="s">
        <v>43</v>
      </c>
      <c r="K42" s="4" t="s">
        <v>44</v>
      </c>
      <c r="L42" s="4" t="s">
        <v>45</v>
      </c>
      <c r="M42" s="154">
        <v>0.67700000000000005</v>
      </c>
      <c r="N42" s="4" t="s">
        <v>117</v>
      </c>
      <c r="O42" s="168">
        <v>0</v>
      </c>
      <c r="P42" s="169">
        <v>4.2380000000000001E-2</v>
      </c>
      <c r="R42" s="154">
        <v>14816000</v>
      </c>
      <c r="S42" s="154">
        <v>1</v>
      </c>
      <c r="T42" s="154">
        <v>97.22</v>
      </c>
      <c r="U42" s="154">
        <v>14404.115</v>
      </c>
      <c r="W42" s="4" t="s">
        <v>37</v>
      </c>
      <c r="X42" s="169">
        <v>1.0579999999999999E-3</v>
      </c>
      <c r="Y42" s="169">
        <v>6.3338441746520396E-2</v>
      </c>
      <c r="Z42" s="169">
        <v>1.31400582762426E-2</v>
      </c>
    </row>
    <row r="43" spans="1:26">
      <c r="A43" s="4" t="s">
        <v>26</v>
      </c>
      <c r="B43" s="4">
        <v>9935</v>
      </c>
      <c r="C43" s="4" t="s">
        <v>57</v>
      </c>
      <c r="D43" s="4" t="s">
        <v>118</v>
      </c>
      <c r="E43" s="4" t="s">
        <v>119</v>
      </c>
      <c r="F43" s="4" t="s">
        <v>60</v>
      </c>
      <c r="G43" s="4" t="s">
        <v>31</v>
      </c>
      <c r="H43" s="4" t="s">
        <v>31</v>
      </c>
      <c r="I43" s="4" t="s">
        <v>49</v>
      </c>
      <c r="J43" s="4" t="s">
        <v>43</v>
      </c>
      <c r="K43" s="4" t="s">
        <v>44</v>
      </c>
      <c r="L43" s="4" t="s">
        <v>45</v>
      </c>
      <c r="M43" s="154">
        <v>18.8</v>
      </c>
      <c r="N43" s="4" t="s">
        <v>120</v>
      </c>
      <c r="O43" s="168">
        <v>0.01</v>
      </c>
      <c r="P43" s="169">
        <v>1.8530000000000001E-2</v>
      </c>
      <c r="R43" s="154">
        <v>2961204</v>
      </c>
      <c r="S43" s="154">
        <v>1</v>
      </c>
      <c r="T43" s="154">
        <v>96.44</v>
      </c>
      <c r="U43" s="154">
        <v>2855.7849999999999</v>
      </c>
      <c r="W43" s="4" t="s">
        <v>37</v>
      </c>
      <c r="X43" s="169">
        <v>1.64E-4</v>
      </c>
      <c r="Y43" s="169">
        <v>1.25575905265223E-2</v>
      </c>
      <c r="Z43" s="169">
        <v>2.6051709953341402E-3</v>
      </c>
    </row>
    <row r="44" spans="1:26">
      <c r="A44" s="4" t="s">
        <v>26</v>
      </c>
      <c r="B44" s="4">
        <v>9935</v>
      </c>
      <c r="C44" s="4" t="s">
        <v>57</v>
      </c>
      <c r="D44" s="4" t="s">
        <v>62</v>
      </c>
      <c r="E44" s="4" t="s">
        <v>63</v>
      </c>
      <c r="F44" s="4" t="s">
        <v>60</v>
      </c>
      <c r="G44" s="4" t="s">
        <v>31</v>
      </c>
      <c r="H44" s="4" t="s">
        <v>31</v>
      </c>
      <c r="I44" s="4" t="s">
        <v>49</v>
      </c>
      <c r="J44" s="4" t="s">
        <v>43</v>
      </c>
      <c r="K44" s="4" t="s">
        <v>44</v>
      </c>
      <c r="L44" s="4" t="s">
        <v>45</v>
      </c>
      <c r="M44" s="154">
        <v>1.5760000000000001</v>
      </c>
      <c r="N44" s="4" t="s">
        <v>64</v>
      </c>
      <c r="O44" s="168">
        <v>7.4999999999999997E-3</v>
      </c>
      <c r="P44" s="169">
        <v>7.9699999999999997E-3</v>
      </c>
      <c r="R44" s="154">
        <v>21999804</v>
      </c>
      <c r="S44" s="154">
        <v>1</v>
      </c>
      <c r="T44" s="154">
        <v>112.14</v>
      </c>
      <c r="U44" s="154">
        <v>24670.58</v>
      </c>
      <c r="W44" s="4" t="s">
        <v>37</v>
      </c>
      <c r="X44" s="169">
        <v>1.0139999999999999E-3</v>
      </c>
      <c r="Y44" s="169">
        <v>0.108482616634811</v>
      </c>
      <c r="Z44" s="169">
        <v>2.2505572685943401E-2</v>
      </c>
    </row>
    <row r="45" spans="1:26">
      <c r="A45" s="4" t="s">
        <v>26</v>
      </c>
      <c r="B45" s="4">
        <v>9935</v>
      </c>
      <c r="C45" s="4" t="s">
        <v>57</v>
      </c>
      <c r="D45" s="4" t="s">
        <v>65</v>
      </c>
      <c r="E45" s="4" t="s">
        <v>66</v>
      </c>
      <c r="F45" s="4" t="s">
        <v>60</v>
      </c>
      <c r="G45" s="4" t="s">
        <v>31</v>
      </c>
      <c r="H45" s="4" t="s">
        <v>31</v>
      </c>
      <c r="I45" s="4" t="s">
        <v>49</v>
      </c>
      <c r="J45" s="4" t="s">
        <v>43</v>
      </c>
      <c r="K45" s="4" t="s">
        <v>44</v>
      </c>
      <c r="L45" s="4" t="s">
        <v>45</v>
      </c>
      <c r="M45" s="154">
        <v>7.6379999999999999</v>
      </c>
      <c r="N45" s="4" t="s">
        <v>67</v>
      </c>
      <c r="O45" s="168">
        <v>1E-3</v>
      </c>
      <c r="P45" s="169">
        <v>1.5559999999999999E-2</v>
      </c>
      <c r="R45" s="154">
        <v>3292000</v>
      </c>
      <c r="S45" s="154">
        <v>1</v>
      </c>
      <c r="T45" s="154">
        <v>99.81</v>
      </c>
      <c r="U45" s="154">
        <v>3285.7449999999999</v>
      </c>
      <c r="W45" s="4" t="s">
        <v>37</v>
      </c>
      <c r="X45" s="169">
        <v>1.2799999999999999E-4</v>
      </c>
      <c r="Y45" s="169">
        <v>1.4448230804493201E-2</v>
      </c>
      <c r="Z45" s="169">
        <v>2.9973992022005302E-3</v>
      </c>
    </row>
    <row r="46" spans="1:26">
      <c r="A46" s="4" t="s">
        <v>26</v>
      </c>
      <c r="B46" s="4">
        <v>9935</v>
      </c>
      <c r="C46" s="4" t="s">
        <v>68</v>
      </c>
      <c r="D46" s="4" t="s">
        <v>69</v>
      </c>
      <c r="E46" s="4" t="s">
        <v>70</v>
      </c>
      <c r="F46" s="4" t="s">
        <v>71</v>
      </c>
      <c r="G46" s="4" t="s">
        <v>31</v>
      </c>
      <c r="H46" s="4" t="s">
        <v>31</v>
      </c>
      <c r="I46" s="4" t="s">
        <v>49</v>
      </c>
      <c r="J46" s="4" t="s">
        <v>43</v>
      </c>
      <c r="K46" s="4" t="s">
        <v>44</v>
      </c>
      <c r="L46" s="4" t="s">
        <v>45</v>
      </c>
      <c r="M46" s="154">
        <v>4.2690000000000001</v>
      </c>
      <c r="N46" s="4" t="s">
        <v>72</v>
      </c>
      <c r="O46" s="168">
        <v>2.2499999999999999E-2</v>
      </c>
      <c r="P46" s="169">
        <v>4.0719999999999999E-2</v>
      </c>
      <c r="R46" s="154">
        <v>9200000</v>
      </c>
      <c r="S46" s="154">
        <v>1</v>
      </c>
      <c r="T46" s="154">
        <v>93.79</v>
      </c>
      <c r="U46" s="154">
        <v>8628.68</v>
      </c>
      <c r="W46" s="4" t="s">
        <v>37</v>
      </c>
      <c r="X46" s="169">
        <v>3.4000000000000002E-4</v>
      </c>
      <c r="Y46" s="169">
        <v>3.7942430891511197E-2</v>
      </c>
      <c r="Z46" s="169">
        <v>7.8714559327496408E-3</v>
      </c>
    </row>
    <row r="47" spans="1:26">
      <c r="A47" s="4" t="s">
        <v>26</v>
      </c>
      <c r="B47" s="4">
        <v>9935</v>
      </c>
      <c r="C47" s="4" t="s">
        <v>68</v>
      </c>
      <c r="D47" s="4" t="s">
        <v>106</v>
      </c>
      <c r="E47" s="4" t="s">
        <v>107</v>
      </c>
      <c r="F47" s="4" t="s">
        <v>71</v>
      </c>
      <c r="G47" s="4" t="s">
        <v>31</v>
      </c>
      <c r="H47" s="4" t="s">
        <v>31</v>
      </c>
      <c r="I47" s="4" t="s">
        <v>49</v>
      </c>
      <c r="J47" s="4" t="s">
        <v>43</v>
      </c>
      <c r="K47" s="4" t="s">
        <v>44</v>
      </c>
      <c r="L47" s="4" t="s">
        <v>45</v>
      </c>
      <c r="M47" s="154">
        <v>4.5629999999999997</v>
      </c>
      <c r="N47" s="4" t="s">
        <v>108</v>
      </c>
      <c r="O47" s="168">
        <v>3.7499999999999999E-2</v>
      </c>
      <c r="P47" s="169">
        <v>4.0939999999999997E-2</v>
      </c>
      <c r="R47" s="154">
        <v>2000000</v>
      </c>
      <c r="S47" s="154">
        <v>1</v>
      </c>
      <c r="T47" s="154">
        <v>98.83</v>
      </c>
      <c r="U47" s="154">
        <v>1976.6</v>
      </c>
      <c r="W47" s="4" t="s">
        <v>37</v>
      </c>
      <c r="X47" s="169">
        <v>1.56E-4</v>
      </c>
      <c r="Y47" s="169">
        <v>8.6915969650237408E-3</v>
      </c>
      <c r="Z47" s="169">
        <v>1.8031402018237901E-3</v>
      </c>
    </row>
    <row r="48" spans="1:26">
      <c r="A48" s="4" t="s">
        <v>26</v>
      </c>
      <c r="B48" s="4">
        <v>9935</v>
      </c>
      <c r="C48" s="4" t="s">
        <v>68</v>
      </c>
      <c r="D48" s="4" t="s">
        <v>112</v>
      </c>
      <c r="E48" s="4" t="s">
        <v>113</v>
      </c>
      <c r="F48" s="4" t="s">
        <v>71</v>
      </c>
      <c r="G48" s="4" t="s">
        <v>31</v>
      </c>
      <c r="H48" s="4" t="s">
        <v>31</v>
      </c>
      <c r="I48" s="4" t="s">
        <v>49</v>
      </c>
      <c r="J48" s="4" t="s">
        <v>43</v>
      </c>
      <c r="K48" s="4" t="s">
        <v>44</v>
      </c>
      <c r="L48" s="4" t="s">
        <v>45</v>
      </c>
      <c r="M48" s="154">
        <v>2.4129999999999998</v>
      </c>
      <c r="N48" s="4" t="s">
        <v>114</v>
      </c>
      <c r="O48" s="168">
        <v>6.25E-2</v>
      </c>
      <c r="P48" s="169">
        <v>3.9949999999999999E-2</v>
      </c>
      <c r="R48" s="154">
        <v>2295978</v>
      </c>
      <c r="S48" s="154">
        <v>1</v>
      </c>
      <c r="T48" s="154">
        <v>108.03</v>
      </c>
      <c r="U48" s="154">
        <v>2480.3449999999998</v>
      </c>
      <c r="W48" s="4" t="s">
        <v>37</v>
      </c>
      <c r="X48" s="169">
        <v>1.54E-4</v>
      </c>
      <c r="Y48" s="169">
        <v>1.0906687931048801E-2</v>
      </c>
      <c r="Z48" s="169">
        <v>2.2626782576735398E-3</v>
      </c>
    </row>
    <row r="49" spans="1:26">
      <c r="A49" s="4" t="s">
        <v>26</v>
      </c>
      <c r="B49" s="4">
        <v>9935</v>
      </c>
      <c r="C49" s="4" t="s">
        <v>68</v>
      </c>
      <c r="D49" s="4" t="s">
        <v>79</v>
      </c>
      <c r="E49" s="4" t="s">
        <v>80</v>
      </c>
      <c r="F49" s="4" t="s">
        <v>71</v>
      </c>
      <c r="G49" s="4" t="s">
        <v>31</v>
      </c>
      <c r="H49" s="4" t="s">
        <v>31</v>
      </c>
      <c r="I49" s="4" t="s">
        <v>49</v>
      </c>
      <c r="J49" s="4" t="s">
        <v>43</v>
      </c>
      <c r="K49" s="4" t="s">
        <v>44</v>
      </c>
      <c r="L49" s="4" t="s">
        <v>45</v>
      </c>
      <c r="M49" s="154">
        <v>11.997999999999999</v>
      </c>
      <c r="N49" s="4" t="s">
        <v>81</v>
      </c>
      <c r="O49" s="168">
        <v>5.5E-2</v>
      </c>
      <c r="P49" s="169">
        <v>4.7149999999999997E-2</v>
      </c>
      <c r="R49" s="154">
        <v>5754305</v>
      </c>
      <c r="S49" s="154">
        <v>1</v>
      </c>
      <c r="T49" s="154">
        <v>110.25</v>
      </c>
      <c r="U49" s="154">
        <v>6344.1210000000001</v>
      </c>
      <c r="W49" s="4" t="s">
        <v>37</v>
      </c>
      <c r="X49" s="169">
        <v>3.0299999999999999E-4</v>
      </c>
      <c r="Y49" s="169">
        <v>2.78966635186115E-2</v>
      </c>
      <c r="Z49" s="169">
        <v>5.7873824211569702E-3</v>
      </c>
    </row>
    <row r="50" spans="1:26">
      <c r="A50" s="4" t="s">
        <v>26</v>
      </c>
      <c r="B50" s="4">
        <v>9935</v>
      </c>
      <c r="C50" s="4" t="s">
        <v>57</v>
      </c>
      <c r="D50" s="4" t="s">
        <v>82</v>
      </c>
      <c r="E50" s="4" t="s">
        <v>83</v>
      </c>
      <c r="F50" s="4" t="s">
        <v>60</v>
      </c>
      <c r="G50" s="4" t="s">
        <v>31</v>
      </c>
      <c r="H50" s="4" t="s">
        <v>31</v>
      </c>
      <c r="I50" s="4" t="s">
        <v>49</v>
      </c>
      <c r="J50" s="4" t="s">
        <v>43</v>
      </c>
      <c r="K50" s="4" t="s">
        <v>44</v>
      </c>
      <c r="L50" s="4" t="s">
        <v>45</v>
      </c>
      <c r="M50" s="154">
        <v>5.0910000000000002</v>
      </c>
      <c r="N50" s="4" t="s">
        <v>84</v>
      </c>
      <c r="O50" s="168">
        <v>5.0000000000000001E-3</v>
      </c>
      <c r="P50" s="169">
        <v>1.34E-2</v>
      </c>
      <c r="R50" s="154">
        <v>10800000</v>
      </c>
      <c r="S50" s="154">
        <v>1</v>
      </c>
      <c r="T50" s="154">
        <v>107.2</v>
      </c>
      <c r="U50" s="154">
        <v>11577.6</v>
      </c>
      <c r="W50" s="4" t="s">
        <v>37</v>
      </c>
      <c r="X50" s="169">
        <v>5.31E-4</v>
      </c>
      <c r="Y50" s="169">
        <v>5.0909558343751299E-2</v>
      </c>
      <c r="Z50" s="169">
        <v>1.05615885867829E-2</v>
      </c>
    </row>
    <row r="51" spans="1:26">
      <c r="A51" s="4" t="s">
        <v>26</v>
      </c>
      <c r="B51" s="4">
        <v>9935</v>
      </c>
      <c r="C51" s="4" t="s">
        <v>57</v>
      </c>
      <c r="D51" s="4" t="s">
        <v>85</v>
      </c>
      <c r="E51" s="4" t="s">
        <v>86</v>
      </c>
      <c r="F51" s="4" t="s">
        <v>60</v>
      </c>
      <c r="G51" s="4" t="s">
        <v>31</v>
      </c>
      <c r="H51" s="4" t="s">
        <v>31</v>
      </c>
      <c r="I51" s="4" t="s">
        <v>49</v>
      </c>
      <c r="J51" s="4" t="s">
        <v>43</v>
      </c>
      <c r="K51" s="4" t="s">
        <v>44</v>
      </c>
      <c r="L51" s="4" t="s">
        <v>45</v>
      </c>
      <c r="M51" s="154">
        <v>2.3279999999999998</v>
      </c>
      <c r="N51" s="4" t="s">
        <v>87</v>
      </c>
      <c r="O51" s="168">
        <v>1E-3</v>
      </c>
      <c r="P51" s="169">
        <v>1.0410000000000001E-2</v>
      </c>
      <c r="R51" s="154">
        <v>6500000</v>
      </c>
      <c r="S51" s="154">
        <v>1</v>
      </c>
      <c r="T51" s="154">
        <v>109.23</v>
      </c>
      <c r="U51" s="154">
        <v>7099.95</v>
      </c>
      <c r="W51" s="4" t="s">
        <v>37</v>
      </c>
      <c r="X51" s="169">
        <v>3.2400000000000001E-4</v>
      </c>
      <c r="Y51" s="169">
        <v>3.12202286106548E-2</v>
      </c>
      <c r="Z51" s="169">
        <v>6.4768821592324404E-3</v>
      </c>
    </row>
    <row r="52" spans="1:26">
      <c r="A52" s="4" t="s">
        <v>26</v>
      </c>
      <c r="B52" s="4">
        <v>9935</v>
      </c>
      <c r="C52" s="4" t="s">
        <v>57</v>
      </c>
      <c r="D52" s="4" t="s">
        <v>88</v>
      </c>
      <c r="E52" s="4" t="s">
        <v>89</v>
      </c>
      <c r="F52" s="4" t="s">
        <v>60</v>
      </c>
      <c r="G52" s="4" t="s">
        <v>31</v>
      </c>
      <c r="H52" s="4" t="s">
        <v>31</v>
      </c>
      <c r="I52" s="4" t="s">
        <v>49</v>
      </c>
      <c r="J52" s="4" t="s">
        <v>43</v>
      </c>
      <c r="K52" s="4" t="s">
        <v>44</v>
      </c>
      <c r="L52" s="4" t="s">
        <v>45</v>
      </c>
      <c r="M52" s="154">
        <v>4.4779999999999998</v>
      </c>
      <c r="N52" s="4" t="s">
        <v>90</v>
      </c>
      <c r="O52" s="168">
        <v>1.0999999999999999E-2</v>
      </c>
      <c r="P52" s="169">
        <v>1.302E-2</v>
      </c>
      <c r="R52" s="154">
        <v>8640000</v>
      </c>
      <c r="S52" s="154">
        <v>1</v>
      </c>
      <c r="T52" s="154">
        <v>100.29</v>
      </c>
      <c r="U52" s="154">
        <v>8665.0560000000005</v>
      </c>
      <c r="W52" s="4" t="s">
        <v>37</v>
      </c>
      <c r="X52" s="169">
        <v>0</v>
      </c>
      <c r="Y52" s="169">
        <v>3.8102385121603098E-2</v>
      </c>
      <c r="Z52" s="169">
        <v>7.9046396967795592E-3</v>
      </c>
    </row>
    <row r="53" spans="1:26">
      <c r="A53" s="4" t="s">
        <v>26</v>
      </c>
      <c r="B53" s="4">
        <v>9935</v>
      </c>
      <c r="C53" s="4" t="s">
        <v>68</v>
      </c>
      <c r="D53" s="4" t="s">
        <v>91</v>
      </c>
      <c r="E53" s="4" t="s">
        <v>92</v>
      </c>
      <c r="F53" s="4" t="s">
        <v>71</v>
      </c>
      <c r="G53" s="4" t="s">
        <v>31</v>
      </c>
      <c r="H53" s="4" t="s">
        <v>31</v>
      </c>
      <c r="I53" s="4" t="s">
        <v>49</v>
      </c>
      <c r="J53" s="4" t="s">
        <v>43</v>
      </c>
      <c r="K53" s="4" t="s">
        <v>44</v>
      </c>
      <c r="L53" s="4" t="s">
        <v>45</v>
      </c>
      <c r="M53" s="154">
        <v>5.8360000000000003</v>
      </c>
      <c r="N53" s="4" t="s">
        <v>93</v>
      </c>
      <c r="O53" s="168">
        <v>0.01</v>
      </c>
      <c r="P53" s="169">
        <v>4.1730000000000003E-2</v>
      </c>
      <c r="R53" s="154">
        <v>6700000</v>
      </c>
      <c r="S53" s="154">
        <v>1</v>
      </c>
      <c r="T53" s="154">
        <v>83.47</v>
      </c>
      <c r="U53" s="154">
        <v>5592.49</v>
      </c>
      <c r="W53" s="4" t="s">
        <v>37</v>
      </c>
      <c r="X53" s="169">
        <v>1.7699999999999999E-4</v>
      </c>
      <c r="Y53" s="169">
        <v>2.4591555757829401E-2</v>
      </c>
      <c r="Z53" s="169">
        <v>5.1017118017290001E-3</v>
      </c>
    </row>
    <row r="54" spans="1:26">
      <c r="A54" s="4" t="s">
        <v>26</v>
      </c>
      <c r="B54" s="4">
        <v>9935</v>
      </c>
      <c r="C54" s="4" t="s">
        <v>68</v>
      </c>
      <c r="D54" s="4" t="s">
        <v>94</v>
      </c>
      <c r="E54" s="4" t="s">
        <v>95</v>
      </c>
      <c r="F54" s="4" t="s">
        <v>71</v>
      </c>
      <c r="G54" s="4" t="s">
        <v>31</v>
      </c>
      <c r="H54" s="4" t="s">
        <v>31</v>
      </c>
      <c r="I54" s="4" t="s">
        <v>49</v>
      </c>
      <c r="J54" s="4" t="s">
        <v>43</v>
      </c>
      <c r="K54" s="4" t="s">
        <v>44</v>
      </c>
      <c r="L54" s="4" t="s">
        <v>45</v>
      </c>
      <c r="M54" s="154">
        <v>7.56</v>
      </c>
      <c r="N54" s="4" t="s">
        <v>96</v>
      </c>
      <c r="O54" s="168">
        <v>1.2999999999999999E-2</v>
      </c>
      <c r="P54" s="169">
        <v>4.3119999999999999E-2</v>
      </c>
      <c r="R54" s="154">
        <v>8100000</v>
      </c>
      <c r="S54" s="154">
        <v>1</v>
      </c>
      <c r="T54" s="154">
        <v>81.010000000000005</v>
      </c>
      <c r="U54" s="154">
        <v>6561.81</v>
      </c>
      <c r="W54" s="4" t="s">
        <v>37</v>
      </c>
      <c r="X54" s="169">
        <v>3.7599999999999998E-4</v>
      </c>
      <c r="Y54" s="169">
        <v>2.8853894506254401E-2</v>
      </c>
      <c r="Z54" s="169">
        <v>5.9859675238942596E-3</v>
      </c>
    </row>
    <row r="55" spans="1:26">
      <c r="A55" s="4" t="s">
        <v>26</v>
      </c>
      <c r="B55" s="4">
        <v>9935</v>
      </c>
      <c r="C55" s="4" t="s">
        <v>121</v>
      </c>
      <c r="D55" s="4" t="s">
        <v>122</v>
      </c>
      <c r="E55" s="4" t="s">
        <v>123</v>
      </c>
      <c r="F55" s="4" t="s">
        <v>30</v>
      </c>
      <c r="G55" s="4" t="s">
        <v>124</v>
      </c>
      <c r="H55" s="4" t="s">
        <v>125</v>
      </c>
      <c r="I55" s="4" t="s">
        <v>126</v>
      </c>
      <c r="J55" s="4" t="s">
        <v>127</v>
      </c>
      <c r="K55" s="4" t="s">
        <v>128</v>
      </c>
      <c r="L55" s="4" t="s">
        <v>35</v>
      </c>
      <c r="M55" s="154">
        <v>0.55000000000000004</v>
      </c>
      <c r="N55" s="4" t="s">
        <v>129</v>
      </c>
      <c r="O55" s="168">
        <v>0</v>
      </c>
      <c r="P55" s="169">
        <v>5.1659999999999998E-2</v>
      </c>
      <c r="R55" s="154">
        <v>1200000</v>
      </c>
      <c r="S55" s="154">
        <v>3.681</v>
      </c>
      <c r="T55" s="154">
        <v>97.096999999999994</v>
      </c>
      <c r="U55" s="154">
        <v>4288.973</v>
      </c>
      <c r="W55" s="4" t="s">
        <v>37</v>
      </c>
      <c r="X55" s="169">
        <v>0</v>
      </c>
      <c r="Y55" s="169">
        <v>1.8859670944783202E-2</v>
      </c>
      <c r="Z55" s="169">
        <v>3.9125871816829902E-3</v>
      </c>
    </row>
    <row r="56" spans="1:26">
      <c r="A56" s="4" t="s">
        <v>26</v>
      </c>
      <c r="B56" s="4">
        <v>9935</v>
      </c>
      <c r="C56" s="4" t="s">
        <v>121</v>
      </c>
      <c r="D56" s="4" t="s">
        <v>122</v>
      </c>
      <c r="E56" s="4" t="s">
        <v>123</v>
      </c>
      <c r="F56" s="4" t="s">
        <v>30</v>
      </c>
      <c r="G56" s="4" t="s">
        <v>124</v>
      </c>
      <c r="H56" s="4" t="s">
        <v>125</v>
      </c>
      <c r="I56" s="4" t="s">
        <v>126</v>
      </c>
      <c r="J56" s="4" t="s">
        <v>127</v>
      </c>
      <c r="K56" s="4" t="s">
        <v>128</v>
      </c>
      <c r="L56" s="4" t="s">
        <v>35</v>
      </c>
      <c r="M56" s="154">
        <v>0.55000000000000004</v>
      </c>
      <c r="N56" s="4" t="s">
        <v>129</v>
      </c>
      <c r="O56" s="168">
        <v>0</v>
      </c>
      <c r="P56" s="169">
        <v>5.1659999999999998E-2</v>
      </c>
      <c r="R56" s="154">
        <v>2600000</v>
      </c>
      <c r="S56" s="154">
        <v>3.681</v>
      </c>
      <c r="T56" s="154">
        <v>97.096999999999994</v>
      </c>
      <c r="U56" s="154">
        <v>9292.7749999999996</v>
      </c>
      <c r="W56" s="4" t="s">
        <v>37</v>
      </c>
      <c r="X56" s="169">
        <v>0</v>
      </c>
      <c r="Y56" s="169">
        <v>4.08626203803635E-2</v>
      </c>
      <c r="Z56" s="169">
        <v>8.4772722269798005E-3</v>
      </c>
    </row>
    <row r="57" spans="1:26">
      <c r="A57" s="4" t="s">
        <v>26</v>
      </c>
      <c r="B57" s="4">
        <v>9936</v>
      </c>
      <c r="C57" s="4" t="s">
        <v>38</v>
      </c>
      <c r="D57" s="4" t="s">
        <v>115</v>
      </c>
      <c r="E57" s="4" t="s">
        <v>116</v>
      </c>
      <c r="F57" s="4" t="s">
        <v>41</v>
      </c>
      <c r="G57" s="4" t="s">
        <v>31</v>
      </c>
      <c r="H57" s="4" t="s">
        <v>31</v>
      </c>
      <c r="I57" s="4" t="s">
        <v>49</v>
      </c>
      <c r="J57" s="4" t="s">
        <v>43</v>
      </c>
      <c r="K57" s="4" t="s">
        <v>44</v>
      </c>
      <c r="L57" s="4" t="s">
        <v>45</v>
      </c>
      <c r="M57" s="154">
        <v>0.67700000000000005</v>
      </c>
      <c r="N57" s="4" t="s">
        <v>117</v>
      </c>
      <c r="O57" s="168">
        <v>0</v>
      </c>
      <c r="P57" s="169">
        <v>4.2380000000000001E-2</v>
      </c>
      <c r="R57" s="154">
        <v>494000</v>
      </c>
      <c r="S57" s="154">
        <v>1</v>
      </c>
      <c r="T57" s="154">
        <v>97.22</v>
      </c>
      <c r="U57" s="154">
        <v>480.267</v>
      </c>
      <c r="W57" s="4" t="s">
        <v>37</v>
      </c>
      <c r="X57" s="169">
        <v>3.4999999999999997E-5</v>
      </c>
      <c r="Y57" s="169">
        <v>0.10804387756343101</v>
      </c>
      <c r="Z57" s="169">
        <v>3.1549476993965597E-2</v>
      </c>
    </row>
    <row r="58" spans="1:26">
      <c r="A58" s="4" t="s">
        <v>26</v>
      </c>
      <c r="B58" s="4">
        <v>9936</v>
      </c>
      <c r="C58" s="4" t="s">
        <v>57</v>
      </c>
      <c r="D58" s="4" t="s">
        <v>58</v>
      </c>
      <c r="E58" s="4" t="s">
        <v>59</v>
      </c>
      <c r="F58" s="4" t="s">
        <v>60</v>
      </c>
      <c r="G58" s="4" t="s">
        <v>31</v>
      </c>
      <c r="H58" s="4" t="s">
        <v>31</v>
      </c>
      <c r="I58" s="4" t="s">
        <v>49</v>
      </c>
      <c r="J58" s="4" t="s">
        <v>43</v>
      </c>
      <c r="K58" s="4" t="s">
        <v>44</v>
      </c>
      <c r="L58" s="4" t="s">
        <v>45</v>
      </c>
      <c r="M58" s="154">
        <v>3.1190000000000002</v>
      </c>
      <c r="N58" s="4" t="s">
        <v>61</v>
      </c>
      <c r="O58" s="168">
        <v>7.4999999999999997E-3</v>
      </c>
      <c r="P58" s="169">
        <v>1.1520000000000001E-2</v>
      </c>
      <c r="R58" s="154">
        <v>194091</v>
      </c>
      <c r="S58" s="154">
        <v>1</v>
      </c>
      <c r="T58" s="154">
        <v>111.88</v>
      </c>
      <c r="U58" s="154">
        <v>217.149</v>
      </c>
      <c r="W58" s="4" t="s">
        <v>37</v>
      </c>
      <c r="X58" s="169">
        <v>9.0000000000000002E-6</v>
      </c>
      <c r="Y58" s="169">
        <v>4.8851224227648801E-2</v>
      </c>
      <c r="Z58" s="169">
        <v>1.42648580341114E-2</v>
      </c>
    </row>
    <row r="59" spans="1:26">
      <c r="A59" s="4" t="s">
        <v>26</v>
      </c>
      <c r="B59" s="4">
        <v>9936</v>
      </c>
      <c r="C59" s="4" t="s">
        <v>57</v>
      </c>
      <c r="D59" s="4" t="s">
        <v>118</v>
      </c>
      <c r="E59" s="4" t="s">
        <v>119</v>
      </c>
      <c r="F59" s="4" t="s">
        <v>60</v>
      </c>
      <c r="G59" s="4" t="s">
        <v>31</v>
      </c>
      <c r="H59" s="4" t="s">
        <v>31</v>
      </c>
      <c r="I59" s="4" t="s">
        <v>49</v>
      </c>
      <c r="J59" s="4" t="s">
        <v>43</v>
      </c>
      <c r="K59" s="4" t="s">
        <v>44</v>
      </c>
      <c r="L59" s="4" t="s">
        <v>45</v>
      </c>
      <c r="M59" s="154">
        <v>18.8</v>
      </c>
      <c r="N59" s="4" t="s">
        <v>120</v>
      </c>
      <c r="O59" s="168">
        <v>0.01</v>
      </c>
      <c r="P59" s="169">
        <v>1.8530000000000001E-2</v>
      </c>
      <c r="R59" s="154">
        <v>92717</v>
      </c>
      <c r="S59" s="154">
        <v>1</v>
      </c>
      <c r="T59" s="154">
        <v>96.44</v>
      </c>
      <c r="U59" s="154">
        <v>89.415999999999997</v>
      </c>
      <c r="W59" s="4" t="s">
        <v>37</v>
      </c>
      <c r="X59" s="169">
        <v>5.0000000000000004E-6</v>
      </c>
      <c r="Y59" s="169">
        <v>2.0115654562566702E-2</v>
      </c>
      <c r="Z59" s="169">
        <v>5.87389489485576E-3</v>
      </c>
    </row>
    <row r="60" spans="1:26">
      <c r="A60" s="4" t="s">
        <v>26</v>
      </c>
      <c r="B60" s="4">
        <v>9936</v>
      </c>
      <c r="C60" s="4" t="s">
        <v>57</v>
      </c>
      <c r="D60" s="4" t="s">
        <v>62</v>
      </c>
      <c r="E60" s="4" t="s">
        <v>63</v>
      </c>
      <c r="F60" s="4" t="s">
        <v>60</v>
      </c>
      <c r="G60" s="4" t="s">
        <v>31</v>
      </c>
      <c r="H60" s="4" t="s">
        <v>31</v>
      </c>
      <c r="I60" s="4" t="s">
        <v>49</v>
      </c>
      <c r="J60" s="4" t="s">
        <v>43</v>
      </c>
      <c r="K60" s="4" t="s">
        <v>44</v>
      </c>
      <c r="L60" s="4" t="s">
        <v>45</v>
      </c>
      <c r="M60" s="154">
        <v>1.5760000000000001</v>
      </c>
      <c r="N60" s="4" t="s">
        <v>64</v>
      </c>
      <c r="O60" s="168">
        <v>7.4999999999999997E-3</v>
      </c>
      <c r="P60" s="169">
        <v>7.9699999999999997E-3</v>
      </c>
      <c r="R60" s="154">
        <v>636795</v>
      </c>
      <c r="S60" s="154">
        <v>1</v>
      </c>
      <c r="T60" s="154">
        <v>112.14</v>
      </c>
      <c r="U60" s="154">
        <v>714.10199999999998</v>
      </c>
      <c r="W60" s="4" t="s">
        <v>37</v>
      </c>
      <c r="X60" s="169">
        <v>2.9E-5</v>
      </c>
      <c r="Y60" s="169">
        <v>0.16064891359549299</v>
      </c>
      <c r="Z60" s="169">
        <v>4.6910471170483498E-2</v>
      </c>
    </row>
    <row r="61" spans="1:26">
      <c r="A61" s="4" t="s">
        <v>26</v>
      </c>
      <c r="B61" s="4">
        <v>9936</v>
      </c>
      <c r="C61" s="4" t="s">
        <v>57</v>
      </c>
      <c r="D61" s="4" t="s">
        <v>65</v>
      </c>
      <c r="E61" s="4" t="s">
        <v>66</v>
      </c>
      <c r="F61" s="4" t="s">
        <v>60</v>
      </c>
      <c r="G61" s="4" t="s">
        <v>31</v>
      </c>
      <c r="H61" s="4" t="s">
        <v>31</v>
      </c>
      <c r="I61" s="4" t="s">
        <v>49</v>
      </c>
      <c r="J61" s="4" t="s">
        <v>43</v>
      </c>
      <c r="K61" s="4" t="s">
        <v>44</v>
      </c>
      <c r="L61" s="4" t="s">
        <v>45</v>
      </c>
      <c r="M61" s="154">
        <v>7.6379999999999999</v>
      </c>
      <c r="N61" s="4" t="s">
        <v>67</v>
      </c>
      <c r="O61" s="168">
        <v>1E-3</v>
      </c>
      <c r="P61" s="169">
        <v>1.5559999999999999E-2</v>
      </c>
      <c r="R61" s="154">
        <v>246000</v>
      </c>
      <c r="S61" s="154">
        <v>1</v>
      </c>
      <c r="T61" s="154">
        <v>99.81</v>
      </c>
      <c r="U61" s="154">
        <v>245.53299999999999</v>
      </c>
      <c r="W61" s="4" t="s">
        <v>37</v>
      </c>
      <c r="X61" s="169">
        <v>1.0000000000000001E-5</v>
      </c>
      <c r="Y61" s="169">
        <v>5.5236577194657001E-2</v>
      </c>
      <c r="Z61" s="169">
        <v>1.6129420386686199E-2</v>
      </c>
    </row>
    <row r="62" spans="1:26">
      <c r="A62" s="4" t="s">
        <v>26</v>
      </c>
      <c r="B62" s="4">
        <v>9936</v>
      </c>
      <c r="C62" s="4" t="s">
        <v>68</v>
      </c>
      <c r="D62" s="4" t="s">
        <v>69</v>
      </c>
      <c r="E62" s="4" t="s">
        <v>70</v>
      </c>
      <c r="F62" s="4" t="s">
        <v>71</v>
      </c>
      <c r="G62" s="4" t="s">
        <v>31</v>
      </c>
      <c r="H62" s="4" t="s">
        <v>31</v>
      </c>
      <c r="I62" s="4" t="s">
        <v>49</v>
      </c>
      <c r="J62" s="4" t="s">
        <v>43</v>
      </c>
      <c r="K62" s="4" t="s">
        <v>44</v>
      </c>
      <c r="L62" s="4" t="s">
        <v>45</v>
      </c>
      <c r="M62" s="154">
        <v>4.2690000000000001</v>
      </c>
      <c r="N62" s="4" t="s">
        <v>72</v>
      </c>
      <c r="O62" s="168">
        <v>2.2499999999999999E-2</v>
      </c>
      <c r="P62" s="169">
        <v>4.0719999999999999E-2</v>
      </c>
      <c r="R62" s="154">
        <v>130000</v>
      </c>
      <c r="S62" s="154">
        <v>1</v>
      </c>
      <c r="T62" s="154">
        <v>93.79</v>
      </c>
      <c r="U62" s="154">
        <v>121.92700000000001</v>
      </c>
      <c r="W62" s="4" t="s">
        <v>37</v>
      </c>
      <c r="X62" s="169">
        <v>5.0000000000000004E-6</v>
      </c>
      <c r="Y62" s="169">
        <v>2.7429474324847099E-2</v>
      </c>
      <c r="Z62" s="169">
        <v>8.0095752640891495E-3</v>
      </c>
    </row>
    <row r="63" spans="1:26">
      <c r="A63" s="4" t="s">
        <v>26</v>
      </c>
      <c r="B63" s="4">
        <v>9936</v>
      </c>
      <c r="C63" s="4" t="s">
        <v>68</v>
      </c>
      <c r="D63" s="4" t="s">
        <v>112</v>
      </c>
      <c r="E63" s="4" t="s">
        <v>113</v>
      </c>
      <c r="F63" s="4" t="s">
        <v>71</v>
      </c>
      <c r="G63" s="4" t="s">
        <v>31</v>
      </c>
      <c r="H63" s="4" t="s">
        <v>31</v>
      </c>
      <c r="I63" s="4" t="s">
        <v>49</v>
      </c>
      <c r="J63" s="4" t="s">
        <v>43</v>
      </c>
      <c r="K63" s="4" t="s">
        <v>44</v>
      </c>
      <c r="L63" s="4" t="s">
        <v>45</v>
      </c>
      <c r="M63" s="154">
        <v>2.4129999999999998</v>
      </c>
      <c r="N63" s="4" t="s">
        <v>114</v>
      </c>
      <c r="O63" s="168">
        <v>6.25E-2</v>
      </c>
      <c r="P63" s="169">
        <v>3.9949999999999999E-2</v>
      </c>
      <c r="R63" s="154">
        <v>200000</v>
      </c>
      <c r="S63" s="154">
        <v>1</v>
      </c>
      <c r="T63" s="154">
        <v>108.03</v>
      </c>
      <c r="U63" s="154">
        <v>216.06</v>
      </c>
      <c r="W63" s="4" t="s">
        <v>37</v>
      </c>
      <c r="X63" s="169">
        <v>1.2999999999999999E-5</v>
      </c>
      <c r="Y63" s="169">
        <v>4.86062334234948E-2</v>
      </c>
      <c r="Z63" s="169">
        <v>1.41933192119801E-2</v>
      </c>
    </row>
    <row r="64" spans="1:26">
      <c r="A64" s="4" t="s">
        <v>26</v>
      </c>
      <c r="B64" s="4">
        <v>9936</v>
      </c>
      <c r="C64" s="4" t="s">
        <v>68</v>
      </c>
      <c r="D64" s="4" t="s">
        <v>79</v>
      </c>
      <c r="E64" s="4" t="s">
        <v>80</v>
      </c>
      <c r="F64" s="4" t="s">
        <v>71</v>
      </c>
      <c r="G64" s="4" t="s">
        <v>31</v>
      </c>
      <c r="H64" s="4" t="s">
        <v>31</v>
      </c>
      <c r="I64" s="4" t="s">
        <v>49</v>
      </c>
      <c r="J64" s="4" t="s">
        <v>43</v>
      </c>
      <c r="K64" s="4" t="s">
        <v>44</v>
      </c>
      <c r="L64" s="4" t="s">
        <v>45</v>
      </c>
      <c r="M64" s="154">
        <v>11.997999999999999</v>
      </c>
      <c r="N64" s="4" t="s">
        <v>81</v>
      </c>
      <c r="O64" s="168">
        <v>5.5E-2</v>
      </c>
      <c r="P64" s="169">
        <v>4.7149999999999997E-2</v>
      </c>
      <c r="R64" s="154">
        <v>312209</v>
      </c>
      <c r="S64" s="154">
        <v>1</v>
      </c>
      <c r="T64" s="154">
        <v>110.25</v>
      </c>
      <c r="U64" s="154">
        <v>344.21</v>
      </c>
      <c r="W64" s="4" t="s">
        <v>37</v>
      </c>
      <c r="X64" s="169">
        <v>1.5999999999999999E-5</v>
      </c>
      <c r="Y64" s="169">
        <v>7.7435768503354596E-2</v>
      </c>
      <c r="Z64" s="169">
        <v>2.26117208304779E-2</v>
      </c>
    </row>
    <row r="65" spans="1:26">
      <c r="A65" s="4" t="s">
        <v>26</v>
      </c>
      <c r="B65" s="4">
        <v>9936</v>
      </c>
      <c r="C65" s="4" t="s">
        <v>57</v>
      </c>
      <c r="D65" s="4" t="s">
        <v>82</v>
      </c>
      <c r="E65" s="4" t="s">
        <v>83</v>
      </c>
      <c r="F65" s="4" t="s">
        <v>60</v>
      </c>
      <c r="G65" s="4" t="s">
        <v>31</v>
      </c>
      <c r="H65" s="4" t="s">
        <v>31</v>
      </c>
      <c r="I65" s="4" t="s">
        <v>49</v>
      </c>
      <c r="J65" s="4" t="s">
        <v>43</v>
      </c>
      <c r="K65" s="4" t="s">
        <v>44</v>
      </c>
      <c r="L65" s="4" t="s">
        <v>45</v>
      </c>
      <c r="M65" s="154">
        <v>5.0910000000000002</v>
      </c>
      <c r="N65" s="4" t="s">
        <v>84</v>
      </c>
      <c r="O65" s="168">
        <v>5.0000000000000001E-3</v>
      </c>
      <c r="P65" s="169">
        <v>1.34E-2</v>
      </c>
      <c r="R65" s="154">
        <v>64000</v>
      </c>
      <c r="S65" s="154">
        <v>1</v>
      </c>
      <c r="T65" s="154">
        <v>107.2</v>
      </c>
      <c r="U65" s="154">
        <v>68.608000000000004</v>
      </c>
      <c r="W65" s="4" t="s">
        <v>37</v>
      </c>
      <c r="X65" s="169">
        <v>3.0000000000000001E-6</v>
      </c>
      <c r="Y65" s="169">
        <v>1.54344925609513E-2</v>
      </c>
      <c r="Z65" s="169">
        <v>4.5069667892971097E-3</v>
      </c>
    </row>
    <row r="66" spans="1:26">
      <c r="A66" s="4" t="s">
        <v>26</v>
      </c>
      <c r="B66" s="4">
        <v>9936</v>
      </c>
      <c r="C66" s="4" t="s">
        <v>57</v>
      </c>
      <c r="D66" s="4" t="s">
        <v>85</v>
      </c>
      <c r="E66" s="4" t="s">
        <v>86</v>
      </c>
      <c r="F66" s="4" t="s">
        <v>60</v>
      </c>
      <c r="G66" s="4" t="s">
        <v>31</v>
      </c>
      <c r="H66" s="4" t="s">
        <v>31</v>
      </c>
      <c r="I66" s="4" t="s">
        <v>49</v>
      </c>
      <c r="J66" s="4" t="s">
        <v>43</v>
      </c>
      <c r="K66" s="4" t="s">
        <v>44</v>
      </c>
      <c r="L66" s="4" t="s">
        <v>45</v>
      </c>
      <c r="M66" s="154">
        <v>2.3279999999999998</v>
      </c>
      <c r="N66" s="4" t="s">
        <v>87</v>
      </c>
      <c r="O66" s="168">
        <v>1E-3</v>
      </c>
      <c r="P66" s="169">
        <v>1.0410000000000001E-2</v>
      </c>
      <c r="R66" s="154">
        <v>436000</v>
      </c>
      <c r="S66" s="154">
        <v>1</v>
      </c>
      <c r="T66" s="154">
        <v>109.23</v>
      </c>
      <c r="U66" s="154">
        <v>476.24299999999999</v>
      </c>
      <c r="W66" s="4" t="s">
        <v>37</v>
      </c>
      <c r="X66" s="169">
        <v>2.1999999999999999E-5</v>
      </c>
      <c r="Y66" s="169">
        <v>0.107138612899467</v>
      </c>
      <c r="Z66" s="169">
        <v>3.1285134142401201E-2</v>
      </c>
    </row>
    <row r="67" spans="1:26">
      <c r="A67" s="4" t="s">
        <v>26</v>
      </c>
      <c r="B67" s="4">
        <v>9936</v>
      </c>
      <c r="C67" s="4" t="s">
        <v>57</v>
      </c>
      <c r="D67" s="4" t="s">
        <v>88</v>
      </c>
      <c r="E67" s="4" t="s">
        <v>89</v>
      </c>
      <c r="F67" s="4" t="s">
        <v>60</v>
      </c>
      <c r="G67" s="4" t="s">
        <v>31</v>
      </c>
      <c r="H67" s="4" t="s">
        <v>31</v>
      </c>
      <c r="I67" s="4" t="s">
        <v>49</v>
      </c>
      <c r="J67" s="4" t="s">
        <v>43</v>
      </c>
      <c r="K67" s="4" t="s">
        <v>44</v>
      </c>
      <c r="L67" s="4" t="s">
        <v>45</v>
      </c>
      <c r="M67" s="154">
        <v>4.4779999999999998</v>
      </c>
      <c r="N67" s="4" t="s">
        <v>90</v>
      </c>
      <c r="O67" s="168">
        <v>1.0999999999999999E-2</v>
      </c>
      <c r="P67" s="169">
        <v>1.302E-2</v>
      </c>
      <c r="R67" s="154">
        <v>200000</v>
      </c>
      <c r="S67" s="154">
        <v>1</v>
      </c>
      <c r="T67" s="154">
        <v>100.29</v>
      </c>
      <c r="U67" s="154">
        <v>200.58</v>
      </c>
      <c r="W67" s="4" t="s">
        <v>37</v>
      </c>
      <c r="X67" s="169">
        <v>0</v>
      </c>
      <c r="Y67" s="169">
        <v>4.5123754050192498E-2</v>
      </c>
      <c r="Z67" s="169">
        <v>1.31764138088446E-2</v>
      </c>
    </row>
    <row r="68" spans="1:26">
      <c r="A68" s="4" t="s">
        <v>26</v>
      </c>
      <c r="B68" s="4">
        <v>9936</v>
      </c>
      <c r="C68" s="4" t="s">
        <v>68</v>
      </c>
      <c r="D68" s="4" t="s">
        <v>91</v>
      </c>
      <c r="E68" s="4" t="s">
        <v>92</v>
      </c>
      <c r="F68" s="4" t="s">
        <v>71</v>
      </c>
      <c r="G68" s="4" t="s">
        <v>31</v>
      </c>
      <c r="H68" s="4" t="s">
        <v>31</v>
      </c>
      <c r="I68" s="4" t="s">
        <v>49</v>
      </c>
      <c r="J68" s="4" t="s">
        <v>43</v>
      </c>
      <c r="K68" s="4" t="s">
        <v>44</v>
      </c>
      <c r="L68" s="4" t="s">
        <v>45</v>
      </c>
      <c r="M68" s="154">
        <v>5.8360000000000003</v>
      </c>
      <c r="N68" s="4" t="s">
        <v>93</v>
      </c>
      <c r="O68" s="168">
        <v>0.01</v>
      </c>
      <c r="P68" s="169">
        <v>4.1730000000000003E-2</v>
      </c>
      <c r="R68" s="154">
        <v>1105000</v>
      </c>
      <c r="S68" s="154">
        <v>1</v>
      </c>
      <c r="T68" s="154">
        <v>83.47</v>
      </c>
      <c r="U68" s="154">
        <v>922.34299999999996</v>
      </c>
      <c r="W68" s="4" t="s">
        <v>37</v>
      </c>
      <c r="X68" s="169">
        <v>2.9E-5</v>
      </c>
      <c r="Y68" s="169">
        <v>0.20749626704453999</v>
      </c>
      <c r="Z68" s="169">
        <v>6.05901866083264E-2</v>
      </c>
    </row>
    <row r="69" spans="1:26">
      <c r="A69" s="4" t="s">
        <v>26</v>
      </c>
      <c r="B69" s="4">
        <v>9936</v>
      </c>
      <c r="C69" s="4" t="s">
        <v>68</v>
      </c>
      <c r="D69" s="4" t="s">
        <v>94</v>
      </c>
      <c r="E69" s="4" t="s">
        <v>95</v>
      </c>
      <c r="F69" s="4" t="s">
        <v>71</v>
      </c>
      <c r="G69" s="4" t="s">
        <v>31</v>
      </c>
      <c r="H69" s="4" t="s">
        <v>31</v>
      </c>
      <c r="I69" s="4" t="s">
        <v>49</v>
      </c>
      <c r="J69" s="4" t="s">
        <v>43</v>
      </c>
      <c r="K69" s="4" t="s">
        <v>44</v>
      </c>
      <c r="L69" s="4" t="s">
        <v>45</v>
      </c>
      <c r="M69" s="154">
        <v>7.56</v>
      </c>
      <c r="N69" s="4" t="s">
        <v>96</v>
      </c>
      <c r="O69" s="168">
        <v>1.2999999999999999E-2</v>
      </c>
      <c r="P69" s="169">
        <v>4.3119999999999999E-2</v>
      </c>
      <c r="R69" s="154">
        <v>180000</v>
      </c>
      <c r="S69" s="154">
        <v>1</v>
      </c>
      <c r="T69" s="154">
        <v>81.010000000000005</v>
      </c>
      <c r="U69" s="154">
        <v>145.81800000000001</v>
      </c>
      <c r="W69" s="4" t="s">
        <v>37</v>
      </c>
      <c r="X69" s="169">
        <v>7.9999999999999996E-6</v>
      </c>
      <c r="Y69" s="169">
        <v>3.2804145817583903E-2</v>
      </c>
      <c r="Z69" s="169">
        <v>9.5790124079076101E-3</v>
      </c>
    </row>
    <row r="70" spans="1:26">
      <c r="A70" s="4" t="s">
        <v>26</v>
      </c>
      <c r="B70" s="4">
        <v>9936</v>
      </c>
      <c r="C70" s="4" t="s">
        <v>130</v>
      </c>
      <c r="D70" s="4" t="s">
        <v>131</v>
      </c>
      <c r="E70" s="4" t="s">
        <v>132</v>
      </c>
      <c r="F70" s="4" t="s">
        <v>30</v>
      </c>
      <c r="G70" s="4" t="s">
        <v>124</v>
      </c>
      <c r="H70" s="4" t="s">
        <v>125</v>
      </c>
      <c r="I70" s="4" t="s">
        <v>126</v>
      </c>
      <c r="J70" s="4" t="s">
        <v>127</v>
      </c>
      <c r="K70" s="4" t="s">
        <v>34</v>
      </c>
      <c r="L70" s="4" t="s">
        <v>35</v>
      </c>
      <c r="M70" s="154">
        <v>7.57</v>
      </c>
      <c r="N70" s="4" t="s">
        <v>133</v>
      </c>
      <c r="O70" s="168">
        <v>3.3750000000000002E-2</v>
      </c>
      <c r="P70" s="169">
        <v>4.4089999999999997E-2</v>
      </c>
      <c r="R70" s="154">
        <v>58000</v>
      </c>
      <c r="S70" s="154">
        <v>3.681</v>
      </c>
      <c r="T70" s="154">
        <v>95.013999999999996</v>
      </c>
      <c r="U70" s="154">
        <v>202.85300000000001</v>
      </c>
      <c r="W70" s="4" t="s">
        <v>37</v>
      </c>
      <c r="X70" s="169">
        <v>9.9999999999999995E-7</v>
      </c>
      <c r="Y70" s="169">
        <v>4.5635004231773003E-2</v>
      </c>
      <c r="Z70" s="169">
        <v>1.3325702007358799E-2</v>
      </c>
    </row>
    <row r="71" spans="1:26">
      <c r="A71" s="4" t="s">
        <v>26</v>
      </c>
      <c r="B71" s="4">
        <v>9937</v>
      </c>
      <c r="C71" s="4" t="s">
        <v>38</v>
      </c>
      <c r="D71" s="4" t="s">
        <v>39</v>
      </c>
      <c r="E71" s="4" t="s">
        <v>40</v>
      </c>
      <c r="F71" s="4" t="s">
        <v>41</v>
      </c>
      <c r="G71" s="4" t="s">
        <v>31</v>
      </c>
      <c r="H71" s="4" t="s">
        <v>31</v>
      </c>
      <c r="I71" s="4" t="s">
        <v>42</v>
      </c>
      <c r="J71" s="4" t="s">
        <v>43</v>
      </c>
      <c r="K71" s="4" t="s">
        <v>44</v>
      </c>
      <c r="L71" s="4" t="s">
        <v>45</v>
      </c>
      <c r="M71" s="154">
        <v>0.94</v>
      </c>
      <c r="N71" s="4" t="s">
        <v>46</v>
      </c>
      <c r="O71" s="168">
        <v>0</v>
      </c>
      <c r="P71" s="169">
        <v>4.0960000000000003E-2</v>
      </c>
      <c r="R71" s="154">
        <v>770000</v>
      </c>
      <c r="S71" s="154">
        <v>1</v>
      </c>
      <c r="T71" s="154">
        <v>96.38</v>
      </c>
      <c r="U71" s="154">
        <v>742.12599999999998</v>
      </c>
      <c r="W71" s="4" t="s">
        <v>37</v>
      </c>
      <c r="X71" s="169">
        <v>0</v>
      </c>
      <c r="Y71" s="169">
        <v>7.2596074709042502E-2</v>
      </c>
      <c r="Z71" s="169">
        <v>2.36050434936452E-2</v>
      </c>
    </row>
    <row r="72" spans="1:26">
      <c r="A72" s="4" t="s">
        <v>26</v>
      </c>
      <c r="B72" s="4">
        <v>9937</v>
      </c>
      <c r="C72" s="4" t="s">
        <v>38</v>
      </c>
      <c r="D72" s="4" t="s">
        <v>134</v>
      </c>
      <c r="E72" s="4" t="s">
        <v>135</v>
      </c>
      <c r="F72" s="4" t="s">
        <v>41</v>
      </c>
      <c r="G72" s="4" t="s">
        <v>31</v>
      </c>
      <c r="H72" s="4" t="s">
        <v>31</v>
      </c>
      <c r="I72" s="4" t="s">
        <v>49</v>
      </c>
      <c r="J72" s="4" t="s">
        <v>43</v>
      </c>
      <c r="K72" s="4" t="s">
        <v>44</v>
      </c>
      <c r="L72" s="4" t="s">
        <v>45</v>
      </c>
      <c r="M72" s="154">
        <v>0.504</v>
      </c>
      <c r="N72" s="4" t="s">
        <v>136</v>
      </c>
      <c r="O72" s="168">
        <v>0</v>
      </c>
      <c r="P72" s="169">
        <v>4.258E-2</v>
      </c>
      <c r="R72" s="154">
        <v>90000</v>
      </c>
      <c r="S72" s="154">
        <v>1</v>
      </c>
      <c r="T72" s="154">
        <v>97.93</v>
      </c>
      <c r="U72" s="154">
        <v>88.137</v>
      </c>
      <c r="W72" s="4" t="s">
        <v>37</v>
      </c>
      <c r="X72" s="169">
        <v>0</v>
      </c>
      <c r="Y72" s="169">
        <v>8.6217168467765306E-3</v>
      </c>
      <c r="Z72" s="169">
        <v>2.80340227724053E-3</v>
      </c>
    </row>
    <row r="73" spans="1:26">
      <c r="A73" s="4" t="s">
        <v>26</v>
      </c>
      <c r="B73" s="4">
        <v>9937</v>
      </c>
      <c r="C73" s="4" t="s">
        <v>38</v>
      </c>
      <c r="D73" s="4" t="s">
        <v>47</v>
      </c>
      <c r="E73" s="4" t="s">
        <v>48</v>
      </c>
      <c r="F73" s="4" t="s">
        <v>41</v>
      </c>
      <c r="G73" s="4" t="s">
        <v>31</v>
      </c>
      <c r="H73" s="4" t="s">
        <v>31</v>
      </c>
      <c r="I73" s="4" t="s">
        <v>49</v>
      </c>
      <c r="J73" s="4" t="s">
        <v>43</v>
      </c>
      <c r="K73" s="4" t="s">
        <v>44</v>
      </c>
      <c r="L73" s="4" t="s">
        <v>45</v>
      </c>
      <c r="M73" s="154">
        <v>0.6</v>
      </c>
      <c r="N73" s="4" t="s">
        <v>50</v>
      </c>
      <c r="O73" s="168">
        <v>0</v>
      </c>
      <c r="P73" s="169">
        <v>4.274E-2</v>
      </c>
      <c r="R73" s="154">
        <v>310000</v>
      </c>
      <c r="S73" s="154">
        <v>1</v>
      </c>
      <c r="T73" s="154">
        <v>97.52</v>
      </c>
      <c r="U73" s="154">
        <v>302.31200000000001</v>
      </c>
      <c r="W73" s="4" t="s">
        <v>37</v>
      </c>
      <c r="X73" s="169">
        <v>0</v>
      </c>
      <c r="Y73" s="169">
        <v>2.9572693231930999E-2</v>
      </c>
      <c r="Z73" s="169">
        <v>9.6157362882460205E-3</v>
      </c>
    </row>
    <row r="74" spans="1:26">
      <c r="A74" s="4" t="s">
        <v>26</v>
      </c>
      <c r="B74" s="4">
        <v>9937</v>
      </c>
      <c r="C74" s="4" t="s">
        <v>38</v>
      </c>
      <c r="D74" s="4" t="s">
        <v>115</v>
      </c>
      <c r="E74" s="4" t="s">
        <v>116</v>
      </c>
      <c r="F74" s="4" t="s">
        <v>41</v>
      </c>
      <c r="G74" s="4" t="s">
        <v>31</v>
      </c>
      <c r="H74" s="4" t="s">
        <v>31</v>
      </c>
      <c r="I74" s="4" t="s">
        <v>49</v>
      </c>
      <c r="J74" s="4" t="s">
        <v>43</v>
      </c>
      <c r="K74" s="4" t="s">
        <v>44</v>
      </c>
      <c r="L74" s="4" t="s">
        <v>45</v>
      </c>
      <c r="M74" s="154">
        <v>0.67700000000000005</v>
      </c>
      <c r="N74" s="4" t="s">
        <v>117</v>
      </c>
      <c r="O74" s="168">
        <v>0</v>
      </c>
      <c r="P74" s="169">
        <v>4.2380000000000001E-2</v>
      </c>
      <c r="R74" s="154">
        <v>400000</v>
      </c>
      <c r="S74" s="154">
        <v>1</v>
      </c>
      <c r="T74" s="154">
        <v>97.22</v>
      </c>
      <c r="U74" s="154">
        <v>388.88</v>
      </c>
      <c r="W74" s="4" t="s">
        <v>37</v>
      </c>
      <c r="X74" s="169">
        <v>2.9E-5</v>
      </c>
      <c r="Y74" s="169">
        <v>3.8040927730402199E-2</v>
      </c>
      <c r="Z74" s="169">
        <v>1.2369232871249299E-2</v>
      </c>
    </row>
    <row r="75" spans="1:26">
      <c r="A75" s="4" t="s">
        <v>26</v>
      </c>
      <c r="B75" s="4">
        <v>9937</v>
      </c>
      <c r="C75" s="4" t="s">
        <v>38</v>
      </c>
      <c r="D75" s="4" t="s">
        <v>137</v>
      </c>
      <c r="E75" s="4" t="s">
        <v>138</v>
      </c>
      <c r="F75" s="4" t="s">
        <v>41</v>
      </c>
      <c r="G75" s="4" t="s">
        <v>31</v>
      </c>
      <c r="H75" s="4" t="s">
        <v>31</v>
      </c>
      <c r="I75" s="4" t="s">
        <v>49</v>
      </c>
      <c r="J75" s="4" t="s">
        <v>43</v>
      </c>
      <c r="K75" s="4" t="s">
        <v>44</v>
      </c>
      <c r="L75" s="4" t="s">
        <v>45</v>
      </c>
      <c r="M75" s="154">
        <v>0.78</v>
      </c>
      <c r="N75" s="4" t="s">
        <v>139</v>
      </c>
      <c r="O75" s="168">
        <v>0</v>
      </c>
      <c r="P75" s="169">
        <v>4.1869999999999997E-2</v>
      </c>
      <c r="R75" s="154">
        <v>260000</v>
      </c>
      <c r="S75" s="154">
        <v>1</v>
      </c>
      <c r="T75" s="154">
        <v>96.9</v>
      </c>
      <c r="U75" s="154">
        <v>251.94</v>
      </c>
      <c r="W75" s="4" t="s">
        <v>37</v>
      </c>
      <c r="X75" s="169">
        <v>0</v>
      </c>
      <c r="Y75" s="169">
        <v>2.46452153168009E-2</v>
      </c>
      <c r="Z75" s="169">
        <v>8.0135376712161706E-3</v>
      </c>
    </row>
    <row r="76" spans="1:26">
      <c r="A76" s="4" t="s">
        <v>26</v>
      </c>
      <c r="B76" s="4">
        <v>9937</v>
      </c>
      <c r="C76" s="4" t="s">
        <v>38</v>
      </c>
      <c r="D76" s="4" t="s">
        <v>51</v>
      </c>
      <c r="E76" s="4" t="s">
        <v>52</v>
      </c>
      <c r="F76" s="4" t="s">
        <v>41</v>
      </c>
      <c r="G76" s="4" t="s">
        <v>31</v>
      </c>
      <c r="H76" s="4" t="s">
        <v>31</v>
      </c>
      <c r="I76" s="4" t="s">
        <v>49</v>
      </c>
      <c r="J76" s="4" t="s">
        <v>43</v>
      </c>
      <c r="K76" s="4" t="s">
        <v>44</v>
      </c>
      <c r="L76" s="4" t="s">
        <v>45</v>
      </c>
      <c r="M76" s="154">
        <v>0.255</v>
      </c>
      <c r="N76" s="4" t="s">
        <v>53</v>
      </c>
      <c r="O76" s="168">
        <v>0</v>
      </c>
      <c r="P76" s="169">
        <v>4.3119999999999999E-2</v>
      </c>
      <c r="R76" s="154">
        <v>120000</v>
      </c>
      <c r="S76" s="154">
        <v>1</v>
      </c>
      <c r="T76" s="154">
        <v>98.95</v>
      </c>
      <c r="U76" s="154">
        <v>118.74</v>
      </c>
      <c r="W76" s="4" t="s">
        <v>37</v>
      </c>
      <c r="X76" s="169">
        <v>6.9999999999999999E-6</v>
      </c>
      <c r="Y76" s="169">
        <v>1.1615356301964501E-2</v>
      </c>
      <c r="Z76" s="169">
        <v>3.7768018698111001E-3</v>
      </c>
    </row>
    <row r="77" spans="1:26">
      <c r="A77" s="4" t="s">
        <v>26</v>
      </c>
      <c r="B77" s="4">
        <v>9937</v>
      </c>
      <c r="C77" s="4" t="s">
        <v>57</v>
      </c>
      <c r="D77" s="4" t="s">
        <v>58</v>
      </c>
      <c r="E77" s="4" t="s">
        <v>59</v>
      </c>
      <c r="F77" s="4" t="s">
        <v>60</v>
      </c>
      <c r="G77" s="4" t="s">
        <v>31</v>
      </c>
      <c r="H77" s="4" t="s">
        <v>31</v>
      </c>
      <c r="I77" s="4" t="s">
        <v>49</v>
      </c>
      <c r="J77" s="4" t="s">
        <v>43</v>
      </c>
      <c r="K77" s="4" t="s">
        <v>44</v>
      </c>
      <c r="L77" s="4" t="s">
        <v>45</v>
      </c>
      <c r="M77" s="154">
        <v>3.1190000000000002</v>
      </c>
      <c r="N77" s="4" t="s">
        <v>61</v>
      </c>
      <c r="O77" s="168">
        <v>7.4999999999999997E-3</v>
      </c>
      <c r="P77" s="169">
        <v>1.1520000000000001E-2</v>
      </c>
      <c r="R77" s="154">
        <v>705000</v>
      </c>
      <c r="S77" s="154">
        <v>1</v>
      </c>
      <c r="T77" s="154">
        <v>111.88</v>
      </c>
      <c r="U77" s="154">
        <v>788.75400000000002</v>
      </c>
      <c r="W77" s="4" t="s">
        <v>37</v>
      </c>
      <c r="X77" s="169">
        <v>3.4E-5</v>
      </c>
      <c r="Y77" s="169">
        <v>7.7157307938350198E-2</v>
      </c>
      <c r="Z77" s="169">
        <v>2.50881554827437E-2</v>
      </c>
    </row>
    <row r="78" spans="1:26">
      <c r="A78" s="4" t="s">
        <v>26</v>
      </c>
      <c r="B78" s="4">
        <v>9937</v>
      </c>
      <c r="C78" s="4" t="s">
        <v>57</v>
      </c>
      <c r="D78" s="4" t="s">
        <v>62</v>
      </c>
      <c r="E78" s="4" t="s">
        <v>63</v>
      </c>
      <c r="F78" s="4" t="s">
        <v>60</v>
      </c>
      <c r="G78" s="4" t="s">
        <v>31</v>
      </c>
      <c r="H78" s="4" t="s">
        <v>31</v>
      </c>
      <c r="I78" s="4" t="s">
        <v>49</v>
      </c>
      <c r="J78" s="4" t="s">
        <v>43</v>
      </c>
      <c r="K78" s="4" t="s">
        <v>44</v>
      </c>
      <c r="L78" s="4" t="s">
        <v>45</v>
      </c>
      <c r="M78" s="154">
        <v>1.5760000000000001</v>
      </c>
      <c r="N78" s="4" t="s">
        <v>64</v>
      </c>
      <c r="O78" s="168">
        <v>7.4999999999999997E-3</v>
      </c>
      <c r="P78" s="169">
        <v>7.9699999999999997E-3</v>
      </c>
      <c r="R78" s="154">
        <v>640543</v>
      </c>
      <c r="S78" s="154">
        <v>1</v>
      </c>
      <c r="T78" s="154">
        <v>112.14</v>
      </c>
      <c r="U78" s="154">
        <v>718.30499999999995</v>
      </c>
      <c r="W78" s="4" t="s">
        <v>37</v>
      </c>
      <c r="X78" s="169">
        <v>3.0000000000000001E-5</v>
      </c>
      <c r="Y78" s="169">
        <v>7.0265854653673396E-2</v>
      </c>
      <c r="Z78" s="169">
        <v>2.2847358646672301E-2</v>
      </c>
    </row>
    <row r="79" spans="1:26">
      <c r="A79" s="4" t="s">
        <v>26</v>
      </c>
      <c r="B79" s="4">
        <v>9937</v>
      </c>
      <c r="C79" s="4" t="s">
        <v>57</v>
      </c>
      <c r="D79" s="4" t="s">
        <v>65</v>
      </c>
      <c r="E79" s="4" t="s">
        <v>66</v>
      </c>
      <c r="F79" s="4" t="s">
        <v>60</v>
      </c>
      <c r="G79" s="4" t="s">
        <v>31</v>
      </c>
      <c r="H79" s="4" t="s">
        <v>31</v>
      </c>
      <c r="I79" s="4" t="s">
        <v>49</v>
      </c>
      <c r="J79" s="4" t="s">
        <v>43</v>
      </c>
      <c r="K79" s="4" t="s">
        <v>44</v>
      </c>
      <c r="L79" s="4" t="s">
        <v>45</v>
      </c>
      <c r="M79" s="154">
        <v>7.6379999999999999</v>
      </c>
      <c r="N79" s="4" t="s">
        <v>67</v>
      </c>
      <c r="O79" s="168">
        <v>1E-3</v>
      </c>
      <c r="P79" s="169">
        <v>1.5559999999999999E-2</v>
      </c>
      <c r="R79" s="154">
        <v>126000</v>
      </c>
      <c r="S79" s="154">
        <v>1</v>
      </c>
      <c r="T79" s="154">
        <v>99.81</v>
      </c>
      <c r="U79" s="154">
        <v>125.761</v>
      </c>
      <c r="W79" s="4" t="s">
        <v>37</v>
      </c>
      <c r="X79" s="169">
        <v>5.0000000000000004E-6</v>
      </c>
      <c r="Y79" s="169">
        <v>1.23021237809402E-2</v>
      </c>
      <c r="Z79" s="169">
        <v>4.0001083815779503E-3</v>
      </c>
    </row>
    <row r="80" spans="1:26">
      <c r="A80" s="4" t="s">
        <v>26</v>
      </c>
      <c r="B80" s="4">
        <v>9937</v>
      </c>
      <c r="C80" s="4" t="s">
        <v>68</v>
      </c>
      <c r="D80" s="4" t="s">
        <v>73</v>
      </c>
      <c r="E80" s="4" t="s">
        <v>74</v>
      </c>
      <c r="F80" s="4" t="s">
        <v>71</v>
      </c>
      <c r="G80" s="4" t="s">
        <v>31</v>
      </c>
      <c r="H80" s="4" t="s">
        <v>31</v>
      </c>
      <c r="I80" s="4" t="s">
        <v>49</v>
      </c>
      <c r="J80" s="4" t="s">
        <v>43</v>
      </c>
      <c r="K80" s="4" t="s">
        <v>44</v>
      </c>
      <c r="L80" s="4" t="s">
        <v>45</v>
      </c>
      <c r="M80" s="154">
        <v>1.9039999999999999</v>
      </c>
      <c r="N80" s="4" t="s">
        <v>75</v>
      </c>
      <c r="O80" s="168">
        <v>5.0000000000000001E-3</v>
      </c>
      <c r="P80" s="169">
        <v>4.0289999999999999E-2</v>
      </c>
      <c r="R80" s="154">
        <v>545000</v>
      </c>
      <c r="S80" s="154">
        <v>1</v>
      </c>
      <c r="T80" s="154">
        <v>93.69</v>
      </c>
      <c r="U80" s="154">
        <v>510.61099999999999</v>
      </c>
      <c r="W80" s="4" t="s">
        <v>37</v>
      </c>
      <c r="X80" s="169">
        <v>2.5999999999999998E-5</v>
      </c>
      <c r="Y80" s="169">
        <v>4.9948820018732097E-2</v>
      </c>
      <c r="Z80" s="169">
        <v>1.62411545489741E-2</v>
      </c>
    </row>
    <row r="81" spans="1:26">
      <c r="A81" s="4" t="s">
        <v>26</v>
      </c>
      <c r="B81" s="4">
        <v>9937</v>
      </c>
      <c r="C81" s="4" t="s">
        <v>68</v>
      </c>
      <c r="D81" s="4" t="s">
        <v>76</v>
      </c>
      <c r="E81" s="4" t="s">
        <v>77</v>
      </c>
      <c r="F81" s="4" t="s">
        <v>71</v>
      </c>
      <c r="G81" s="4" t="s">
        <v>31</v>
      </c>
      <c r="H81" s="4" t="s">
        <v>31</v>
      </c>
      <c r="I81" s="4" t="s">
        <v>49</v>
      </c>
      <c r="J81" s="4" t="s">
        <v>43</v>
      </c>
      <c r="K81" s="4" t="s">
        <v>44</v>
      </c>
      <c r="L81" s="4" t="s">
        <v>45</v>
      </c>
      <c r="M81" s="154">
        <v>1.399</v>
      </c>
      <c r="N81" s="4" t="s">
        <v>78</v>
      </c>
      <c r="O81" s="168">
        <v>1.7500000000000002E-2</v>
      </c>
      <c r="P81" s="169">
        <v>4.0219999999999999E-2</v>
      </c>
      <c r="R81" s="154">
        <v>825075</v>
      </c>
      <c r="S81" s="154">
        <v>1</v>
      </c>
      <c r="T81" s="154">
        <v>97.96</v>
      </c>
      <c r="U81" s="154">
        <v>808.24300000000005</v>
      </c>
      <c r="W81" s="4" t="s">
        <v>37</v>
      </c>
      <c r="X81" s="169">
        <v>3.4999999999999997E-5</v>
      </c>
      <c r="Y81" s="169">
        <v>7.9063802280496503E-2</v>
      </c>
      <c r="Z81" s="169">
        <v>2.5708063405411902E-2</v>
      </c>
    </row>
    <row r="82" spans="1:26">
      <c r="A82" s="4" t="s">
        <v>26</v>
      </c>
      <c r="B82" s="4">
        <v>9937</v>
      </c>
      <c r="C82" s="4" t="s">
        <v>68</v>
      </c>
      <c r="D82" s="4" t="s">
        <v>79</v>
      </c>
      <c r="E82" s="4" t="s">
        <v>80</v>
      </c>
      <c r="F82" s="4" t="s">
        <v>71</v>
      </c>
      <c r="G82" s="4" t="s">
        <v>31</v>
      </c>
      <c r="H82" s="4" t="s">
        <v>31</v>
      </c>
      <c r="I82" s="4" t="s">
        <v>49</v>
      </c>
      <c r="J82" s="4" t="s">
        <v>43</v>
      </c>
      <c r="K82" s="4" t="s">
        <v>44</v>
      </c>
      <c r="L82" s="4" t="s">
        <v>45</v>
      </c>
      <c r="M82" s="154">
        <v>11.997999999999999</v>
      </c>
      <c r="N82" s="4" t="s">
        <v>81</v>
      </c>
      <c r="O82" s="168">
        <v>5.5E-2</v>
      </c>
      <c r="P82" s="169">
        <v>4.7149999999999997E-2</v>
      </c>
      <c r="R82" s="154">
        <v>345814</v>
      </c>
      <c r="S82" s="154">
        <v>1</v>
      </c>
      <c r="T82" s="154">
        <v>110.25</v>
      </c>
      <c r="U82" s="154">
        <v>381.26</v>
      </c>
      <c r="W82" s="4" t="s">
        <v>37</v>
      </c>
      <c r="X82" s="169">
        <v>1.8E-5</v>
      </c>
      <c r="Y82" s="169">
        <v>3.7295519527445101E-2</v>
      </c>
      <c r="Z82" s="169">
        <v>1.21268589808999E-2</v>
      </c>
    </row>
    <row r="83" spans="1:26">
      <c r="A83" s="4" t="s">
        <v>26</v>
      </c>
      <c r="B83" s="4">
        <v>9937</v>
      </c>
      <c r="C83" s="4" t="s">
        <v>57</v>
      </c>
      <c r="D83" s="4" t="s">
        <v>82</v>
      </c>
      <c r="E83" s="4" t="s">
        <v>83</v>
      </c>
      <c r="F83" s="4" t="s">
        <v>60</v>
      </c>
      <c r="G83" s="4" t="s">
        <v>31</v>
      </c>
      <c r="H83" s="4" t="s">
        <v>31</v>
      </c>
      <c r="I83" s="4" t="s">
        <v>49</v>
      </c>
      <c r="J83" s="4" t="s">
        <v>43</v>
      </c>
      <c r="K83" s="4" t="s">
        <v>44</v>
      </c>
      <c r="L83" s="4" t="s">
        <v>45</v>
      </c>
      <c r="M83" s="154">
        <v>5.0910000000000002</v>
      </c>
      <c r="N83" s="4" t="s">
        <v>84</v>
      </c>
      <c r="O83" s="168">
        <v>5.0000000000000001E-3</v>
      </c>
      <c r="P83" s="169">
        <v>1.34E-2</v>
      </c>
      <c r="R83" s="154">
        <v>1850000</v>
      </c>
      <c r="S83" s="154">
        <v>1</v>
      </c>
      <c r="T83" s="154">
        <v>107.2</v>
      </c>
      <c r="U83" s="154">
        <v>1983.2</v>
      </c>
      <c r="W83" s="4" t="s">
        <v>37</v>
      </c>
      <c r="X83" s="169">
        <v>9.1000000000000003E-5</v>
      </c>
      <c r="Y83" s="169">
        <v>0.19400012310978601</v>
      </c>
      <c r="Z83" s="169">
        <v>6.3080288598697701E-2</v>
      </c>
    </row>
    <row r="84" spans="1:26">
      <c r="A84" s="4" t="s">
        <v>26</v>
      </c>
      <c r="B84" s="4">
        <v>9937</v>
      </c>
      <c r="C84" s="4" t="s">
        <v>57</v>
      </c>
      <c r="D84" s="4" t="s">
        <v>85</v>
      </c>
      <c r="E84" s="4" t="s">
        <v>86</v>
      </c>
      <c r="F84" s="4" t="s">
        <v>60</v>
      </c>
      <c r="G84" s="4" t="s">
        <v>31</v>
      </c>
      <c r="H84" s="4" t="s">
        <v>31</v>
      </c>
      <c r="I84" s="4" t="s">
        <v>49</v>
      </c>
      <c r="J84" s="4" t="s">
        <v>43</v>
      </c>
      <c r="K84" s="4" t="s">
        <v>44</v>
      </c>
      <c r="L84" s="4" t="s">
        <v>45</v>
      </c>
      <c r="M84" s="154">
        <v>2.3279999999999998</v>
      </c>
      <c r="N84" s="4" t="s">
        <v>87</v>
      </c>
      <c r="O84" s="168">
        <v>1E-3</v>
      </c>
      <c r="P84" s="169">
        <v>1.0410000000000001E-2</v>
      </c>
      <c r="R84" s="154">
        <v>451000</v>
      </c>
      <c r="S84" s="154">
        <v>1</v>
      </c>
      <c r="T84" s="154">
        <v>109.23</v>
      </c>
      <c r="U84" s="154">
        <v>492.62700000000001</v>
      </c>
      <c r="W84" s="4" t="s">
        <v>37</v>
      </c>
      <c r="X84" s="169">
        <v>2.1999999999999999E-5</v>
      </c>
      <c r="Y84" s="169">
        <v>4.8189671665611902E-2</v>
      </c>
      <c r="Z84" s="169">
        <v>1.5669157046993398E-2</v>
      </c>
    </row>
    <row r="85" spans="1:26">
      <c r="A85" s="4" t="s">
        <v>26</v>
      </c>
      <c r="B85" s="4">
        <v>9937</v>
      </c>
      <c r="C85" s="4" t="s">
        <v>57</v>
      </c>
      <c r="D85" s="4" t="s">
        <v>88</v>
      </c>
      <c r="E85" s="4" t="s">
        <v>89</v>
      </c>
      <c r="F85" s="4" t="s">
        <v>60</v>
      </c>
      <c r="G85" s="4" t="s">
        <v>31</v>
      </c>
      <c r="H85" s="4" t="s">
        <v>31</v>
      </c>
      <c r="I85" s="4" t="s">
        <v>49</v>
      </c>
      <c r="J85" s="4" t="s">
        <v>43</v>
      </c>
      <c r="K85" s="4" t="s">
        <v>44</v>
      </c>
      <c r="L85" s="4" t="s">
        <v>45</v>
      </c>
      <c r="M85" s="154">
        <v>4.4779999999999998</v>
      </c>
      <c r="N85" s="4" t="s">
        <v>90</v>
      </c>
      <c r="O85" s="168">
        <v>1.0999999999999999E-2</v>
      </c>
      <c r="P85" s="169">
        <v>1.302E-2</v>
      </c>
      <c r="R85" s="154">
        <v>100000</v>
      </c>
      <c r="S85" s="154">
        <v>1</v>
      </c>
      <c r="T85" s="154">
        <v>100.29</v>
      </c>
      <c r="U85" s="154">
        <v>100.29</v>
      </c>
      <c r="W85" s="4" t="s">
        <v>37</v>
      </c>
      <c r="X85" s="169">
        <v>0</v>
      </c>
      <c r="Y85" s="169">
        <v>9.8105447492337905E-3</v>
      </c>
      <c r="Z85" s="169">
        <v>3.1899567081299898E-3</v>
      </c>
    </row>
    <row r="86" spans="1:26">
      <c r="A86" s="4" t="s">
        <v>26</v>
      </c>
      <c r="B86" s="4">
        <v>9937</v>
      </c>
      <c r="C86" s="4" t="s">
        <v>68</v>
      </c>
      <c r="D86" s="4" t="s">
        <v>91</v>
      </c>
      <c r="E86" s="4" t="s">
        <v>92</v>
      </c>
      <c r="F86" s="4" t="s">
        <v>71</v>
      </c>
      <c r="G86" s="4" t="s">
        <v>31</v>
      </c>
      <c r="H86" s="4" t="s">
        <v>31</v>
      </c>
      <c r="I86" s="4" t="s">
        <v>49</v>
      </c>
      <c r="J86" s="4" t="s">
        <v>43</v>
      </c>
      <c r="K86" s="4" t="s">
        <v>44</v>
      </c>
      <c r="L86" s="4" t="s">
        <v>45</v>
      </c>
      <c r="M86" s="154">
        <v>5.8360000000000003</v>
      </c>
      <c r="N86" s="4" t="s">
        <v>93</v>
      </c>
      <c r="O86" s="168">
        <v>0.01</v>
      </c>
      <c r="P86" s="169">
        <v>4.1730000000000003E-2</v>
      </c>
      <c r="R86" s="154">
        <v>1640000</v>
      </c>
      <c r="S86" s="154">
        <v>1</v>
      </c>
      <c r="T86" s="154">
        <v>83.47</v>
      </c>
      <c r="U86" s="154">
        <v>1368.9079999999999</v>
      </c>
      <c r="W86" s="4" t="s">
        <v>37</v>
      </c>
      <c r="X86" s="169">
        <v>4.3000000000000002E-5</v>
      </c>
      <c r="Y86" s="169">
        <v>0.13390899582794</v>
      </c>
      <c r="Z86" s="169">
        <v>4.3541302796019601E-2</v>
      </c>
    </row>
    <row r="87" spans="1:26">
      <c r="A87" s="4" t="s">
        <v>26</v>
      </c>
      <c r="B87" s="4">
        <v>9937</v>
      </c>
      <c r="C87" s="4" t="s">
        <v>68</v>
      </c>
      <c r="D87" s="4" t="s">
        <v>94</v>
      </c>
      <c r="E87" s="4" t="s">
        <v>95</v>
      </c>
      <c r="F87" s="4" t="s">
        <v>71</v>
      </c>
      <c r="G87" s="4" t="s">
        <v>31</v>
      </c>
      <c r="H87" s="4" t="s">
        <v>31</v>
      </c>
      <c r="I87" s="4" t="s">
        <v>49</v>
      </c>
      <c r="J87" s="4" t="s">
        <v>43</v>
      </c>
      <c r="K87" s="4" t="s">
        <v>44</v>
      </c>
      <c r="L87" s="4" t="s">
        <v>45</v>
      </c>
      <c r="M87" s="154">
        <v>7.56</v>
      </c>
      <c r="N87" s="4" t="s">
        <v>96</v>
      </c>
      <c r="O87" s="168">
        <v>1.2999999999999999E-2</v>
      </c>
      <c r="P87" s="169">
        <v>4.3119999999999999E-2</v>
      </c>
      <c r="R87" s="154">
        <v>830000</v>
      </c>
      <c r="S87" s="154">
        <v>1</v>
      </c>
      <c r="T87" s="154">
        <v>81.010000000000005</v>
      </c>
      <c r="U87" s="154">
        <v>672.38300000000004</v>
      </c>
      <c r="W87" s="4" t="s">
        <v>37</v>
      </c>
      <c r="X87" s="169">
        <v>3.8999999999999999E-5</v>
      </c>
      <c r="Y87" s="169">
        <v>6.5773691396191603E-2</v>
      </c>
      <c r="Z87" s="169">
        <v>2.1386705167838901E-2</v>
      </c>
    </row>
    <row r="88" spans="1:26">
      <c r="A88" s="4" t="s">
        <v>26</v>
      </c>
      <c r="B88" s="4">
        <v>9937</v>
      </c>
      <c r="C88" s="4" t="s">
        <v>38</v>
      </c>
      <c r="D88" s="4" t="s">
        <v>97</v>
      </c>
      <c r="E88" s="4" t="s">
        <v>98</v>
      </c>
      <c r="F88" s="4" t="s">
        <v>41</v>
      </c>
      <c r="G88" s="4" t="s">
        <v>31</v>
      </c>
      <c r="H88" s="4" t="s">
        <v>31</v>
      </c>
      <c r="I88" s="4" t="s">
        <v>49</v>
      </c>
      <c r="J88" s="4" t="s">
        <v>43</v>
      </c>
      <c r="K88" s="4" t="s">
        <v>44</v>
      </c>
      <c r="L88" s="4" t="s">
        <v>45</v>
      </c>
      <c r="M88" s="154">
        <v>0.10100000000000001</v>
      </c>
      <c r="N88" s="4" t="s">
        <v>99</v>
      </c>
      <c r="O88" s="168">
        <v>0</v>
      </c>
      <c r="P88" s="169">
        <v>4.3430000000000003E-2</v>
      </c>
      <c r="R88" s="154">
        <v>320000</v>
      </c>
      <c r="S88" s="154">
        <v>1</v>
      </c>
      <c r="T88" s="154">
        <v>99.58</v>
      </c>
      <c r="U88" s="154">
        <v>318.65600000000001</v>
      </c>
      <c r="W88" s="4" t="s">
        <v>37</v>
      </c>
      <c r="X88" s="169">
        <v>1.8E-5</v>
      </c>
      <c r="Y88" s="169">
        <v>3.11714921488866E-2</v>
      </c>
      <c r="Z88" s="169">
        <v>1.01355952217157E-2</v>
      </c>
    </row>
    <row r="89" spans="1:26">
      <c r="A89" s="4" t="s">
        <v>26</v>
      </c>
      <c r="B89" s="4">
        <v>9937</v>
      </c>
      <c r="C89" s="4" t="s">
        <v>38</v>
      </c>
      <c r="D89" s="4" t="s">
        <v>100</v>
      </c>
      <c r="E89" s="4" t="s">
        <v>101</v>
      </c>
      <c r="F89" s="4" t="s">
        <v>41</v>
      </c>
      <c r="G89" s="4" t="s">
        <v>31</v>
      </c>
      <c r="H89" s="4" t="s">
        <v>31</v>
      </c>
      <c r="I89" s="4" t="s">
        <v>49</v>
      </c>
      <c r="J89" s="4" t="s">
        <v>43</v>
      </c>
      <c r="K89" s="4" t="s">
        <v>44</v>
      </c>
      <c r="L89" s="4" t="s">
        <v>45</v>
      </c>
      <c r="M89" s="154">
        <v>0.17799999999999999</v>
      </c>
      <c r="N89" s="4" t="s">
        <v>102</v>
      </c>
      <c r="O89" s="168">
        <v>0</v>
      </c>
      <c r="P89" s="169">
        <v>4.3180000000000003E-2</v>
      </c>
      <c r="R89" s="154">
        <v>62000</v>
      </c>
      <c r="S89" s="154">
        <v>1</v>
      </c>
      <c r="T89" s="154">
        <v>99.26</v>
      </c>
      <c r="U89" s="154">
        <v>61.540999999999997</v>
      </c>
      <c r="W89" s="4" t="s">
        <v>37</v>
      </c>
      <c r="X89" s="169">
        <v>3.0000000000000001E-6</v>
      </c>
      <c r="Y89" s="169">
        <v>6.0200687657946603E-3</v>
      </c>
      <c r="Z89" s="169">
        <v>1.95746100076148E-3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58203125" defaultRowHeight="14"/>
  <cols>
    <col min="1" max="21" width="11.58203125" style="4" customWidth="1"/>
    <col min="22" max="22" width="11.58203125" style="149" customWidth="1"/>
    <col min="23" max="32" width="11.58203125" style="4" customWidth="1"/>
    <col min="33" max="16384" width="11.582031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172</v>
      </c>
      <c r="N1" s="22" t="s">
        <v>145</v>
      </c>
      <c r="O1" s="22" t="s">
        <v>9</v>
      </c>
      <c r="P1" s="22" t="s">
        <v>10</v>
      </c>
      <c r="Q1" s="22" t="s">
        <v>196</v>
      </c>
      <c r="R1" s="22" t="s">
        <v>11</v>
      </c>
      <c r="S1" s="22" t="s">
        <v>12</v>
      </c>
      <c r="T1" s="22" t="s">
        <v>932</v>
      </c>
      <c r="U1" s="22" t="s">
        <v>13</v>
      </c>
      <c r="V1" s="162" t="s">
        <v>14</v>
      </c>
      <c r="W1" s="166" t="s">
        <v>15</v>
      </c>
      <c r="X1" s="22" t="s">
        <v>432</v>
      </c>
      <c r="Y1" s="22" t="s">
        <v>853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188</v>
      </c>
      <c r="AG1" s="22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1" t="s">
        <v>26</v>
      </c>
      <c r="B2" s="21">
        <v>9935</v>
      </c>
      <c r="C2" s="21" t="s">
        <v>1864</v>
      </c>
      <c r="D2" s="21" t="s">
        <v>1865</v>
      </c>
      <c r="E2" s="21" t="s">
        <v>1345</v>
      </c>
      <c r="F2" s="21" t="s">
        <v>2494</v>
      </c>
      <c r="G2" s="21" t="s">
        <v>2495</v>
      </c>
      <c r="H2" s="21" t="s">
        <v>343</v>
      </c>
      <c r="I2" s="21" t="s">
        <v>71</v>
      </c>
      <c r="J2" s="21" t="s">
        <v>31</v>
      </c>
      <c r="K2" s="21" t="s">
        <v>31</v>
      </c>
      <c r="L2" s="21" t="s">
        <v>49</v>
      </c>
      <c r="M2" s="21" t="s">
        <v>484</v>
      </c>
      <c r="N2" s="21" t="s">
        <v>159</v>
      </c>
      <c r="O2" s="4" t="s">
        <v>1795</v>
      </c>
      <c r="P2" s="21" t="s">
        <v>435</v>
      </c>
      <c r="Q2" s="21" t="s">
        <v>428</v>
      </c>
      <c r="R2" s="21" t="s">
        <v>45</v>
      </c>
      <c r="S2" s="155">
        <v>0.214</v>
      </c>
      <c r="T2" s="23" t="s">
        <v>933</v>
      </c>
      <c r="U2" s="21" t="s">
        <v>2496</v>
      </c>
      <c r="V2" s="170">
        <v>0.10199999999999999</v>
      </c>
      <c r="W2" s="169">
        <v>6.6839999999999997E-2</v>
      </c>
      <c r="X2" s="21" t="s">
        <v>434</v>
      </c>
      <c r="Y2" s="21" t="s">
        <v>159</v>
      </c>
      <c r="Z2" s="155">
        <v>86500</v>
      </c>
      <c r="AA2" s="155">
        <v>1</v>
      </c>
      <c r="AB2" s="155">
        <v>1044.33</v>
      </c>
      <c r="AC2" s="21"/>
      <c r="AD2" s="155">
        <v>903.34500000000003</v>
      </c>
      <c r="AE2" s="21"/>
      <c r="AG2" s="21" t="s">
        <v>37</v>
      </c>
      <c r="AH2" s="169">
        <v>5.7670000000000004E-3</v>
      </c>
      <c r="AI2" s="169">
        <v>1</v>
      </c>
      <c r="AJ2" s="169">
        <v>8.24070877784886E-4</v>
      </c>
    </row>
    <row r="3" spans="1:36">
      <c r="A3" s="21" t="s">
        <v>26</v>
      </c>
      <c r="B3" s="21">
        <v>9936</v>
      </c>
      <c r="C3" s="21" t="s">
        <v>1864</v>
      </c>
      <c r="D3" s="21" t="s">
        <v>1865</v>
      </c>
      <c r="E3" s="21" t="s">
        <v>1345</v>
      </c>
      <c r="F3" s="21" t="s">
        <v>2494</v>
      </c>
      <c r="G3" s="21" t="s">
        <v>2495</v>
      </c>
      <c r="H3" s="21" t="s">
        <v>343</v>
      </c>
      <c r="I3" s="21" t="s">
        <v>71</v>
      </c>
      <c r="J3" s="21" t="s">
        <v>31</v>
      </c>
      <c r="K3" s="21" t="s">
        <v>31</v>
      </c>
      <c r="L3" s="21" t="s">
        <v>49</v>
      </c>
      <c r="M3" s="21" t="s">
        <v>484</v>
      </c>
      <c r="N3" s="21" t="s">
        <v>159</v>
      </c>
      <c r="O3" s="4" t="s">
        <v>1795</v>
      </c>
      <c r="P3" s="21" t="s">
        <v>435</v>
      </c>
      <c r="Q3" s="21" t="s">
        <v>428</v>
      </c>
      <c r="R3" s="21" t="s">
        <v>45</v>
      </c>
      <c r="S3" s="155">
        <v>0.214</v>
      </c>
      <c r="T3" s="23" t="s">
        <v>933</v>
      </c>
      <c r="U3" s="21" t="s">
        <v>2496</v>
      </c>
      <c r="V3" s="170">
        <v>0.10199999999999999</v>
      </c>
      <c r="W3" s="171">
        <v>6.6839999999999997E-2</v>
      </c>
      <c r="X3" s="21" t="s">
        <v>434</v>
      </c>
      <c r="Y3" s="21" t="s">
        <v>159</v>
      </c>
      <c r="Z3" s="155">
        <v>2700</v>
      </c>
      <c r="AA3" s="155">
        <v>1</v>
      </c>
      <c r="AB3" s="155">
        <v>1044.33</v>
      </c>
      <c r="AC3" s="21"/>
      <c r="AD3" s="155">
        <v>28.196999999999999</v>
      </c>
      <c r="AE3" s="21"/>
      <c r="AG3" s="21" t="s">
        <v>37</v>
      </c>
      <c r="AH3" s="169">
        <v>1.8000000000000001E-4</v>
      </c>
      <c r="AI3" s="169">
        <v>1</v>
      </c>
      <c r="AJ3" s="169">
        <v>1.852299104052E-3</v>
      </c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37"/>
  <sheetViews>
    <sheetView rightToLeft="1" zoomScale="70" zoomScaleNormal="70" workbookViewId="0"/>
  </sheetViews>
  <sheetFormatPr defaultColWidth="11.58203125" defaultRowHeight="14"/>
  <cols>
    <col min="1" max="4" width="11.58203125" style="2" customWidth="1"/>
    <col min="5" max="5" width="11.58203125" style="4" customWidth="1"/>
    <col min="6" max="21" width="11.58203125" style="2" customWidth="1"/>
    <col min="22" max="22" width="11.58203125" style="148" customWidth="1"/>
    <col min="23" max="23" width="11.58203125" style="2" customWidth="1"/>
    <col min="24" max="25" width="11.58203125" style="4" customWidth="1"/>
    <col min="26" max="26" width="11.58203125" style="2" customWidth="1"/>
    <col min="27" max="16384" width="11.582031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348</v>
      </c>
      <c r="M1" s="22" t="s">
        <v>8</v>
      </c>
      <c r="N1" s="22" t="s">
        <v>172</v>
      </c>
      <c r="O1" s="22" t="s">
        <v>145</v>
      </c>
      <c r="P1" s="22" t="s">
        <v>9</v>
      </c>
      <c r="Q1" s="22" t="s">
        <v>10</v>
      </c>
      <c r="R1" s="22" t="s">
        <v>196</v>
      </c>
      <c r="S1" s="22" t="s">
        <v>11</v>
      </c>
      <c r="T1" s="22" t="s">
        <v>12</v>
      </c>
      <c r="U1" s="22" t="s">
        <v>13</v>
      </c>
      <c r="V1" s="162" t="s">
        <v>14</v>
      </c>
      <c r="W1" s="166" t="s">
        <v>15</v>
      </c>
      <c r="X1" s="22" t="s">
        <v>432</v>
      </c>
      <c r="Y1" s="22" t="s">
        <v>853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188</v>
      </c>
      <c r="AG1" s="22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" t="s">
        <v>26</v>
      </c>
      <c r="B2" s="23">
        <v>1441</v>
      </c>
      <c r="C2" s="23" t="s">
        <v>1775</v>
      </c>
      <c r="D2" s="23" t="s">
        <v>1776</v>
      </c>
      <c r="E2" s="21" t="s">
        <v>1345</v>
      </c>
      <c r="F2" s="23" t="s">
        <v>1777</v>
      </c>
      <c r="G2" s="23" t="s">
        <v>1778</v>
      </c>
      <c r="H2" s="21" t="s">
        <v>343</v>
      </c>
      <c r="I2" s="30" t="s">
        <v>777</v>
      </c>
      <c r="J2" s="21" t="s">
        <v>31</v>
      </c>
      <c r="K2" s="21" t="s">
        <v>31</v>
      </c>
      <c r="L2" s="23" t="s">
        <v>349</v>
      </c>
      <c r="M2" s="21" t="s">
        <v>49</v>
      </c>
      <c r="N2" s="23" t="s">
        <v>484</v>
      </c>
      <c r="O2" s="23" t="s">
        <v>159</v>
      </c>
      <c r="P2" s="23" t="s">
        <v>1779</v>
      </c>
      <c r="Q2" s="23" t="s">
        <v>435</v>
      </c>
      <c r="R2" s="23" t="s">
        <v>428</v>
      </c>
      <c r="S2" s="21" t="s">
        <v>45</v>
      </c>
      <c r="T2" s="156">
        <v>2.698</v>
      </c>
      <c r="U2" s="23" t="s">
        <v>108</v>
      </c>
      <c r="V2" s="172">
        <v>2.3400000000000001E-2</v>
      </c>
      <c r="W2" s="173">
        <v>2.1569999999999999E-2</v>
      </c>
      <c r="X2" s="21" t="s">
        <v>434</v>
      </c>
      <c r="Y2" s="21" t="s">
        <v>159</v>
      </c>
      <c r="Z2" s="156">
        <v>40362.480000000003</v>
      </c>
      <c r="AA2" s="156">
        <v>1</v>
      </c>
      <c r="AB2" s="156">
        <v>111.84</v>
      </c>
      <c r="AC2" s="23"/>
      <c r="AD2" s="156">
        <v>45.140999999999998</v>
      </c>
      <c r="AE2" s="23"/>
      <c r="AF2" s="30"/>
      <c r="AG2" s="21" t="s">
        <v>37</v>
      </c>
      <c r="AH2" s="167">
        <v>1.5999999999999999E-5</v>
      </c>
      <c r="AI2" s="167">
        <v>2.7522624058362099E-2</v>
      </c>
      <c r="AJ2" s="167">
        <v>4.1158453103658597E-3</v>
      </c>
    </row>
    <row r="3" spans="1:36">
      <c r="A3" s="23" t="s">
        <v>26</v>
      </c>
      <c r="B3" s="23">
        <v>1441</v>
      </c>
      <c r="C3" s="23" t="s">
        <v>1516</v>
      </c>
      <c r="D3" s="23" t="s">
        <v>1517</v>
      </c>
      <c r="E3" s="21" t="s">
        <v>1345</v>
      </c>
      <c r="F3" s="23" t="s">
        <v>1780</v>
      </c>
      <c r="G3" s="23" t="s">
        <v>1781</v>
      </c>
      <c r="H3" s="21" t="s">
        <v>343</v>
      </c>
      <c r="I3" s="23" t="s">
        <v>990</v>
      </c>
      <c r="J3" s="21" t="s">
        <v>31</v>
      </c>
      <c r="K3" s="21" t="s">
        <v>31</v>
      </c>
      <c r="L3" s="23" t="s">
        <v>349</v>
      </c>
      <c r="M3" s="21" t="s">
        <v>49</v>
      </c>
      <c r="N3" s="23" t="s">
        <v>466</v>
      </c>
      <c r="O3" s="23" t="s">
        <v>159</v>
      </c>
      <c r="P3" s="23" t="s">
        <v>1779</v>
      </c>
      <c r="Q3" s="23" t="s">
        <v>435</v>
      </c>
      <c r="R3" s="23" t="s">
        <v>428</v>
      </c>
      <c r="S3" s="21" t="s">
        <v>45</v>
      </c>
      <c r="T3" s="156">
        <v>2.597</v>
      </c>
      <c r="U3" s="23" t="s">
        <v>1782</v>
      </c>
      <c r="V3" s="172">
        <v>1.0800000000000001E-2</v>
      </c>
      <c r="W3" s="173">
        <v>4.4749999999999998E-2</v>
      </c>
      <c r="X3" s="21" t="s">
        <v>434</v>
      </c>
      <c r="Y3" s="21" t="s">
        <v>159</v>
      </c>
      <c r="Z3" s="156">
        <v>25950.75</v>
      </c>
      <c r="AA3" s="156">
        <v>1</v>
      </c>
      <c r="AB3" s="156">
        <v>92.04</v>
      </c>
      <c r="AC3" s="23"/>
      <c r="AD3" s="156">
        <v>23.885000000000002</v>
      </c>
      <c r="AE3" s="23"/>
      <c r="AG3" s="21" t="s">
        <v>37</v>
      </c>
      <c r="AH3" s="167">
        <v>2.0000000000000002E-5</v>
      </c>
      <c r="AI3" s="167">
        <v>1.4562681816666799E-2</v>
      </c>
      <c r="AJ3" s="167">
        <v>2.1777627574456298E-3</v>
      </c>
    </row>
    <row r="4" spans="1:36">
      <c r="A4" s="23" t="s">
        <v>26</v>
      </c>
      <c r="B4" s="23">
        <v>1441</v>
      </c>
      <c r="C4" s="23" t="s">
        <v>1520</v>
      </c>
      <c r="D4" s="23" t="s">
        <v>1521</v>
      </c>
      <c r="E4" s="21" t="s">
        <v>1345</v>
      </c>
      <c r="F4" s="23" t="s">
        <v>1783</v>
      </c>
      <c r="G4" s="23" t="s">
        <v>1784</v>
      </c>
      <c r="H4" s="21" t="s">
        <v>343</v>
      </c>
      <c r="I4" s="23" t="s">
        <v>990</v>
      </c>
      <c r="J4" s="21" t="s">
        <v>31</v>
      </c>
      <c r="K4" s="21" t="s">
        <v>31</v>
      </c>
      <c r="L4" s="23" t="s">
        <v>349</v>
      </c>
      <c r="M4" s="21" t="s">
        <v>49</v>
      </c>
      <c r="N4" s="23" t="s">
        <v>484</v>
      </c>
      <c r="O4" s="23" t="s">
        <v>159</v>
      </c>
      <c r="P4" s="23" t="s">
        <v>1785</v>
      </c>
      <c r="Q4" s="23" t="s">
        <v>435</v>
      </c>
      <c r="R4" s="23" t="s">
        <v>428</v>
      </c>
      <c r="S4" s="21" t="s">
        <v>45</v>
      </c>
      <c r="T4" s="156">
        <v>1.8580000000000001</v>
      </c>
      <c r="U4" s="23" t="s">
        <v>1786</v>
      </c>
      <c r="V4" s="172">
        <v>3.85E-2</v>
      </c>
      <c r="W4" s="173">
        <v>4.768E-2</v>
      </c>
      <c r="X4" s="21" t="s">
        <v>434</v>
      </c>
      <c r="Y4" s="21" t="s">
        <v>159</v>
      </c>
      <c r="Z4" s="156">
        <v>40500</v>
      </c>
      <c r="AA4" s="156">
        <v>1</v>
      </c>
      <c r="AB4" s="156">
        <v>98.71</v>
      </c>
      <c r="AC4" s="23"/>
      <c r="AD4" s="156">
        <v>39.978000000000002</v>
      </c>
      <c r="AE4" s="23"/>
      <c r="AG4" s="21" t="s">
        <v>37</v>
      </c>
      <c r="AH4" s="167">
        <v>4.1999999999999998E-5</v>
      </c>
      <c r="AI4" s="167">
        <v>2.4374236003813901E-2</v>
      </c>
      <c r="AJ4" s="167">
        <v>3.6450225362711398E-3</v>
      </c>
    </row>
    <row r="5" spans="1:36">
      <c r="A5" s="23" t="s">
        <v>26</v>
      </c>
      <c r="B5" s="23">
        <v>1441</v>
      </c>
      <c r="C5" s="23" t="s">
        <v>1520</v>
      </c>
      <c r="D5" s="23" t="s">
        <v>1521</v>
      </c>
      <c r="E5" s="21" t="s">
        <v>1345</v>
      </c>
      <c r="F5" s="23" t="s">
        <v>1787</v>
      </c>
      <c r="G5" s="23" t="s">
        <v>1788</v>
      </c>
      <c r="H5" s="21" t="s">
        <v>343</v>
      </c>
      <c r="I5" s="23" t="s">
        <v>777</v>
      </c>
      <c r="J5" s="21" t="s">
        <v>31</v>
      </c>
      <c r="K5" s="21" t="s">
        <v>31</v>
      </c>
      <c r="L5" s="23" t="s">
        <v>349</v>
      </c>
      <c r="M5" s="21" t="s">
        <v>49</v>
      </c>
      <c r="N5" s="23" t="s">
        <v>484</v>
      </c>
      <c r="O5" s="23" t="s">
        <v>159</v>
      </c>
      <c r="P5" s="23" t="s">
        <v>1789</v>
      </c>
      <c r="Q5" s="23" t="s">
        <v>128</v>
      </c>
      <c r="R5" s="23" t="s">
        <v>428</v>
      </c>
      <c r="S5" s="21" t="s">
        <v>45</v>
      </c>
      <c r="T5" s="156">
        <v>7.4429999999999996</v>
      </c>
      <c r="U5" s="23" t="s">
        <v>1790</v>
      </c>
      <c r="V5" s="172">
        <v>2.5600000000000001E-2</v>
      </c>
      <c r="W5" s="173">
        <v>3.9620000000000002E-2</v>
      </c>
      <c r="X5" s="21" t="s">
        <v>434</v>
      </c>
      <c r="Y5" s="21" t="s">
        <v>159</v>
      </c>
      <c r="Z5" s="156">
        <v>10000</v>
      </c>
      <c r="AA5" s="156">
        <v>1</v>
      </c>
      <c r="AB5" s="156">
        <v>94.33</v>
      </c>
      <c r="AC5" s="23"/>
      <c r="AD5" s="156">
        <v>9.4329999999999998</v>
      </c>
      <c r="AE5" s="23"/>
      <c r="AG5" s="21" t="s">
        <v>37</v>
      </c>
      <c r="AH5" s="167">
        <v>1.5E-5</v>
      </c>
      <c r="AI5" s="167">
        <v>5.7512821126851597E-3</v>
      </c>
      <c r="AJ5" s="167">
        <v>8.6007015399006798E-4</v>
      </c>
    </row>
    <row r="6" spans="1:36">
      <c r="A6" s="23" t="s">
        <v>26</v>
      </c>
      <c r="B6" s="23">
        <v>1441</v>
      </c>
      <c r="C6" s="23" t="s">
        <v>1791</v>
      </c>
      <c r="D6" s="23" t="s">
        <v>1792</v>
      </c>
      <c r="E6" s="21" t="s">
        <v>1345</v>
      </c>
      <c r="F6" s="23" t="s">
        <v>1793</v>
      </c>
      <c r="G6" s="23" t="s">
        <v>1794</v>
      </c>
      <c r="H6" s="21" t="s">
        <v>343</v>
      </c>
      <c r="I6" s="23" t="s">
        <v>990</v>
      </c>
      <c r="J6" s="21" t="s">
        <v>31</v>
      </c>
      <c r="K6" s="21" t="s">
        <v>31</v>
      </c>
      <c r="L6" s="23" t="s">
        <v>349</v>
      </c>
      <c r="M6" s="21" t="s">
        <v>49</v>
      </c>
      <c r="N6" s="23" t="s">
        <v>471</v>
      </c>
      <c r="O6" s="23" t="s">
        <v>159</v>
      </c>
      <c r="P6" s="23" t="s">
        <v>1795</v>
      </c>
      <c r="Q6" s="23" t="s">
        <v>435</v>
      </c>
      <c r="R6" s="23" t="s">
        <v>428</v>
      </c>
      <c r="S6" s="21" t="s">
        <v>45</v>
      </c>
      <c r="T6" s="156">
        <v>3.41</v>
      </c>
      <c r="U6" s="23" t="s">
        <v>1796</v>
      </c>
      <c r="V6" s="172">
        <v>0.04</v>
      </c>
      <c r="W6" s="173">
        <v>5.0200000000000002E-2</v>
      </c>
      <c r="X6" s="21" t="s">
        <v>434</v>
      </c>
      <c r="Y6" s="21" t="s">
        <v>159</v>
      </c>
      <c r="Z6" s="153">
        <v>31750</v>
      </c>
      <c r="AA6" s="153">
        <v>1</v>
      </c>
      <c r="AB6" s="153">
        <v>97.7</v>
      </c>
      <c r="AC6" s="23"/>
      <c r="AD6" s="153">
        <v>31.02</v>
      </c>
      <c r="AG6" s="2" t="s">
        <v>37</v>
      </c>
      <c r="AH6" s="167">
        <v>4.1E-5</v>
      </c>
      <c r="AI6" s="167">
        <v>1.89126824249937E-2</v>
      </c>
      <c r="AJ6" s="167">
        <v>2.82827956739461E-3</v>
      </c>
    </row>
    <row r="7" spans="1:36">
      <c r="A7" s="23" t="s">
        <v>26</v>
      </c>
      <c r="B7" s="23">
        <v>1441</v>
      </c>
      <c r="C7" s="23" t="s">
        <v>1524</v>
      </c>
      <c r="D7" s="23" t="s">
        <v>1525</v>
      </c>
      <c r="E7" s="21" t="s">
        <v>1345</v>
      </c>
      <c r="F7" s="23" t="s">
        <v>1797</v>
      </c>
      <c r="G7" s="23" t="s">
        <v>1798</v>
      </c>
      <c r="H7" s="21" t="s">
        <v>343</v>
      </c>
      <c r="I7" s="23" t="s">
        <v>777</v>
      </c>
      <c r="J7" s="21" t="s">
        <v>31</v>
      </c>
      <c r="K7" s="21" t="s">
        <v>31</v>
      </c>
      <c r="L7" s="23" t="s">
        <v>349</v>
      </c>
      <c r="M7" s="21" t="s">
        <v>49</v>
      </c>
      <c r="N7" s="23" t="s">
        <v>484</v>
      </c>
      <c r="O7" s="23" t="s">
        <v>159</v>
      </c>
      <c r="P7" s="23" t="s">
        <v>1799</v>
      </c>
      <c r="Q7" s="23" t="s">
        <v>128</v>
      </c>
      <c r="R7" s="23" t="s">
        <v>428</v>
      </c>
      <c r="S7" s="21" t="s">
        <v>45</v>
      </c>
      <c r="T7" s="156">
        <v>2.036</v>
      </c>
      <c r="U7" s="23" t="s">
        <v>1800</v>
      </c>
      <c r="V7" s="172">
        <v>3.2000000000000001E-2</v>
      </c>
      <c r="W7" s="173">
        <v>2.1000000000000001E-2</v>
      </c>
      <c r="X7" s="21" t="s">
        <v>434</v>
      </c>
      <c r="Y7" s="21" t="s">
        <v>159</v>
      </c>
      <c r="Z7" s="153">
        <v>36000</v>
      </c>
      <c r="AA7" s="153">
        <v>1</v>
      </c>
      <c r="AB7" s="153">
        <v>116.39</v>
      </c>
      <c r="AC7" s="23"/>
      <c r="AD7" s="153">
        <v>41.9</v>
      </c>
      <c r="AG7" s="2" t="s">
        <v>37</v>
      </c>
      <c r="AH7" s="167">
        <v>2.5999999999999998E-5</v>
      </c>
      <c r="AI7" s="167">
        <v>2.5546593982227601E-2</v>
      </c>
      <c r="AJ7" s="167">
        <v>3.8203417237618401E-3</v>
      </c>
    </row>
    <row r="8" spans="1:36">
      <c r="A8" s="23" t="s">
        <v>26</v>
      </c>
      <c r="B8" s="23">
        <v>1441</v>
      </c>
      <c r="C8" s="23" t="s">
        <v>1801</v>
      </c>
      <c r="D8" s="23" t="s">
        <v>1802</v>
      </c>
      <c r="E8" s="21" t="s">
        <v>1345</v>
      </c>
      <c r="F8" s="23" t="s">
        <v>1803</v>
      </c>
      <c r="G8" s="23" t="s">
        <v>1804</v>
      </c>
      <c r="H8" s="21" t="s">
        <v>343</v>
      </c>
      <c r="I8" s="23" t="s">
        <v>777</v>
      </c>
      <c r="J8" s="21" t="s">
        <v>31</v>
      </c>
      <c r="K8" s="21" t="s">
        <v>31</v>
      </c>
      <c r="L8" s="23" t="s">
        <v>349</v>
      </c>
      <c r="M8" s="21" t="s">
        <v>49</v>
      </c>
      <c r="N8" s="23" t="s">
        <v>484</v>
      </c>
      <c r="O8" s="23" t="s">
        <v>159</v>
      </c>
      <c r="P8" s="23" t="s">
        <v>1789</v>
      </c>
      <c r="Q8" s="23" t="s">
        <v>128</v>
      </c>
      <c r="R8" s="23" t="s">
        <v>428</v>
      </c>
      <c r="S8" s="21" t="s">
        <v>45</v>
      </c>
      <c r="T8" s="156">
        <v>0.60099999999999998</v>
      </c>
      <c r="U8" s="23" t="s">
        <v>1805</v>
      </c>
      <c r="V8" s="172">
        <v>2.5000000000000001E-2</v>
      </c>
      <c r="W8" s="173">
        <v>2.0219999999999998E-2</v>
      </c>
      <c r="X8" s="21" t="s">
        <v>434</v>
      </c>
      <c r="Y8" s="21" t="s">
        <v>159</v>
      </c>
      <c r="Z8" s="156">
        <v>20001.27</v>
      </c>
      <c r="AA8" s="156">
        <v>1</v>
      </c>
      <c r="AB8" s="156">
        <v>113.37</v>
      </c>
      <c r="AC8" s="23"/>
      <c r="AD8" s="156">
        <v>22.675000000000001</v>
      </c>
      <c r="AE8" s="23"/>
      <c r="AG8" s="21" t="s">
        <v>37</v>
      </c>
      <c r="AH8" s="167">
        <v>4.1999999999999998E-5</v>
      </c>
      <c r="AI8" s="167">
        <v>1.3825172406790801E-2</v>
      </c>
      <c r="AJ8" s="167">
        <v>2.06747259617496E-3</v>
      </c>
    </row>
    <row r="9" spans="1:36">
      <c r="A9" s="23" t="s">
        <v>26</v>
      </c>
      <c r="B9" s="23">
        <v>1441</v>
      </c>
      <c r="C9" s="23" t="s">
        <v>1806</v>
      </c>
      <c r="D9" s="23" t="s">
        <v>1807</v>
      </c>
      <c r="E9" s="21" t="s">
        <v>1345</v>
      </c>
      <c r="F9" s="23" t="s">
        <v>1808</v>
      </c>
      <c r="G9" s="23" t="s">
        <v>1809</v>
      </c>
      <c r="H9" s="21" t="s">
        <v>343</v>
      </c>
      <c r="I9" s="23" t="s">
        <v>990</v>
      </c>
      <c r="J9" s="21" t="s">
        <v>31</v>
      </c>
      <c r="K9" s="21" t="s">
        <v>31</v>
      </c>
      <c r="L9" s="23" t="s">
        <v>349</v>
      </c>
      <c r="M9" s="21" t="s">
        <v>49</v>
      </c>
      <c r="N9" s="23" t="s">
        <v>460</v>
      </c>
      <c r="O9" s="23" t="s">
        <v>159</v>
      </c>
      <c r="P9" s="23" t="s">
        <v>1810</v>
      </c>
      <c r="Q9" s="23" t="s">
        <v>128</v>
      </c>
      <c r="R9" s="23" t="s">
        <v>428</v>
      </c>
      <c r="S9" s="21" t="s">
        <v>45</v>
      </c>
      <c r="T9" s="156">
        <v>3.07</v>
      </c>
      <c r="U9" s="23" t="s">
        <v>1811</v>
      </c>
      <c r="V9" s="172">
        <v>7.2499999999999995E-2</v>
      </c>
      <c r="W9" s="173">
        <v>6.232E-2</v>
      </c>
      <c r="X9" s="21" t="s">
        <v>434</v>
      </c>
      <c r="Y9" s="21" t="s">
        <v>159</v>
      </c>
      <c r="Z9" s="156">
        <v>9954</v>
      </c>
      <c r="AA9" s="156">
        <v>1</v>
      </c>
      <c r="AB9" s="156">
        <v>108.29</v>
      </c>
      <c r="AC9" s="23"/>
      <c r="AD9" s="156">
        <v>10.779</v>
      </c>
      <c r="AE9" s="23"/>
      <c r="AG9" s="21" t="s">
        <v>37</v>
      </c>
      <c r="AH9" s="167">
        <v>1.7E-5</v>
      </c>
      <c r="AI9" s="167">
        <v>6.5720495157294096E-3</v>
      </c>
      <c r="AJ9" s="167">
        <v>9.8281105469624395E-4</v>
      </c>
    </row>
    <row r="10" spans="1:36">
      <c r="A10" s="23" t="s">
        <v>26</v>
      </c>
      <c r="B10" s="23">
        <v>1441</v>
      </c>
      <c r="C10" s="23" t="s">
        <v>1812</v>
      </c>
      <c r="D10" s="23" t="s">
        <v>1813</v>
      </c>
      <c r="E10" s="21" t="s">
        <v>1345</v>
      </c>
      <c r="F10" s="23" t="s">
        <v>1814</v>
      </c>
      <c r="G10" s="23" t="s">
        <v>1815</v>
      </c>
      <c r="H10" s="21" t="s">
        <v>343</v>
      </c>
      <c r="I10" s="23" t="s">
        <v>777</v>
      </c>
      <c r="J10" s="21" t="s">
        <v>31</v>
      </c>
      <c r="K10" s="21" t="s">
        <v>31</v>
      </c>
      <c r="L10" s="23" t="s">
        <v>349</v>
      </c>
      <c r="M10" s="21" t="s">
        <v>49</v>
      </c>
      <c r="N10" s="23" t="s">
        <v>468</v>
      </c>
      <c r="O10" s="23" t="s">
        <v>159</v>
      </c>
      <c r="P10" s="23" t="s">
        <v>127</v>
      </c>
      <c r="Q10" s="23" t="s">
        <v>128</v>
      </c>
      <c r="R10" s="23" t="s">
        <v>428</v>
      </c>
      <c r="S10" s="21" t="s">
        <v>45</v>
      </c>
      <c r="T10" s="156">
        <v>4.2549999999999999</v>
      </c>
      <c r="U10" s="23" t="s">
        <v>1816</v>
      </c>
      <c r="V10" s="172">
        <v>2E-3</v>
      </c>
      <c r="W10" s="173">
        <v>1.9359999999999999E-2</v>
      </c>
      <c r="X10" s="21" t="s">
        <v>434</v>
      </c>
      <c r="Y10" s="21" t="s">
        <v>159</v>
      </c>
      <c r="Z10" s="156">
        <v>26842.1</v>
      </c>
      <c r="AA10" s="156">
        <v>1</v>
      </c>
      <c r="AB10" s="156">
        <v>101.27</v>
      </c>
      <c r="AC10" s="23"/>
      <c r="AD10" s="156">
        <v>27.183</v>
      </c>
      <c r="AE10" s="23"/>
      <c r="AG10" s="21" t="s">
        <v>37</v>
      </c>
      <c r="AH10" s="167">
        <v>6.0000000000000002E-6</v>
      </c>
      <c r="AI10" s="167">
        <v>1.6573420016409102E-2</v>
      </c>
      <c r="AJ10" s="167">
        <v>2.4784567382315401E-3</v>
      </c>
    </row>
    <row r="11" spans="1:36">
      <c r="A11" s="23" t="s">
        <v>26</v>
      </c>
      <c r="B11" s="23">
        <v>1441</v>
      </c>
      <c r="C11" s="23" t="s">
        <v>1812</v>
      </c>
      <c r="D11" s="23" t="s">
        <v>1813</v>
      </c>
      <c r="E11" s="21" t="s">
        <v>1345</v>
      </c>
      <c r="F11" s="23" t="s">
        <v>1817</v>
      </c>
      <c r="G11" s="23" t="s">
        <v>1818</v>
      </c>
      <c r="H11" s="21" t="s">
        <v>343</v>
      </c>
      <c r="I11" s="23" t="s">
        <v>777</v>
      </c>
      <c r="J11" s="21" t="s">
        <v>31</v>
      </c>
      <c r="K11" s="21" t="s">
        <v>31</v>
      </c>
      <c r="L11" s="23" t="s">
        <v>349</v>
      </c>
      <c r="M11" s="21" t="s">
        <v>49</v>
      </c>
      <c r="N11" s="23" t="s">
        <v>468</v>
      </c>
      <c r="O11" s="23" t="s">
        <v>159</v>
      </c>
      <c r="P11" s="23" t="s">
        <v>127</v>
      </c>
      <c r="Q11" s="23" t="s">
        <v>128</v>
      </c>
      <c r="R11" s="23" t="s">
        <v>428</v>
      </c>
      <c r="S11" s="21" t="s">
        <v>45</v>
      </c>
      <c r="T11" s="156">
        <v>5.62</v>
      </c>
      <c r="U11" s="23" t="s">
        <v>1819</v>
      </c>
      <c r="V11" s="172">
        <v>2.47E-2</v>
      </c>
      <c r="W11" s="173">
        <v>2.0109999999999999E-2</v>
      </c>
      <c r="X11" s="21" t="s">
        <v>434</v>
      </c>
      <c r="Y11" s="21" t="s">
        <v>159</v>
      </c>
      <c r="Z11" s="156">
        <v>30000</v>
      </c>
      <c r="AA11" s="156">
        <v>1</v>
      </c>
      <c r="AB11" s="156">
        <v>101.35</v>
      </c>
      <c r="AC11" s="23"/>
      <c r="AD11" s="156">
        <v>30.405000000000001</v>
      </c>
      <c r="AE11" s="23"/>
      <c r="AG11" s="21" t="s">
        <v>37</v>
      </c>
      <c r="AH11" s="167">
        <v>1.9000000000000001E-5</v>
      </c>
      <c r="AI11" s="167">
        <v>1.8537870522229601E-2</v>
      </c>
      <c r="AJ11" s="167">
        <v>2.7722286687234198E-3</v>
      </c>
    </row>
    <row r="12" spans="1:36">
      <c r="A12" s="23" t="s">
        <v>26</v>
      </c>
      <c r="B12" s="23">
        <v>1441</v>
      </c>
      <c r="C12" s="23" t="s">
        <v>1820</v>
      </c>
      <c r="D12" s="23" t="s">
        <v>1821</v>
      </c>
      <c r="E12" s="21" t="s">
        <v>1345</v>
      </c>
      <c r="F12" s="23" t="s">
        <v>1822</v>
      </c>
      <c r="G12" s="23" t="s">
        <v>1823</v>
      </c>
      <c r="H12" s="21" t="s">
        <v>343</v>
      </c>
      <c r="I12" s="23" t="s">
        <v>990</v>
      </c>
      <c r="J12" s="21" t="s">
        <v>31</v>
      </c>
      <c r="K12" s="21" t="s">
        <v>31</v>
      </c>
      <c r="L12" s="23" t="s">
        <v>349</v>
      </c>
      <c r="M12" s="21" t="s">
        <v>49</v>
      </c>
      <c r="N12" s="23" t="s">
        <v>465</v>
      </c>
      <c r="O12" s="23" t="s">
        <v>159</v>
      </c>
      <c r="P12" s="23" t="s">
        <v>1789</v>
      </c>
      <c r="Q12" s="23" t="s">
        <v>128</v>
      </c>
      <c r="R12" s="23" t="s">
        <v>428</v>
      </c>
      <c r="S12" s="21" t="s">
        <v>45</v>
      </c>
      <c r="T12" s="156">
        <v>2.1739999999999999</v>
      </c>
      <c r="U12" s="23" t="s">
        <v>1824</v>
      </c>
      <c r="V12" s="172">
        <v>2.9100000000000001E-2</v>
      </c>
      <c r="W12" s="173">
        <v>4.6019999999999998E-2</v>
      </c>
      <c r="X12" s="21" t="s">
        <v>434</v>
      </c>
      <c r="Y12" s="21" t="s">
        <v>159</v>
      </c>
      <c r="Z12" s="156">
        <v>10000</v>
      </c>
      <c r="AA12" s="156">
        <v>1</v>
      </c>
      <c r="AB12" s="156">
        <v>97.28</v>
      </c>
      <c r="AC12" s="23"/>
      <c r="AD12" s="156">
        <v>9.7279999999999998</v>
      </c>
      <c r="AE12" s="23"/>
      <c r="AG12" s="21" t="s">
        <v>37</v>
      </c>
      <c r="AH12" s="167">
        <v>1.7E-5</v>
      </c>
      <c r="AI12" s="167">
        <v>5.9311430501644401E-3</v>
      </c>
      <c r="AJ12" s="167">
        <v>8.8696729121333405E-4</v>
      </c>
    </row>
    <row r="13" spans="1:36">
      <c r="A13" s="23" t="s">
        <v>26</v>
      </c>
      <c r="B13" s="23">
        <v>1441</v>
      </c>
      <c r="C13" s="23" t="s">
        <v>1820</v>
      </c>
      <c r="D13" s="23" t="s">
        <v>1821</v>
      </c>
      <c r="E13" s="21" t="s">
        <v>1345</v>
      </c>
      <c r="F13" s="23" t="s">
        <v>1825</v>
      </c>
      <c r="G13" s="23" t="s">
        <v>1826</v>
      </c>
      <c r="H13" s="21" t="s">
        <v>343</v>
      </c>
      <c r="I13" s="23" t="s">
        <v>777</v>
      </c>
      <c r="J13" s="21" t="s">
        <v>31</v>
      </c>
      <c r="K13" s="21" t="s">
        <v>31</v>
      </c>
      <c r="L13" s="23" t="s">
        <v>349</v>
      </c>
      <c r="M13" s="21" t="s">
        <v>49</v>
      </c>
      <c r="N13" s="23" t="s">
        <v>465</v>
      </c>
      <c r="O13" s="23" t="s">
        <v>159</v>
      </c>
      <c r="P13" s="23" t="s">
        <v>1785</v>
      </c>
      <c r="Q13" s="23" t="s">
        <v>128</v>
      </c>
      <c r="R13" s="23" t="s">
        <v>428</v>
      </c>
      <c r="S13" s="21" t="s">
        <v>45</v>
      </c>
      <c r="T13" s="156">
        <v>0.16400000000000001</v>
      </c>
      <c r="U13" s="23" t="s">
        <v>1827</v>
      </c>
      <c r="V13" s="172">
        <v>3.85E-2</v>
      </c>
      <c r="W13" s="173">
        <v>1E-4</v>
      </c>
      <c r="X13" s="21" t="s">
        <v>434</v>
      </c>
      <c r="Y13" s="21" t="s">
        <v>159</v>
      </c>
      <c r="Z13" s="156">
        <v>27341</v>
      </c>
      <c r="AA13" s="156">
        <v>1</v>
      </c>
      <c r="AB13" s="156">
        <v>117.54</v>
      </c>
      <c r="AC13" s="23"/>
      <c r="AD13" s="156">
        <v>32.137</v>
      </c>
      <c r="AE13" s="23"/>
      <c r="AG13" s="21" t="s">
        <v>37</v>
      </c>
      <c r="AH13" s="167">
        <v>1.0900000000000001E-4</v>
      </c>
      <c r="AI13" s="167">
        <v>1.9593630690886699E-2</v>
      </c>
      <c r="AJ13" s="167">
        <v>2.93011134480197E-3</v>
      </c>
    </row>
    <row r="14" spans="1:36">
      <c r="A14" s="23" t="s">
        <v>26</v>
      </c>
      <c r="B14" s="23">
        <v>1441</v>
      </c>
      <c r="C14" s="23" t="s">
        <v>1820</v>
      </c>
      <c r="D14" s="23" t="s">
        <v>1821</v>
      </c>
      <c r="E14" s="21" t="s">
        <v>1345</v>
      </c>
      <c r="F14" s="23" t="s">
        <v>1828</v>
      </c>
      <c r="G14" s="23" t="s">
        <v>1829</v>
      </c>
      <c r="H14" s="21" t="s">
        <v>343</v>
      </c>
      <c r="I14" s="23" t="s">
        <v>990</v>
      </c>
      <c r="J14" s="21" t="s">
        <v>31</v>
      </c>
      <c r="K14" s="21" t="s">
        <v>31</v>
      </c>
      <c r="L14" s="23" t="s">
        <v>349</v>
      </c>
      <c r="M14" s="21" t="s">
        <v>49</v>
      </c>
      <c r="N14" s="23" t="s">
        <v>465</v>
      </c>
      <c r="O14" s="23" t="s">
        <v>159</v>
      </c>
      <c r="P14" s="23" t="s">
        <v>1785</v>
      </c>
      <c r="Q14" s="23" t="s">
        <v>453</v>
      </c>
      <c r="R14" s="23" t="s">
        <v>428</v>
      </c>
      <c r="S14" s="21" t="s">
        <v>45</v>
      </c>
      <c r="T14" s="156">
        <v>5.0819999999999999</v>
      </c>
      <c r="U14" s="23" t="s">
        <v>1830</v>
      </c>
      <c r="V14" s="172">
        <v>4.3799999999999999E-2</v>
      </c>
      <c r="W14" s="173">
        <v>4.9430000000000002E-2</v>
      </c>
      <c r="X14" s="21" t="s">
        <v>434</v>
      </c>
      <c r="Y14" s="21" t="s">
        <v>159</v>
      </c>
      <c r="Z14" s="156">
        <v>28500</v>
      </c>
      <c r="AA14" s="156">
        <v>1</v>
      </c>
      <c r="AB14" s="156">
        <v>98.59</v>
      </c>
      <c r="AC14" s="23"/>
      <c r="AD14" s="156">
        <v>28.097999999999999</v>
      </c>
      <c r="AE14" s="23"/>
      <c r="AG14" s="21" t="s">
        <v>37</v>
      </c>
      <c r="AH14" s="167">
        <v>5.7000000000000003E-5</v>
      </c>
      <c r="AI14" s="167">
        <v>1.71313884760463E-2</v>
      </c>
      <c r="AJ14" s="167">
        <v>2.5618976144742901E-3</v>
      </c>
    </row>
    <row r="15" spans="1:36">
      <c r="A15" s="23" t="s">
        <v>26</v>
      </c>
      <c r="B15" s="23">
        <v>1441</v>
      </c>
      <c r="C15" s="23" t="s">
        <v>1831</v>
      </c>
      <c r="D15" s="23" t="s">
        <v>1832</v>
      </c>
      <c r="E15" s="21" t="s">
        <v>1345</v>
      </c>
      <c r="F15" s="23" t="s">
        <v>1833</v>
      </c>
      <c r="G15" s="23" t="s">
        <v>1834</v>
      </c>
      <c r="H15" s="21" t="s">
        <v>343</v>
      </c>
      <c r="I15" s="23" t="s">
        <v>990</v>
      </c>
      <c r="J15" s="21" t="s">
        <v>31</v>
      </c>
      <c r="K15" s="21" t="s">
        <v>31</v>
      </c>
      <c r="L15" s="23" t="s">
        <v>349</v>
      </c>
      <c r="M15" s="21" t="s">
        <v>49</v>
      </c>
      <c r="N15" s="23" t="s">
        <v>465</v>
      </c>
      <c r="O15" s="23" t="s">
        <v>159</v>
      </c>
      <c r="P15" s="23" t="s">
        <v>1799</v>
      </c>
      <c r="Q15" s="23" t="s">
        <v>128</v>
      </c>
      <c r="R15" s="23" t="s">
        <v>428</v>
      </c>
      <c r="S15" s="21" t="s">
        <v>45</v>
      </c>
      <c r="T15" s="156">
        <v>5.2210000000000001</v>
      </c>
      <c r="U15" s="23" t="s">
        <v>1835</v>
      </c>
      <c r="V15" s="172">
        <v>1.95E-2</v>
      </c>
      <c r="W15" s="173">
        <v>5.008E-2</v>
      </c>
      <c r="X15" s="21" t="s">
        <v>434</v>
      </c>
      <c r="Y15" s="21" t="s">
        <v>159</v>
      </c>
      <c r="Z15" s="156">
        <v>37923.54</v>
      </c>
      <c r="AA15" s="156">
        <v>1</v>
      </c>
      <c r="AB15" s="156">
        <v>85.74</v>
      </c>
      <c r="AC15" s="23"/>
      <c r="AD15" s="156">
        <v>32.515999999999998</v>
      </c>
      <c r="AE15" s="23"/>
      <c r="AG15" s="21" t="s">
        <v>37</v>
      </c>
      <c r="AH15" s="167">
        <v>3.3000000000000003E-5</v>
      </c>
      <c r="AI15" s="167">
        <v>1.9824725654151099E-2</v>
      </c>
      <c r="AJ15" s="167">
        <v>2.9646702269341498E-3</v>
      </c>
    </row>
    <row r="16" spans="1:36">
      <c r="A16" s="23" t="s">
        <v>26</v>
      </c>
      <c r="B16" s="23">
        <v>1441</v>
      </c>
      <c r="C16" s="23" t="s">
        <v>1836</v>
      </c>
      <c r="D16" s="23" t="s">
        <v>1837</v>
      </c>
      <c r="E16" s="21" t="s">
        <v>1345</v>
      </c>
      <c r="F16" s="23" t="s">
        <v>1838</v>
      </c>
      <c r="G16" s="23" t="s">
        <v>1839</v>
      </c>
      <c r="H16" s="21" t="s">
        <v>343</v>
      </c>
      <c r="I16" s="23" t="s">
        <v>777</v>
      </c>
      <c r="J16" s="21" t="s">
        <v>31</v>
      </c>
      <c r="K16" s="21" t="s">
        <v>31</v>
      </c>
      <c r="L16" s="23" t="s">
        <v>349</v>
      </c>
      <c r="M16" s="21" t="s">
        <v>49</v>
      </c>
      <c r="N16" s="23" t="s">
        <v>460</v>
      </c>
      <c r="O16" s="23" t="s">
        <v>159</v>
      </c>
      <c r="P16" s="23" t="s">
        <v>1840</v>
      </c>
      <c r="Q16" s="23" t="s">
        <v>128</v>
      </c>
      <c r="R16" s="23" t="s">
        <v>428</v>
      </c>
      <c r="S16" s="21" t="s">
        <v>45</v>
      </c>
      <c r="T16" s="156">
        <v>3.883</v>
      </c>
      <c r="U16" s="23" t="s">
        <v>1841</v>
      </c>
      <c r="V16" s="172">
        <v>3.85E-2</v>
      </c>
      <c r="W16" s="173">
        <v>1.95E-2</v>
      </c>
      <c r="X16" s="21" t="s">
        <v>434</v>
      </c>
      <c r="Y16" s="21" t="s">
        <v>159</v>
      </c>
      <c r="Z16" s="156">
        <v>95833.32</v>
      </c>
      <c r="AA16" s="156">
        <v>1</v>
      </c>
      <c r="AB16" s="156">
        <v>120.49</v>
      </c>
      <c r="AC16" s="156">
        <v>3.27</v>
      </c>
      <c r="AD16" s="156">
        <v>118.74</v>
      </c>
      <c r="AE16" s="23"/>
      <c r="AG16" s="21" t="s">
        <v>37</v>
      </c>
      <c r="AH16" s="167">
        <v>3.6999999999999998E-5</v>
      </c>
      <c r="AI16" s="167">
        <v>7.2395251162885393E-2</v>
      </c>
      <c r="AJ16" s="167">
        <v>1.0826280748509901E-2</v>
      </c>
    </row>
    <row r="17" spans="1:36">
      <c r="A17" s="23" t="s">
        <v>26</v>
      </c>
      <c r="B17" s="23">
        <v>1441</v>
      </c>
      <c r="C17" s="23" t="s">
        <v>1836</v>
      </c>
      <c r="D17" s="23" t="s">
        <v>1837</v>
      </c>
      <c r="E17" s="21" t="s">
        <v>1345</v>
      </c>
      <c r="F17" s="23" t="s">
        <v>1842</v>
      </c>
      <c r="G17" s="23" t="s">
        <v>1843</v>
      </c>
      <c r="H17" s="21" t="s">
        <v>343</v>
      </c>
      <c r="I17" s="23" t="s">
        <v>777</v>
      </c>
      <c r="J17" s="21" t="s">
        <v>31</v>
      </c>
      <c r="K17" s="21" t="s">
        <v>31</v>
      </c>
      <c r="L17" s="23" t="s">
        <v>349</v>
      </c>
      <c r="M17" s="21" t="s">
        <v>49</v>
      </c>
      <c r="N17" s="23" t="s">
        <v>460</v>
      </c>
      <c r="O17" s="23" t="s">
        <v>159</v>
      </c>
      <c r="P17" s="23" t="s">
        <v>1840</v>
      </c>
      <c r="Q17" s="23" t="s">
        <v>128</v>
      </c>
      <c r="R17" s="23" t="s">
        <v>428</v>
      </c>
      <c r="S17" s="21" t="s">
        <v>45</v>
      </c>
      <c r="T17" s="156">
        <v>6.24</v>
      </c>
      <c r="U17" s="23" t="s">
        <v>1844</v>
      </c>
      <c r="V17" s="172">
        <v>2.3900000000000001E-2</v>
      </c>
      <c r="W17" s="173">
        <v>2.4760000000000001E-2</v>
      </c>
      <c r="X17" s="21" t="s">
        <v>434</v>
      </c>
      <c r="Y17" s="21" t="s">
        <v>159</v>
      </c>
      <c r="Z17" s="156">
        <v>45000</v>
      </c>
      <c r="AA17" s="156">
        <v>1</v>
      </c>
      <c r="AB17" s="156">
        <v>110.76</v>
      </c>
      <c r="AC17" s="23"/>
      <c r="AD17" s="156">
        <v>49.841999999999999</v>
      </c>
      <c r="AE17" s="23"/>
      <c r="AG17" s="21" t="s">
        <v>37</v>
      </c>
      <c r="AH17" s="167">
        <v>1.2E-5</v>
      </c>
      <c r="AI17" s="167">
        <v>3.0388572358788699E-2</v>
      </c>
      <c r="AJ17" s="167">
        <v>4.54443089315944E-3</v>
      </c>
    </row>
    <row r="18" spans="1:36">
      <c r="A18" s="23" t="s">
        <v>26</v>
      </c>
      <c r="B18" s="23">
        <v>1441</v>
      </c>
      <c r="C18" s="23" t="s">
        <v>1845</v>
      </c>
      <c r="D18" s="23" t="s">
        <v>1846</v>
      </c>
      <c r="E18" s="21" t="s">
        <v>1345</v>
      </c>
      <c r="F18" s="23" t="s">
        <v>1847</v>
      </c>
      <c r="G18" s="23" t="s">
        <v>1848</v>
      </c>
      <c r="H18" s="21" t="s">
        <v>343</v>
      </c>
      <c r="I18" s="23" t="s">
        <v>990</v>
      </c>
      <c r="J18" s="21" t="s">
        <v>31</v>
      </c>
      <c r="K18" s="21" t="s">
        <v>31</v>
      </c>
      <c r="L18" s="23" t="s">
        <v>349</v>
      </c>
      <c r="M18" s="21" t="s">
        <v>49</v>
      </c>
      <c r="N18" s="23" t="s">
        <v>484</v>
      </c>
      <c r="O18" s="23" t="s">
        <v>159</v>
      </c>
      <c r="P18" s="23" t="s">
        <v>1789</v>
      </c>
      <c r="Q18" s="23" t="s">
        <v>128</v>
      </c>
      <c r="R18" s="23" t="s">
        <v>428</v>
      </c>
      <c r="S18" s="21" t="s">
        <v>45</v>
      </c>
      <c r="T18" s="156">
        <v>1.83</v>
      </c>
      <c r="U18" s="23" t="s">
        <v>1849</v>
      </c>
      <c r="V18" s="172">
        <v>5.0500000000000003E-2</v>
      </c>
      <c r="W18" s="173">
        <v>4.87E-2</v>
      </c>
      <c r="X18" s="21" t="s">
        <v>434</v>
      </c>
      <c r="Y18" s="21" t="s">
        <v>159</v>
      </c>
      <c r="Z18" s="156">
        <v>35142.85</v>
      </c>
      <c r="AA18" s="156">
        <v>1</v>
      </c>
      <c r="AB18" s="156">
        <v>100.86</v>
      </c>
      <c r="AC18" s="23"/>
      <c r="AD18" s="156">
        <v>35.445</v>
      </c>
      <c r="AE18" s="23"/>
      <c r="AG18" s="21" t="s">
        <v>37</v>
      </c>
      <c r="AH18" s="167">
        <v>9.5000000000000005E-5</v>
      </c>
      <c r="AI18" s="167">
        <v>2.1610796779103599E-2</v>
      </c>
      <c r="AJ18" s="167">
        <v>3.2317665782132699E-3</v>
      </c>
    </row>
    <row r="19" spans="1:36">
      <c r="A19" s="23" t="s">
        <v>26</v>
      </c>
      <c r="B19" s="23">
        <v>1441</v>
      </c>
      <c r="C19" s="23" t="s">
        <v>1850</v>
      </c>
      <c r="D19" s="23" t="s">
        <v>1851</v>
      </c>
      <c r="E19" s="21" t="s">
        <v>1345</v>
      </c>
      <c r="F19" s="23" t="s">
        <v>1852</v>
      </c>
      <c r="G19" s="23" t="s">
        <v>1853</v>
      </c>
      <c r="H19" s="21" t="s">
        <v>343</v>
      </c>
      <c r="I19" s="23" t="s">
        <v>990</v>
      </c>
      <c r="J19" s="21" t="s">
        <v>31</v>
      </c>
      <c r="K19" s="21" t="s">
        <v>31</v>
      </c>
      <c r="L19" s="23" t="s">
        <v>349</v>
      </c>
      <c r="M19" s="21" t="s">
        <v>49</v>
      </c>
      <c r="N19" s="23" t="s">
        <v>465</v>
      </c>
      <c r="O19" s="23" t="s">
        <v>159</v>
      </c>
      <c r="P19" s="23" t="s">
        <v>1789</v>
      </c>
      <c r="Q19" s="23" t="s">
        <v>128</v>
      </c>
      <c r="R19" s="23" t="s">
        <v>428</v>
      </c>
      <c r="S19" s="21" t="s">
        <v>45</v>
      </c>
      <c r="T19" s="156">
        <v>5.5540000000000003</v>
      </c>
      <c r="U19" s="23" t="s">
        <v>93</v>
      </c>
      <c r="V19" s="172">
        <v>2.64E-2</v>
      </c>
      <c r="W19" s="173">
        <v>5.0410000000000003E-2</v>
      </c>
      <c r="X19" s="21" t="s">
        <v>434</v>
      </c>
      <c r="Y19" s="21" t="s">
        <v>159</v>
      </c>
      <c r="Z19" s="156">
        <v>135500</v>
      </c>
      <c r="AA19" s="156">
        <v>1</v>
      </c>
      <c r="AB19" s="156">
        <v>88.01</v>
      </c>
      <c r="AC19" s="23"/>
      <c r="AD19" s="156">
        <v>119.254</v>
      </c>
      <c r="AE19" s="23"/>
      <c r="AG19" s="21" t="s">
        <v>37</v>
      </c>
      <c r="AH19" s="167">
        <v>8.2999999999999998E-5</v>
      </c>
      <c r="AI19" s="167">
        <v>7.2708662036383404E-2</v>
      </c>
      <c r="AJ19" s="167">
        <v>1.0873149487158101E-2</v>
      </c>
    </row>
    <row r="20" spans="1:36">
      <c r="A20" s="2" t="s">
        <v>26</v>
      </c>
      <c r="B20" s="2">
        <v>1441</v>
      </c>
      <c r="C20" s="2" t="s">
        <v>1202</v>
      </c>
      <c r="D20" s="2" t="s">
        <v>1562</v>
      </c>
      <c r="E20" s="21" t="s">
        <v>1345</v>
      </c>
      <c r="F20" s="2" t="s">
        <v>1854</v>
      </c>
      <c r="G20" s="2" t="s">
        <v>1855</v>
      </c>
      <c r="H20" s="21" t="s">
        <v>343</v>
      </c>
      <c r="I20" s="23" t="s">
        <v>777</v>
      </c>
      <c r="J20" s="21" t="s">
        <v>31</v>
      </c>
      <c r="K20" s="21" t="s">
        <v>31</v>
      </c>
      <c r="L20" s="23" t="s">
        <v>349</v>
      </c>
      <c r="M20" s="21" t="s">
        <v>49</v>
      </c>
      <c r="N20" s="23" t="s">
        <v>468</v>
      </c>
      <c r="O20" s="23" t="s">
        <v>159</v>
      </c>
      <c r="P20" s="2" t="s">
        <v>127</v>
      </c>
      <c r="Q20" s="23" t="s">
        <v>128</v>
      </c>
      <c r="R20" s="23" t="s">
        <v>428</v>
      </c>
      <c r="S20" s="2" t="s">
        <v>45</v>
      </c>
      <c r="T20" s="153">
        <v>1.23</v>
      </c>
      <c r="U20" s="2" t="s">
        <v>1824</v>
      </c>
      <c r="V20" s="165">
        <v>8.3000000000000001E-3</v>
      </c>
      <c r="W20" s="167">
        <v>1.3979999999999999E-2</v>
      </c>
      <c r="X20" s="21" t="s">
        <v>434</v>
      </c>
      <c r="Y20" s="21" t="s">
        <v>159</v>
      </c>
      <c r="Z20" s="153">
        <v>30000</v>
      </c>
      <c r="AA20" s="153">
        <v>1</v>
      </c>
      <c r="AB20" s="153">
        <v>111.66</v>
      </c>
      <c r="AD20" s="153">
        <v>33.497999999999998</v>
      </c>
      <c r="AG20" s="2" t="s">
        <v>37</v>
      </c>
      <c r="AH20" s="167">
        <v>1.0000000000000001E-5</v>
      </c>
      <c r="AI20" s="167">
        <v>2.0423666724342999E-2</v>
      </c>
      <c r="AJ20" s="167">
        <v>3.05423831425414E-3</v>
      </c>
    </row>
    <row r="21" spans="1:36">
      <c r="A21" s="2" t="s">
        <v>26</v>
      </c>
      <c r="B21" s="2">
        <v>1441</v>
      </c>
      <c r="C21" s="2" t="s">
        <v>1202</v>
      </c>
      <c r="D21" s="2" t="s">
        <v>1562</v>
      </c>
      <c r="E21" s="4" t="s">
        <v>1345</v>
      </c>
      <c r="F21" s="2" t="s">
        <v>1856</v>
      </c>
      <c r="G21" s="2" t="s">
        <v>1857</v>
      </c>
      <c r="H21" s="4" t="s">
        <v>343</v>
      </c>
      <c r="I21" s="2" t="s">
        <v>777</v>
      </c>
      <c r="J21" s="2" t="s">
        <v>31</v>
      </c>
      <c r="K21" s="2" t="s">
        <v>31</v>
      </c>
      <c r="L21" s="2" t="s">
        <v>349</v>
      </c>
      <c r="M21" s="4" t="s">
        <v>49</v>
      </c>
      <c r="N21" s="2" t="s">
        <v>468</v>
      </c>
      <c r="O21" s="2" t="s">
        <v>159</v>
      </c>
      <c r="P21" s="2" t="s">
        <v>1201</v>
      </c>
      <c r="Q21" s="2" t="s">
        <v>435</v>
      </c>
      <c r="R21" s="2" t="s">
        <v>428</v>
      </c>
      <c r="S21" s="2" t="s">
        <v>45</v>
      </c>
      <c r="T21" s="153">
        <v>5.54</v>
      </c>
      <c r="U21" s="2" t="s">
        <v>1858</v>
      </c>
      <c r="V21" s="165">
        <v>2.0199999999999999E-2</v>
      </c>
      <c r="W21" s="167">
        <v>2.0369999999999999E-2</v>
      </c>
      <c r="X21" s="4" t="s">
        <v>434</v>
      </c>
      <c r="Y21" s="4" t="s">
        <v>159</v>
      </c>
      <c r="Z21" s="153">
        <v>40000</v>
      </c>
      <c r="AA21" s="153">
        <v>1</v>
      </c>
      <c r="AB21" s="153">
        <v>100.75</v>
      </c>
      <c r="AD21" s="153">
        <v>40.299999999999997</v>
      </c>
      <c r="AG21" s="2" t="s">
        <v>37</v>
      </c>
      <c r="AH21" s="167">
        <v>1.9000000000000001E-5</v>
      </c>
      <c r="AI21" s="167">
        <v>2.45708331539502E-2</v>
      </c>
      <c r="AJ21" s="167">
        <v>3.67442247490721E-3</v>
      </c>
    </row>
    <row r="22" spans="1:36">
      <c r="A22" s="2" t="s">
        <v>26</v>
      </c>
      <c r="B22" s="2">
        <v>1441</v>
      </c>
      <c r="C22" s="2" t="s">
        <v>1695</v>
      </c>
      <c r="D22" s="2" t="s">
        <v>1696</v>
      </c>
      <c r="E22" s="4" t="s">
        <v>1345</v>
      </c>
      <c r="F22" s="2" t="s">
        <v>1859</v>
      </c>
      <c r="G22" s="2" t="s">
        <v>1860</v>
      </c>
      <c r="H22" s="4" t="s">
        <v>343</v>
      </c>
      <c r="I22" s="2" t="s">
        <v>990</v>
      </c>
      <c r="J22" s="2" t="s">
        <v>31</v>
      </c>
      <c r="K22" s="2" t="s">
        <v>31</v>
      </c>
      <c r="L22" s="2" t="s">
        <v>349</v>
      </c>
      <c r="M22" s="4" t="s">
        <v>49</v>
      </c>
      <c r="N22" s="2" t="s">
        <v>484</v>
      </c>
      <c r="O22" s="2" t="s">
        <v>159</v>
      </c>
      <c r="P22" s="2" t="s">
        <v>1779</v>
      </c>
      <c r="Q22" s="2" t="s">
        <v>435</v>
      </c>
      <c r="R22" s="2" t="s">
        <v>428</v>
      </c>
      <c r="S22" s="2" t="s">
        <v>45</v>
      </c>
      <c r="T22" s="153">
        <v>2.0840000000000001</v>
      </c>
      <c r="U22" s="2" t="s">
        <v>1861</v>
      </c>
      <c r="V22" s="165">
        <v>5.6500000000000002E-2</v>
      </c>
      <c r="W22" s="167">
        <v>4.6330000000000003E-2</v>
      </c>
      <c r="X22" s="4" t="s">
        <v>434</v>
      </c>
      <c r="Y22" s="4" t="s">
        <v>159</v>
      </c>
      <c r="Z22" s="153">
        <v>32500</v>
      </c>
      <c r="AA22" s="153">
        <v>1</v>
      </c>
      <c r="AB22" s="153">
        <v>103.65</v>
      </c>
      <c r="AD22" s="153">
        <v>33.686</v>
      </c>
      <c r="AG22" s="2" t="s">
        <v>37</v>
      </c>
      <c r="AH22" s="167">
        <v>1.3899999999999999E-4</v>
      </c>
      <c r="AI22" s="167">
        <v>2.0538442390378501E-2</v>
      </c>
      <c r="AJ22" s="167">
        <v>3.0714023348720398E-3</v>
      </c>
    </row>
    <row r="23" spans="1:36">
      <c r="A23" s="2" t="s">
        <v>26</v>
      </c>
      <c r="B23" s="2">
        <v>1441</v>
      </c>
      <c r="C23" s="2" t="s">
        <v>1695</v>
      </c>
      <c r="D23" s="2" t="s">
        <v>1696</v>
      </c>
      <c r="E23" s="4" t="s">
        <v>1345</v>
      </c>
      <c r="F23" s="2" t="s">
        <v>1862</v>
      </c>
      <c r="G23" s="2" t="s">
        <v>1863</v>
      </c>
      <c r="H23" s="4" t="s">
        <v>343</v>
      </c>
      <c r="I23" s="2" t="s">
        <v>777</v>
      </c>
      <c r="J23" s="2" t="s">
        <v>31</v>
      </c>
      <c r="K23" s="2" t="s">
        <v>31</v>
      </c>
      <c r="L23" s="2" t="s">
        <v>349</v>
      </c>
      <c r="M23" s="2" t="s">
        <v>49</v>
      </c>
      <c r="N23" s="2" t="s">
        <v>484</v>
      </c>
      <c r="O23" s="2" t="s">
        <v>159</v>
      </c>
      <c r="P23" s="2" t="s">
        <v>1799</v>
      </c>
      <c r="Q23" s="2" t="s">
        <v>128</v>
      </c>
      <c r="R23" s="2" t="s">
        <v>428</v>
      </c>
      <c r="S23" s="2" t="s">
        <v>45</v>
      </c>
      <c r="T23" s="153">
        <v>2.1539999999999999</v>
      </c>
      <c r="U23" s="2" t="s">
        <v>1861</v>
      </c>
      <c r="V23" s="165">
        <v>3.6999999999999998E-2</v>
      </c>
      <c r="W23" s="167">
        <v>2.189E-2</v>
      </c>
      <c r="X23" s="4" t="s">
        <v>434</v>
      </c>
      <c r="Y23" s="4" t="s">
        <v>159</v>
      </c>
      <c r="Z23" s="153">
        <v>33125</v>
      </c>
      <c r="AA23" s="153">
        <v>1</v>
      </c>
      <c r="AB23" s="153">
        <v>116.15</v>
      </c>
      <c r="AD23" s="153">
        <v>38.475000000000001</v>
      </c>
      <c r="AG23" s="2" t="s">
        <v>37</v>
      </c>
      <c r="AH23" s="167">
        <v>8.7999999999999998E-5</v>
      </c>
      <c r="AI23" s="167">
        <v>2.3457943603297102E-2</v>
      </c>
      <c r="AJ23" s="167">
        <v>3.50799643833825E-3</v>
      </c>
    </row>
    <row r="24" spans="1:36">
      <c r="A24" s="2" t="s">
        <v>26</v>
      </c>
      <c r="B24" s="2">
        <v>1441</v>
      </c>
      <c r="C24" s="2" t="s">
        <v>1864</v>
      </c>
      <c r="D24" s="2" t="s">
        <v>1865</v>
      </c>
      <c r="E24" s="4" t="s">
        <v>1345</v>
      </c>
      <c r="F24" s="2" t="s">
        <v>1866</v>
      </c>
      <c r="G24" s="2" t="s">
        <v>1867</v>
      </c>
      <c r="H24" s="2" t="s">
        <v>343</v>
      </c>
      <c r="I24" s="2" t="s">
        <v>777</v>
      </c>
      <c r="J24" s="2" t="s">
        <v>31</v>
      </c>
      <c r="K24" s="2" t="s">
        <v>31</v>
      </c>
      <c r="L24" s="2" t="s">
        <v>349</v>
      </c>
      <c r="M24" s="2" t="s">
        <v>49</v>
      </c>
      <c r="N24" s="2" t="s">
        <v>484</v>
      </c>
      <c r="O24" s="2" t="s">
        <v>159</v>
      </c>
      <c r="P24" s="2" t="s">
        <v>1795</v>
      </c>
      <c r="Q24" s="2" t="s">
        <v>435</v>
      </c>
      <c r="R24" s="2" t="s">
        <v>428</v>
      </c>
      <c r="S24" s="2" t="s">
        <v>45</v>
      </c>
      <c r="T24" s="153">
        <v>2.077</v>
      </c>
      <c r="U24" s="2" t="s">
        <v>1868</v>
      </c>
      <c r="V24" s="165">
        <v>2.0500000000000001E-2</v>
      </c>
      <c r="W24" s="167">
        <v>2.3279999999999999E-2</v>
      </c>
      <c r="X24" s="4" t="s">
        <v>434</v>
      </c>
      <c r="Y24" s="4" t="s">
        <v>159</v>
      </c>
      <c r="Z24" s="153">
        <v>21000</v>
      </c>
      <c r="AA24" s="153">
        <v>1</v>
      </c>
      <c r="AB24" s="153">
        <v>112.41</v>
      </c>
      <c r="AD24" s="153">
        <v>23.606000000000002</v>
      </c>
      <c r="AG24" s="2" t="s">
        <v>37</v>
      </c>
      <c r="AH24" s="167">
        <v>2.6999999999999999E-5</v>
      </c>
      <c r="AI24" s="167">
        <v>1.4392594156711199E-2</v>
      </c>
      <c r="AJ24" s="167">
        <v>2.1523271559530299E-3</v>
      </c>
    </row>
    <row r="25" spans="1:36">
      <c r="A25" s="2" t="s">
        <v>26</v>
      </c>
      <c r="B25" s="2">
        <v>1441</v>
      </c>
      <c r="C25" s="2" t="s">
        <v>1869</v>
      </c>
      <c r="D25" s="2" t="s">
        <v>1870</v>
      </c>
      <c r="E25" s="4" t="s">
        <v>1345</v>
      </c>
      <c r="F25" s="2" t="s">
        <v>1871</v>
      </c>
      <c r="G25" s="2" t="s">
        <v>1872</v>
      </c>
      <c r="H25" s="2" t="s">
        <v>343</v>
      </c>
      <c r="I25" s="2" t="s">
        <v>777</v>
      </c>
      <c r="J25" s="2" t="s">
        <v>31</v>
      </c>
      <c r="K25" s="2" t="s">
        <v>31</v>
      </c>
      <c r="L25" s="2" t="s">
        <v>349</v>
      </c>
      <c r="M25" s="2" t="s">
        <v>49</v>
      </c>
      <c r="N25" s="2" t="s">
        <v>468</v>
      </c>
      <c r="O25" s="2" t="s">
        <v>159</v>
      </c>
      <c r="P25" s="2" t="s">
        <v>127</v>
      </c>
      <c r="Q25" s="2" t="s">
        <v>128</v>
      </c>
      <c r="R25" s="2" t="s">
        <v>428</v>
      </c>
      <c r="S25" s="2" t="s">
        <v>45</v>
      </c>
      <c r="T25" s="153">
        <v>3.4209999999999998</v>
      </c>
      <c r="U25" s="2" t="s">
        <v>1873</v>
      </c>
      <c r="V25" s="165">
        <v>1.2200000000000001E-2</v>
      </c>
      <c r="W25" s="167">
        <v>1.7999999999999999E-2</v>
      </c>
      <c r="X25" s="4" t="s">
        <v>434</v>
      </c>
      <c r="Y25" s="4" t="s">
        <v>159</v>
      </c>
      <c r="Z25" s="153">
        <v>60000</v>
      </c>
      <c r="AA25" s="153">
        <v>1</v>
      </c>
      <c r="AB25" s="153">
        <v>111.35</v>
      </c>
      <c r="AD25" s="153">
        <v>66.81</v>
      </c>
      <c r="AG25" s="2" t="s">
        <v>37</v>
      </c>
      <c r="AH25" s="167">
        <v>2.0000000000000002E-5</v>
      </c>
      <c r="AI25" s="167">
        <v>4.07339296033601E-2</v>
      </c>
      <c r="AJ25" s="167">
        <v>6.0915177555471703E-3</v>
      </c>
    </row>
    <row r="26" spans="1:36">
      <c r="A26" s="2" t="s">
        <v>26</v>
      </c>
      <c r="B26" s="2">
        <v>1441</v>
      </c>
      <c r="C26" s="2" t="s">
        <v>1869</v>
      </c>
      <c r="D26" s="2" t="s">
        <v>1870</v>
      </c>
      <c r="E26" s="4" t="s">
        <v>1345</v>
      </c>
      <c r="F26" s="2" t="s">
        <v>1874</v>
      </c>
      <c r="G26" s="2" t="s">
        <v>1875</v>
      </c>
      <c r="H26" s="2" t="s">
        <v>343</v>
      </c>
      <c r="I26" s="2" t="s">
        <v>777</v>
      </c>
      <c r="J26" s="2" t="s">
        <v>31</v>
      </c>
      <c r="K26" s="2" t="s">
        <v>31</v>
      </c>
      <c r="L26" s="2" t="s">
        <v>349</v>
      </c>
      <c r="M26" s="2" t="s">
        <v>49</v>
      </c>
      <c r="N26" s="2" t="s">
        <v>468</v>
      </c>
      <c r="O26" s="2" t="s">
        <v>159</v>
      </c>
      <c r="P26" s="2" t="s">
        <v>127</v>
      </c>
      <c r="Q26" s="2" t="s">
        <v>128</v>
      </c>
      <c r="R26" s="2" t="s">
        <v>428</v>
      </c>
      <c r="S26" s="2" t="s">
        <v>45</v>
      </c>
      <c r="T26" s="153">
        <v>4.3949999999999996</v>
      </c>
      <c r="U26" s="2" t="s">
        <v>1876</v>
      </c>
      <c r="V26" s="165">
        <v>2.06E-2</v>
      </c>
      <c r="W26" s="167">
        <v>1.9730000000000001E-2</v>
      </c>
      <c r="X26" s="4" t="s">
        <v>434</v>
      </c>
      <c r="Y26" s="4" t="s">
        <v>159</v>
      </c>
      <c r="Z26" s="153">
        <v>30000</v>
      </c>
      <c r="AA26" s="153">
        <v>1</v>
      </c>
      <c r="AB26" s="153">
        <v>103.41</v>
      </c>
      <c r="AD26" s="153">
        <v>31.023</v>
      </c>
      <c r="AG26" s="2" t="s">
        <v>37</v>
      </c>
      <c r="AH26" s="167">
        <v>1.5E-5</v>
      </c>
      <c r="AI26" s="167">
        <v>1.89146639437964E-2</v>
      </c>
      <c r="AJ26" s="167">
        <v>2.8285758917877498E-3</v>
      </c>
    </row>
    <row r="27" spans="1:36">
      <c r="A27" s="2" t="s">
        <v>26</v>
      </c>
      <c r="B27" s="2">
        <v>1441</v>
      </c>
      <c r="C27" s="2" t="s">
        <v>1869</v>
      </c>
      <c r="D27" s="2" t="s">
        <v>1870</v>
      </c>
      <c r="E27" s="4" t="s">
        <v>1345</v>
      </c>
      <c r="F27" s="2" t="s">
        <v>1877</v>
      </c>
      <c r="G27" s="2" t="s">
        <v>1878</v>
      </c>
      <c r="H27" s="2" t="s">
        <v>343</v>
      </c>
      <c r="I27" s="2" t="s">
        <v>777</v>
      </c>
      <c r="J27" s="2" t="s">
        <v>31</v>
      </c>
      <c r="K27" s="2" t="s">
        <v>31</v>
      </c>
      <c r="L27" s="2" t="s">
        <v>349</v>
      </c>
      <c r="M27" s="2" t="s">
        <v>49</v>
      </c>
      <c r="N27" s="2" t="s">
        <v>468</v>
      </c>
      <c r="O27" s="2" t="s">
        <v>159</v>
      </c>
      <c r="P27" s="2" t="s">
        <v>1201</v>
      </c>
      <c r="Q27" s="2" t="s">
        <v>435</v>
      </c>
      <c r="R27" s="2" t="s">
        <v>428</v>
      </c>
      <c r="S27" s="2" t="s">
        <v>45</v>
      </c>
      <c r="T27" s="153">
        <v>4.93</v>
      </c>
      <c r="U27" s="2" t="s">
        <v>1879</v>
      </c>
      <c r="V27" s="165">
        <v>1.9900000000000001E-2</v>
      </c>
      <c r="W27" s="167">
        <v>1.9460000000000002E-2</v>
      </c>
      <c r="X27" s="4" t="s">
        <v>434</v>
      </c>
      <c r="Y27" s="4" t="s">
        <v>159</v>
      </c>
      <c r="Z27" s="153">
        <v>30000</v>
      </c>
      <c r="AA27" s="153">
        <v>1</v>
      </c>
      <c r="AB27" s="153">
        <v>100.72</v>
      </c>
      <c r="AD27" s="153">
        <v>30.216000000000001</v>
      </c>
      <c r="AG27" s="2" t="s">
        <v>37</v>
      </c>
      <c r="AH27" s="167">
        <v>1.1E-5</v>
      </c>
      <c r="AI27" s="167">
        <v>1.8422637582624302E-2</v>
      </c>
      <c r="AJ27" s="167">
        <v>2.7549962655532599E-3</v>
      </c>
    </row>
    <row r="28" spans="1:36">
      <c r="A28" s="2" t="s">
        <v>26</v>
      </c>
      <c r="B28" s="2">
        <v>1441</v>
      </c>
      <c r="C28" s="2" t="s">
        <v>1880</v>
      </c>
      <c r="D28" s="2" t="s">
        <v>1881</v>
      </c>
      <c r="E28" s="4" t="s">
        <v>1345</v>
      </c>
      <c r="F28" s="2" t="s">
        <v>1882</v>
      </c>
      <c r="G28" s="2" t="s">
        <v>1883</v>
      </c>
      <c r="H28" s="2" t="s">
        <v>343</v>
      </c>
      <c r="I28" s="2" t="s">
        <v>777</v>
      </c>
      <c r="J28" s="2" t="s">
        <v>31</v>
      </c>
      <c r="K28" s="2" t="s">
        <v>31</v>
      </c>
      <c r="L28" s="2" t="s">
        <v>349</v>
      </c>
      <c r="M28" s="2" t="s">
        <v>49</v>
      </c>
      <c r="N28" s="2" t="s">
        <v>463</v>
      </c>
      <c r="O28" s="2" t="s">
        <v>159</v>
      </c>
      <c r="P28" s="2" t="s">
        <v>33</v>
      </c>
      <c r="Q28" s="2" t="s">
        <v>128</v>
      </c>
      <c r="R28" s="2" t="s">
        <v>428</v>
      </c>
      <c r="S28" s="2" t="s">
        <v>45</v>
      </c>
      <c r="T28" s="153">
        <v>2.129</v>
      </c>
      <c r="U28" s="2" t="s">
        <v>111</v>
      </c>
      <c r="V28" s="165">
        <v>3.5400000000000001E-2</v>
      </c>
      <c r="W28" s="167">
        <v>3.2099999999999997E-2</v>
      </c>
      <c r="X28" s="4" t="s">
        <v>434</v>
      </c>
      <c r="Y28" s="4" t="s">
        <v>159</v>
      </c>
      <c r="Z28" s="153">
        <v>22000</v>
      </c>
      <c r="AA28" s="153">
        <v>1</v>
      </c>
      <c r="AB28" s="153">
        <v>104.17</v>
      </c>
      <c r="AD28" s="153">
        <v>22.917000000000002</v>
      </c>
      <c r="AG28" s="2" t="s">
        <v>37</v>
      </c>
      <c r="AH28" s="167">
        <v>3.1999999999999999E-5</v>
      </c>
      <c r="AI28" s="167">
        <v>1.39726950799587E-2</v>
      </c>
      <c r="AJ28" s="167">
        <v>2.0895337376287499E-3</v>
      </c>
    </row>
    <row r="29" spans="1:36">
      <c r="A29" s="2" t="s">
        <v>26</v>
      </c>
      <c r="B29" s="2">
        <v>1441</v>
      </c>
      <c r="C29" s="2" t="s">
        <v>1577</v>
      </c>
      <c r="D29" s="2" t="s">
        <v>1578</v>
      </c>
      <c r="E29" s="4" t="s">
        <v>1345</v>
      </c>
      <c r="F29" s="2" t="s">
        <v>1884</v>
      </c>
      <c r="G29" s="2" t="s">
        <v>1885</v>
      </c>
      <c r="H29" s="2" t="s">
        <v>343</v>
      </c>
      <c r="I29" s="2" t="s">
        <v>777</v>
      </c>
      <c r="J29" s="2" t="s">
        <v>31</v>
      </c>
      <c r="K29" s="2" t="s">
        <v>31</v>
      </c>
      <c r="L29" s="2" t="s">
        <v>349</v>
      </c>
      <c r="M29" s="2" t="s">
        <v>49</v>
      </c>
      <c r="N29" s="2" t="s">
        <v>484</v>
      </c>
      <c r="O29" s="2" t="s">
        <v>159</v>
      </c>
      <c r="P29" s="2" t="s">
        <v>1779</v>
      </c>
      <c r="Q29" s="2" t="s">
        <v>435</v>
      </c>
      <c r="R29" s="2" t="s">
        <v>428</v>
      </c>
      <c r="S29" s="2" t="s">
        <v>45</v>
      </c>
      <c r="T29" s="153">
        <v>3.9940000000000002</v>
      </c>
      <c r="U29" s="2" t="s">
        <v>1800</v>
      </c>
      <c r="V29" s="165">
        <v>6.4999999999999997E-3</v>
      </c>
      <c r="W29" s="167">
        <v>2.2290000000000001E-2</v>
      </c>
      <c r="X29" s="4" t="s">
        <v>434</v>
      </c>
      <c r="Y29" s="4" t="s">
        <v>159</v>
      </c>
      <c r="Z29" s="153">
        <v>19574.46</v>
      </c>
      <c r="AA29" s="153">
        <v>1</v>
      </c>
      <c r="AB29" s="153">
        <v>104.53</v>
      </c>
      <c r="AD29" s="153">
        <v>20.460999999999999</v>
      </c>
      <c r="AG29" s="2" t="s">
        <v>37</v>
      </c>
      <c r="AH29" s="167">
        <v>3.8999999999999999E-5</v>
      </c>
      <c r="AI29" s="167">
        <v>1.24751442818643E-2</v>
      </c>
      <c r="AJ29" s="167">
        <v>1.86558389126594E-3</v>
      </c>
    </row>
    <row r="30" spans="1:36">
      <c r="A30" s="2" t="s">
        <v>26</v>
      </c>
      <c r="B30" s="2">
        <v>1441</v>
      </c>
      <c r="C30" s="2" t="s">
        <v>1577</v>
      </c>
      <c r="D30" s="2" t="s">
        <v>1578</v>
      </c>
      <c r="E30" s="4" t="s">
        <v>1345</v>
      </c>
      <c r="F30" s="2" t="s">
        <v>1886</v>
      </c>
      <c r="G30" s="2" t="s">
        <v>1887</v>
      </c>
      <c r="H30" s="2" t="s">
        <v>343</v>
      </c>
      <c r="I30" s="2" t="s">
        <v>777</v>
      </c>
      <c r="J30" s="2" t="s">
        <v>31</v>
      </c>
      <c r="K30" s="2" t="s">
        <v>31</v>
      </c>
      <c r="L30" s="2" t="s">
        <v>349</v>
      </c>
      <c r="M30" s="2" t="s">
        <v>49</v>
      </c>
      <c r="N30" s="2" t="s">
        <v>484</v>
      </c>
      <c r="O30" s="2" t="s">
        <v>159</v>
      </c>
      <c r="P30" s="2" t="s">
        <v>1779</v>
      </c>
      <c r="Q30" s="2" t="s">
        <v>435</v>
      </c>
      <c r="R30" s="2" t="s">
        <v>428</v>
      </c>
      <c r="S30" s="2" t="s">
        <v>45</v>
      </c>
      <c r="T30" s="153">
        <v>6.45</v>
      </c>
      <c r="U30" s="2" t="s">
        <v>1888</v>
      </c>
      <c r="V30" s="165">
        <v>3.61E-2</v>
      </c>
      <c r="W30" s="167">
        <v>2.9960000000000001E-2</v>
      </c>
      <c r="X30" s="4" t="s">
        <v>434</v>
      </c>
      <c r="Y30" s="4" t="s">
        <v>159</v>
      </c>
      <c r="Z30" s="153">
        <v>9900</v>
      </c>
      <c r="AA30" s="153">
        <v>1</v>
      </c>
      <c r="AB30" s="153">
        <v>107.22</v>
      </c>
      <c r="AD30" s="153">
        <v>10.615</v>
      </c>
      <c r="AG30" s="2" t="s">
        <v>37</v>
      </c>
      <c r="AH30" s="167">
        <v>2.1999999999999999E-5</v>
      </c>
      <c r="AI30" s="167">
        <v>6.47181112520812E-3</v>
      </c>
      <c r="AJ30" s="167">
        <v>9.6782099747383605E-4</v>
      </c>
    </row>
    <row r="31" spans="1:36">
      <c r="A31" s="2" t="s">
        <v>26</v>
      </c>
      <c r="B31" s="2">
        <v>1441</v>
      </c>
      <c r="C31" s="2" t="s">
        <v>1577</v>
      </c>
      <c r="D31" s="2" t="s">
        <v>1578</v>
      </c>
      <c r="E31" s="4" t="s">
        <v>1345</v>
      </c>
      <c r="F31" s="2" t="s">
        <v>1889</v>
      </c>
      <c r="G31" s="2" t="s">
        <v>1890</v>
      </c>
      <c r="H31" s="2" t="s">
        <v>343</v>
      </c>
      <c r="I31" s="2" t="s">
        <v>777</v>
      </c>
      <c r="J31" s="2" t="s">
        <v>31</v>
      </c>
      <c r="K31" s="2" t="s">
        <v>31</v>
      </c>
      <c r="L31" s="2" t="s">
        <v>349</v>
      </c>
      <c r="M31" s="2" t="s">
        <v>49</v>
      </c>
      <c r="N31" s="2" t="s">
        <v>484</v>
      </c>
      <c r="O31" s="2" t="s">
        <v>159</v>
      </c>
      <c r="P31" s="2" t="s">
        <v>1779</v>
      </c>
      <c r="Q31" s="2" t="s">
        <v>435</v>
      </c>
      <c r="R31" s="2" t="s">
        <v>428</v>
      </c>
      <c r="S31" s="2" t="s">
        <v>45</v>
      </c>
      <c r="T31" s="153">
        <v>1.24</v>
      </c>
      <c r="U31" s="2" t="s">
        <v>1891</v>
      </c>
      <c r="V31" s="165">
        <v>2.3E-2</v>
      </c>
      <c r="W31" s="167">
        <v>1.95E-2</v>
      </c>
      <c r="X31" s="4" t="s">
        <v>434</v>
      </c>
      <c r="Y31" s="4" t="s">
        <v>159</v>
      </c>
      <c r="Z31" s="153">
        <v>53157.3</v>
      </c>
      <c r="AA31" s="153">
        <v>1</v>
      </c>
      <c r="AB31" s="153">
        <v>114.63</v>
      </c>
      <c r="AD31" s="153">
        <v>60.933999999999997</v>
      </c>
      <c r="AG31" s="2" t="s">
        <v>37</v>
      </c>
      <c r="AH31" s="167">
        <v>5.5000000000000002E-5</v>
      </c>
      <c r="AI31" s="167">
        <v>3.7151473467606798E-2</v>
      </c>
      <c r="AJ31" s="167">
        <v>5.5557826724873197E-3</v>
      </c>
    </row>
    <row r="32" spans="1:36">
      <c r="A32" s="2" t="s">
        <v>26</v>
      </c>
      <c r="B32" s="2">
        <v>1441</v>
      </c>
      <c r="C32" s="2" t="s">
        <v>1577</v>
      </c>
      <c r="D32" s="2" t="s">
        <v>1578</v>
      </c>
      <c r="E32" s="4" t="s">
        <v>1345</v>
      </c>
      <c r="F32" s="2" t="s">
        <v>1892</v>
      </c>
      <c r="G32" s="2" t="s">
        <v>1893</v>
      </c>
      <c r="H32" s="2" t="s">
        <v>343</v>
      </c>
      <c r="I32" s="2" t="s">
        <v>777</v>
      </c>
      <c r="J32" s="2" t="s">
        <v>31</v>
      </c>
      <c r="K32" s="2" t="s">
        <v>31</v>
      </c>
      <c r="L32" s="2" t="s">
        <v>349</v>
      </c>
      <c r="M32" s="2" t="s">
        <v>49</v>
      </c>
      <c r="N32" s="2" t="s">
        <v>484</v>
      </c>
      <c r="O32" s="2" t="s">
        <v>159</v>
      </c>
      <c r="P32" s="2" t="s">
        <v>1779</v>
      </c>
      <c r="Q32" s="2" t="s">
        <v>435</v>
      </c>
      <c r="R32" s="2" t="s">
        <v>428</v>
      </c>
      <c r="S32" s="2" t="s">
        <v>45</v>
      </c>
      <c r="T32" s="153">
        <v>5.657</v>
      </c>
      <c r="U32" s="2" t="s">
        <v>1894</v>
      </c>
      <c r="V32" s="165">
        <v>2.5000000000000001E-3</v>
      </c>
      <c r="W32" s="167">
        <v>2.648E-2</v>
      </c>
      <c r="X32" s="4" t="s">
        <v>434</v>
      </c>
      <c r="Y32" s="4" t="s">
        <v>159</v>
      </c>
      <c r="Z32" s="153">
        <v>21426.3</v>
      </c>
      <c r="AA32" s="153">
        <v>1</v>
      </c>
      <c r="AB32" s="153">
        <v>95.66</v>
      </c>
      <c r="AD32" s="153">
        <v>20.495999999999999</v>
      </c>
      <c r="AG32" s="2" t="s">
        <v>37</v>
      </c>
      <c r="AH32" s="167">
        <v>1.7E-5</v>
      </c>
      <c r="AI32" s="167">
        <v>1.2496615130670999E-2</v>
      </c>
      <c r="AJ32" s="167">
        <v>1.8687947294542999E-3</v>
      </c>
    </row>
    <row r="33" spans="1:36">
      <c r="A33" s="2" t="s">
        <v>26</v>
      </c>
      <c r="B33" s="2">
        <v>1441</v>
      </c>
      <c r="C33" s="2" t="s">
        <v>1594</v>
      </c>
      <c r="D33" s="2" t="s">
        <v>1595</v>
      </c>
      <c r="E33" s="4" t="s">
        <v>1345</v>
      </c>
      <c r="F33" s="2" t="s">
        <v>1895</v>
      </c>
      <c r="G33" s="2" t="s">
        <v>1896</v>
      </c>
      <c r="H33" s="2" t="s">
        <v>343</v>
      </c>
      <c r="I33" s="2" t="s">
        <v>777</v>
      </c>
      <c r="J33" s="2" t="s">
        <v>31</v>
      </c>
      <c r="K33" s="2" t="s">
        <v>31</v>
      </c>
      <c r="L33" s="2" t="s">
        <v>349</v>
      </c>
      <c r="M33" s="2" t="s">
        <v>49</v>
      </c>
      <c r="N33" s="2" t="s">
        <v>484</v>
      </c>
      <c r="O33" s="2" t="s">
        <v>159</v>
      </c>
      <c r="P33" s="2" t="s">
        <v>1840</v>
      </c>
      <c r="Q33" s="2" t="s">
        <v>128</v>
      </c>
      <c r="R33" s="2" t="s">
        <v>428</v>
      </c>
      <c r="S33" s="2" t="s">
        <v>45</v>
      </c>
      <c r="T33" s="153">
        <v>2.8639999999999999</v>
      </c>
      <c r="U33" s="2" t="s">
        <v>1861</v>
      </c>
      <c r="V33" s="165">
        <v>1.77E-2</v>
      </c>
      <c r="W33" s="167">
        <v>2.0539999999999999E-2</v>
      </c>
      <c r="X33" s="4" t="s">
        <v>434</v>
      </c>
      <c r="Y33" s="4" t="s">
        <v>159</v>
      </c>
      <c r="Z33" s="153">
        <v>85000</v>
      </c>
      <c r="AA33" s="153">
        <v>1</v>
      </c>
      <c r="AB33" s="153">
        <v>111.11</v>
      </c>
      <c r="AD33" s="153">
        <v>94.444000000000003</v>
      </c>
      <c r="AG33" s="2" t="s">
        <v>37</v>
      </c>
      <c r="AH33" s="167">
        <v>3.1000000000000001E-5</v>
      </c>
      <c r="AI33" s="167">
        <v>5.7582021860424097E-2</v>
      </c>
      <c r="AJ33" s="167">
        <v>8.61105009947641E-3</v>
      </c>
    </row>
    <row r="34" spans="1:36">
      <c r="A34" s="2" t="s">
        <v>26</v>
      </c>
      <c r="B34" s="2">
        <v>1441</v>
      </c>
      <c r="C34" s="2" t="s">
        <v>1598</v>
      </c>
      <c r="D34" s="2" t="s">
        <v>1599</v>
      </c>
      <c r="E34" s="4" t="s">
        <v>1345</v>
      </c>
      <c r="F34" s="2" t="s">
        <v>1897</v>
      </c>
      <c r="G34" s="2" t="s">
        <v>1898</v>
      </c>
      <c r="H34" s="2" t="s">
        <v>343</v>
      </c>
      <c r="I34" s="2" t="s">
        <v>777</v>
      </c>
      <c r="J34" s="2" t="s">
        <v>31</v>
      </c>
      <c r="K34" s="2" t="s">
        <v>31</v>
      </c>
      <c r="L34" s="2" t="s">
        <v>349</v>
      </c>
      <c r="M34" s="2" t="s">
        <v>49</v>
      </c>
      <c r="N34" s="2" t="s">
        <v>468</v>
      </c>
      <c r="O34" s="2" t="s">
        <v>159</v>
      </c>
      <c r="P34" s="2" t="s">
        <v>127</v>
      </c>
      <c r="Q34" s="2" t="s">
        <v>128</v>
      </c>
      <c r="R34" s="2" t="s">
        <v>428</v>
      </c>
      <c r="S34" s="2" t="s">
        <v>45</v>
      </c>
      <c r="T34" s="153">
        <v>4.0890000000000004</v>
      </c>
      <c r="U34" s="2" t="s">
        <v>1899</v>
      </c>
      <c r="V34" s="165">
        <v>1E-3</v>
      </c>
      <c r="W34" s="167">
        <v>1.9650000000000001E-2</v>
      </c>
      <c r="X34" s="4" t="s">
        <v>434</v>
      </c>
      <c r="Y34" s="4" t="s">
        <v>159</v>
      </c>
      <c r="Z34" s="153">
        <v>28000</v>
      </c>
      <c r="AA34" s="153">
        <v>1</v>
      </c>
      <c r="AB34" s="153">
        <v>101.03</v>
      </c>
      <c r="AD34" s="153">
        <v>28.288</v>
      </c>
      <c r="AG34" s="2" t="s">
        <v>37</v>
      </c>
      <c r="AH34" s="167">
        <v>1.1E-5</v>
      </c>
      <c r="AI34" s="167">
        <v>1.7247383538268098E-2</v>
      </c>
      <c r="AJ34" s="167">
        <v>2.5792439885648898E-3</v>
      </c>
    </row>
    <row r="35" spans="1:36">
      <c r="A35" s="2" t="s">
        <v>26</v>
      </c>
      <c r="B35" s="2">
        <v>1441</v>
      </c>
      <c r="C35" s="2" t="s">
        <v>1598</v>
      </c>
      <c r="D35" s="2" t="s">
        <v>1599</v>
      </c>
      <c r="E35" s="4" t="s">
        <v>1345</v>
      </c>
      <c r="F35" s="2" t="s">
        <v>1900</v>
      </c>
      <c r="G35" s="2" t="s">
        <v>1901</v>
      </c>
      <c r="H35" s="2" t="s">
        <v>343</v>
      </c>
      <c r="I35" s="2" t="s">
        <v>777</v>
      </c>
      <c r="J35" s="2" t="s">
        <v>31</v>
      </c>
      <c r="K35" s="2" t="s">
        <v>31</v>
      </c>
      <c r="L35" s="2" t="s">
        <v>349</v>
      </c>
      <c r="M35" s="2" t="s">
        <v>49</v>
      </c>
      <c r="N35" s="2" t="s">
        <v>468</v>
      </c>
      <c r="O35" s="2" t="s">
        <v>159</v>
      </c>
      <c r="P35" s="2" t="s">
        <v>127</v>
      </c>
      <c r="Q35" s="2" t="s">
        <v>128</v>
      </c>
      <c r="R35" s="2" t="s">
        <v>428</v>
      </c>
      <c r="S35" s="2" t="s">
        <v>45</v>
      </c>
      <c r="T35" s="153">
        <v>4.4530000000000003</v>
      </c>
      <c r="U35" s="2" t="s">
        <v>1902</v>
      </c>
      <c r="V35" s="165">
        <v>1.3899999999999999E-2</v>
      </c>
      <c r="W35" s="167">
        <v>1.992E-2</v>
      </c>
      <c r="X35" s="4" t="s">
        <v>434</v>
      </c>
      <c r="Y35" s="4" t="s">
        <v>159</v>
      </c>
      <c r="Z35" s="153">
        <v>31500</v>
      </c>
      <c r="AA35" s="153">
        <v>1</v>
      </c>
      <c r="AB35" s="153">
        <v>101.5</v>
      </c>
      <c r="AD35" s="153">
        <v>31.972999999999999</v>
      </c>
      <c r="AG35" s="2" t="s">
        <v>37</v>
      </c>
      <c r="AH35" s="167">
        <v>1.7E-5</v>
      </c>
      <c r="AI35" s="167">
        <v>1.94935722832425E-2</v>
      </c>
      <c r="AJ35" s="167">
        <v>2.9151482029521301E-3</v>
      </c>
    </row>
    <row r="36" spans="1:36">
      <c r="A36" s="2" t="s">
        <v>26</v>
      </c>
      <c r="B36" s="2">
        <v>1441</v>
      </c>
      <c r="C36" s="2" t="s">
        <v>1598</v>
      </c>
      <c r="D36" s="2" t="s">
        <v>1599</v>
      </c>
      <c r="E36" s="4" t="s">
        <v>1345</v>
      </c>
      <c r="F36" s="2" t="s">
        <v>1903</v>
      </c>
      <c r="G36" s="2" t="s">
        <v>1904</v>
      </c>
      <c r="H36" s="2" t="s">
        <v>343</v>
      </c>
      <c r="I36" s="2" t="s">
        <v>777</v>
      </c>
      <c r="J36" s="2" t="s">
        <v>31</v>
      </c>
      <c r="K36" s="2" t="s">
        <v>31</v>
      </c>
      <c r="L36" s="2" t="s">
        <v>349</v>
      </c>
      <c r="M36" s="2" t="s">
        <v>49</v>
      </c>
      <c r="N36" s="2" t="s">
        <v>468</v>
      </c>
      <c r="O36" s="2" t="s">
        <v>159</v>
      </c>
      <c r="P36" s="2" t="s">
        <v>127</v>
      </c>
      <c r="Q36" s="2" t="s">
        <v>128</v>
      </c>
      <c r="R36" s="2" t="s">
        <v>428</v>
      </c>
      <c r="S36" s="2" t="s">
        <v>45</v>
      </c>
      <c r="T36" s="153">
        <v>2.04</v>
      </c>
      <c r="U36" s="2" t="s">
        <v>1905</v>
      </c>
      <c r="V36" s="165">
        <v>6.0000000000000001E-3</v>
      </c>
      <c r="W36" s="167">
        <v>1.7319999999999999E-2</v>
      </c>
      <c r="X36" s="4" t="s">
        <v>434</v>
      </c>
      <c r="Y36" s="4" t="s">
        <v>159</v>
      </c>
      <c r="Z36" s="153">
        <v>83055.56</v>
      </c>
      <c r="AA36" s="153">
        <v>1</v>
      </c>
      <c r="AB36" s="153">
        <v>110.8</v>
      </c>
      <c r="AD36" s="153">
        <v>92.025999999999996</v>
      </c>
      <c r="AG36" s="2" t="s">
        <v>37</v>
      </c>
      <c r="AH36" s="167">
        <v>7.4999999999999993E-5</v>
      </c>
      <c r="AI36" s="167">
        <v>5.6107808745727801E-2</v>
      </c>
      <c r="AJ36" s="167">
        <v>8.3905902653509893E-3</v>
      </c>
    </row>
    <row r="37" spans="1:36">
      <c r="A37" s="2" t="s">
        <v>26</v>
      </c>
      <c r="B37" s="2">
        <v>1441</v>
      </c>
      <c r="C37" s="2" t="s">
        <v>1906</v>
      </c>
      <c r="D37" s="2" t="s">
        <v>1907</v>
      </c>
      <c r="E37" s="4" t="s">
        <v>1345</v>
      </c>
      <c r="F37" s="2" t="s">
        <v>1908</v>
      </c>
      <c r="G37" s="2" t="s">
        <v>1909</v>
      </c>
      <c r="H37" s="2" t="s">
        <v>343</v>
      </c>
      <c r="I37" s="2" t="s">
        <v>990</v>
      </c>
      <c r="J37" s="2" t="s">
        <v>31</v>
      </c>
      <c r="K37" s="2" t="s">
        <v>31</v>
      </c>
      <c r="L37" s="2" t="s">
        <v>349</v>
      </c>
      <c r="M37" s="2" t="s">
        <v>49</v>
      </c>
      <c r="N37" s="2" t="s">
        <v>460</v>
      </c>
      <c r="O37" s="2" t="s">
        <v>159</v>
      </c>
      <c r="P37" s="2" t="s">
        <v>1785</v>
      </c>
      <c r="Q37" s="2" t="s">
        <v>435</v>
      </c>
      <c r="R37" s="2" t="s">
        <v>428</v>
      </c>
      <c r="S37" s="2" t="s">
        <v>45</v>
      </c>
      <c r="T37" s="153">
        <v>0.16400000000000001</v>
      </c>
      <c r="U37" s="2" t="s">
        <v>1827</v>
      </c>
      <c r="V37" s="165">
        <v>0.1065</v>
      </c>
      <c r="W37" s="167">
        <v>5.5160000000000001E-2</v>
      </c>
      <c r="X37" s="4" t="s">
        <v>434</v>
      </c>
      <c r="Y37" s="4" t="s">
        <v>159</v>
      </c>
      <c r="Z37" s="153">
        <v>60000</v>
      </c>
      <c r="AA37" s="153">
        <v>1</v>
      </c>
      <c r="AB37" s="153">
        <v>100.66</v>
      </c>
      <c r="AD37" s="153">
        <v>60.396000000000001</v>
      </c>
      <c r="AG37" s="2" t="s">
        <v>37</v>
      </c>
      <c r="AH37" s="167">
        <v>8.6000000000000003E-5</v>
      </c>
      <c r="AI37" s="167">
        <v>3.6823326033895099E-2</v>
      </c>
      <c r="AJ37" s="167">
        <v>5.5067101685979097E-3</v>
      </c>
    </row>
    <row r="38" spans="1:36">
      <c r="A38" s="2" t="s">
        <v>26</v>
      </c>
      <c r="B38" s="2">
        <v>1441</v>
      </c>
      <c r="C38" s="2" t="s">
        <v>1910</v>
      </c>
      <c r="D38" s="2" t="s">
        <v>1911</v>
      </c>
      <c r="E38" s="4" t="s">
        <v>1345</v>
      </c>
      <c r="F38" s="2" t="s">
        <v>1912</v>
      </c>
      <c r="G38" s="2" t="s">
        <v>1913</v>
      </c>
      <c r="H38" s="2" t="s">
        <v>343</v>
      </c>
      <c r="I38" s="2" t="s">
        <v>990</v>
      </c>
      <c r="J38" s="2" t="s">
        <v>31</v>
      </c>
      <c r="K38" s="2" t="s">
        <v>31</v>
      </c>
      <c r="L38" s="2" t="s">
        <v>349</v>
      </c>
      <c r="M38" s="2" t="s">
        <v>49</v>
      </c>
      <c r="N38" s="2" t="s">
        <v>465</v>
      </c>
      <c r="O38" s="2" t="s">
        <v>159</v>
      </c>
      <c r="P38" s="2" t="s">
        <v>1789</v>
      </c>
      <c r="Q38" s="2" t="s">
        <v>435</v>
      </c>
      <c r="R38" s="2" t="s">
        <v>428</v>
      </c>
      <c r="S38" s="2" t="s">
        <v>45</v>
      </c>
      <c r="T38" s="153">
        <v>5.4459999999999997</v>
      </c>
      <c r="U38" s="2" t="s">
        <v>1914</v>
      </c>
      <c r="V38" s="165">
        <v>4.6899999999999997E-2</v>
      </c>
      <c r="W38" s="167">
        <v>4.9889999999999997E-2</v>
      </c>
      <c r="X38" s="4" t="s">
        <v>434</v>
      </c>
      <c r="Y38" s="4" t="s">
        <v>159</v>
      </c>
      <c r="Z38" s="153">
        <v>22000</v>
      </c>
      <c r="AA38" s="153">
        <v>1</v>
      </c>
      <c r="AB38" s="153">
        <v>98.9</v>
      </c>
      <c r="AD38" s="153">
        <v>21.757999999999999</v>
      </c>
      <c r="AG38" s="2" t="s">
        <v>37</v>
      </c>
      <c r="AH38" s="167">
        <v>0</v>
      </c>
      <c r="AI38" s="167">
        <v>1.32658111107605E-2</v>
      </c>
      <c r="AJ38" s="167">
        <v>1.9838234295044901E-3</v>
      </c>
    </row>
    <row r="39" spans="1:36">
      <c r="A39" s="2" t="s">
        <v>26</v>
      </c>
      <c r="B39" s="2">
        <v>1441</v>
      </c>
      <c r="C39" s="2" t="s">
        <v>1915</v>
      </c>
      <c r="D39" s="2" t="s">
        <v>1916</v>
      </c>
      <c r="E39" s="4" t="s">
        <v>1345</v>
      </c>
      <c r="F39" s="2" t="s">
        <v>1917</v>
      </c>
      <c r="G39" s="2" t="s">
        <v>1918</v>
      </c>
      <c r="H39" s="2" t="s">
        <v>343</v>
      </c>
      <c r="I39" s="2" t="s">
        <v>990</v>
      </c>
      <c r="J39" s="2" t="s">
        <v>31</v>
      </c>
      <c r="K39" s="2" t="s">
        <v>31</v>
      </c>
      <c r="L39" s="2" t="s">
        <v>349</v>
      </c>
      <c r="M39" s="2" t="s">
        <v>49</v>
      </c>
      <c r="N39" s="2" t="s">
        <v>496</v>
      </c>
      <c r="O39" s="2" t="s">
        <v>159</v>
      </c>
      <c r="P39" s="2" t="s">
        <v>1779</v>
      </c>
      <c r="Q39" s="2" t="s">
        <v>435</v>
      </c>
      <c r="R39" s="2" t="s">
        <v>428</v>
      </c>
      <c r="S39" s="2" t="s">
        <v>45</v>
      </c>
      <c r="T39" s="153">
        <v>2.7639999999999998</v>
      </c>
      <c r="U39" s="2" t="s">
        <v>1919</v>
      </c>
      <c r="V39" s="165">
        <v>5.0900000000000001E-2</v>
      </c>
      <c r="W39" s="167">
        <v>4.6390000000000001E-2</v>
      </c>
      <c r="X39" s="4" t="s">
        <v>434</v>
      </c>
      <c r="Y39" s="4" t="s">
        <v>159</v>
      </c>
      <c r="Z39" s="153">
        <v>30000</v>
      </c>
      <c r="AA39" s="153">
        <v>1</v>
      </c>
      <c r="AB39" s="153">
        <v>103.64</v>
      </c>
      <c r="AD39" s="153">
        <v>31.091999999999999</v>
      </c>
      <c r="AG39" s="2" t="s">
        <v>37</v>
      </c>
      <c r="AH39" s="167">
        <v>4.1999999999999998E-5</v>
      </c>
      <c r="AI39" s="167">
        <v>1.89567331122238E-2</v>
      </c>
      <c r="AJ39" s="167">
        <v>2.8348670865959102E-3</v>
      </c>
    </row>
    <row r="40" spans="1:36">
      <c r="A40" s="2" t="s">
        <v>26</v>
      </c>
      <c r="B40" s="2">
        <v>1441</v>
      </c>
      <c r="C40" s="2" t="s">
        <v>1920</v>
      </c>
      <c r="D40" s="2" t="s">
        <v>1921</v>
      </c>
      <c r="E40" s="4" t="s">
        <v>1345</v>
      </c>
      <c r="F40" s="2" t="s">
        <v>1922</v>
      </c>
      <c r="G40" s="2" t="s">
        <v>1923</v>
      </c>
      <c r="H40" s="2" t="s">
        <v>343</v>
      </c>
      <c r="I40" s="2" t="s">
        <v>990</v>
      </c>
      <c r="J40" s="2" t="s">
        <v>31</v>
      </c>
      <c r="K40" s="2" t="s">
        <v>31</v>
      </c>
      <c r="L40" s="2" t="s">
        <v>349</v>
      </c>
      <c r="M40" s="2" t="s">
        <v>49</v>
      </c>
      <c r="N40" s="2" t="s">
        <v>460</v>
      </c>
      <c r="O40" s="2" t="s">
        <v>159</v>
      </c>
      <c r="P40" s="2" t="s">
        <v>1810</v>
      </c>
      <c r="Q40" s="2" t="s">
        <v>128</v>
      </c>
      <c r="R40" s="2" t="s">
        <v>428</v>
      </c>
      <c r="S40" s="2" t="s">
        <v>45</v>
      </c>
      <c r="T40" s="153">
        <v>4.556</v>
      </c>
      <c r="U40" s="2" t="s">
        <v>1924</v>
      </c>
      <c r="V40" s="165">
        <v>6.7699999999999996E-2</v>
      </c>
      <c r="W40" s="167">
        <v>5.8840000000000003E-2</v>
      </c>
      <c r="X40" s="4" t="s">
        <v>434</v>
      </c>
      <c r="Y40" s="4" t="s">
        <v>159</v>
      </c>
      <c r="Z40" s="153">
        <v>20000</v>
      </c>
      <c r="AA40" s="153">
        <v>1</v>
      </c>
      <c r="AB40" s="153">
        <v>108.96</v>
      </c>
      <c r="AD40" s="153">
        <v>21.792000000000002</v>
      </c>
      <c r="AG40" s="2" t="s">
        <v>37</v>
      </c>
      <c r="AH40" s="167">
        <v>0</v>
      </c>
      <c r="AI40" s="167">
        <v>1.32865408459276E-2</v>
      </c>
      <c r="AJ40" s="167">
        <v>1.9869234385404E-3</v>
      </c>
    </row>
    <row r="41" spans="1:36">
      <c r="A41" s="2" t="s">
        <v>26</v>
      </c>
      <c r="B41" s="2">
        <v>1441</v>
      </c>
      <c r="C41" s="2" t="s">
        <v>1925</v>
      </c>
      <c r="D41" s="2" t="s">
        <v>1926</v>
      </c>
      <c r="E41" s="4" t="s">
        <v>1345</v>
      </c>
      <c r="F41" s="2" t="s">
        <v>1927</v>
      </c>
      <c r="G41" s="2" t="s">
        <v>1928</v>
      </c>
      <c r="H41" s="2" t="s">
        <v>343</v>
      </c>
      <c r="I41" s="2" t="s">
        <v>990</v>
      </c>
      <c r="J41" s="2" t="s">
        <v>31</v>
      </c>
      <c r="K41" s="2" t="s">
        <v>31</v>
      </c>
      <c r="L41" s="2" t="s">
        <v>349</v>
      </c>
      <c r="M41" s="2" t="s">
        <v>49</v>
      </c>
      <c r="N41" s="2" t="s">
        <v>498</v>
      </c>
      <c r="O41" s="2" t="s">
        <v>159</v>
      </c>
      <c r="P41" s="2" t="s">
        <v>1779</v>
      </c>
      <c r="Q41" s="2" t="s">
        <v>435</v>
      </c>
      <c r="R41" s="2" t="s">
        <v>428</v>
      </c>
      <c r="S41" s="2" t="s">
        <v>45</v>
      </c>
      <c r="T41" s="153">
        <v>3.5329999999999999</v>
      </c>
      <c r="U41" s="2" t="s">
        <v>1929</v>
      </c>
      <c r="V41" s="165">
        <v>4.5600000000000002E-2</v>
      </c>
      <c r="W41" s="167">
        <v>5.1180000000000003E-2</v>
      </c>
      <c r="X41" s="4" t="s">
        <v>434</v>
      </c>
      <c r="Y41" s="4" t="s">
        <v>159</v>
      </c>
      <c r="Z41" s="153">
        <v>21312.5</v>
      </c>
      <c r="AA41" s="153">
        <v>1</v>
      </c>
      <c r="AB41" s="153">
        <v>98.66</v>
      </c>
      <c r="AD41" s="153">
        <v>21.027000000000001</v>
      </c>
      <c r="AG41" s="2" t="s">
        <v>37</v>
      </c>
      <c r="AH41" s="167">
        <v>4.0000000000000003E-5</v>
      </c>
      <c r="AI41" s="167">
        <v>1.2820068456084599E-2</v>
      </c>
      <c r="AJ41" s="167">
        <v>1.9171652572681701E-3</v>
      </c>
    </row>
    <row r="42" spans="1:36">
      <c r="A42" s="2" t="s">
        <v>26</v>
      </c>
      <c r="B42" s="2">
        <v>1441</v>
      </c>
      <c r="C42" s="2" t="s">
        <v>1930</v>
      </c>
      <c r="D42" s="2" t="s">
        <v>1931</v>
      </c>
      <c r="E42" s="4" t="s">
        <v>335</v>
      </c>
      <c r="F42" s="2" t="s">
        <v>1932</v>
      </c>
      <c r="G42" s="2" t="s">
        <v>1933</v>
      </c>
      <c r="H42" s="2" t="s">
        <v>343</v>
      </c>
      <c r="I42" s="2" t="s">
        <v>778</v>
      </c>
      <c r="J42" s="2" t="s">
        <v>124</v>
      </c>
      <c r="K42" s="2" t="s">
        <v>125</v>
      </c>
      <c r="L42" s="2" t="s">
        <v>349</v>
      </c>
      <c r="M42" s="2" t="s">
        <v>336</v>
      </c>
      <c r="N42" s="2" t="s">
        <v>499</v>
      </c>
      <c r="O42" s="2" t="s">
        <v>159</v>
      </c>
      <c r="P42" s="2" t="s">
        <v>1795</v>
      </c>
      <c r="Q42" s="2" t="s">
        <v>453</v>
      </c>
      <c r="R42" s="2" t="s">
        <v>428</v>
      </c>
      <c r="S42" s="2" t="s">
        <v>35</v>
      </c>
      <c r="T42" s="153">
        <v>4.0599999999999996</v>
      </c>
      <c r="U42" s="2" t="s">
        <v>1934</v>
      </c>
      <c r="V42" s="165">
        <v>1.985E-2</v>
      </c>
      <c r="W42" s="167">
        <v>5.645E-2</v>
      </c>
      <c r="X42" s="4" t="s">
        <v>434</v>
      </c>
      <c r="Y42" s="4" t="s">
        <v>159</v>
      </c>
      <c r="Z42" s="153">
        <v>30000</v>
      </c>
      <c r="AA42" s="153">
        <v>3.681</v>
      </c>
      <c r="AB42" s="153">
        <v>86.867000000000004</v>
      </c>
      <c r="AD42" s="153">
        <v>96.165000000000006</v>
      </c>
      <c r="AG42" s="2" t="s">
        <v>37</v>
      </c>
      <c r="AH42" s="167">
        <v>0</v>
      </c>
      <c r="AI42" s="167">
        <v>5.8631500701358398E-2</v>
      </c>
      <c r="AJ42" s="167">
        <v>8.7679934402213906E-3</v>
      </c>
    </row>
    <row r="43" spans="1:36">
      <c r="A43" s="2" t="s">
        <v>26</v>
      </c>
      <c r="B43" s="2">
        <v>1522</v>
      </c>
      <c r="C43" s="2" t="s">
        <v>1935</v>
      </c>
      <c r="D43" s="2" t="s">
        <v>1936</v>
      </c>
      <c r="E43" s="4" t="s">
        <v>1345</v>
      </c>
      <c r="F43" s="2" t="s">
        <v>1937</v>
      </c>
      <c r="G43" s="2" t="s">
        <v>1938</v>
      </c>
      <c r="H43" s="2" t="s">
        <v>343</v>
      </c>
      <c r="I43" s="2" t="s">
        <v>778</v>
      </c>
      <c r="J43" s="2" t="s">
        <v>31</v>
      </c>
      <c r="K43" s="2" t="s">
        <v>31</v>
      </c>
      <c r="L43" s="2" t="s">
        <v>349</v>
      </c>
      <c r="M43" s="2" t="s">
        <v>336</v>
      </c>
      <c r="N43" s="2" t="s">
        <v>507</v>
      </c>
      <c r="O43" s="2" t="s">
        <v>159</v>
      </c>
      <c r="P43" s="2" t="s">
        <v>1939</v>
      </c>
      <c r="Q43" s="2" t="s">
        <v>34</v>
      </c>
      <c r="R43" s="2" t="s">
        <v>428</v>
      </c>
      <c r="S43" s="2" t="s">
        <v>35</v>
      </c>
      <c r="T43" s="153">
        <v>1.1399999999999999</v>
      </c>
      <c r="U43" s="2" t="s">
        <v>1940</v>
      </c>
      <c r="V43" s="165">
        <v>6.1249999999999999E-2</v>
      </c>
      <c r="W43" s="167">
        <v>7.5679999999999997E-2</v>
      </c>
      <c r="X43" s="4" t="s">
        <v>434</v>
      </c>
      <c r="Y43" s="4" t="s">
        <v>159</v>
      </c>
      <c r="Z43" s="153">
        <v>1000</v>
      </c>
      <c r="AA43" s="153">
        <v>3.681</v>
      </c>
      <c r="AB43" s="153">
        <v>98.581000000000003</v>
      </c>
      <c r="AD43" s="153">
        <v>3.6850000000000001</v>
      </c>
      <c r="AG43" s="2" t="s">
        <v>37</v>
      </c>
      <c r="AH43" s="167">
        <v>1.9999999999999999E-6</v>
      </c>
      <c r="AI43" s="167">
        <v>9.0670714185086803E-3</v>
      </c>
      <c r="AJ43" s="167">
        <v>3.6531099913015701E-4</v>
      </c>
    </row>
    <row r="44" spans="1:36">
      <c r="A44" s="2" t="s">
        <v>26</v>
      </c>
      <c r="B44" s="2">
        <v>1522</v>
      </c>
      <c r="C44" s="2" t="s">
        <v>1941</v>
      </c>
      <c r="D44" s="2" t="s">
        <v>1942</v>
      </c>
      <c r="E44" s="4" t="s">
        <v>1345</v>
      </c>
      <c r="F44" s="2" t="s">
        <v>1943</v>
      </c>
      <c r="G44" s="2" t="s">
        <v>1944</v>
      </c>
      <c r="H44" s="2" t="s">
        <v>343</v>
      </c>
      <c r="I44" s="2" t="s">
        <v>777</v>
      </c>
      <c r="J44" s="2" t="s">
        <v>31</v>
      </c>
      <c r="K44" s="2" t="s">
        <v>31</v>
      </c>
      <c r="L44" s="2" t="s">
        <v>349</v>
      </c>
      <c r="M44" s="2" t="s">
        <v>49</v>
      </c>
      <c r="N44" s="2" t="s">
        <v>467</v>
      </c>
      <c r="O44" s="2" t="s">
        <v>159</v>
      </c>
      <c r="P44" s="2" t="s">
        <v>1945</v>
      </c>
      <c r="Q44" s="2" t="s">
        <v>435</v>
      </c>
      <c r="R44" s="2" t="s">
        <v>428</v>
      </c>
      <c r="S44" s="2" t="s">
        <v>45</v>
      </c>
      <c r="T44" s="153">
        <v>3.2690000000000001</v>
      </c>
      <c r="U44" s="2" t="s">
        <v>1946</v>
      </c>
      <c r="V44" s="165">
        <v>3.85E-2</v>
      </c>
      <c r="W44" s="167">
        <v>3.1759999999999997E-2</v>
      </c>
      <c r="X44" s="4" t="s">
        <v>434</v>
      </c>
      <c r="Y44" s="4" t="s">
        <v>159</v>
      </c>
      <c r="Z44" s="153">
        <v>7000</v>
      </c>
      <c r="AA44" s="153">
        <v>1</v>
      </c>
      <c r="AB44" s="153">
        <v>106.03</v>
      </c>
      <c r="AD44" s="153">
        <v>7.4219999999999997</v>
      </c>
      <c r="AG44" s="2" t="s">
        <v>37</v>
      </c>
      <c r="AH44" s="167">
        <v>4.0000000000000003E-5</v>
      </c>
      <c r="AI44" s="167">
        <v>1.8261682943947099E-2</v>
      </c>
      <c r="AJ44" s="167">
        <v>7.3576057076527599E-4</v>
      </c>
    </row>
    <row r="45" spans="1:36">
      <c r="A45" s="2" t="s">
        <v>26</v>
      </c>
      <c r="B45" s="2">
        <v>1522</v>
      </c>
      <c r="C45" s="2" t="s">
        <v>1947</v>
      </c>
      <c r="D45" s="2" t="s">
        <v>1948</v>
      </c>
      <c r="E45" s="4" t="s">
        <v>1345</v>
      </c>
      <c r="F45" s="2" t="s">
        <v>1949</v>
      </c>
      <c r="G45" s="2" t="s">
        <v>1950</v>
      </c>
      <c r="H45" s="2" t="s">
        <v>343</v>
      </c>
      <c r="I45" s="2" t="s">
        <v>990</v>
      </c>
      <c r="J45" s="2" t="s">
        <v>31</v>
      </c>
      <c r="K45" s="2" t="s">
        <v>31</v>
      </c>
      <c r="L45" s="2" t="s">
        <v>349</v>
      </c>
      <c r="M45" s="2" t="s">
        <v>49</v>
      </c>
      <c r="N45" s="2" t="s">
        <v>461</v>
      </c>
      <c r="O45" s="2" t="s">
        <v>159</v>
      </c>
      <c r="P45" s="2" t="s">
        <v>1951</v>
      </c>
      <c r="Q45" s="2" t="s">
        <v>128</v>
      </c>
      <c r="R45" s="2" t="s">
        <v>430</v>
      </c>
      <c r="S45" s="2" t="s">
        <v>45</v>
      </c>
      <c r="T45" s="153">
        <v>3.82</v>
      </c>
      <c r="U45" s="2" t="s">
        <v>93</v>
      </c>
      <c r="V45" s="165">
        <v>5.5E-2</v>
      </c>
      <c r="W45" s="167">
        <v>6.694E-2</v>
      </c>
      <c r="X45" s="4" t="s">
        <v>434</v>
      </c>
      <c r="Y45" s="4" t="s">
        <v>159</v>
      </c>
      <c r="Z45" s="153">
        <v>18000</v>
      </c>
      <c r="AA45" s="153">
        <v>1</v>
      </c>
      <c r="AB45" s="153">
        <v>96.08</v>
      </c>
      <c r="AD45" s="153">
        <v>17.294</v>
      </c>
      <c r="AG45" s="2" t="s">
        <v>37</v>
      </c>
      <c r="AH45" s="167">
        <v>0</v>
      </c>
      <c r="AI45" s="167">
        <v>4.2551952884735997E-2</v>
      </c>
      <c r="AJ45" s="167">
        <v>1.7144120417459999E-3</v>
      </c>
    </row>
    <row r="46" spans="1:36">
      <c r="A46" s="2" t="s">
        <v>26</v>
      </c>
      <c r="B46" s="2">
        <v>1522</v>
      </c>
      <c r="C46" s="2" t="s">
        <v>1952</v>
      </c>
      <c r="D46" s="2" t="s">
        <v>1953</v>
      </c>
      <c r="E46" s="4" t="s">
        <v>1345</v>
      </c>
      <c r="F46" s="2" t="s">
        <v>1954</v>
      </c>
      <c r="G46" s="2" t="s">
        <v>1955</v>
      </c>
      <c r="H46" s="2" t="s">
        <v>343</v>
      </c>
      <c r="I46" s="2" t="s">
        <v>990</v>
      </c>
      <c r="J46" s="2" t="s">
        <v>31</v>
      </c>
      <c r="K46" s="2" t="s">
        <v>31</v>
      </c>
      <c r="L46" s="2" t="s">
        <v>349</v>
      </c>
      <c r="M46" s="2" t="s">
        <v>49</v>
      </c>
      <c r="N46" s="2" t="s">
        <v>463</v>
      </c>
      <c r="O46" s="2" t="s">
        <v>159</v>
      </c>
      <c r="P46" s="2" t="s">
        <v>1810</v>
      </c>
      <c r="Q46" s="2" t="s">
        <v>128</v>
      </c>
      <c r="R46" s="2" t="s">
        <v>428</v>
      </c>
      <c r="S46" s="2" t="s">
        <v>45</v>
      </c>
      <c r="T46" s="153">
        <v>0.37</v>
      </c>
      <c r="U46" s="2" t="s">
        <v>1956</v>
      </c>
      <c r="V46" s="165">
        <v>3.2399999999999998E-2</v>
      </c>
      <c r="W46" s="167">
        <v>8.9459999999999998E-2</v>
      </c>
      <c r="X46" s="4" t="s">
        <v>434</v>
      </c>
      <c r="Y46" s="4" t="s">
        <v>159</v>
      </c>
      <c r="Z46" s="153">
        <v>5698.97</v>
      </c>
      <c r="AA46" s="153">
        <v>1</v>
      </c>
      <c r="AB46" s="153">
        <v>98.07</v>
      </c>
      <c r="AD46" s="153">
        <v>5.5890000000000004</v>
      </c>
      <c r="AG46" s="2" t="s">
        <v>37</v>
      </c>
      <c r="AH46" s="167">
        <v>2.0999999999999999E-5</v>
      </c>
      <c r="AI46" s="167">
        <v>1.37513882230633E-2</v>
      </c>
      <c r="AJ46" s="167">
        <v>5.5404144726811601E-4</v>
      </c>
    </row>
    <row r="47" spans="1:36">
      <c r="A47" s="2" t="s">
        <v>26</v>
      </c>
      <c r="B47" s="2">
        <v>1522</v>
      </c>
      <c r="C47" s="2" t="s">
        <v>1952</v>
      </c>
      <c r="D47" s="2" t="s">
        <v>1953</v>
      </c>
      <c r="E47" s="4" t="s">
        <v>1345</v>
      </c>
      <c r="F47" s="2" t="s">
        <v>1957</v>
      </c>
      <c r="G47" s="2" t="s">
        <v>1958</v>
      </c>
      <c r="H47" s="2" t="s">
        <v>343</v>
      </c>
      <c r="I47" s="2" t="s">
        <v>777</v>
      </c>
      <c r="J47" s="2" t="s">
        <v>31</v>
      </c>
      <c r="K47" s="2" t="s">
        <v>31</v>
      </c>
      <c r="L47" s="2" t="s">
        <v>349</v>
      </c>
      <c r="M47" s="2" t="s">
        <v>49</v>
      </c>
      <c r="N47" s="2" t="s">
        <v>463</v>
      </c>
      <c r="O47" s="2" t="s">
        <v>159</v>
      </c>
      <c r="P47" s="2" t="s">
        <v>1810</v>
      </c>
      <c r="Q47" s="2" t="s">
        <v>128</v>
      </c>
      <c r="R47" s="2" t="s">
        <v>428</v>
      </c>
      <c r="S47" s="2" t="s">
        <v>45</v>
      </c>
      <c r="T47" s="153">
        <v>1.694</v>
      </c>
      <c r="U47" s="2" t="s">
        <v>1959</v>
      </c>
      <c r="V47" s="165">
        <v>1.2500000000000001E-2</v>
      </c>
      <c r="W47" s="167">
        <v>4.546E-2</v>
      </c>
      <c r="X47" s="4" t="s">
        <v>434</v>
      </c>
      <c r="Y47" s="4" t="s">
        <v>159</v>
      </c>
      <c r="Z47" s="153">
        <v>7777.78</v>
      </c>
      <c r="AA47" s="153">
        <v>1</v>
      </c>
      <c r="AB47" s="153">
        <v>100.5</v>
      </c>
      <c r="AD47" s="153">
        <v>7.8170000000000002</v>
      </c>
      <c r="AG47" s="2" t="s">
        <v>37</v>
      </c>
      <c r="AH47" s="167">
        <v>4.6999999999999997E-5</v>
      </c>
      <c r="AI47" s="167">
        <v>1.9232498771184998E-2</v>
      </c>
      <c r="AJ47" s="167">
        <v>7.74874600362052E-4</v>
      </c>
    </row>
    <row r="48" spans="1:36">
      <c r="A48" s="2" t="s">
        <v>26</v>
      </c>
      <c r="B48" s="2">
        <v>1522</v>
      </c>
      <c r="C48" s="2" t="s">
        <v>1960</v>
      </c>
      <c r="D48" s="2" t="s">
        <v>1961</v>
      </c>
      <c r="E48" s="4" t="s">
        <v>44</v>
      </c>
      <c r="F48" s="2" t="s">
        <v>1962</v>
      </c>
      <c r="G48" s="2" t="s">
        <v>1963</v>
      </c>
      <c r="H48" s="2" t="s">
        <v>343</v>
      </c>
      <c r="I48" s="2" t="s">
        <v>990</v>
      </c>
      <c r="J48" s="2" t="s">
        <v>31</v>
      </c>
      <c r="K48" s="2" t="s">
        <v>31</v>
      </c>
      <c r="L48" s="2" t="s">
        <v>349</v>
      </c>
      <c r="M48" s="2" t="s">
        <v>49</v>
      </c>
      <c r="N48" s="2" t="s">
        <v>485</v>
      </c>
      <c r="O48" s="2" t="s">
        <v>159</v>
      </c>
      <c r="P48" s="2" t="s">
        <v>1810</v>
      </c>
      <c r="Q48" s="2" t="s">
        <v>128</v>
      </c>
      <c r="R48" s="2" t="s">
        <v>428</v>
      </c>
      <c r="S48" s="2" t="s">
        <v>45</v>
      </c>
      <c r="T48" s="153">
        <v>1.44</v>
      </c>
      <c r="U48" s="2" t="s">
        <v>1964</v>
      </c>
      <c r="V48" s="165">
        <v>7.0000000000000007E-2</v>
      </c>
      <c r="W48" s="167">
        <v>6.7129999999999995E-2</v>
      </c>
      <c r="X48" s="4" t="s">
        <v>434</v>
      </c>
      <c r="Y48" s="4" t="s">
        <v>159</v>
      </c>
      <c r="Z48" s="153">
        <v>33894.36</v>
      </c>
      <c r="AA48" s="153">
        <v>1</v>
      </c>
      <c r="AB48" s="153">
        <v>100.59</v>
      </c>
      <c r="AD48" s="153">
        <v>34.094000000000001</v>
      </c>
      <c r="AG48" s="2" t="s">
        <v>37</v>
      </c>
      <c r="AH48" s="167">
        <v>5.5999999999999999E-5</v>
      </c>
      <c r="AI48" s="167">
        <v>8.3887305134377102E-2</v>
      </c>
      <c r="AJ48" s="167">
        <v>3.3798074194518698E-3</v>
      </c>
    </row>
    <row r="49" spans="1:36">
      <c r="A49" s="2" t="s">
        <v>26</v>
      </c>
      <c r="B49" s="2">
        <v>1522</v>
      </c>
      <c r="C49" s="2" t="s">
        <v>1960</v>
      </c>
      <c r="D49" s="2" t="s">
        <v>1961</v>
      </c>
      <c r="E49" s="4" t="s">
        <v>44</v>
      </c>
      <c r="F49" s="2" t="s">
        <v>1965</v>
      </c>
      <c r="G49" s="2" t="s">
        <v>1966</v>
      </c>
      <c r="H49" s="2" t="s">
        <v>343</v>
      </c>
      <c r="I49" s="2" t="s">
        <v>990</v>
      </c>
      <c r="J49" s="2" t="s">
        <v>31</v>
      </c>
      <c r="K49" s="2" t="s">
        <v>31</v>
      </c>
      <c r="L49" s="2" t="s">
        <v>351</v>
      </c>
      <c r="M49" s="2" t="s">
        <v>49</v>
      </c>
      <c r="N49" s="2" t="s">
        <v>467</v>
      </c>
      <c r="O49" s="2" t="s">
        <v>159</v>
      </c>
      <c r="P49" s="2" t="s">
        <v>1810</v>
      </c>
      <c r="Q49" s="2" t="s">
        <v>128</v>
      </c>
      <c r="R49" s="2" t="s">
        <v>428</v>
      </c>
      <c r="S49" s="2" t="s">
        <v>45</v>
      </c>
      <c r="T49" s="153">
        <v>3.15</v>
      </c>
      <c r="U49" s="2" t="s">
        <v>1967</v>
      </c>
      <c r="V49" s="165">
        <v>6.5000000000000002E-2</v>
      </c>
      <c r="W49" s="167">
        <v>8.9200000000000002E-2</v>
      </c>
      <c r="X49" s="4" t="s">
        <v>434</v>
      </c>
      <c r="Y49" s="4" t="s">
        <v>159</v>
      </c>
      <c r="Z49" s="153">
        <v>29000</v>
      </c>
      <c r="AA49" s="153">
        <v>1</v>
      </c>
      <c r="AB49" s="153">
        <v>98.662999999999997</v>
      </c>
      <c r="AD49" s="153">
        <v>28.611999999999998</v>
      </c>
      <c r="AG49" s="2" t="s">
        <v>37</v>
      </c>
      <c r="AH49" s="167">
        <v>0</v>
      </c>
      <c r="AI49" s="167">
        <v>7.0398971052210199E-2</v>
      </c>
      <c r="AJ49" s="167">
        <v>2.8363643855634098E-3</v>
      </c>
    </row>
    <row r="50" spans="1:36">
      <c r="A50" s="2" t="s">
        <v>26</v>
      </c>
      <c r="B50" s="2">
        <v>1522</v>
      </c>
      <c r="C50" s="2" t="s">
        <v>1968</v>
      </c>
      <c r="D50" s="2" t="s">
        <v>1969</v>
      </c>
      <c r="E50" s="4" t="s">
        <v>1345</v>
      </c>
      <c r="F50" s="2" t="s">
        <v>1970</v>
      </c>
      <c r="G50" s="2" t="s">
        <v>1971</v>
      </c>
      <c r="H50" s="2" t="s">
        <v>343</v>
      </c>
      <c r="I50" s="2" t="s">
        <v>990</v>
      </c>
      <c r="J50" s="2" t="s">
        <v>31</v>
      </c>
      <c r="K50" s="2" t="s">
        <v>31</v>
      </c>
      <c r="L50" s="2" t="s">
        <v>349</v>
      </c>
      <c r="M50" s="2" t="s">
        <v>49</v>
      </c>
      <c r="N50" s="2" t="s">
        <v>460</v>
      </c>
      <c r="O50" s="2" t="s">
        <v>159</v>
      </c>
      <c r="P50" s="2" t="s">
        <v>1795</v>
      </c>
      <c r="Q50" s="2" t="s">
        <v>435</v>
      </c>
      <c r="R50" s="2" t="s">
        <v>428</v>
      </c>
      <c r="S50" s="2" t="s">
        <v>45</v>
      </c>
      <c r="T50" s="153">
        <v>3.6160000000000001</v>
      </c>
      <c r="U50" s="2" t="s">
        <v>1972</v>
      </c>
      <c r="V50" s="165">
        <v>0.05</v>
      </c>
      <c r="W50" s="167">
        <v>5.287E-2</v>
      </c>
      <c r="X50" s="4" t="s">
        <v>434</v>
      </c>
      <c r="Y50" s="4" t="s">
        <v>159</v>
      </c>
      <c r="Z50" s="153">
        <v>16547.54</v>
      </c>
      <c r="AA50" s="153">
        <v>1</v>
      </c>
      <c r="AB50" s="153">
        <v>99.32</v>
      </c>
      <c r="AD50" s="153">
        <v>16.434999999999999</v>
      </c>
      <c r="AG50" s="2" t="s">
        <v>37</v>
      </c>
      <c r="AH50" s="167">
        <v>1.5999999999999999E-5</v>
      </c>
      <c r="AI50" s="167">
        <v>4.0437485976368301E-2</v>
      </c>
      <c r="AJ50" s="167">
        <v>1.6292204751121801E-3</v>
      </c>
    </row>
    <row r="51" spans="1:36">
      <c r="A51" s="2" t="s">
        <v>26</v>
      </c>
      <c r="B51" s="2">
        <v>1522</v>
      </c>
      <c r="C51" s="2" t="s">
        <v>1806</v>
      </c>
      <c r="D51" s="2" t="s">
        <v>1807</v>
      </c>
      <c r="E51" s="4" t="s">
        <v>1345</v>
      </c>
      <c r="F51" s="2" t="s">
        <v>1808</v>
      </c>
      <c r="G51" s="2" t="s">
        <v>1809</v>
      </c>
      <c r="H51" s="2" t="s">
        <v>343</v>
      </c>
      <c r="I51" s="2" t="s">
        <v>990</v>
      </c>
      <c r="J51" s="2" t="s">
        <v>31</v>
      </c>
      <c r="K51" s="2" t="s">
        <v>31</v>
      </c>
      <c r="L51" s="2" t="s">
        <v>349</v>
      </c>
      <c r="M51" s="2" t="s">
        <v>49</v>
      </c>
      <c r="N51" s="2" t="s">
        <v>460</v>
      </c>
      <c r="O51" s="2" t="s">
        <v>159</v>
      </c>
      <c r="P51" s="2" t="s">
        <v>1810</v>
      </c>
      <c r="Q51" s="2" t="s">
        <v>128</v>
      </c>
      <c r="R51" s="2" t="s">
        <v>428</v>
      </c>
      <c r="S51" s="2" t="s">
        <v>45</v>
      </c>
      <c r="T51" s="153">
        <v>3.07</v>
      </c>
      <c r="U51" s="2" t="s">
        <v>1811</v>
      </c>
      <c r="V51" s="165">
        <v>7.2499999999999995E-2</v>
      </c>
      <c r="W51" s="167">
        <v>6.232E-2</v>
      </c>
      <c r="X51" s="4" t="s">
        <v>434</v>
      </c>
      <c r="Y51" s="4" t="s">
        <v>159</v>
      </c>
      <c r="Z51" s="153">
        <v>81000</v>
      </c>
      <c r="AA51" s="153">
        <v>1</v>
      </c>
      <c r="AB51" s="153">
        <v>108.29</v>
      </c>
      <c r="AD51" s="153">
        <v>87.715000000000003</v>
      </c>
      <c r="AG51" s="2" t="s">
        <v>37</v>
      </c>
      <c r="AH51" s="167">
        <v>1.3999999999999999E-4</v>
      </c>
      <c r="AI51" s="167">
        <v>0.215817853876939</v>
      </c>
      <c r="AJ51" s="167">
        <v>8.6952701915386701E-3</v>
      </c>
    </row>
    <row r="52" spans="1:36">
      <c r="A52" s="2" t="s">
        <v>26</v>
      </c>
      <c r="B52" s="2">
        <v>1522</v>
      </c>
      <c r="C52" s="2" t="s">
        <v>1973</v>
      </c>
      <c r="D52" s="2" t="s">
        <v>1974</v>
      </c>
      <c r="E52" s="4" t="s">
        <v>1345</v>
      </c>
      <c r="F52" s="2" t="s">
        <v>1975</v>
      </c>
      <c r="G52" s="2" t="s">
        <v>1976</v>
      </c>
      <c r="H52" s="2" t="s">
        <v>343</v>
      </c>
      <c r="I52" s="2" t="s">
        <v>990</v>
      </c>
      <c r="J52" s="2" t="s">
        <v>31</v>
      </c>
      <c r="K52" s="2" t="s">
        <v>31</v>
      </c>
      <c r="L52" s="2" t="s">
        <v>351</v>
      </c>
      <c r="M52" s="2" t="s">
        <v>49</v>
      </c>
      <c r="N52" s="2" t="s">
        <v>467</v>
      </c>
      <c r="O52" s="2" t="s">
        <v>159</v>
      </c>
      <c r="P52" s="2" t="s">
        <v>1350</v>
      </c>
      <c r="Q52" s="2" t="s">
        <v>336</v>
      </c>
      <c r="R52" s="2" t="s">
        <v>430</v>
      </c>
      <c r="S52" s="2" t="s">
        <v>45</v>
      </c>
      <c r="T52" s="153">
        <v>2.2799999999999998</v>
      </c>
      <c r="U52" s="2" t="s">
        <v>1824</v>
      </c>
      <c r="V52" s="165">
        <v>3.8699999999999998E-2</v>
      </c>
      <c r="W52" s="167">
        <v>5.8299999999999998E-2</v>
      </c>
      <c r="X52" s="4" t="s">
        <v>434</v>
      </c>
      <c r="Y52" s="4" t="s">
        <v>159</v>
      </c>
      <c r="Z52" s="153">
        <v>5000</v>
      </c>
      <c r="AA52" s="153">
        <v>1</v>
      </c>
      <c r="AB52" s="153">
        <v>96.995000000000005</v>
      </c>
      <c r="AD52" s="153">
        <v>4.8499999999999996</v>
      </c>
      <c r="AG52" s="2" t="s">
        <v>37</v>
      </c>
      <c r="AH52" s="167">
        <v>1.5E-5</v>
      </c>
      <c r="AI52" s="167">
        <v>1.19326015670856E-2</v>
      </c>
      <c r="AJ52" s="167">
        <v>4.8076279533828902E-4</v>
      </c>
    </row>
    <row r="53" spans="1:36">
      <c r="A53" s="2" t="s">
        <v>26</v>
      </c>
      <c r="B53" s="2">
        <v>1522</v>
      </c>
      <c r="C53" s="2" t="s">
        <v>1977</v>
      </c>
      <c r="D53" s="2" t="s">
        <v>1978</v>
      </c>
      <c r="E53" s="4" t="s">
        <v>1345</v>
      </c>
      <c r="F53" s="2" t="s">
        <v>1979</v>
      </c>
      <c r="G53" s="2" t="s">
        <v>1980</v>
      </c>
      <c r="H53" s="2" t="s">
        <v>343</v>
      </c>
      <c r="I53" s="2" t="s">
        <v>990</v>
      </c>
      <c r="J53" s="2" t="s">
        <v>31</v>
      </c>
      <c r="K53" s="2" t="s">
        <v>31</v>
      </c>
      <c r="L53" s="2" t="s">
        <v>349</v>
      </c>
      <c r="M53" s="2" t="s">
        <v>49</v>
      </c>
      <c r="N53" s="2" t="s">
        <v>484</v>
      </c>
      <c r="O53" s="2" t="s">
        <v>159</v>
      </c>
      <c r="P53" s="2" t="s">
        <v>1350</v>
      </c>
      <c r="Q53" s="2" t="s">
        <v>336</v>
      </c>
      <c r="R53" s="2" t="s">
        <v>430</v>
      </c>
      <c r="S53" s="2" t="s">
        <v>45</v>
      </c>
      <c r="T53" s="153">
        <v>1.6839999999999999</v>
      </c>
      <c r="U53" s="2" t="s">
        <v>1981</v>
      </c>
      <c r="V53" s="165">
        <v>4.4699999999999997E-2</v>
      </c>
      <c r="W53" s="167">
        <v>7.8E-2</v>
      </c>
      <c r="X53" s="4" t="s">
        <v>434</v>
      </c>
      <c r="Y53" s="4" t="s">
        <v>159</v>
      </c>
      <c r="Z53" s="153">
        <v>10000</v>
      </c>
      <c r="AA53" s="153">
        <v>1</v>
      </c>
      <c r="AB53" s="153">
        <v>96</v>
      </c>
      <c r="AD53" s="153">
        <v>9.6</v>
      </c>
      <c r="AG53" s="2" t="s">
        <v>37</v>
      </c>
      <c r="AH53" s="167">
        <v>1.25E-4</v>
      </c>
      <c r="AI53" s="167">
        <v>2.36202902496453E-2</v>
      </c>
      <c r="AJ53" s="167">
        <v>9.5165808589841802E-4</v>
      </c>
    </row>
    <row r="54" spans="1:36">
      <c r="A54" s="2" t="s">
        <v>26</v>
      </c>
      <c r="B54" s="2">
        <v>1522</v>
      </c>
      <c r="C54" s="2" t="s">
        <v>1982</v>
      </c>
      <c r="D54" s="2" t="s">
        <v>1983</v>
      </c>
      <c r="E54" s="4" t="s">
        <v>1345</v>
      </c>
      <c r="F54" s="2" t="s">
        <v>1984</v>
      </c>
      <c r="G54" s="2" t="s">
        <v>1985</v>
      </c>
      <c r="H54" s="2" t="s">
        <v>343</v>
      </c>
      <c r="I54" s="2" t="s">
        <v>991</v>
      </c>
      <c r="J54" s="2" t="s">
        <v>31</v>
      </c>
      <c r="K54" s="2" t="s">
        <v>31</v>
      </c>
      <c r="L54" s="2" t="s">
        <v>349</v>
      </c>
      <c r="M54" s="2" t="s">
        <v>49</v>
      </c>
      <c r="N54" s="2" t="s">
        <v>467</v>
      </c>
      <c r="O54" s="2" t="s">
        <v>159</v>
      </c>
      <c r="P54" s="2" t="s">
        <v>1986</v>
      </c>
      <c r="Q54" s="2" t="s">
        <v>435</v>
      </c>
      <c r="R54" s="2" t="s">
        <v>428</v>
      </c>
      <c r="S54" s="2" t="s">
        <v>45</v>
      </c>
      <c r="T54" s="153">
        <v>0.747</v>
      </c>
      <c r="U54" s="2" t="s">
        <v>1987</v>
      </c>
      <c r="V54" s="165">
        <v>1.4999999999999999E-2</v>
      </c>
      <c r="W54" s="167">
        <v>4.972E-2</v>
      </c>
      <c r="X54" s="4" t="s">
        <v>434</v>
      </c>
      <c r="Y54" s="4" t="s">
        <v>159</v>
      </c>
      <c r="Z54" s="153">
        <v>1.81</v>
      </c>
      <c r="AA54" s="153">
        <v>1</v>
      </c>
      <c r="AB54" s="153">
        <v>97.9</v>
      </c>
      <c r="AD54" s="153">
        <v>2E-3</v>
      </c>
      <c r="AG54" s="2" t="s">
        <v>37</v>
      </c>
      <c r="AH54" s="167">
        <v>0</v>
      </c>
      <c r="AI54" s="167">
        <v>4.3598873041113502E-6</v>
      </c>
      <c r="AJ54" s="167">
        <v>1.75659230378244E-7</v>
      </c>
    </row>
    <row r="55" spans="1:36">
      <c r="A55" s="2" t="s">
        <v>26</v>
      </c>
      <c r="B55" s="2">
        <v>1522</v>
      </c>
      <c r="C55" s="2" t="s">
        <v>1869</v>
      </c>
      <c r="D55" s="2" t="s">
        <v>1870</v>
      </c>
      <c r="E55" s="4" t="s">
        <v>1345</v>
      </c>
      <c r="F55" s="2" t="s">
        <v>1988</v>
      </c>
      <c r="G55" s="2" t="s">
        <v>1989</v>
      </c>
      <c r="H55" s="2" t="s">
        <v>343</v>
      </c>
      <c r="I55" s="2" t="s">
        <v>990</v>
      </c>
      <c r="J55" s="2" t="s">
        <v>31</v>
      </c>
      <c r="K55" s="2" t="s">
        <v>31</v>
      </c>
      <c r="L55" s="2" t="s">
        <v>349</v>
      </c>
      <c r="M55" s="2" t="s">
        <v>49</v>
      </c>
      <c r="N55" s="2" t="s">
        <v>468</v>
      </c>
      <c r="O55" s="2" t="s">
        <v>159</v>
      </c>
      <c r="P55" s="2" t="s">
        <v>127</v>
      </c>
      <c r="Q55" s="2" t="s">
        <v>128</v>
      </c>
      <c r="R55" s="2" t="s">
        <v>428</v>
      </c>
      <c r="S55" s="2" t="s">
        <v>45</v>
      </c>
      <c r="T55" s="153">
        <v>1.157</v>
      </c>
      <c r="U55" s="2" t="s">
        <v>1371</v>
      </c>
      <c r="V55" s="165">
        <v>2.98E-2</v>
      </c>
      <c r="W55" s="167">
        <v>4.4519999999999997E-2</v>
      </c>
      <c r="X55" s="4" t="s">
        <v>434</v>
      </c>
      <c r="Y55" s="4" t="s">
        <v>159</v>
      </c>
      <c r="Z55" s="153">
        <v>80000</v>
      </c>
      <c r="AA55" s="153">
        <v>1</v>
      </c>
      <c r="AB55" s="153">
        <v>100.79</v>
      </c>
      <c r="AD55" s="153">
        <v>80.632000000000005</v>
      </c>
      <c r="AG55" s="2" t="s">
        <v>37</v>
      </c>
      <c r="AH55" s="167">
        <v>6.0999999999999999E-5</v>
      </c>
      <c r="AI55" s="167">
        <v>0.19839075452181201</v>
      </c>
      <c r="AJ55" s="167">
        <v>7.9931348731417991E-3</v>
      </c>
    </row>
    <row r="56" spans="1:36">
      <c r="A56" s="2" t="s">
        <v>26</v>
      </c>
      <c r="B56" s="2">
        <v>1522</v>
      </c>
      <c r="C56" s="2" t="s">
        <v>1990</v>
      </c>
      <c r="D56" s="2" t="s">
        <v>1991</v>
      </c>
      <c r="E56" s="4" t="s">
        <v>44</v>
      </c>
      <c r="F56" s="2" t="s">
        <v>1992</v>
      </c>
      <c r="G56" s="2" t="s">
        <v>1993</v>
      </c>
      <c r="H56" s="2" t="s">
        <v>44</v>
      </c>
      <c r="I56" s="2" t="s">
        <v>990</v>
      </c>
      <c r="J56" s="2" t="s">
        <v>31</v>
      </c>
      <c r="K56" s="2" t="s">
        <v>125</v>
      </c>
      <c r="L56" s="2" t="s">
        <v>349</v>
      </c>
      <c r="M56" s="2" t="s">
        <v>49</v>
      </c>
      <c r="N56" s="2" t="s">
        <v>485</v>
      </c>
      <c r="O56" s="2" t="s">
        <v>159</v>
      </c>
      <c r="P56" s="2" t="s">
        <v>1994</v>
      </c>
      <c r="Q56" s="2" t="s">
        <v>435</v>
      </c>
      <c r="R56" s="2" t="s">
        <v>428</v>
      </c>
      <c r="S56" s="2" t="s">
        <v>45</v>
      </c>
      <c r="T56" s="153">
        <v>2.62</v>
      </c>
      <c r="U56" s="2" t="s">
        <v>1995</v>
      </c>
      <c r="V56" s="165">
        <v>9.0999999999999998E-2</v>
      </c>
      <c r="W56" s="167">
        <v>8.7900000000000006E-2</v>
      </c>
      <c r="X56" s="4" t="s">
        <v>434</v>
      </c>
      <c r="Y56" s="4" t="s">
        <v>159</v>
      </c>
      <c r="Z56" s="153">
        <v>18000</v>
      </c>
      <c r="AA56" s="153">
        <v>1</v>
      </c>
      <c r="AB56" s="153">
        <v>107.07599999999999</v>
      </c>
      <c r="AD56" s="153">
        <v>19.274000000000001</v>
      </c>
      <c r="AG56" s="2" t="s">
        <v>37</v>
      </c>
      <c r="AH56" s="167">
        <v>1.18E-4</v>
      </c>
      <c r="AI56" s="167">
        <v>4.7421866226956599E-2</v>
      </c>
      <c r="AJ56" s="167">
        <v>1.9106201476061101E-3</v>
      </c>
    </row>
    <row r="57" spans="1:36">
      <c r="A57" s="2" t="s">
        <v>26</v>
      </c>
      <c r="B57" s="2">
        <v>1522</v>
      </c>
      <c r="C57" s="2" t="s">
        <v>1996</v>
      </c>
      <c r="D57" s="2" t="s">
        <v>1997</v>
      </c>
      <c r="E57" s="4" t="s">
        <v>44</v>
      </c>
      <c r="F57" s="2" t="s">
        <v>1998</v>
      </c>
      <c r="G57" s="2" t="s">
        <v>1999</v>
      </c>
      <c r="H57" s="2" t="s">
        <v>343</v>
      </c>
      <c r="I57" s="2" t="s">
        <v>778</v>
      </c>
      <c r="J57" s="2" t="s">
        <v>31</v>
      </c>
      <c r="K57" s="2" t="s">
        <v>125</v>
      </c>
      <c r="L57" s="2" t="s">
        <v>349</v>
      </c>
      <c r="M57" s="2" t="s">
        <v>49</v>
      </c>
      <c r="N57" s="2" t="s">
        <v>463</v>
      </c>
      <c r="O57" s="2" t="s">
        <v>159</v>
      </c>
      <c r="P57" s="2" t="s">
        <v>33</v>
      </c>
      <c r="Q57" s="2" t="s">
        <v>128</v>
      </c>
      <c r="R57" s="2" t="s">
        <v>428</v>
      </c>
      <c r="S57" s="2" t="s">
        <v>45</v>
      </c>
      <c r="T57" s="153">
        <v>2.2000000000000002</v>
      </c>
      <c r="U57" s="2" t="s">
        <v>2000</v>
      </c>
      <c r="V57" s="165">
        <v>8.9126999999999998E-2</v>
      </c>
      <c r="W57" s="167">
        <v>7.6850000000000002E-2</v>
      </c>
      <c r="X57" s="4" t="s">
        <v>434</v>
      </c>
      <c r="Y57" s="4" t="s">
        <v>159</v>
      </c>
      <c r="Z57" s="153">
        <v>14000</v>
      </c>
      <c r="AA57" s="153">
        <v>1</v>
      </c>
      <c r="AB57" s="153">
        <v>105</v>
      </c>
      <c r="AD57" s="153">
        <v>14.7</v>
      </c>
      <c r="AG57" s="2" t="s">
        <v>37</v>
      </c>
      <c r="AH57" s="167">
        <v>4.6999999999999997E-5</v>
      </c>
      <c r="AI57" s="167">
        <v>3.6168569444769302E-2</v>
      </c>
      <c r="AJ57" s="167">
        <v>1.4572264440319499E-3</v>
      </c>
    </row>
    <row r="58" spans="1:36">
      <c r="A58" s="2" t="s">
        <v>26</v>
      </c>
      <c r="B58" s="2">
        <v>1522</v>
      </c>
      <c r="C58" s="2" t="s">
        <v>1996</v>
      </c>
      <c r="D58" s="2" t="s">
        <v>1997</v>
      </c>
      <c r="E58" s="4" t="s">
        <v>44</v>
      </c>
      <c r="F58" s="2" t="s">
        <v>2001</v>
      </c>
      <c r="G58" s="2" t="s">
        <v>1999</v>
      </c>
      <c r="H58" s="2" t="s">
        <v>343</v>
      </c>
      <c r="I58" s="2" t="s">
        <v>778</v>
      </c>
      <c r="J58" s="2" t="s">
        <v>31</v>
      </c>
      <c r="K58" s="2" t="s">
        <v>125</v>
      </c>
      <c r="L58" s="2" t="s">
        <v>349</v>
      </c>
      <c r="M58" s="2" t="s">
        <v>49</v>
      </c>
      <c r="N58" s="2" t="s">
        <v>463</v>
      </c>
      <c r="O58" s="2" t="s">
        <v>159</v>
      </c>
      <c r="P58" s="2" t="s">
        <v>33</v>
      </c>
      <c r="Q58" s="2" t="s">
        <v>128</v>
      </c>
      <c r="R58" s="2" t="s">
        <v>428</v>
      </c>
      <c r="S58" s="2" t="s">
        <v>45</v>
      </c>
      <c r="T58" s="153">
        <v>2.4</v>
      </c>
      <c r="U58" s="2" t="s">
        <v>2000</v>
      </c>
      <c r="V58" s="165">
        <v>8.9126999999999998E-2</v>
      </c>
      <c r="W58" s="167">
        <v>6.5500000000000003E-2</v>
      </c>
      <c r="X58" s="4" t="s">
        <v>434</v>
      </c>
      <c r="Y58" s="4" t="s">
        <v>159</v>
      </c>
      <c r="Z58" s="153">
        <v>14000</v>
      </c>
      <c r="AA58" s="153">
        <v>1</v>
      </c>
      <c r="AB58" s="153">
        <v>104.923</v>
      </c>
      <c r="AD58" s="153">
        <v>14.689</v>
      </c>
      <c r="AG58" s="2" t="s">
        <v>37</v>
      </c>
      <c r="AH58" s="167">
        <v>0</v>
      </c>
      <c r="AI58" s="167">
        <v>3.6142045827176499E-2</v>
      </c>
      <c r="AJ58" s="167">
        <v>1.4561578113063301E-3</v>
      </c>
    </row>
    <row r="59" spans="1:36">
      <c r="A59" s="2" t="s">
        <v>26</v>
      </c>
      <c r="B59" s="2">
        <v>1522</v>
      </c>
      <c r="C59" s="2" t="s">
        <v>1594</v>
      </c>
      <c r="D59" s="2" t="s">
        <v>1595</v>
      </c>
      <c r="E59" s="4" t="s">
        <v>1345</v>
      </c>
      <c r="F59" s="2" t="s">
        <v>1895</v>
      </c>
      <c r="G59" s="2" t="s">
        <v>1896</v>
      </c>
      <c r="H59" s="2" t="s">
        <v>343</v>
      </c>
      <c r="I59" s="2" t="s">
        <v>777</v>
      </c>
      <c r="J59" s="2" t="s">
        <v>31</v>
      </c>
      <c r="K59" s="2" t="s">
        <v>31</v>
      </c>
      <c r="L59" s="2" t="s">
        <v>349</v>
      </c>
      <c r="M59" s="2" t="s">
        <v>49</v>
      </c>
      <c r="N59" s="2" t="s">
        <v>484</v>
      </c>
      <c r="O59" s="2" t="s">
        <v>159</v>
      </c>
      <c r="P59" s="2" t="s">
        <v>1840</v>
      </c>
      <c r="Q59" s="2" t="s">
        <v>128</v>
      </c>
      <c r="R59" s="2" t="s">
        <v>428</v>
      </c>
      <c r="S59" s="2" t="s">
        <v>45</v>
      </c>
      <c r="T59" s="153">
        <v>2.8639999999999999</v>
      </c>
      <c r="U59" s="2" t="s">
        <v>1861</v>
      </c>
      <c r="V59" s="165">
        <v>1.77E-2</v>
      </c>
      <c r="W59" s="167">
        <v>2.0539999999999999E-2</v>
      </c>
      <c r="X59" s="4" t="s">
        <v>434</v>
      </c>
      <c r="Y59" s="4" t="s">
        <v>159</v>
      </c>
      <c r="Z59" s="153">
        <v>0.56999999999999995</v>
      </c>
      <c r="AA59" s="153">
        <v>1</v>
      </c>
      <c r="AB59" s="153">
        <v>111.11</v>
      </c>
      <c r="AD59" s="153">
        <v>1E-3</v>
      </c>
      <c r="AG59" s="2" t="s">
        <v>37</v>
      </c>
      <c r="AH59" s="167">
        <v>0</v>
      </c>
      <c r="AI59" s="167">
        <v>1.5582674544726099E-6</v>
      </c>
      <c r="AJ59" s="167">
        <v>6.2782370892477898E-8</v>
      </c>
    </row>
    <row r="60" spans="1:36">
      <c r="A60" s="2" t="s">
        <v>26</v>
      </c>
      <c r="B60" s="2">
        <v>1522</v>
      </c>
      <c r="C60" s="2" t="s">
        <v>1594</v>
      </c>
      <c r="D60" s="2" t="s">
        <v>1595</v>
      </c>
      <c r="E60" s="4" t="s">
        <v>1345</v>
      </c>
      <c r="F60" s="2" t="s">
        <v>2002</v>
      </c>
      <c r="G60" s="2" t="s">
        <v>2003</v>
      </c>
      <c r="H60" s="2" t="s">
        <v>343</v>
      </c>
      <c r="I60" s="2" t="s">
        <v>777</v>
      </c>
      <c r="J60" s="2" t="s">
        <v>31</v>
      </c>
      <c r="K60" s="2" t="s">
        <v>31</v>
      </c>
      <c r="L60" s="2" t="s">
        <v>349</v>
      </c>
      <c r="M60" s="2" t="s">
        <v>49</v>
      </c>
      <c r="N60" s="2" t="s">
        <v>484</v>
      </c>
      <c r="O60" s="2" t="s">
        <v>159</v>
      </c>
      <c r="P60" s="2" t="s">
        <v>2004</v>
      </c>
      <c r="Q60" s="2" t="s">
        <v>435</v>
      </c>
      <c r="R60" s="2" t="s">
        <v>428</v>
      </c>
      <c r="S60" s="2" t="s">
        <v>45</v>
      </c>
      <c r="T60" s="153">
        <v>0.998</v>
      </c>
      <c r="U60" s="2" t="s">
        <v>2005</v>
      </c>
      <c r="V60" s="165">
        <v>6.4999999999999997E-3</v>
      </c>
      <c r="W60" s="167">
        <v>1.6490000000000001E-2</v>
      </c>
      <c r="X60" s="4" t="s">
        <v>434</v>
      </c>
      <c r="Y60" s="4" t="s">
        <v>159</v>
      </c>
      <c r="Z60" s="153">
        <v>0</v>
      </c>
      <c r="AA60" s="153">
        <v>1</v>
      </c>
      <c r="AB60" s="153">
        <v>110.63</v>
      </c>
      <c r="AC60" s="153">
        <v>5.6219999999999999</v>
      </c>
      <c r="AD60" s="153">
        <v>5.6219999999999999</v>
      </c>
      <c r="AG60" s="2" t="s">
        <v>37</v>
      </c>
      <c r="AI60" s="167">
        <v>1.38333460070498E-2</v>
      </c>
      <c r="AJ60" s="167">
        <v>5.5734351455894002E-4</v>
      </c>
    </row>
    <row r="61" spans="1:36">
      <c r="A61" s="2" t="s">
        <v>26</v>
      </c>
      <c r="B61" s="2">
        <v>1522</v>
      </c>
      <c r="C61" s="2" t="s">
        <v>2006</v>
      </c>
      <c r="D61" s="2" t="s">
        <v>2007</v>
      </c>
      <c r="E61" s="4" t="s">
        <v>1345</v>
      </c>
      <c r="F61" s="2" t="s">
        <v>2008</v>
      </c>
      <c r="G61" s="2" t="s">
        <v>2009</v>
      </c>
      <c r="H61" s="2" t="s">
        <v>343</v>
      </c>
      <c r="I61" s="2" t="s">
        <v>990</v>
      </c>
      <c r="J61" s="2" t="s">
        <v>31</v>
      </c>
      <c r="K61" s="2" t="s">
        <v>31</v>
      </c>
      <c r="L61" s="2" t="s">
        <v>349</v>
      </c>
      <c r="M61" s="2" t="s">
        <v>49</v>
      </c>
      <c r="N61" s="2" t="s">
        <v>467</v>
      </c>
      <c r="O61" s="2" t="s">
        <v>159</v>
      </c>
      <c r="P61" s="2" t="s">
        <v>1350</v>
      </c>
      <c r="Q61" s="2" t="s">
        <v>336</v>
      </c>
      <c r="R61" s="2" t="s">
        <v>430</v>
      </c>
      <c r="S61" s="2" t="s">
        <v>45</v>
      </c>
      <c r="T61" s="153">
        <v>1.5680000000000001</v>
      </c>
      <c r="U61" s="2" t="s">
        <v>61</v>
      </c>
      <c r="V61" s="165">
        <v>0.06</v>
      </c>
      <c r="W61" s="167">
        <v>6.1800000000000001E-2</v>
      </c>
      <c r="X61" s="4" t="s">
        <v>434</v>
      </c>
      <c r="Y61" s="4" t="s">
        <v>159</v>
      </c>
      <c r="Z61" s="153">
        <v>16100</v>
      </c>
      <c r="AA61" s="153">
        <v>1</v>
      </c>
      <c r="AB61" s="153">
        <v>101.88</v>
      </c>
      <c r="AD61" s="153">
        <v>16.402999999999999</v>
      </c>
      <c r="AG61" s="2" t="s">
        <v>37</v>
      </c>
      <c r="AH61" s="153">
        <v>6.3999999999999997E-5</v>
      </c>
      <c r="AI61" s="167">
        <v>4.0357923174172E-2</v>
      </c>
      <c r="AJ61" s="167">
        <v>1.62601490129211E-3</v>
      </c>
    </row>
    <row r="62" spans="1:36">
      <c r="A62" s="2" t="s">
        <v>26</v>
      </c>
      <c r="B62" s="2">
        <v>1522</v>
      </c>
      <c r="C62" s="2" t="s">
        <v>2010</v>
      </c>
      <c r="D62" s="2" t="s">
        <v>2011</v>
      </c>
      <c r="E62" s="4" t="s">
        <v>1345</v>
      </c>
      <c r="F62" s="2" t="s">
        <v>2012</v>
      </c>
      <c r="G62" s="2" t="s">
        <v>2013</v>
      </c>
      <c r="H62" s="2" t="s">
        <v>343</v>
      </c>
      <c r="I62" s="2" t="s">
        <v>990</v>
      </c>
      <c r="J62" s="2" t="s">
        <v>31</v>
      </c>
      <c r="K62" s="2" t="s">
        <v>125</v>
      </c>
      <c r="L62" s="2" t="s">
        <v>349</v>
      </c>
      <c r="M62" s="2" t="s">
        <v>49</v>
      </c>
      <c r="N62" s="2" t="s">
        <v>485</v>
      </c>
      <c r="O62" s="2" t="s">
        <v>159</v>
      </c>
      <c r="P62" s="2" t="s">
        <v>1779</v>
      </c>
      <c r="Q62" s="2" t="s">
        <v>435</v>
      </c>
      <c r="R62" s="2" t="s">
        <v>428</v>
      </c>
      <c r="S62" s="2" t="s">
        <v>45</v>
      </c>
      <c r="T62" s="153">
        <v>2.048</v>
      </c>
      <c r="U62" s="2" t="s">
        <v>1824</v>
      </c>
      <c r="V62" s="165">
        <v>0.09</v>
      </c>
      <c r="W62" s="167">
        <v>6.2280000000000002E-2</v>
      </c>
      <c r="X62" s="4" t="s">
        <v>434</v>
      </c>
      <c r="Y62" s="4" t="s">
        <v>159</v>
      </c>
      <c r="Z62" s="153">
        <v>10000</v>
      </c>
      <c r="AA62" s="153">
        <v>1</v>
      </c>
      <c r="AB62" s="153">
        <v>108.21</v>
      </c>
      <c r="AD62" s="153">
        <v>10.821</v>
      </c>
      <c r="AG62" s="2" t="s">
        <v>37</v>
      </c>
      <c r="AH62" s="153">
        <v>3.1000000000000001E-5</v>
      </c>
      <c r="AI62" s="167">
        <v>2.6624495915772001E-2</v>
      </c>
      <c r="AJ62" s="167">
        <v>1.0726970986986201E-3</v>
      </c>
    </row>
    <row r="63" spans="1:36">
      <c r="A63" s="2" t="s">
        <v>26</v>
      </c>
      <c r="B63" s="2">
        <v>1522</v>
      </c>
      <c r="C63" s="2" t="s">
        <v>1202</v>
      </c>
      <c r="D63" s="2" t="s">
        <v>1562</v>
      </c>
      <c r="E63" s="4" t="s">
        <v>1345</v>
      </c>
      <c r="F63" s="2" t="s">
        <v>2014</v>
      </c>
      <c r="G63" s="2" t="s">
        <v>2015</v>
      </c>
      <c r="H63" s="2" t="s">
        <v>343</v>
      </c>
      <c r="I63" s="2" t="s">
        <v>778</v>
      </c>
      <c r="J63" s="2" t="s">
        <v>31</v>
      </c>
      <c r="K63" s="2" t="s">
        <v>31</v>
      </c>
      <c r="L63" s="2" t="s">
        <v>349</v>
      </c>
      <c r="M63" s="2" t="s">
        <v>336</v>
      </c>
      <c r="N63" s="2" t="s">
        <v>557</v>
      </c>
      <c r="O63" s="2" t="s">
        <v>159</v>
      </c>
      <c r="P63" s="2" t="s">
        <v>2016</v>
      </c>
      <c r="Q63" s="2" t="s">
        <v>453</v>
      </c>
      <c r="R63" s="2" t="s">
        <v>428</v>
      </c>
      <c r="S63" s="2" t="s">
        <v>35</v>
      </c>
      <c r="T63" s="153">
        <v>1.69</v>
      </c>
      <c r="U63" s="2" t="s">
        <v>2017</v>
      </c>
      <c r="V63" s="165">
        <v>3.2750000000000001E-2</v>
      </c>
      <c r="W63" s="167">
        <v>6.5809999999999994E-2</v>
      </c>
      <c r="X63" s="4" t="s">
        <v>434</v>
      </c>
      <c r="Y63" s="4" t="s">
        <v>159</v>
      </c>
      <c r="Z63" s="153">
        <v>2000</v>
      </c>
      <c r="AA63" s="153">
        <v>3.681</v>
      </c>
      <c r="AB63" s="153">
        <v>92.834000000000003</v>
      </c>
      <c r="AD63" s="153">
        <v>6.875</v>
      </c>
      <c r="AG63" s="2" t="s">
        <v>37</v>
      </c>
      <c r="AH63" s="153">
        <v>3.0000000000000001E-6</v>
      </c>
      <c r="AI63" s="167">
        <v>1.6916266250082201E-2</v>
      </c>
      <c r="AJ63" s="167">
        <v>6.8155392630465201E-4</v>
      </c>
    </row>
    <row r="64" spans="1:36">
      <c r="A64" s="2" t="s">
        <v>26</v>
      </c>
      <c r="B64" s="2">
        <v>1522</v>
      </c>
      <c r="C64" s="2" t="s">
        <v>1935</v>
      </c>
      <c r="D64" s="2" t="s">
        <v>1936</v>
      </c>
      <c r="E64" s="4" t="s">
        <v>1345</v>
      </c>
      <c r="F64" s="2" t="s">
        <v>2018</v>
      </c>
      <c r="G64" s="2" t="s">
        <v>2019</v>
      </c>
      <c r="H64" s="2" t="s">
        <v>343</v>
      </c>
      <c r="I64" s="2" t="s">
        <v>778</v>
      </c>
      <c r="J64" s="2" t="s">
        <v>31</v>
      </c>
      <c r="K64" s="2" t="s">
        <v>31</v>
      </c>
      <c r="L64" s="2" t="s">
        <v>349</v>
      </c>
      <c r="M64" s="2" t="s">
        <v>336</v>
      </c>
      <c r="N64" s="2" t="s">
        <v>507</v>
      </c>
      <c r="O64" s="2" t="s">
        <v>159</v>
      </c>
      <c r="P64" s="2" t="s">
        <v>2020</v>
      </c>
      <c r="Q64" s="2" t="s">
        <v>453</v>
      </c>
      <c r="R64" s="2" t="s">
        <v>428</v>
      </c>
      <c r="S64" s="2" t="s">
        <v>35</v>
      </c>
      <c r="T64" s="153">
        <v>2.79</v>
      </c>
      <c r="U64" s="2" t="s">
        <v>1959</v>
      </c>
      <c r="V64" s="165">
        <v>6.5000000000000002E-2</v>
      </c>
      <c r="W64" s="167">
        <v>7.7990000000000004E-2</v>
      </c>
      <c r="X64" s="4" t="s">
        <v>434</v>
      </c>
      <c r="Y64" s="4" t="s">
        <v>159</v>
      </c>
      <c r="Z64" s="153">
        <v>1000</v>
      </c>
      <c r="AA64" s="153">
        <v>3.681</v>
      </c>
      <c r="AB64" s="153">
        <v>96.843000000000004</v>
      </c>
      <c r="AD64" s="153">
        <v>3.625</v>
      </c>
      <c r="AG64" s="2" t="s">
        <v>37</v>
      </c>
      <c r="AH64" s="153">
        <v>1.9999999999999999E-6</v>
      </c>
      <c r="AI64" s="167">
        <v>8.9181532573457609E-3</v>
      </c>
      <c r="AJ64" s="167">
        <v>3.5931110790485998E-4</v>
      </c>
    </row>
    <row r="65" spans="1:36">
      <c r="A65" s="2" t="s">
        <v>26</v>
      </c>
      <c r="B65" s="2">
        <v>1522</v>
      </c>
      <c r="C65" s="2" t="s">
        <v>1565</v>
      </c>
      <c r="D65" s="2" t="s">
        <v>1566</v>
      </c>
      <c r="E65" s="4" t="s">
        <v>1345</v>
      </c>
      <c r="F65" s="2" t="s">
        <v>2021</v>
      </c>
      <c r="G65" s="2" t="s">
        <v>2022</v>
      </c>
      <c r="H65" s="2" t="s">
        <v>343</v>
      </c>
      <c r="I65" s="2" t="s">
        <v>778</v>
      </c>
      <c r="J65" s="2" t="s">
        <v>31</v>
      </c>
      <c r="K65" s="2" t="s">
        <v>31</v>
      </c>
      <c r="L65" s="2" t="s">
        <v>349</v>
      </c>
      <c r="M65" s="2" t="s">
        <v>336</v>
      </c>
      <c r="N65" s="2" t="s">
        <v>557</v>
      </c>
      <c r="O65" s="2" t="s">
        <v>159</v>
      </c>
      <c r="P65" s="2" t="s">
        <v>2023</v>
      </c>
      <c r="Q65" s="2" t="s">
        <v>453</v>
      </c>
      <c r="R65" s="2" t="s">
        <v>428</v>
      </c>
      <c r="S65" s="2" t="s">
        <v>35</v>
      </c>
      <c r="T65" s="153">
        <v>1.87</v>
      </c>
      <c r="U65" s="2" t="s">
        <v>2024</v>
      </c>
      <c r="V65" s="165">
        <v>3.0769999999999999E-2</v>
      </c>
      <c r="W65" s="167">
        <v>7.1179999999999993E-2</v>
      </c>
      <c r="X65" s="4" t="s">
        <v>434</v>
      </c>
      <c r="Y65" s="4" t="s">
        <v>159</v>
      </c>
      <c r="Z65" s="153">
        <v>2000</v>
      </c>
      <c r="AA65" s="153">
        <v>3.681</v>
      </c>
      <c r="AB65" s="153">
        <v>91.664000000000001</v>
      </c>
      <c r="AD65" s="153">
        <v>6.8570000000000002</v>
      </c>
      <c r="AG65" s="2" t="s">
        <v>37</v>
      </c>
      <c r="AH65" s="153">
        <v>3.0000000000000001E-6</v>
      </c>
      <c r="AI65" s="167">
        <v>1.68716863520815E-2</v>
      </c>
      <c r="AJ65" s="167">
        <v>6.7975780864680405E-4</v>
      </c>
    </row>
    <row r="66" spans="1:36">
      <c r="A66" s="2" t="s">
        <v>26</v>
      </c>
      <c r="B66" s="2">
        <v>1522</v>
      </c>
      <c r="C66" s="2" t="s">
        <v>2025</v>
      </c>
      <c r="D66" s="2" t="s">
        <v>2026</v>
      </c>
      <c r="E66" s="4" t="s">
        <v>335</v>
      </c>
      <c r="F66" s="2" t="s">
        <v>2027</v>
      </c>
      <c r="G66" s="2" t="s">
        <v>2028</v>
      </c>
      <c r="H66" s="2" t="s">
        <v>343</v>
      </c>
      <c r="I66" s="2" t="s">
        <v>778</v>
      </c>
      <c r="J66" s="2" t="s">
        <v>124</v>
      </c>
      <c r="K66" s="2" t="s">
        <v>261</v>
      </c>
      <c r="L66" s="2" t="s">
        <v>349</v>
      </c>
      <c r="M66" s="2" t="s">
        <v>336</v>
      </c>
      <c r="N66" s="2" t="s">
        <v>589</v>
      </c>
      <c r="O66" s="2" t="s">
        <v>159</v>
      </c>
      <c r="P66" s="2" t="s">
        <v>2029</v>
      </c>
      <c r="Q66" s="2" t="s">
        <v>453</v>
      </c>
      <c r="R66" s="2" t="s">
        <v>428</v>
      </c>
      <c r="S66" s="2" t="s">
        <v>1206</v>
      </c>
      <c r="T66" s="153">
        <v>0.77</v>
      </c>
      <c r="U66" s="2" t="s">
        <v>2030</v>
      </c>
      <c r="V66" s="165">
        <v>0.02</v>
      </c>
      <c r="W66" s="167">
        <v>7.6300000000000007E-2</v>
      </c>
      <c r="X66" s="4" t="s">
        <v>434</v>
      </c>
      <c r="Y66" s="4" t="s">
        <v>159</v>
      </c>
      <c r="Z66" s="153">
        <v>1000</v>
      </c>
      <c r="AA66" s="153">
        <v>3.9790000000000001</v>
      </c>
      <c r="AB66" s="153">
        <v>95.575999999999993</v>
      </c>
      <c r="AD66" s="153">
        <v>3.8159999999999998</v>
      </c>
      <c r="AG66" s="2" t="s">
        <v>37</v>
      </c>
      <c r="AH66" s="153">
        <v>3.0000000000000001E-6</v>
      </c>
      <c r="AI66" s="167">
        <v>9.3898727699583805E-3</v>
      </c>
      <c r="AJ66" s="167">
        <v>3.7831661900185402E-4</v>
      </c>
    </row>
    <row r="67" spans="1:36">
      <c r="A67" s="2" t="s">
        <v>26</v>
      </c>
      <c r="B67" s="2">
        <v>9935</v>
      </c>
      <c r="C67" s="2" t="s">
        <v>2031</v>
      </c>
      <c r="D67" s="2" t="s">
        <v>2032</v>
      </c>
      <c r="E67" s="4" t="s">
        <v>335</v>
      </c>
      <c r="F67" s="2" t="s">
        <v>2033</v>
      </c>
      <c r="G67" s="2" t="s">
        <v>2034</v>
      </c>
      <c r="H67" s="2" t="s">
        <v>343</v>
      </c>
      <c r="I67" s="2" t="s">
        <v>778</v>
      </c>
      <c r="J67" s="2" t="s">
        <v>124</v>
      </c>
      <c r="K67" s="2" t="s">
        <v>125</v>
      </c>
      <c r="L67" s="2" t="s">
        <v>349</v>
      </c>
      <c r="M67" s="2" t="s">
        <v>366</v>
      </c>
      <c r="N67" s="2" t="s">
        <v>501</v>
      </c>
      <c r="O67" s="2" t="s">
        <v>159</v>
      </c>
      <c r="P67" s="2" t="s">
        <v>2016</v>
      </c>
      <c r="Q67" s="2" t="s">
        <v>453</v>
      </c>
      <c r="R67" s="2" t="s">
        <v>428</v>
      </c>
      <c r="S67" s="2" t="s">
        <v>35</v>
      </c>
      <c r="T67" s="153">
        <v>3.32</v>
      </c>
      <c r="U67" s="2" t="s">
        <v>2035</v>
      </c>
      <c r="V67" s="165">
        <v>5.2499999999999998E-2</v>
      </c>
      <c r="W67" s="167">
        <v>5.0319999999999997E-2</v>
      </c>
      <c r="X67" s="4" t="s">
        <v>434</v>
      </c>
      <c r="Y67" s="4" t="s">
        <v>159</v>
      </c>
      <c r="Z67" s="153">
        <v>260000</v>
      </c>
      <c r="AA67" s="153">
        <v>3.681</v>
      </c>
      <c r="AB67" s="153">
        <v>101.288</v>
      </c>
      <c r="AD67" s="153">
        <v>977.62199999999996</v>
      </c>
      <c r="AG67" s="2" t="s">
        <v>37</v>
      </c>
      <c r="AH67" s="153">
        <v>2.5999999999999998E-4</v>
      </c>
      <c r="AI67" s="167">
        <v>5.8497028266394904E-3</v>
      </c>
      <c r="AJ67" s="167">
        <v>8.9182883477427304E-4</v>
      </c>
    </row>
    <row r="68" spans="1:36">
      <c r="A68" s="2" t="s">
        <v>26</v>
      </c>
      <c r="B68" s="2">
        <v>9935</v>
      </c>
      <c r="C68" s="2" t="s">
        <v>1775</v>
      </c>
      <c r="D68" s="2" t="s">
        <v>1776</v>
      </c>
      <c r="E68" s="4" t="s">
        <v>1345</v>
      </c>
      <c r="F68" s="2" t="s">
        <v>1777</v>
      </c>
      <c r="G68" s="2" t="s">
        <v>1778</v>
      </c>
      <c r="H68" s="2" t="s">
        <v>343</v>
      </c>
      <c r="I68" s="2" t="s">
        <v>777</v>
      </c>
      <c r="J68" s="2" t="s">
        <v>31</v>
      </c>
      <c r="K68" s="2" t="s">
        <v>31</v>
      </c>
      <c r="L68" s="2" t="s">
        <v>349</v>
      </c>
      <c r="M68" s="2" t="s">
        <v>49</v>
      </c>
      <c r="N68" s="2" t="s">
        <v>484</v>
      </c>
      <c r="O68" s="2" t="s">
        <v>159</v>
      </c>
      <c r="P68" s="2" t="s">
        <v>1779</v>
      </c>
      <c r="Q68" s="2" t="s">
        <v>435</v>
      </c>
      <c r="R68" s="2" t="s">
        <v>428</v>
      </c>
      <c r="S68" s="2" t="s">
        <v>45</v>
      </c>
      <c r="T68" s="153">
        <v>2.698</v>
      </c>
      <c r="U68" s="2" t="s">
        <v>108</v>
      </c>
      <c r="V68" s="165">
        <v>2.3400000000000001E-2</v>
      </c>
      <c r="W68" s="167">
        <v>2.1569999999999999E-2</v>
      </c>
      <c r="X68" s="4" t="s">
        <v>434</v>
      </c>
      <c r="Y68" s="4" t="s">
        <v>159</v>
      </c>
      <c r="Z68" s="153">
        <v>1031250</v>
      </c>
      <c r="AA68" s="153">
        <v>1</v>
      </c>
      <c r="AB68" s="153">
        <v>111.84</v>
      </c>
      <c r="AD68" s="153">
        <v>1153.3499999999999</v>
      </c>
      <c r="AG68" s="2" t="s">
        <v>37</v>
      </c>
      <c r="AH68" s="153">
        <v>3.9800000000000002E-4</v>
      </c>
      <c r="AI68" s="167">
        <v>6.9011921419421E-3</v>
      </c>
      <c r="AJ68" s="167">
        <v>1.0521358655132399E-3</v>
      </c>
    </row>
    <row r="69" spans="1:36">
      <c r="A69" s="2" t="s">
        <v>26</v>
      </c>
      <c r="B69" s="2">
        <v>9935</v>
      </c>
      <c r="C69" s="2" t="s">
        <v>1516</v>
      </c>
      <c r="D69" s="2" t="s">
        <v>1517</v>
      </c>
      <c r="E69" s="4" t="s">
        <v>1345</v>
      </c>
      <c r="F69" s="2" t="s">
        <v>1780</v>
      </c>
      <c r="G69" s="2" t="s">
        <v>1781</v>
      </c>
      <c r="H69" s="2" t="s">
        <v>343</v>
      </c>
      <c r="I69" s="2" t="s">
        <v>990</v>
      </c>
      <c r="J69" s="2" t="s">
        <v>31</v>
      </c>
      <c r="K69" s="2" t="s">
        <v>31</v>
      </c>
      <c r="L69" s="2" t="s">
        <v>349</v>
      </c>
      <c r="M69" s="2" t="s">
        <v>49</v>
      </c>
      <c r="N69" s="2" t="s">
        <v>466</v>
      </c>
      <c r="O69" s="2" t="s">
        <v>159</v>
      </c>
      <c r="P69" s="2" t="s">
        <v>1779</v>
      </c>
      <c r="Q69" s="2" t="s">
        <v>435</v>
      </c>
      <c r="R69" s="2" t="s">
        <v>428</v>
      </c>
      <c r="S69" s="2" t="s">
        <v>45</v>
      </c>
      <c r="T69" s="153">
        <v>2.597</v>
      </c>
      <c r="U69" s="2" t="s">
        <v>1782</v>
      </c>
      <c r="V69" s="165">
        <v>1.0800000000000001E-2</v>
      </c>
      <c r="W69" s="167">
        <v>4.4749999999999998E-2</v>
      </c>
      <c r="X69" s="4" t="s">
        <v>434</v>
      </c>
      <c r="Y69" s="4" t="s">
        <v>159</v>
      </c>
      <c r="Z69" s="153">
        <v>1482900</v>
      </c>
      <c r="AA69" s="153">
        <v>1</v>
      </c>
      <c r="AB69" s="153">
        <v>92.04</v>
      </c>
      <c r="AD69" s="153">
        <v>1364.8610000000001</v>
      </c>
      <c r="AG69" s="2" t="s">
        <v>37</v>
      </c>
      <c r="AH69" s="153">
        <v>1.1299999999999999E-3</v>
      </c>
      <c r="AI69" s="167">
        <v>8.1667916176650403E-3</v>
      </c>
      <c r="AJ69" s="167">
        <v>1.2450855142688701E-3</v>
      </c>
    </row>
    <row r="70" spans="1:36">
      <c r="A70" s="2" t="s">
        <v>26</v>
      </c>
      <c r="B70" s="2">
        <v>9935</v>
      </c>
      <c r="C70" s="2" t="s">
        <v>1520</v>
      </c>
      <c r="D70" s="2" t="s">
        <v>1521</v>
      </c>
      <c r="E70" s="4" t="s">
        <v>1345</v>
      </c>
      <c r="F70" s="2" t="s">
        <v>1783</v>
      </c>
      <c r="G70" s="2" t="s">
        <v>1784</v>
      </c>
      <c r="H70" s="2" t="s">
        <v>343</v>
      </c>
      <c r="I70" s="2" t="s">
        <v>990</v>
      </c>
      <c r="J70" s="2" t="s">
        <v>31</v>
      </c>
      <c r="K70" s="2" t="s">
        <v>31</v>
      </c>
      <c r="L70" s="2" t="s">
        <v>349</v>
      </c>
      <c r="M70" s="2" t="s">
        <v>49</v>
      </c>
      <c r="N70" s="2" t="s">
        <v>484</v>
      </c>
      <c r="O70" s="2" t="s">
        <v>159</v>
      </c>
      <c r="P70" s="2" t="s">
        <v>1785</v>
      </c>
      <c r="Q70" s="2" t="s">
        <v>435</v>
      </c>
      <c r="R70" s="2" t="s">
        <v>428</v>
      </c>
      <c r="S70" s="2" t="s">
        <v>45</v>
      </c>
      <c r="T70" s="153">
        <v>1.8580000000000001</v>
      </c>
      <c r="U70" s="2" t="s">
        <v>1786</v>
      </c>
      <c r="V70" s="165">
        <v>3.85E-2</v>
      </c>
      <c r="W70" s="167">
        <v>4.768E-2</v>
      </c>
      <c r="X70" s="4" t="s">
        <v>434</v>
      </c>
      <c r="Y70" s="4" t="s">
        <v>159</v>
      </c>
      <c r="Z70" s="153">
        <v>1506453.3</v>
      </c>
      <c r="AA70" s="153">
        <v>1</v>
      </c>
      <c r="AB70" s="153">
        <v>98.71</v>
      </c>
      <c r="AD70" s="153">
        <v>1487.02</v>
      </c>
      <c r="AG70" s="2" t="s">
        <v>37</v>
      </c>
      <c r="AH70" s="153">
        <v>1.572E-3</v>
      </c>
      <c r="AI70" s="167">
        <v>8.8977423165043004E-3</v>
      </c>
      <c r="AJ70" s="167">
        <v>1.3565241512975099E-3</v>
      </c>
    </row>
    <row r="71" spans="1:36">
      <c r="A71" s="2" t="s">
        <v>26</v>
      </c>
      <c r="B71" s="2">
        <v>9935</v>
      </c>
      <c r="C71" s="2" t="s">
        <v>1520</v>
      </c>
      <c r="D71" s="2" t="s">
        <v>1521</v>
      </c>
      <c r="E71" s="4" t="s">
        <v>1345</v>
      </c>
      <c r="F71" s="2" t="s">
        <v>1787</v>
      </c>
      <c r="G71" s="2" t="s">
        <v>1788</v>
      </c>
      <c r="H71" s="2" t="s">
        <v>343</v>
      </c>
      <c r="I71" s="2" t="s">
        <v>777</v>
      </c>
      <c r="J71" s="2" t="s">
        <v>31</v>
      </c>
      <c r="K71" s="2" t="s">
        <v>31</v>
      </c>
      <c r="L71" s="2" t="s">
        <v>349</v>
      </c>
      <c r="M71" s="2" t="s">
        <v>49</v>
      </c>
      <c r="N71" s="2" t="s">
        <v>484</v>
      </c>
      <c r="O71" s="2" t="s">
        <v>159</v>
      </c>
      <c r="P71" s="2" t="s">
        <v>1789</v>
      </c>
      <c r="Q71" s="2" t="s">
        <v>128</v>
      </c>
      <c r="R71" s="2" t="s">
        <v>428</v>
      </c>
      <c r="S71" s="2" t="s">
        <v>45</v>
      </c>
      <c r="T71" s="153">
        <v>7.4429999999999996</v>
      </c>
      <c r="U71" s="2" t="s">
        <v>1790</v>
      </c>
      <c r="V71" s="165">
        <v>2.5600000000000001E-2</v>
      </c>
      <c r="W71" s="167">
        <v>3.9620000000000002E-2</v>
      </c>
      <c r="X71" s="4" t="s">
        <v>434</v>
      </c>
      <c r="Y71" s="4" t="s">
        <v>159</v>
      </c>
      <c r="Z71" s="153">
        <v>520000</v>
      </c>
      <c r="AA71" s="153">
        <v>1</v>
      </c>
      <c r="AB71" s="153">
        <v>94.33</v>
      </c>
      <c r="AD71" s="153">
        <v>490.51600000000002</v>
      </c>
      <c r="AG71" s="2" t="s">
        <v>37</v>
      </c>
      <c r="AH71" s="153">
        <v>7.7800000000000005E-4</v>
      </c>
      <c r="AI71" s="167">
        <v>2.9350545495269199E-3</v>
      </c>
      <c r="AJ71" s="167">
        <v>4.47469958129009E-4</v>
      </c>
    </row>
    <row r="72" spans="1:36">
      <c r="A72" s="2" t="s">
        <v>26</v>
      </c>
      <c r="B72" s="2">
        <v>9935</v>
      </c>
      <c r="C72" s="2" t="s">
        <v>1791</v>
      </c>
      <c r="D72" s="2" t="s">
        <v>1792</v>
      </c>
      <c r="E72" s="4" t="s">
        <v>1345</v>
      </c>
      <c r="F72" s="2" t="s">
        <v>2036</v>
      </c>
      <c r="G72" s="2" t="s">
        <v>2037</v>
      </c>
      <c r="H72" s="2" t="s">
        <v>343</v>
      </c>
      <c r="I72" s="2" t="s">
        <v>990</v>
      </c>
      <c r="J72" s="2" t="s">
        <v>31</v>
      </c>
      <c r="K72" s="2" t="s">
        <v>31</v>
      </c>
      <c r="L72" s="2" t="s">
        <v>349</v>
      </c>
      <c r="M72" s="2" t="s">
        <v>49</v>
      </c>
      <c r="N72" s="2" t="s">
        <v>471</v>
      </c>
      <c r="O72" s="2" t="s">
        <v>159</v>
      </c>
      <c r="P72" s="2" t="s">
        <v>33</v>
      </c>
      <c r="Q72" s="2" t="s">
        <v>128</v>
      </c>
      <c r="R72" s="2" t="s">
        <v>428</v>
      </c>
      <c r="S72" s="2" t="s">
        <v>45</v>
      </c>
      <c r="T72" s="153">
        <v>1.2</v>
      </c>
      <c r="U72" s="2" t="s">
        <v>1824</v>
      </c>
      <c r="V72" s="165">
        <v>0.04</v>
      </c>
      <c r="W72" s="167">
        <v>4.9059999999999999E-2</v>
      </c>
      <c r="X72" s="4" t="s">
        <v>434</v>
      </c>
      <c r="Y72" s="4" t="s">
        <v>159</v>
      </c>
      <c r="Z72" s="153">
        <v>1613845.7</v>
      </c>
      <c r="AA72" s="153">
        <v>1</v>
      </c>
      <c r="AB72" s="153">
        <v>100.02</v>
      </c>
      <c r="AD72" s="153">
        <v>1614.1679999999999</v>
      </c>
      <c r="AG72" s="2" t="s">
        <v>37</v>
      </c>
      <c r="AH72" s="153">
        <v>8.1659999999999996E-3</v>
      </c>
      <c r="AI72" s="167">
        <v>9.6585483634626709E-3</v>
      </c>
      <c r="AJ72" s="167">
        <v>1.4725144486606801E-3</v>
      </c>
    </row>
    <row r="73" spans="1:36">
      <c r="A73" s="2" t="s">
        <v>26</v>
      </c>
      <c r="B73" s="2">
        <v>9935</v>
      </c>
      <c r="C73" s="2" t="s">
        <v>1791</v>
      </c>
      <c r="D73" s="2" t="s">
        <v>1792</v>
      </c>
      <c r="E73" s="4" t="s">
        <v>1345</v>
      </c>
      <c r="F73" s="2" t="s">
        <v>1793</v>
      </c>
      <c r="G73" s="2" t="s">
        <v>1794</v>
      </c>
      <c r="H73" s="2" t="s">
        <v>343</v>
      </c>
      <c r="I73" s="2" t="s">
        <v>990</v>
      </c>
      <c r="J73" s="2" t="s">
        <v>31</v>
      </c>
      <c r="K73" s="2" t="s">
        <v>31</v>
      </c>
      <c r="L73" s="2" t="s">
        <v>349</v>
      </c>
      <c r="M73" s="2" t="s">
        <v>49</v>
      </c>
      <c r="N73" s="2" t="s">
        <v>471</v>
      </c>
      <c r="O73" s="2" t="s">
        <v>159</v>
      </c>
      <c r="P73" s="2" t="s">
        <v>1795</v>
      </c>
      <c r="Q73" s="2" t="s">
        <v>435</v>
      </c>
      <c r="R73" s="2" t="s">
        <v>428</v>
      </c>
      <c r="S73" s="2" t="s">
        <v>45</v>
      </c>
      <c r="T73" s="153">
        <v>3.41</v>
      </c>
      <c r="U73" s="2" t="s">
        <v>1796</v>
      </c>
      <c r="V73" s="165">
        <v>0.04</v>
      </c>
      <c r="W73" s="167">
        <v>5.0200000000000002E-2</v>
      </c>
      <c r="X73" s="4" t="s">
        <v>434</v>
      </c>
      <c r="Y73" s="4" t="s">
        <v>159</v>
      </c>
      <c r="Z73" s="153">
        <v>437500.07</v>
      </c>
      <c r="AA73" s="153">
        <v>1</v>
      </c>
      <c r="AB73" s="153">
        <v>97.7</v>
      </c>
      <c r="AD73" s="153">
        <v>427.43799999999999</v>
      </c>
      <c r="AG73" s="2" t="s">
        <v>37</v>
      </c>
      <c r="AH73" s="153">
        <v>5.6499999999999996E-4</v>
      </c>
      <c r="AI73" s="167">
        <v>2.5576180588233501E-3</v>
      </c>
      <c r="AJ73" s="167">
        <v>3.8992707848518502E-4</v>
      </c>
    </row>
    <row r="74" spans="1:36">
      <c r="A74" s="2" t="s">
        <v>26</v>
      </c>
      <c r="B74" s="2">
        <v>9935</v>
      </c>
      <c r="C74" s="2" t="s">
        <v>1524</v>
      </c>
      <c r="D74" s="2" t="s">
        <v>1525</v>
      </c>
      <c r="E74" s="4" t="s">
        <v>1345</v>
      </c>
      <c r="F74" s="2" t="s">
        <v>1797</v>
      </c>
      <c r="G74" s="2" t="s">
        <v>1798</v>
      </c>
      <c r="H74" s="2" t="s">
        <v>343</v>
      </c>
      <c r="I74" s="2" t="s">
        <v>777</v>
      </c>
      <c r="J74" s="2" t="s">
        <v>31</v>
      </c>
      <c r="K74" s="2" t="s">
        <v>31</v>
      </c>
      <c r="L74" s="2" t="s">
        <v>349</v>
      </c>
      <c r="M74" s="2" t="s">
        <v>49</v>
      </c>
      <c r="N74" s="2" t="s">
        <v>484</v>
      </c>
      <c r="O74" s="2" t="s">
        <v>159</v>
      </c>
      <c r="P74" s="2" t="s">
        <v>1799</v>
      </c>
      <c r="Q74" s="2" t="s">
        <v>128</v>
      </c>
      <c r="R74" s="2" t="s">
        <v>428</v>
      </c>
      <c r="S74" s="2" t="s">
        <v>45</v>
      </c>
      <c r="T74" s="153">
        <v>2.036</v>
      </c>
      <c r="U74" s="2" t="s">
        <v>1800</v>
      </c>
      <c r="V74" s="165">
        <v>3.2000000000000001E-2</v>
      </c>
      <c r="W74" s="167">
        <v>2.1000000000000001E-2</v>
      </c>
      <c r="X74" s="4" t="s">
        <v>434</v>
      </c>
      <c r="Y74" s="4" t="s">
        <v>159</v>
      </c>
      <c r="Z74" s="153">
        <v>1294571.2</v>
      </c>
      <c r="AA74" s="153">
        <v>1</v>
      </c>
      <c r="AB74" s="153">
        <v>116.39</v>
      </c>
      <c r="AD74" s="153">
        <v>1506.751</v>
      </c>
      <c r="AG74" s="2" t="s">
        <v>37</v>
      </c>
      <c r="AH74" s="153">
        <v>9.2299999999999999E-4</v>
      </c>
      <c r="AI74" s="167">
        <v>9.0158070467383795E-3</v>
      </c>
      <c r="AJ74" s="167">
        <v>1.37452395981993E-3</v>
      </c>
    </row>
    <row r="75" spans="1:36">
      <c r="A75" s="2" t="s">
        <v>26</v>
      </c>
      <c r="B75" s="2">
        <v>9935</v>
      </c>
      <c r="C75" s="2" t="s">
        <v>1528</v>
      </c>
      <c r="D75" s="2" t="s">
        <v>1529</v>
      </c>
      <c r="E75" s="4" t="s">
        <v>1345</v>
      </c>
      <c r="F75" s="2" t="s">
        <v>2038</v>
      </c>
      <c r="G75" s="2" t="s">
        <v>2039</v>
      </c>
      <c r="H75" s="2" t="s">
        <v>343</v>
      </c>
      <c r="I75" s="2" t="s">
        <v>990</v>
      </c>
      <c r="J75" s="2" t="s">
        <v>31</v>
      </c>
      <c r="K75" s="2" t="s">
        <v>31</v>
      </c>
      <c r="L75" s="2" t="s">
        <v>349</v>
      </c>
      <c r="M75" s="2" t="s">
        <v>49</v>
      </c>
      <c r="N75" s="2" t="s">
        <v>461</v>
      </c>
      <c r="O75" s="2" t="s">
        <v>159</v>
      </c>
      <c r="P75" s="2" t="s">
        <v>2040</v>
      </c>
      <c r="Q75" s="2" t="s">
        <v>128</v>
      </c>
      <c r="R75" s="2" t="s">
        <v>428</v>
      </c>
      <c r="S75" s="2" t="s">
        <v>45</v>
      </c>
      <c r="T75" s="153">
        <v>1.9910000000000001</v>
      </c>
      <c r="U75" s="2" t="s">
        <v>2041</v>
      </c>
      <c r="V75" s="165">
        <v>3.4500000000000003E-2</v>
      </c>
      <c r="W75" s="167">
        <v>5.0560000000000001E-2</v>
      </c>
      <c r="X75" s="4" t="s">
        <v>434</v>
      </c>
      <c r="Y75" s="4" t="s">
        <v>159</v>
      </c>
      <c r="Z75" s="153">
        <v>2291644.35</v>
      </c>
      <c r="AA75" s="153">
        <v>1</v>
      </c>
      <c r="AB75" s="153">
        <v>97.31</v>
      </c>
      <c r="AD75" s="153">
        <v>2229.9989999999998</v>
      </c>
      <c r="AG75" s="2" t="s">
        <v>37</v>
      </c>
      <c r="AH75" s="153">
        <v>5.2139999999999999E-3</v>
      </c>
      <c r="AI75" s="167">
        <v>1.3343436409307401E-2</v>
      </c>
      <c r="AJ75" s="167">
        <v>2.0343018607038399E-3</v>
      </c>
    </row>
    <row r="76" spans="1:36">
      <c r="A76" s="2" t="s">
        <v>26</v>
      </c>
      <c r="B76" s="2">
        <v>9935</v>
      </c>
      <c r="C76" s="2" t="s">
        <v>1532</v>
      </c>
      <c r="D76" s="2" t="s">
        <v>1533</v>
      </c>
      <c r="E76" s="4" t="s">
        <v>1345</v>
      </c>
      <c r="F76" s="2" t="s">
        <v>2042</v>
      </c>
      <c r="G76" s="2" t="s">
        <v>2043</v>
      </c>
      <c r="H76" s="2" t="s">
        <v>343</v>
      </c>
      <c r="I76" s="2" t="s">
        <v>990</v>
      </c>
      <c r="J76" s="2" t="s">
        <v>31</v>
      </c>
      <c r="K76" s="2" t="s">
        <v>31</v>
      </c>
      <c r="L76" s="2" t="s">
        <v>349</v>
      </c>
      <c r="M76" s="2" t="s">
        <v>49</v>
      </c>
      <c r="N76" s="2" t="s">
        <v>461</v>
      </c>
      <c r="O76" s="2" t="s">
        <v>159</v>
      </c>
      <c r="P76" s="2" t="s">
        <v>2040</v>
      </c>
      <c r="Q76" s="2" t="s">
        <v>128</v>
      </c>
      <c r="R76" s="2" t="s">
        <v>428</v>
      </c>
      <c r="S76" s="2" t="s">
        <v>45</v>
      </c>
      <c r="T76" s="153">
        <v>3.1</v>
      </c>
      <c r="U76" s="2" t="s">
        <v>2044</v>
      </c>
      <c r="V76" s="165">
        <v>2.0500000000000001E-2</v>
      </c>
      <c r="W76" s="167">
        <v>5.0770000000000003E-2</v>
      </c>
      <c r="X76" s="4" t="s">
        <v>434</v>
      </c>
      <c r="Y76" s="4" t="s">
        <v>159</v>
      </c>
      <c r="Z76" s="153">
        <v>2339710.5699999998</v>
      </c>
      <c r="AA76" s="153">
        <v>1</v>
      </c>
      <c r="AB76" s="153">
        <v>91.55</v>
      </c>
      <c r="AD76" s="153">
        <v>2142.0050000000001</v>
      </c>
      <c r="AG76" s="2" t="s">
        <v>37</v>
      </c>
      <c r="AH76" s="153">
        <v>4.1879999999999999E-3</v>
      </c>
      <c r="AI76" s="167">
        <v>1.28169144311737E-2</v>
      </c>
      <c r="AJ76" s="167">
        <v>1.9540298372937599E-3</v>
      </c>
    </row>
    <row r="77" spans="1:36">
      <c r="A77" s="2" t="s">
        <v>26</v>
      </c>
      <c r="B77" s="2">
        <v>9935</v>
      </c>
      <c r="C77" s="2" t="s">
        <v>1968</v>
      </c>
      <c r="D77" s="2" t="s">
        <v>1969</v>
      </c>
      <c r="E77" s="4" t="s">
        <v>1345</v>
      </c>
      <c r="F77" s="2" t="s">
        <v>2045</v>
      </c>
      <c r="G77" s="2" t="s">
        <v>2046</v>
      </c>
      <c r="H77" s="2" t="s">
        <v>343</v>
      </c>
      <c r="I77" s="2" t="s">
        <v>990</v>
      </c>
      <c r="J77" s="2" t="s">
        <v>31</v>
      </c>
      <c r="K77" s="2" t="s">
        <v>31</v>
      </c>
      <c r="L77" s="2" t="s">
        <v>349</v>
      </c>
      <c r="M77" s="2" t="s">
        <v>49</v>
      </c>
      <c r="N77" s="2" t="s">
        <v>460</v>
      </c>
      <c r="O77" s="2" t="s">
        <v>159</v>
      </c>
      <c r="P77" s="2" t="s">
        <v>1795</v>
      </c>
      <c r="Q77" s="2" t="s">
        <v>435</v>
      </c>
      <c r="R77" s="2" t="s">
        <v>428</v>
      </c>
      <c r="S77" s="2" t="s">
        <v>45</v>
      </c>
      <c r="T77" s="153">
        <v>0.247</v>
      </c>
      <c r="U77" s="2" t="s">
        <v>2047</v>
      </c>
      <c r="V77" s="165">
        <v>5.8999999999999997E-2</v>
      </c>
      <c r="W77" s="167">
        <v>5.3499999999999999E-2</v>
      </c>
      <c r="X77" s="4" t="s">
        <v>434</v>
      </c>
      <c r="Y77" s="4" t="s">
        <v>159</v>
      </c>
      <c r="Z77" s="153">
        <v>866666.66</v>
      </c>
      <c r="AA77" s="153">
        <v>1</v>
      </c>
      <c r="AB77" s="153">
        <v>101.65</v>
      </c>
      <c r="AD77" s="153">
        <v>880.96699999999998</v>
      </c>
      <c r="AG77" s="2" t="s">
        <v>37</v>
      </c>
      <c r="AH77" s="153">
        <v>3.2940000000000001E-3</v>
      </c>
      <c r="AI77" s="167">
        <v>5.2713575155380801E-3</v>
      </c>
      <c r="AJ77" s="167">
        <v>8.0365597536886002E-4</v>
      </c>
    </row>
    <row r="78" spans="1:36">
      <c r="A78" s="2" t="s">
        <v>26</v>
      </c>
      <c r="B78" s="2">
        <v>9935</v>
      </c>
      <c r="C78" s="2" t="s">
        <v>1536</v>
      </c>
      <c r="D78" s="2" t="s">
        <v>1537</v>
      </c>
      <c r="E78" s="4" t="s">
        <v>1345</v>
      </c>
      <c r="F78" s="2" t="s">
        <v>2048</v>
      </c>
      <c r="G78" s="2" t="s">
        <v>2049</v>
      </c>
      <c r="H78" s="2" t="s">
        <v>343</v>
      </c>
      <c r="I78" s="2" t="s">
        <v>777</v>
      </c>
      <c r="J78" s="2" t="s">
        <v>31</v>
      </c>
      <c r="K78" s="2" t="s">
        <v>31</v>
      </c>
      <c r="L78" s="2" t="s">
        <v>349</v>
      </c>
      <c r="M78" s="2" t="s">
        <v>49</v>
      </c>
      <c r="N78" s="2" t="s">
        <v>505</v>
      </c>
      <c r="O78" s="2" t="s">
        <v>159</v>
      </c>
      <c r="P78" s="2" t="s">
        <v>1789</v>
      </c>
      <c r="Q78" s="2" t="s">
        <v>128</v>
      </c>
      <c r="R78" s="2" t="s">
        <v>428</v>
      </c>
      <c r="S78" s="2" t="s">
        <v>45</v>
      </c>
      <c r="T78" s="153">
        <v>1.151</v>
      </c>
      <c r="U78" s="2" t="s">
        <v>2050</v>
      </c>
      <c r="V78" s="165">
        <v>2.1999999999999999E-2</v>
      </c>
      <c r="W78" s="167">
        <v>1.504E-2</v>
      </c>
      <c r="X78" s="4" t="s">
        <v>434</v>
      </c>
      <c r="Y78" s="4" t="s">
        <v>159</v>
      </c>
      <c r="Z78" s="153">
        <v>1412472.6</v>
      </c>
      <c r="AA78" s="153">
        <v>1</v>
      </c>
      <c r="AB78" s="153">
        <v>113.35</v>
      </c>
      <c r="AD78" s="153">
        <v>1601.038</v>
      </c>
      <c r="AG78" s="2" t="s">
        <v>37</v>
      </c>
      <c r="AH78" s="153">
        <v>1.7799999999999999E-3</v>
      </c>
      <c r="AI78" s="167">
        <v>9.5799789653389106E-3</v>
      </c>
      <c r="AJ78" s="167">
        <v>1.46053598465076E-3</v>
      </c>
    </row>
    <row r="79" spans="1:36">
      <c r="A79" s="2" t="s">
        <v>26</v>
      </c>
      <c r="B79" s="2">
        <v>9935</v>
      </c>
      <c r="C79" s="2" t="s">
        <v>1801</v>
      </c>
      <c r="D79" s="2" t="s">
        <v>1802</v>
      </c>
      <c r="E79" s="4" t="s">
        <v>1345</v>
      </c>
      <c r="F79" s="2" t="s">
        <v>1803</v>
      </c>
      <c r="G79" s="2" t="s">
        <v>1804</v>
      </c>
      <c r="H79" s="2" t="s">
        <v>343</v>
      </c>
      <c r="I79" s="2" t="s">
        <v>777</v>
      </c>
      <c r="J79" s="2" t="s">
        <v>31</v>
      </c>
      <c r="K79" s="2" t="s">
        <v>31</v>
      </c>
      <c r="L79" s="2" t="s">
        <v>349</v>
      </c>
      <c r="M79" s="2" t="s">
        <v>49</v>
      </c>
      <c r="N79" s="2" t="s">
        <v>484</v>
      </c>
      <c r="O79" s="2" t="s">
        <v>159</v>
      </c>
      <c r="P79" s="2" t="s">
        <v>1789</v>
      </c>
      <c r="Q79" s="2" t="s">
        <v>128</v>
      </c>
      <c r="R79" s="2" t="s">
        <v>428</v>
      </c>
      <c r="S79" s="2" t="s">
        <v>45</v>
      </c>
      <c r="T79" s="153">
        <v>0.60099999999999998</v>
      </c>
      <c r="U79" s="2" t="s">
        <v>1805</v>
      </c>
      <c r="V79" s="165">
        <v>2.5000000000000001E-2</v>
      </c>
      <c r="W79" s="167">
        <v>2.0219999999999998E-2</v>
      </c>
      <c r="X79" s="4" t="s">
        <v>434</v>
      </c>
      <c r="Y79" s="4" t="s">
        <v>159</v>
      </c>
      <c r="Z79" s="153">
        <v>800050.63</v>
      </c>
      <c r="AA79" s="153">
        <v>1</v>
      </c>
      <c r="AB79" s="153">
        <v>113.37</v>
      </c>
      <c r="AD79" s="153">
        <v>907.01700000000005</v>
      </c>
      <c r="AG79" s="2" t="s">
        <v>37</v>
      </c>
      <c r="AH79" s="153">
        <v>1.699E-3</v>
      </c>
      <c r="AI79" s="167">
        <v>5.4272348794188498E-3</v>
      </c>
      <c r="AJ79" s="167">
        <v>8.2742058904537003E-4</v>
      </c>
    </row>
    <row r="80" spans="1:36">
      <c r="A80" s="2" t="s">
        <v>26</v>
      </c>
      <c r="B80" s="2">
        <v>9935</v>
      </c>
      <c r="C80" s="2" t="s">
        <v>1801</v>
      </c>
      <c r="D80" s="2" t="s">
        <v>1802</v>
      </c>
      <c r="E80" s="4" t="s">
        <v>1345</v>
      </c>
      <c r="F80" s="2" t="s">
        <v>2051</v>
      </c>
      <c r="G80" s="2" t="s">
        <v>2052</v>
      </c>
      <c r="H80" s="2" t="s">
        <v>343</v>
      </c>
      <c r="I80" s="2" t="s">
        <v>777</v>
      </c>
      <c r="J80" s="2" t="s">
        <v>31</v>
      </c>
      <c r="K80" s="2" t="s">
        <v>31</v>
      </c>
      <c r="L80" s="2" t="s">
        <v>349</v>
      </c>
      <c r="M80" s="2" t="s">
        <v>49</v>
      </c>
      <c r="N80" s="2" t="s">
        <v>484</v>
      </c>
      <c r="O80" s="2" t="s">
        <v>159</v>
      </c>
      <c r="P80" s="2" t="s">
        <v>1779</v>
      </c>
      <c r="Q80" s="2" t="s">
        <v>435</v>
      </c>
      <c r="R80" s="2" t="s">
        <v>428</v>
      </c>
      <c r="S80" s="2" t="s">
        <v>45</v>
      </c>
      <c r="T80" s="153">
        <v>1.615</v>
      </c>
      <c r="U80" s="2" t="s">
        <v>2053</v>
      </c>
      <c r="V80" s="165">
        <v>2E-3</v>
      </c>
      <c r="W80" s="167">
        <v>2.0199999999999999E-2</v>
      </c>
      <c r="X80" s="4" t="s">
        <v>434</v>
      </c>
      <c r="Y80" s="4" t="s">
        <v>159</v>
      </c>
      <c r="Z80" s="153">
        <v>882000</v>
      </c>
      <c r="AA80" s="153">
        <v>1</v>
      </c>
      <c r="AB80" s="153">
        <v>107.31</v>
      </c>
      <c r="AD80" s="153">
        <v>946.47400000000005</v>
      </c>
      <c r="AG80" s="2" t="s">
        <v>37</v>
      </c>
      <c r="AH80" s="153">
        <v>2.673E-3</v>
      </c>
      <c r="AI80" s="167">
        <v>5.6633288347777604E-3</v>
      </c>
      <c r="AJ80" s="167">
        <v>8.6341479308358498E-4</v>
      </c>
    </row>
    <row r="81" spans="1:36">
      <c r="A81" s="2" t="s">
        <v>26</v>
      </c>
      <c r="B81" s="2">
        <v>9935</v>
      </c>
      <c r="C81" s="2" t="s">
        <v>1806</v>
      </c>
      <c r="D81" s="2" t="s">
        <v>1807</v>
      </c>
      <c r="E81" s="4" t="s">
        <v>1345</v>
      </c>
      <c r="F81" s="2" t="s">
        <v>1808</v>
      </c>
      <c r="G81" s="2" t="s">
        <v>1809</v>
      </c>
      <c r="H81" s="2" t="s">
        <v>343</v>
      </c>
      <c r="I81" s="2" t="s">
        <v>990</v>
      </c>
      <c r="J81" s="2" t="s">
        <v>31</v>
      </c>
      <c r="K81" s="2" t="s">
        <v>31</v>
      </c>
      <c r="L81" s="2" t="s">
        <v>349</v>
      </c>
      <c r="M81" s="2" t="s">
        <v>49</v>
      </c>
      <c r="N81" s="2" t="s">
        <v>460</v>
      </c>
      <c r="O81" s="2" t="s">
        <v>159</v>
      </c>
      <c r="P81" s="2" t="s">
        <v>1810</v>
      </c>
      <c r="Q81" s="2" t="s">
        <v>128</v>
      </c>
      <c r="R81" s="2" t="s">
        <v>428</v>
      </c>
      <c r="S81" s="2" t="s">
        <v>45</v>
      </c>
      <c r="T81" s="153">
        <v>3.07</v>
      </c>
      <c r="U81" s="2" t="s">
        <v>1811</v>
      </c>
      <c r="V81" s="165">
        <v>7.2499999999999995E-2</v>
      </c>
      <c r="W81" s="167">
        <v>6.232E-2</v>
      </c>
      <c r="X81" s="4" t="s">
        <v>434</v>
      </c>
      <c r="Y81" s="4" t="s">
        <v>159</v>
      </c>
      <c r="Z81" s="153">
        <v>457862</v>
      </c>
      <c r="AA81" s="153">
        <v>1</v>
      </c>
      <c r="AB81" s="153">
        <v>108.29</v>
      </c>
      <c r="AD81" s="153">
        <v>495.81900000000002</v>
      </c>
      <c r="AG81" s="2" t="s">
        <v>37</v>
      </c>
      <c r="AH81" s="153">
        <v>7.8899999999999999E-4</v>
      </c>
      <c r="AI81" s="167">
        <v>2.9667841756268599E-3</v>
      </c>
      <c r="AJ81" s="167">
        <v>4.5230736548304898E-4</v>
      </c>
    </row>
    <row r="82" spans="1:36">
      <c r="A82" s="2" t="s">
        <v>26</v>
      </c>
      <c r="B82" s="2">
        <v>9935</v>
      </c>
      <c r="C82" s="2" t="s">
        <v>2054</v>
      </c>
      <c r="D82" s="2" t="s">
        <v>2055</v>
      </c>
      <c r="E82" s="4" t="s">
        <v>1345</v>
      </c>
      <c r="F82" s="2" t="s">
        <v>2056</v>
      </c>
      <c r="G82" s="2" t="s">
        <v>2057</v>
      </c>
      <c r="H82" s="2" t="s">
        <v>343</v>
      </c>
      <c r="I82" s="2" t="s">
        <v>777</v>
      </c>
      <c r="J82" s="2" t="s">
        <v>31</v>
      </c>
      <c r="K82" s="2" t="s">
        <v>31</v>
      </c>
      <c r="L82" s="2" t="s">
        <v>349</v>
      </c>
      <c r="M82" s="2" t="s">
        <v>49</v>
      </c>
      <c r="N82" s="2" t="s">
        <v>484</v>
      </c>
      <c r="O82" s="2" t="s">
        <v>159</v>
      </c>
      <c r="P82" s="2" t="s">
        <v>1779</v>
      </c>
      <c r="Q82" s="2" t="s">
        <v>435</v>
      </c>
      <c r="R82" s="2" t="s">
        <v>428</v>
      </c>
      <c r="S82" s="2" t="s">
        <v>45</v>
      </c>
      <c r="T82" s="153">
        <v>3.839</v>
      </c>
      <c r="U82" s="2" t="s">
        <v>2058</v>
      </c>
      <c r="V82" s="165">
        <v>5.0000000000000001E-3</v>
      </c>
      <c r="W82" s="167">
        <v>2.52E-2</v>
      </c>
      <c r="X82" s="4" t="s">
        <v>434</v>
      </c>
      <c r="Y82" s="4" t="s">
        <v>159</v>
      </c>
      <c r="Z82" s="153">
        <v>948877.76</v>
      </c>
      <c r="AA82" s="153">
        <v>1</v>
      </c>
      <c r="AB82" s="153">
        <v>103.12</v>
      </c>
      <c r="AD82" s="153">
        <v>978.48299999999995</v>
      </c>
      <c r="AG82" s="2" t="s">
        <v>37</v>
      </c>
      <c r="AH82" s="153">
        <v>5.3200000000000003E-4</v>
      </c>
      <c r="AI82" s="167">
        <v>5.8548553678363499E-3</v>
      </c>
      <c r="AJ82" s="167">
        <v>8.9261437635611198E-4</v>
      </c>
    </row>
    <row r="83" spans="1:36">
      <c r="A83" s="2" t="s">
        <v>26</v>
      </c>
      <c r="B83" s="2">
        <v>9935</v>
      </c>
      <c r="C83" s="2" t="s">
        <v>2059</v>
      </c>
      <c r="D83" s="2" t="s">
        <v>2060</v>
      </c>
      <c r="E83" s="4" t="s">
        <v>1345</v>
      </c>
      <c r="F83" s="2" t="s">
        <v>2061</v>
      </c>
      <c r="G83" s="2" t="s">
        <v>2062</v>
      </c>
      <c r="H83" s="2" t="s">
        <v>343</v>
      </c>
      <c r="I83" s="2" t="s">
        <v>777</v>
      </c>
      <c r="J83" s="2" t="s">
        <v>31</v>
      </c>
      <c r="K83" s="2" t="s">
        <v>31</v>
      </c>
      <c r="L83" s="2" t="s">
        <v>349</v>
      </c>
      <c r="M83" s="2" t="s">
        <v>49</v>
      </c>
      <c r="N83" s="2" t="s">
        <v>484</v>
      </c>
      <c r="O83" s="2" t="s">
        <v>159</v>
      </c>
      <c r="P83" s="2" t="s">
        <v>33</v>
      </c>
      <c r="Q83" s="2" t="s">
        <v>128</v>
      </c>
      <c r="R83" s="2" t="s">
        <v>428</v>
      </c>
      <c r="S83" s="2" t="s">
        <v>45</v>
      </c>
      <c r="T83" s="153">
        <v>1.64</v>
      </c>
      <c r="U83" s="2" t="s">
        <v>1981</v>
      </c>
      <c r="V83" s="165">
        <v>2.5000000000000001E-2</v>
      </c>
      <c r="W83" s="167">
        <v>2.281E-2</v>
      </c>
      <c r="X83" s="4" t="s">
        <v>434</v>
      </c>
      <c r="Y83" s="4" t="s">
        <v>159</v>
      </c>
      <c r="Z83" s="153">
        <v>952058.84</v>
      </c>
      <c r="AA83" s="153">
        <v>1</v>
      </c>
      <c r="AB83" s="153">
        <v>113.86</v>
      </c>
      <c r="AD83" s="153">
        <v>1084.0139999999999</v>
      </c>
      <c r="AG83" s="2" t="s">
        <v>37</v>
      </c>
      <c r="AH83" s="153">
        <v>2.6770000000000001E-3</v>
      </c>
      <c r="AI83" s="167">
        <v>6.4863139947401501E-3</v>
      </c>
      <c r="AJ83" s="167">
        <v>9.8888473882224989E-4</v>
      </c>
    </row>
    <row r="84" spans="1:36">
      <c r="A84" s="2" t="s">
        <v>26</v>
      </c>
      <c r="B84" s="2">
        <v>9935</v>
      </c>
      <c r="C84" s="2" t="s">
        <v>1812</v>
      </c>
      <c r="D84" s="2" t="s">
        <v>1813</v>
      </c>
      <c r="E84" s="4" t="s">
        <v>1345</v>
      </c>
      <c r="F84" s="2" t="s">
        <v>1814</v>
      </c>
      <c r="G84" s="2" t="s">
        <v>1815</v>
      </c>
      <c r="H84" s="2" t="s">
        <v>343</v>
      </c>
      <c r="I84" s="2" t="s">
        <v>777</v>
      </c>
      <c r="J84" s="2" t="s">
        <v>31</v>
      </c>
      <c r="K84" s="2" t="s">
        <v>31</v>
      </c>
      <c r="L84" s="2" t="s">
        <v>349</v>
      </c>
      <c r="M84" s="2" t="s">
        <v>49</v>
      </c>
      <c r="N84" s="2" t="s">
        <v>468</v>
      </c>
      <c r="O84" s="2" t="s">
        <v>159</v>
      </c>
      <c r="P84" s="2" t="s">
        <v>127</v>
      </c>
      <c r="Q84" s="2" t="s">
        <v>128</v>
      </c>
      <c r="R84" s="2" t="s">
        <v>428</v>
      </c>
      <c r="S84" s="2" t="s">
        <v>45</v>
      </c>
      <c r="T84" s="153">
        <v>4.2549999999999999</v>
      </c>
      <c r="U84" s="2" t="s">
        <v>1816</v>
      </c>
      <c r="V84" s="165">
        <v>2E-3</v>
      </c>
      <c r="W84" s="167">
        <v>1.9359999999999999E-2</v>
      </c>
      <c r="X84" s="4" t="s">
        <v>434</v>
      </c>
      <c r="Y84" s="4" t="s">
        <v>159</v>
      </c>
      <c r="Z84" s="153">
        <v>1118421.06</v>
      </c>
      <c r="AA84" s="153">
        <v>1</v>
      </c>
      <c r="AB84" s="153">
        <v>101.27</v>
      </c>
      <c r="AD84" s="153">
        <v>1132.625</v>
      </c>
      <c r="AG84" s="2" t="s">
        <v>37</v>
      </c>
      <c r="AH84" s="153">
        <v>2.5900000000000001E-4</v>
      </c>
      <c r="AI84" s="167">
        <v>6.7771819493335599E-3</v>
      </c>
      <c r="AJ84" s="167">
        <v>1.03322962893135E-3</v>
      </c>
    </row>
    <row r="85" spans="1:36">
      <c r="A85" s="2" t="s">
        <v>26</v>
      </c>
      <c r="B85" s="2">
        <v>9935</v>
      </c>
      <c r="C85" s="2" t="s">
        <v>1812</v>
      </c>
      <c r="D85" s="2" t="s">
        <v>1813</v>
      </c>
      <c r="E85" s="4" t="s">
        <v>1345</v>
      </c>
      <c r="F85" s="2" t="s">
        <v>1817</v>
      </c>
      <c r="G85" s="2" t="s">
        <v>1818</v>
      </c>
      <c r="H85" s="2" t="s">
        <v>343</v>
      </c>
      <c r="I85" s="2" t="s">
        <v>777</v>
      </c>
      <c r="J85" s="2" t="s">
        <v>31</v>
      </c>
      <c r="K85" s="2" t="s">
        <v>31</v>
      </c>
      <c r="L85" s="2" t="s">
        <v>349</v>
      </c>
      <c r="M85" s="2" t="s">
        <v>49</v>
      </c>
      <c r="N85" s="2" t="s">
        <v>468</v>
      </c>
      <c r="O85" s="2" t="s">
        <v>159</v>
      </c>
      <c r="P85" s="2" t="s">
        <v>127</v>
      </c>
      <c r="Q85" s="2" t="s">
        <v>128</v>
      </c>
      <c r="R85" s="2" t="s">
        <v>428</v>
      </c>
      <c r="S85" s="2" t="s">
        <v>45</v>
      </c>
      <c r="T85" s="153">
        <v>5.62</v>
      </c>
      <c r="U85" s="2" t="s">
        <v>1819</v>
      </c>
      <c r="V85" s="165">
        <v>2.47E-2</v>
      </c>
      <c r="W85" s="167">
        <v>2.0109999999999999E-2</v>
      </c>
      <c r="X85" s="4" t="s">
        <v>434</v>
      </c>
      <c r="Y85" s="4" t="s">
        <v>159</v>
      </c>
      <c r="Z85" s="153">
        <v>1200000</v>
      </c>
      <c r="AA85" s="153">
        <v>1</v>
      </c>
      <c r="AB85" s="153">
        <v>101.35</v>
      </c>
      <c r="AD85" s="153">
        <v>1216.2</v>
      </c>
      <c r="AG85" s="2" t="s">
        <v>37</v>
      </c>
      <c r="AH85" s="153">
        <v>7.6800000000000002E-4</v>
      </c>
      <c r="AI85" s="167">
        <v>7.2772617878614299E-3</v>
      </c>
      <c r="AJ85" s="167">
        <v>1.1094703599403501E-3</v>
      </c>
    </row>
    <row r="86" spans="1:36">
      <c r="A86" s="2" t="s">
        <v>26</v>
      </c>
      <c r="B86" s="2">
        <v>9935</v>
      </c>
      <c r="C86" s="2" t="s">
        <v>1820</v>
      </c>
      <c r="D86" s="2" t="s">
        <v>1821</v>
      </c>
      <c r="E86" s="4" t="s">
        <v>1345</v>
      </c>
      <c r="F86" s="2" t="s">
        <v>1822</v>
      </c>
      <c r="G86" s="2" t="s">
        <v>1823</v>
      </c>
      <c r="H86" s="2" t="s">
        <v>343</v>
      </c>
      <c r="I86" s="2" t="s">
        <v>990</v>
      </c>
      <c r="J86" s="2" t="s">
        <v>31</v>
      </c>
      <c r="K86" s="2" t="s">
        <v>31</v>
      </c>
      <c r="L86" s="2" t="s">
        <v>349</v>
      </c>
      <c r="M86" s="2" t="s">
        <v>49</v>
      </c>
      <c r="N86" s="2" t="s">
        <v>465</v>
      </c>
      <c r="O86" s="2" t="s">
        <v>159</v>
      </c>
      <c r="P86" s="2" t="s">
        <v>1789</v>
      </c>
      <c r="Q86" s="2" t="s">
        <v>128</v>
      </c>
      <c r="R86" s="2" t="s">
        <v>428</v>
      </c>
      <c r="S86" s="2" t="s">
        <v>45</v>
      </c>
      <c r="T86" s="153">
        <v>2.1739999999999999</v>
      </c>
      <c r="U86" s="2" t="s">
        <v>1824</v>
      </c>
      <c r="V86" s="165">
        <v>2.9100000000000001E-2</v>
      </c>
      <c r="W86" s="167">
        <v>4.6019999999999998E-2</v>
      </c>
      <c r="X86" s="4" t="s">
        <v>434</v>
      </c>
      <c r="Y86" s="4" t="s">
        <v>159</v>
      </c>
      <c r="Z86" s="153">
        <v>32000</v>
      </c>
      <c r="AA86" s="153">
        <v>1</v>
      </c>
      <c r="AB86" s="153">
        <v>97.28</v>
      </c>
      <c r="AD86" s="153">
        <v>31.13</v>
      </c>
      <c r="AG86" s="2" t="s">
        <v>37</v>
      </c>
      <c r="AH86" s="153">
        <v>5.3000000000000001E-5</v>
      </c>
      <c r="AI86" s="167">
        <v>1.8626726570581401E-4</v>
      </c>
      <c r="AJ86" s="167">
        <v>2.8397770528530801E-5</v>
      </c>
    </row>
    <row r="87" spans="1:36">
      <c r="A87" s="2" t="s">
        <v>26</v>
      </c>
      <c r="B87" s="2">
        <v>9935</v>
      </c>
      <c r="C87" s="2" t="s">
        <v>1820</v>
      </c>
      <c r="D87" s="2" t="s">
        <v>1821</v>
      </c>
      <c r="E87" s="4" t="s">
        <v>1345</v>
      </c>
      <c r="F87" s="2" t="s">
        <v>1828</v>
      </c>
      <c r="G87" s="2" t="s">
        <v>1829</v>
      </c>
      <c r="H87" s="2" t="s">
        <v>343</v>
      </c>
      <c r="I87" s="2" t="s">
        <v>990</v>
      </c>
      <c r="J87" s="2" t="s">
        <v>31</v>
      </c>
      <c r="K87" s="2" t="s">
        <v>31</v>
      </c>
      <c r="L87" s="2" t="s">
        <v>349</v>
      </c>
      <c r="M87" s="2" t="s">
        <v>49</v>
      </c>
      <c r="N87" s="2" t="s">
        <v>465</v>
      </c>
      <c r="O87" s="2" t="s">
        <v>159</v>
      </c>
      <c r="P87" s="2" t="s">
        <v>1785</v>
      </c>
      <c r="Q87" s="2" t="s">
        <v>453</v>
      </c>
      <c r="R87" s="2" t="s">
        <v>428</v>
      </c>
      <c r="S87" s="2" t="s">
        <v>45</v>
      </c>
      <c r="T87" s="153">
        <v>5.0819999999999999</v>
      </c>
      <c r="U87" s="2" t="s">
        <v>1830</v>
      </c>
      <c r="V87" s="165">
        <v>4.3799999999999999E-2</v>
      </c>
      <c r="W87" s="167">
        <v>4.9430000000000002E-2</v>
      </c>
      <c r="X87" s="4" t="s">
        <v>434</v>
      </c>
      <c r="Y87" s="4" t="s">
        <v>159</v>
      </c>
      <c r="Z87" s="153">
        <v>668000</v>
      </c>
      <c r="AA87" s="153">
        <v>1</v>
      </c>
      <c r="AB87" s="153">
        <v>98.59</v>
      </c>
      <c r="AD87" s="153">
        <v>658.58100000000002</v>
      </c>
      <c r="AG87" s="2" t="s">
        <v>37</v>
      </c>
      <c r="AH87" s="153">
        <v>1.3359999999999999E-3</v>
      </c>
      <c r="AI87" s="167">
        <v>3.9406905122216099E-3</v>
      </c>
      <c r="AJ87" s="167">
        <v>6.0078631887349799E-4</v>
      </c>
    </row>
    <row r="88" spans="1:36">
      <c r="A88" s="2" t="s">
        <v>26</v>
      </c>
      <c r="B88" s="2">
        <v>9935</v>
      </c>
      <c r="C88" s="2" t="s">
        <v>1831</v>
      </c>
      <c r="D88" s="2" t="s">
        <v>1832</v>
      </c>
      <c r="E88" s="4" t="s">
        <v>1345</v>
      </c>
      <c r="F88" s="2" t="s">
        <v>1833</v>
      </c>
      <c r="G88" s="2" t="s">
        <v>1834</v>
      </c>
      <c r="H88" s="2" t="s">
        <v>343</v>
      </c>
      <c r="I88" s="2" t="s">
        <v>990</v>
      </c>
      <c r="J88" s="2" t="s">
        <v>31</v>
      </c>
      <c r="K88" s="2" t="s">
        <v>31</v>
      </c>
      <c r="L88" s="2" t="s">
        <v>349</v>
      </c>
      <c r="M88" s="2" t="s">
        <v>49</v>
      </c>
      <c r="N88" s="2" t="s">
        <v>465</v>
      </c>
      <c r="O88" s="2" t="s">
        <v>159</v>
      </c>
      <c r="P88" s="2" t="s">
        <v>1799</v>
      </c>
      <c r="Q88" s="2" t="s">
        <v>128</v>
      </c>
      <c r="R88" s="2" t="s">
        <v>428</v>
      </c>
      <c r="S88" s="2" t="s">
        <v>45</v>
      </c>
      <c r="T88" s="153">
        <v>5.2210000000000001</v>
      </c>
      <c r="U88" s="2" t="s">
        <v>1835</v>
      </c>
      <c r="V88" s="165">
        <v>1.95E-2</v>
      </c>
      <c r="W88" s="167">
        <v>5.008E-2</v>
      </c>
      <c r="X88" s="4" t="s">
        <v>434</v>
      </c>
      <c r="Y88" s="4" t="s">
        <v>159</v>
      </c>
      <c r="Z88" s="153">
        <v>1354789.14</v>
      </c>
      <c r="AA88" s="153">
        <v>1</v>
      </c>
      <c r="AB88" s="153">
        <v>85.74</v>
      </c>
      <c r="AD88" s="153">
        <v>1161.596</v>
      </c>
      <c r="AG88" s="2" t="s">
        <v>37</v>
      </c>
      <c r="AH88" s="153">
        <v>1.188E-3</v>
      </c>
      <c r="AI88" s="167">
        <v>6.9505342065708502E-3</v>
      </c>
      <c r="AJ88" s="167">
        <v>1.0596584144883501E-3</v>
      </c>
    </row>
    <row r="89" spans="1:36">
      <c r="A89" s="2" t="s">
        <v>26</v>
      </c>
      <c r="B89" s="2">
        <v>9935</v>
      </c>
      <c r="C89" s="2" t="s">
        <v>2063</v>
      </c>
      <c r="D89" s="2" t="s">
        <v>2064</v>
      </c>
      <c r="E89" s="4" t="s">
        <v>1345</v>
      </c>
      <c r="F89" s="2" t="s">
        <v>2065</v>
      </c>
      <c r="G89" s="2" t="s">
        <v>2066</v>
      </c>
      <c r="H89" s="2" t="s">
        <v>343</v>
      </c>
      <c r="I89" s="2" t="s">
        <v>990</v>
      </c>
      <c r="J89" s="2" t="s">
        <v>31</v>
      </c>
      <c r="K89" s="2" t="s">
        <v>31</v>
      </c>
      <c r="L89" s="2" t="s">
        <v>349</v>
      </c>
      <c r="M89" s="2" t="s">
        <v>49</v>
      </c>
      <c r="N89" s="2" t="s">
        <v>471</v>
      </c>
      <c r="O89" s="2" t="s">
        <v>159</v>
      </c>
      <c r="P89" s="2" t="s">
        <v>1795</v>
      </c>
      <c r="Q89" s="2" t="s">
        <v>435</v>
      </c>
      <c r="R89" s="2" t="s">
        <v>428</v>
      </c>
      <c r="S89" s="2" t="s">
        <v>45</v>
      </c>
      <c r="T89" s="153">
        <v>2.6389999999999998</v>
      </c>
      <c r="U89" s="2" t="s">
        <v>1861</v>
      </c>
      <c r="V89" s="165">
        <v>2.1999999999999999E-2</v>
      </c>
      <c r="W89" s="167">
        <v>4.777E-2</v>
      </c>
      <c r="X89" s="4" t="s">
        <v>434</v>
      </c>
      <c r="Y89" s="4" t="s">
        <v>159</v>
      </c>
      <c r="Z89" s="153">
        <v>1866666.67</v>
      </c>
      <c r="AA89" s="153">
        <v>1</v>
      </c>
      <c r="AB89" s="153">
        <v>94.15</v>
      </c>
      <c r="AD89" s="153">
        <v>1757.4670000000001</v>
      </c>
      <c r="AG89" s="2" t="s">
        <v>37</v>
      </c>
      <c r="AH89" s="153">
        <v>1.4350000000000001E-3</v>
      </c>
      <c r="AI89" s="167">
        <v>1.05159883568591E-2</v>
      </c>
      <c r="AJ89" s="167">
        <v>1.6032372790098001E-3</v>
      </c>
    </row>
    <row r="90" spans="1:36">
      <c r="A90" s="2" t="s">
        <v>26</v>
      </c>
      <c r="B90" s="2">
        <v>9935</v>
      </c>
      <c r="C90" s="2" t="s">
        <v>1836</v>
      </c>
      <c r="D90" s="2" t="s">
        <v>1837</v>
      </c>
      <c r="E90" s="4" t="s">
        <v>1345</v>
      </c>
      <c r="F90" s="2" t="s">
        <v>2067</v>
      </c>
      <c r="G90" s="2" t="s">
        <v>2068</v>
      </c>
      <c r="H90" s="2" t="s">
        <v>343</v>
      </c>
      <c r="I90" s="2" t="s">
        <v>777</v>
      </c>
      <c r="J90" s="2" t="s">
        <v>31</v>
      </c>
      <c r="K90" s="2" t="s">
        <v>31</v>
      </c>
      <c r="L90" s="2" t="s">
        <v>349</v>
      </c>
      <c r="M90" s="2" t="s">
        <v>49</v>
      </c>
      <c r="N90" s="2" t="s">
        <v>460</v>
      </c>
      <c r="O90" s="2" t="s">
        <v>159</v>
      </c>
      <c r="P90" s="2" t="s">
        <v>1840</v>
      </c>
      <c r="Q90" s="2" t="s">
        <v>128</v>
      </c>
      <c r="R90" s="2" t="s">
        <v>428</v>
      </c>
      <c r="S90" s="2" t="s">
        <v>45</v>
      </c>
      <c r="T90" s="153">
        <v>1.383</v>
      </c>
      <c r="U90" s="2" t="s">
        <v>2069</v>
      </c>
      <c r="V90" s="165">
        <v>4.4999999999999998E-2</v>
      </c>
      <c r="W90" s="167">
        <v>1.524E-2</v>
      </c>
      <c r="X90" s="4" t="s">
        <v>434</v>
      </c>
      <c r="Y90" s="4" t="s">
        <v>159</v>
      </c>
      <c r="Z90" s="153">
        <v>1100000</v>
      </c>
      <c r="AA90" s="153">
        <v>1</v>
      </c>
      <c r="AB90" s="153">
        <v>118.26</v>
      </c>
      <c r="AD90" s="153">
        <v>1300.8599999999999</v>
      </c>
      <c r="AG90" s="2" t="s">
        <v>37</v>
      </c>
      <c r="AH90" s="153">
        <v>3.7199999999999999E-4</v>
      </c>
      <c r="AI90" s="167">
        <v>7.7838338837012098E-3</v>
      </c>
      <c r="AJ90" s="167">
        <v>1.18670088178918E-3</v>
      </c>
    </row>
    <row r="91" spans="1:36">
      <c r="A91" s="2" t="s">
        <v>26</v>
      </c>
      <c r="B91" s="2">
        <v>9935</v>
      </c>
      <c r="C91" s="2" t="s">
        <v>1836</v>
      </c>
      <c r="D91" s="2" t="s">
        <v>1837</v>
      </c>
      <c r="E91" s="4" t="s">
        <v>1345</v>
      </c>
      <c r="F91" s="2" t="s">
        <v>1842</v>
      </c>
      <c r="G91" s="2" t="s">
        <v>1843</v>
      </c>
      <c r="H91" s="2" t="s">
        <v>343</v>
      </c>
      <c r="I91" s="2" t="s">
        <v>777</v>
      </c>
      <c r="J91" s="2" t="s">
        <v>31</v>
      </c>
      <c r="K91" s="2" t="s">
        <v>31</v>
      </c>
      <c r="L91" s="2" t="s">
        <v>349</v>
      </c>
      <c r="M91" s="2" t="s">
        <v>49</v>
      </c>
      <c r="N91" s="2" t="s">
        <v>460</v>
      </c>
      <c r="O91" s="2" t="s">
        <v>159</v>
      </c>
      <c r="P91" s="2" t="s">
        <v>1840</v>
      </c>
      <c r="Q91" s="2" t="s">
        <v>128</v>
      </c>
      <c r="R91" s="2" t="s">
        <v>428</v>
      </c>
      <c r="S91" s="2" t="s">
        <v>45</v>
      </c>
      <c r="T91" s="153">
        <v>6.24</v>
      </c>
      <c r="U91" s="2" t="s">
        <v>1844</v>
      </c>
      <c r="V91" s="165">
        <v>2.3900000000000001E-2</v>
      </c>
      <c r="W91" s="167">
        <v>2.4760000000000001E-2</v>
      </c>
      <c r="X91" s="4" t="s">
        <v>434</v>
      </c>
      <c r="Y91" s="4" t="s">
        <v>159</v>
      </c>
      <c r="Z91" s="153">
        <v>900000</v>
      </c>
      <c r="AA91" s="153">
        <v>1</v>
      </c>
      <c r="AB91" s="153">
        <v>110.76</v>
      </c>
      <c r="AD91" s="153">
        <v>996.84</v>
      </c>
      <c r="AG91" s="2" t="s">
        <v>37</v>
      </c>
      <c r="AH91" s="153">
        <v>2.31E-4</v>
      </c>
      <c r="AI91" s="167">
        <v>5.9646979449200698E-3</v>
      </c>
      <c r="AJ91" s="167">
        <v>9.0936065910453799E-4</v>
      </c>
    </row>
    <row r="92" spans="1:36">
      <c r="A92" s="2" t="s">
        <v>26</v>
      </c>
      <c r="B92" s="2">
        <v>9935</v>
      </c>
      <c r="C92" s="2" t="s">
        <v>1836</v>
      </c>
      <c r="D92" s="2" t="s">
        <v>1837</v>
      </c>
      <c r="E92" s="4" t="s">
        <v>1345</v>
      </c>
      <c r="F92" s="2" t="s">
        <v>2070</v>
      </c>
      <c r="G92" s="2" t="s">
        <v>2071</v>
      </c>
      <c r="H92" s="2" t="s">
        <v>343</v>
      </c>
      <c r="I92" s="2" t="s">
        <v>777</v>
      </c>
      <c r="J92" s="2" t="s">
        <v>31</v>
      </c>
      <c r="K92" s="2" t="s">
        <v>31</v>
      </c>
      <c r="L92" s="2" t="s">
        <v>349</v>
      </c>
      <c r="M92" s="2" t="s">
        <v>49</v>
      </c>
      <c r="N92" s="2" t="s">
        <v>460</v>
      </c>
      <c r="O92" s="2" t="s">
        <v>159</v>
      </c>
      <c r="P92" s="2" t="s">
        <v>1840</v>
      </c>
      <c r="Q92" s="2" t="s">
        <v>128</v>
      </c>
      <c r="R92" s="2" t="s">
        <v>428</v>
      </c>
      <c r="S92" s="2" t="s">
        <v>45</v>
      </c>
      <c r="T92" s="153">
        <v>11.125</v>
      </c>
      <c r="U92" s="2" t="s">
        <v>2072</v>
      </c>
      <c r="V92" s="165">
        <v>1.2500000000000001E-2</v>
      </c>
      <c r="W92" s="167">
        <v>2.955E-2</v>
      </c>
      <c r="X92" s="4" t="s">
        <v>434</v>
      </c>
      <c r="Y92" s="4" t="s">
        <v>159</v>
      </c>
      <c r="Z92" s="153">
        <v>1500000</v>
      </c>
      <c r="AA92" s="153">
        <v>1</v>
      </c>
      <c r="AB92" s="153">
        <v>92.01</v>
      </c>
      <c r="AD92" s="153">
        <v>1380.15</v>
      </c>
      <c r="AG92" s="2" t="s">
        <v>37</v>
      </c>
      <c r="AH92" s="153">
        <v>3.4900000000000003E-4</v>
      </c>
      <c r="AI92" s="167">
        <v>8.2582740145674596E-3</v>
      </c>
      <c r="AJ92" s="167">
        <v>1.2590326568588E-3</v>
      </c>
    </row>
    <row r="93" spans="1:36">
      <c r="A93" s="2" t="s">
        <v>26</v>
      </c>
      <c r="B93" s="2">
        <v>9935</v>
      </c>
      <c r="C93" s="2" t="s">
        <v>1202</v>
      </c>
      <c r="D93" s="2" t="s">
        <v>1562</v>
      </c>
      <c r="E93" s="4" t="s">
        <v>1345</v>
      </c>
      <c r="F93" s="2" t="s">
        <v>1854</v>
      </c>
      <c r="G93" s="2" t="s">
        <v>1855</v>
      </c>
      <c r="H93" s="2" t="s">
        <v>343</v>
      </c>
      <c r="I93" s="2" t="s">
        <v>777</v>
      </c>
      <c r="J93" s="2" t="s">
        <v>31</v>
      </c>
      <c r="K93" s="2" t="s">
        <v>31</v>
      </c>
      <c r="L93" s="2" t="s">
        <v>349</v>
      </c>
      <c r="M93" s="2" t="s">
        <v>49</v>
      </c>
      <c r="N93" s="2" t="s">
        <v>468</v>
      </c>
      <c r="O93" s="2" t="s">
        <v>159</v>
      </c>
      <c r="P93" s="2" t="s">
        <v>127</v>
      </c>
      <c r="Q93" s="2" t="s">
        <v>128</v>
      </c>
      <c r="R93" s="2" t="s">
        <v>428</v>
      </c>
      <c r="S93" s="2" t="s">
        <v>45</v>
      </c>
      <c r="T93" s="153">
        <v>1.23</v>
      </c>
      <c r="U93" s="2" t="s">
        <v>1824</v>
      </c>
      <c r="V93" s="165">
        <v>8.3000000000000001E-3</v>
      </c>
      <c r="W93" s="167">
        <v>1.3979999999999999E-2</v>
      </c>
      <c r="X93" s="4" t="s">
        <v>434</v>
      </c>
      <c r="Y93" s="4" t="s">
        <v>159</v>
      </c>
      <c r="Z93" s="153">
        <v>3000000</v>
      </c>
      <c r="AA93" s="153">
        <v>1</v>
      </c>
      <c r="AB93" s="153">
        <v>111.66</v>
      </c>
      <c r="AD93" s="153">
        <v>3349.8</v>
      </c>
      <c r="AG93" s="2" t="s">
        <v>37</v>
      </c>
      <c r="AH93" s="153">
        <v>9.859999999999999E-4</v>
      </c>
      <c r="AI93" s="167">
        <v>2.0043883848855599E-2</v>
      </c>
      <c r="AJ93" s="167">
        <v>3.0558327674134098E-3</v>
      </c>
    </row>
    <row r="94" spans="1:36">
      <c r="A94" s="2" t="s">
        <v>26</v>
      </c>
      <c r="B94" s="2">
        <v>9935</v>
      </c>
      <c r="C94" s="2" t="s">
        <v>1202</v>
      </c>
      <c r="D94" s="2" t="s">
        <v>1562</v>
      </c>
      <c r="E94" s="4" t="s">
        <v>1345</v>
      </c>
      <c r="F94" s="2" t="s">
        <v>2073</v>
      </c>
      <c r="G94" s="2" t="s">
        <v>2074</v>
      </c>
      <c r="H94" s="2" t="s">
        <v>343</v>
      </c>
      <c r="I94" s="2" t="s">
        <v>990</v>
      </c>
      <c r="J94" s="2" t="s">
        <v>31</v>
      </c>
      <c r="K94" s="2" t="s">
        <v>31</v>
      </c>
      <c r="L94" s="2" t="s">
        <v>349</v>
      </c>
      <c r="M94" s="2" t="s">
        <v>49</v>
      </c>
      <c r="N94" s="2" t="s">
        <v>468</v>
      </c>
      <c r="O94" s="2" t="s">
        <v>159</v>
      </c>
      <c r="P94" s="2" t="s">
        <v>1201</v>
      </c>
      <c r="Q94" s="2" t="s">
        <v>435</v>
      </c>
      <c r="R94" s="2" t="s">
        <v>428</v>
      </c>
      <c r="S94" s="2" t="s">
        <v>45</v>
      </c>
      <c r="T94" s="153">
        <v>0.91200000000000003</v>
      </c>
      <c r="U94" s="2" t="s">
        <v>2075</v>
      </c>
      <c r="V94" s="165">
        <v>2.0199999999999999E-2</v>
      </c>
      <c r="W94" s="167">
        <v>4.2029999999999998E-2</v>
      </c>
      <c r="X94" s="4" t="s">
        <v>434</v>
      </c>
      <c r="Y94" s="4" t="s">
        <v>159</v>
      </c>
      <c r="Z94" s="153">
        <v>1450000</v>
      </c>
      <c r="AA94" s="153">
        <v>1</v>
      </c>
      <c r="AB94" s="153">
        <v>98.27</v>
      </c>
      <c r="AD94" s="153">
        <v>1424.915</v>
      </c>
      <c r="AG94" s="2" t="s">
        <v>37</v>
      </c>
      <c r="AH94" s="153">
        <v>1.7160000000000001E-3</v>
      </c>
      <c r="AI94" s="167">
        <v>8.52613014343904E-3</v>
      </c>
      <c r="AJ94" s="167">
        <v>1.2998692303358001E-3</v>
      </c>
    </row>
    <row r="95" spans="1:36">
      <c r="A95" s="2" t="s">
        <v>26</v>
      </c>
      <c r="B95" s="2">
        <v>9935</v>
      </c>
      <c r="C95" s="2" t="s">
        <v>1202</v>
      </c>
      <c r="D95" s="2" t="s">
        <v>1562</v>
      </c>
      <c r="E95" s="4" t="s">
        <v>1345</v>
      </c>
      <c r="F95" s="2" t="s">
        <v>1856</v>
      </c>
      <c r="G95" s="2" t="s">
        <v>1857</v>
      </c>
      <c r="H95" s="2" t="s">
        <v>343</v>
      </c>
      <c r="I95" s="2" t="s">
        <v>777</v>
      </c>
      <c r="J95" s="2" t="s">
        <v>31</v>
      </c>
      <c r="K95" s="2" t="s">
        <v>31</v>
      </c>
      <c r="L95" s="2" t="s">
        <v>349</v>
      </c>
      <c r="M95" s="2" t="s">
        <v>49</v>
      </c>
      <c r="N95" s="2" t="s">
        <v>468</v>
      </c>
      <c r="O95" s="2" t="s">
        <v>159</v>
      </c>
      <c r="P95" s="2" t="s">
        <v>1201</v>
      </c>
      <c r="Q95" s="2" t="s">
        <v>435</v>
      </c>
      <c r="R95" s="2" t="s">
        <v>428</v>
      </c>
      <c r="S95" s="2" t="s">
        <v>45</v>
      </c>
      <c r="T95" s="153">
        <v>5.54</v>
      </c>
      <c r="U95" s="2" t="s">
        <v>1858</v>
      </c>
      <c r="V95" s="165">
        <v>2.0199999999999999E-2</v>
      </c>
      <c r="W95" s="167">
        <v>2.0369999999999999E-2</v>
      </c>
      <c r="X95" s="4" t="s">
        <v>434</v>
      </c>
      <c r="Y95" s="4" t="s">
        <v>159</v>
      </c>
      <c r="Z95" s="153">
        <v>1500000</v>
      </c>
      <c r="AA95" s="153">
        <v>1</v>
      </c>
      <c r="AB95" s="153">
        <v>100.75</v>
      </c>
      <c r="AD95" s="153">
        <v>1511.25</v>
      </c>
      <c r="AG95" s="2" t="s">
        <v>37</v>
      </c>
      <c r="AH95" s="153">
        <v>7.0699999999999995E-4</v>
      </c>
      <c r="AI95" s="167">
        <v>9.0427247795638703E-3</v>
      </c>
      <c r="AJ95" s="167">
        <v>1.3786277597926801E-3</v>
      </c>
    </row>
    <row r="96" spans="1:36">
      <c r="A96" s="2" t="s">
        <v>26</v>
      </c>
      <c r="B96" s="2">
        <v>9935</v>
      </c>
      <c r="C96" s="2" t="s">
        <v>1695</v>
      </c>
      <c r="D96" s="2" t="s">
        <v>1696</v>
      </c>
      <c r="E96" s="4" t="s">
        <v>1345</v>
      </c>
      <c r="F96" s="2" t="s">
        <v>2076</v>
      </c>
      <c r="G96" s="2" t="s">
        <v>2077</v>
      </c>
      <c r="H96" s="2" t="s">
        <v>343</v>
      </c>
      <c r="I96" s="2" t="s">
        <v>777</v>
      </c>
      <c r="J96" s="2" t="s">
        <v>31</v>
      </c>
      <c r="K96" s="2" t="s">
        <v>31</v>
      </c>
      <c r="L96" s="2" t="s">
        <v>349</v>
      </c>
      <c r="M96" s="2" t="s">
        <v>49</v>
      </c>
      <c r="N96" s="2" t="s">
        <v>484</v>
      </c>
      <c r="O96" s="2" t="s">
        <v>159</v>
      </c>
      <c r="P96" s="2" t="s">
        <v>1779</v>
      </c>
      <c r="Q96" s="2" t="s">
        <v>128</v>
      </c>
      <c r="R96" s="2" t="s">
        <v>428</v>
      </c>
      <c r="S96" s="2" t="s">
        <v>45</v>
      </c>
      <c r="T96" s="153">
        <v>2.242</v>
      </c>
      <c r="U96" s="2" t="s">
        <v>1995</v>
      </c>
      <c r="V96" s="165">
        <v>2.4E-2</v>
      </c>
      <c r="W96" s="167">
        <v>2.069E-2</v>
      </c>
      <c r="X96" s="4" t="s">
        <v>434</v>
      </c>
      <c r="Y96" s="4" t="s">
        <v>159</v>
      </c>
      <c r="Z96" s="153">
        <v>1244318.19</v>
      </c>
      <c r="AA96" s="153">
        <v>1</v>
      </c>
      <c r="AB96" s="153">
        <v>112.83</v>
      </c>
      <c r="AD96" s="153">
        <v>1403.9639999999999</v>
      </c>
      <c r="AG96" s="2" t="s">
        <v>37</v>
      </c>
      <c r="AH96" s="153">
        <v>2.0179999999999998E-3</v>
      </c>
      <c r="AI96" s="167">
        <v>8.4007688903504994E-3</v>
      </c>
      <c r="AJ96" s="167">
        <v>1.2807570149667301E-3</v>
      </c>
    </row>
    <row r="97" spans="1:36">
      <c r="A97" s="2" t="s">
        <v>26</v>
      </c>
      <c r="B97" s="2">
        <v>9935</v>
      </c>
      <c r="C97" s="2" t="s">
        <v>1695</v>
      </c>
      <c r="D97" s="2" t="s">
        <v>1696</v>
      </c>
      <c r="E97" s="4" t="s">
        <v>1345</v>
      </c>
      <c r="F97" s="2" t="s">
        <v>1862</v>
      </c>
      <c r="G97" s="2" t="s">
        <v>1863</v>
      </c>
      <c r="H97" s="2" t="s">
        <v>343</v>
      </c>
      <c r="I97" s="2" t="s">
        <v>777</v>
      </c>
      <c r="J97" s="2" t="s">
        <v>31</v>
      </c>
      <c r="K97" s="2" t="s">
        <v>31</v>
      </c>
      <c r="L97" s="2" t="s">
        <v>349</v>
      </c>
      <c r="M97" s="2" t="s">
        <v>49</v>
      </c>
      <c r="N97" s="2" t="s">
        <v>484</v>
      </c>
      <c r="O97" s="2" t="s">
        <v>159</v>
      </c>
      <c r="P97" s="2" t="s">
        <v>1799</v>
      </c>
      <c r="Q97" s="2" t="s">
        <v>128</v>
      </c>
      <c r="R97" s="2" t="s">
        <v>428</v>
      </c>
      <c r="S97" s="2" t="s">
        <v>45</v>
      </c>
      <c r="T97" s="153">
        <v>2.1539999999999999</v>
      </c>
      <c r="U97" s="2" t="s">
        <v>1861</v>
      </c>
      <c r="V97" s="165">
        <v>3.6999999999999998E-2</v>
      </c>
      <c r="W97" s="167">
        <v>2.189E-2</v>
      </c>
      <c r="X97" s="4" t="s">
        <v>434</v>
      </c>
      <c r="Y97" s="4" t="s">
        <v>159</v>
      </c>
      <c r="Z97" s="153">
        <v>1097358.78</v>
      </c>
      <c r="AA97" s="153">
        <v>1</v>
      </c>
      <c r="AB97" s="153">
        <v>116.15</v>
      </c>
      <c r="AD97" s="153">
        <v>1274.5820000000001</v>
      </c>
      <c r="AG97" s="2" t="s">
        <v>37</v>
      </c>
      <c r="AH97" s="153">
        <v>2.9190000000000002E-3</v>
      </c>
      <c r="AI97" s="167">
        <v>7.6265980157104504E-3</v>
      </c>
      <c r="AJ97" s="167">
        <v>1.1627291544911199E-3</v>
      </c>
    </row>
    <row r="98" spans="1:36">
      <c r="A98" s="2" t="s">
        <v>26</v>
      </c>
      <c r="B98" s="2">
        <v>9935</v>
      </c>
      <c r="C98" s="2" t="s">
        <v>1869</v>
      </c>
      <c r="D98" s="2" t="s">
        <v>1870</v>
      </c>
      <c r="E98" s="4" t="s">
        <v>1345</v>
      </c>
      <c r="F98" s="2" t="s">
        <v>2078</v>
      </c>
      <c r="G98" s="2" t="s">
        <v>2079</v>
      </c>
      <c r="H98" s="2" t="s">
        <v>343</v>
      </c>
      <c r="I98" s="2" t="s">
        <v>777</v>
      </c>
      <c r="J98" s="2" t="s">
        <v>31</v>
      </c>
      <c r="K98" s="2" t="s">
        <v>31</v>
      </c>
      <c r="L98" s="2" t="s">
        <v>349</v>
      </c>
      <c r="M98" s="2" t="s">
        <v>49</v>
      </c>
      <c r="N98" s="2" t="s">
        <v>468</v>
      </c>
      <c r="O98" s="2" t="s">
        <v>159</v>
      </c>
      <c r="P98" s="2" t="s">
        <v>127</v>
      </c>
      <c r="Q98" s="2" t="s">
        <v>128</v>
      </c>
      <c r="R98" s="2" t="s">
        <v>428</v>
      </c>
      <c r="S98" s="2" t="s">
        <v>45</v>
      </c>
      <c r="T98" s="153">
        <v>4.5510000000000002</v>
      </c>
      <c r="U98" s="2" t="s">
        <v>2080</v>
      </c>
      <c r="V98" s="165">
        <v>1E-3</v>
      </c>
      <c r="W98" s="167">
        <v>1.9689999999999999E-2</v>
      </c>
      <c r="X98" s="4" t="s">
        <v>434</v>
      </c>
      <c r="Y98" s="4" t="s">
        <v>159</v>
      </c>
      <c r="Z98" s="153">
        <v>1040000</v>
      </c>
      <c r="AA98" s="153">
        <v>1</v>
      </c>
      <c r="AB98" s="153">
        <v>100.35</v>
      </c>
      <c r="AD98" s="153">
        <v>1043.6400000000001</v>
      </c>
      <c r="AG98" s="2" t="s">
        <v>37</v>
      </c>
      <c r="AH98" s="153">
        <v>3.0800000000000001E-4</v>
      </c>
      <c r="AI98" s="167">
        <v>6.2447307122872001E-3</v>
      </c>
      <c r="AJ98" s="167">
        <v>9.5205364779489196E-4</v>
      </c>
    </row>
    <row r="99" spans="1:36">
      <c r="A99" s="2" t="s">
        <v>26</v>
      </c>
      <c r="B99" s="2">
        <v>9935</v>
      </c>
      <c r="C99" s="2" t="s">
        <v>1869</v>
      </c>
      <c r="D99" s="2" t="s">
        <v>1870</v>
      </c>
      <c r="E99" s="4" t="s">
        <v>1345</v>
      </c>
      <c r="F99" s="2" t="s">
        <v>1874</v>
      </c>
      <c r="G99" s="2" t="s">
        <v>1875</v>
      </c>
      <c r="H99" s="2" t="s">
        <v>343</v>
      </c>
      <c r="I99" s="2" t="s">
        <v>777</v>
      </c>
      <c r="J99" s="2" t="s">
        <v>31</v>
      </c>
      <c r="K99" s="2" t="s">
        <v>31</v>
      </c>
      <c r="L99" s="2" t="s">
        <v>349</v>
      </c>
      <c r="M99" s="2" t="s">
        <v>49</v>
      </c>
      <c r="N99" s="2" t="s">
        <v>468</v>
      </c>
      <c r="O99" s="2" t="s">
        <v>159</v>
      </c>
      <c r="P99" s="2" t="s">
        <v>127</v>
      </c>
      <c r="Q99" s="2" t="s">
        <v>128</v>
      </c>
      <c r="R99" s="2" t="s">
        <v>428</v>
      </c>
      <c r="S99" s="2" t="s">
        <v>45</v>
      </c>
      <c r="T99" s="153">
        <v>4.3949999999999996</v>
      </c>
      <c r="U99" s="2" t="s">
        <v>1876</v>
      </c>
      <c r="V99" s="165">
        <v>2.06E-2</v>
      </c>
      <c r="W99" s="167">
        <v>1.9730000000000001E-2</v>
      </c>
      <c r="X99" s="4" t="s">
        <v>434</v>
      </c>
      <c r="Y99" s="4" t="s">
        <v>159</v>
      </c>
      <c r="Z99" s="153">
        <v>1250000</v>
      </c>
      <c r="AA99" s="153">
        <v>1</v>
      </c>
      <c r="AB99" s="153">
        <v>103.41</v>
      </c>
      <c r="AD99" s="153">
        <v>1292.625</v>
      </c>
      <c r="AG99" s="2" t="s">
        <v>37</v>
      </c>
      <c r="AH99" s="153">
        <v>6.2500000000000001E-4</v>
      </c>
      <c r="AI99" s="167">
        <v>7.7345588871356504E-3</v>
      </c>
      <c r="AJ99" s="167">
        <v>1.1791885578177101E-3</v>
      </c>
    </row>
    <row r="100" spans="1:36">
      <c r="A100" s="2" t="s">
        <v>26</v>
      </c>
      <c r="B100" s="2">
        <v>9935</v>
      </c>
      <c r="C100" s="2" t="s">
        <v>1869</v>
      </c>
      <c r="D100" s="2" t="s">
        <v>1870</v>
      </c>
      <c r="E100" s="4" t="s">
        <v>1345</v>
      </c>
      <c r="F100" s="2" t="s">
        <v>1877</v>
      </c>
      <c r="G100" s="2" t="s">
        <v>1878</v>
      </c>
      <c r="H100" s="2" t="s">
        <v>343</v>
      </c>
      <c r="I100" s="2" t="s">
        <v>777</v>
      </c>
      <c r="J100" s="2" t="s">
        <v>31</v>
      </c>
      <c r="K100" s="2" t="s">
        <v>31</v>
      </c>
      <c r="L100" s="2" t="s">
        <v>349</v>
      </c>
      <c r="M100" s="2" t="s">
        <v>49</v>
      </c>
      <c r="N100" s="2" t="s">
        <v>468</v>
      </c>
      <c r="O100" s="2" t="s">
        <v>159</v>
      </c>
      <c r="P100" s="2" t="s">
        <v>1201</v>
      </c>
      <c r="Q100" s="2" t="s">
        <v>435</v>
      </c>
      <c r="R100" s="2" t="s">
        <v>428</v>
      </c>
      <c r="S100" s="2" t="s">
        <v>45</v>
      </c>
      <c r="T100" s="153">
        <v>4.93</v>
      </c>
      <c r="U100" s="2" t="s">
        <v>1879</v>
      </c>
      <c r="V100" s="165">
        <v>1.9900000000000001E-2</v>
      </c>
      <c r="W100" s="167">
        <v>1.9460000000000002E-2</v>
      </c>
      <c r="X100" s="4" t="s">
        <v>434</v>
      </c>
      <c r="Y100" s="4" t="s">
        <v>159</v>
      </c>
      <c r="Z100" s="153">
        <v>1500000</v>
      </c>
      <c r="AA100" s="153">
        <v>1</v>
      </c>
      <c r="AB100" s="153">
        <v>100.72</v>
      </c>
      <c r="AD100" s="153">
        <v>1510.8</v>
      </c>
      <c r="AG100" s="2" t="s">
        <v>37</v>
      </c>
      <c r="AH100" s="153">
        <v>5.5599999999999996E-4</v>
      </c>
      <c r="AI100" s="167">
        <v>9.0400321568007303E-3</v>
      </c>
      <c r="AJ100" s="167">
        <v>1.3782172502860401E-3</v>
      </c>
    </row>
    <row r="101" spans="1:36">
      <c r="A101" s="2" t="s">
        <v>26</v>
      </c>
      <c r="B101" s="2">
        <v>9935</v>
      </c>
      <c r="C101" s="2" t="s">
        <v>1869</v>
      </c>
      <c r="D101" s="2" t="s">
        <v>1870</v>
      </c>
      <c r="E101" s="4" t="s">
        <v>1345</v>
      </c>
      <c r="F101" s="2" t="s">
        <v>2081</v>
      </c>
      <c r="G101" s="2" t="s">
        <v>2082</v>
      </c>
      <c r="H101" s="2" t="s">
        <v>343</v>
      </c>
      <c r="I101" s="2" t="s">
        <v>777</v>
      </c>
      <c r="J101" s="2" t="s">
        <v>31</v>
      </c>
      <c r="K101" s="2" t="s">
        <v>31</v>
      </c>
      <c r="L101" s="2" t="s">
        <v>349</v>
      </c>
      <c r="M101" s="2" t="s">
        <v>49</v>
      </c>
      <c r="N101" s="2" t="s">
        <v>468</v>
      </c>
      <c r="O101" s="2" t="s">
        <v>159</v>
      </c>
      <c r="P101" s="2" t="s">
        <v>127</v>
      </c>
      <c r="Q101" s="2" t="s">
        <v>128</v>
      </c>
      <c r="R101" s="2" t="s">
        <v>428</v>
      </c>
      <c r="S101" s="2" t="s">
        <v>45</v>
      </c>
      <c r="T101" s="153">
        <v>4.01</v>
      </c>
      <c r="U101" s="2" t="s">
        <v>2083</v>
      </c>
      <c r="V101" s="165">
        <v>1.6400000000000001E-2</v>
      </c>
      <c r="W101" s="167">
        <v>1.9640000000000001E-2</v>
      </c>
      <c r="X101" s="4" t="s">
        <v>434</v>
      </c>
      <c r="Y101" s="4" t="s">
        <v>159</v>
      </c>
      <c r="Z101" s="153">
        <v>2577810</v>
      </c>
      <c r="AA101" s="153">
        <v>1</v>
      </c>
      <c r="AB101" s="153">
        <v>102.94</v>
      </c>
      <c r="AD101" s="153">
        <v>2653.598</v>
      </c>
      <c r="AG101" s="2" t="s">
        <v>37</v>
      </c>
      <c r="AH101" s="153">
        <v>2.1299999999999999E-3</v>
      </c>
      <c r="AI101" s="167">
        <v>1.5878082977078201E-2</v>
      </c>
      <c r="AJ101" s="167">
        <v>2.42072677186436E-3</v>
      </c>
    </row>
    <row r="102" spans="1:36">
      <c r="A102" s="2" t="s">
        <v>26</v>
      </c>
      <c r="B102" s="2">
        <v>9935</v>
      </c>
      <c r="C102" s="2" t="s">
        <v>1869</v>
      </c>
      <c r="D102" s="2" t="s">
        <v>1870</v>
      </c>
      <c r="E102" s="4" t="s">
        <v>1345</v>
      </c>
      <c r="F102" s="2" t="s">
        <v>2084</v>
      </c>
      <c r="G102" s="2" t="s">
        <v>2085</v>
      </c>
      <c r="H102" s="2" t="s">
        <v>343</v>
      </c>
      <c r="I102" s="2" t="s">
        <v>777</v>
      </c>
      <c r="J102" s="2" t="s">
        <v>31</v>
      </c>
      <c r="K102" s="2" t="s">
        <v>31</v>
      </c>
      <c r="L102" s="2" t="s">
        <v>349</v>
      </c>
      <c r="M102" s="2" t="s">
        <v>49</v>
      </c>
      <c r="N102" s="2" t="s">
        <v>468</v>
      </c>
      <c r="O102" s="2" t="s">
        <v>159</v>
      </c>
      <c r="P102" s="2" t="s">
        <v>127</v>
      </c>
      <c r="Q102" s="2" t="s">
        <v>128</v>
      </c>
      <c r="R102" s="2" t="s">
        <v>428</v>
      </c>
      <c r="S102" s="2" t="s">
        <v>45</v>
      </c>
      <c r="T102" s="153">
        <v>2.2160000000000002</v>
      </c>
      <c r="U102" s="2" t="s">
        <v>2086</v>
      </c>
      <c r="V102" s="165">
        <v>3.8E-3</v>
      </c>
      <c r="W102" s="167">
        <v>1.7170000000000001E-2</v>
      </c>
      <c r="X102" s="4" t="s">
        <v>434</v>
      </c>
      <c r="Y102" s="4" t="s">
        <v>159</v>
      </c>
      <c r="Z102" s="153">
        <v>2800000</v>
      </c>
      <c r="AA102" s="153">
        <v>1</v>
      </c>
      <c r="AB102" s="153">
        <v>107.22</v>
      </c>
      <c r="AD102" s="153">
        <v>3002.16</v>
      </c>
      <c r="AG102" s="2" t="s">
        <v>37</v>
      </c>
      <c r="AH102" s="153">
        <v>9.3300000000000002E-4</v>
      </c>
      <c r="AI102" s="167">
        <v>1.7963743010233599E-2</v>
      </c>
      <c r="AJ102" s="167">
        <v>2.73870048988532E-3</v>
      </c>
    </row>
    <row r="103" spans="1:36">
      <c r="A103" s="2" t="s">
        <v>26</v>
      </c>
      <c r="B103" s="2">
        <v>9935</v>
      </c>
      <c r="C103" s="2" t="s">
        <v>1880</v>
      </c>
      <c r="D103" s="2" t="s">
        <v>1881</v>
      </c>
      <c r="E103" s="4" t="s">
        <v>1345</v>
      </c>
      <c r="F103" s="2" t="s">
        <v>1882</v>
      </c>
      <c r="G103" s="2" t="s">
        <v>1883</v>
      </c>
      <c r="H103" s="2" t="s">
        <v>343</v>
      </c>
      <c r="I103" s="2" t="s">
        <v>777</v>
      </c>
      <c r="J103" s="2" t="s">
        <v>31</v>
      </c>
      <c r="K103" s="2" t="s">
        <v>31</v>
      </c>
      <c r="L103" s="2" t="s">
        <v>349</v>
      </c>
      <c r="M103" s="2" t="s">
        <v>49</v>
      </c>
      <c r="N103" s="2" t="s">
        <v>463</v>
      </c>
      <c r="O103" s="2" t="s">
        <v>159</v>
      </c>
      <c r="P103" s="2" t="s">
        <v>33</v>
      </c>
      <c r="Q103" s="2" t="s">
        <v>128</v>
      </c>
      <c r="R103" s="2" t="s">
        <v>428</v>
      </c>
      <c r="S103" s="2" t="s">
        <v>45</v>
      </c>
      <c r="T103" s="153">
        <v>2.129</v>
      </c>
      <c r="U103" s="2" t="s">
        <v>111</v>
      </c>
      <c r="V103" s="165">
        <v>3.5400000000000001E-2</v>
      </c>
      <c r="W103" s="167">
        <v>3.2099999999999997E-2</v>
      </c>
      <c r="X103" s="4" t="s">
        <v>434</v>
      </c>
      <c r="Y103" s="4" t="s">
        <v>159</v>
      </c>
      <c r="Z103" s="153">
        <v>964000</v>
      </c>
      <c r="AA103" s="153">
        <v>1</v>
      </c>
      <c r="AB103" s="153">
        <v>104.17</v>
      </c>
      <c r="AD103" s="153">
        <v>1004.199</v>
      </c>
      <c r="AG103" s="2" t="s">
        <v>37</v>
      </c>
      <c r="AH103" s="153">
        <v>1.403E-3</v>
      </c>
      <c r="AI103" s="167">
        <v>6.0087301057854797E-3</v>
      </c>
      <c r="AJ103" s="167">
        <v>9.1607367545442199E-4</v>
      </c>
    </row>
    <row r="104" spans="1:36">
      <c r="A104" s="2" t="s">
        <v>26</v>
      </c>
      <c r="B104" s="2">
        <v>9935</v>
      </c>
      <c r="C104" s="2" t="s">
        <v>1577</v>
      </c>
      <c r="D104" s="2" t="s">
        <v>1578</v>
      </c>
      <c r="E104" s="4" t="s">
        <v>1345</v>
      </c>
      <c r="F104" s="2" t="s">
        <v>1884</v>
      </c>
      <c r="G104" s="2" t="s">
        <v>1885</v>
      </c>
      <c r="H104" s="2" t="s">
        <v>343</v>
      </c>
      <c r="I104" s="2" t="s">
        <v>777</v>
      </c>
      <c r="J104" s="2" t="s">
        <v>31</v>
      </c>
      <c r="K104" s="2" t="s">
        <v>31</v>
      </c>
      <c r="L104" s="2" t="s">
        <v>349</v>
      </c>
      <c r="M104" s="2" t="s">
        <v>49</v>
      </c>
      <c r="N104" s="2" t="s">
        <v>484</v>
      </c>
      <c r="O104" s="2" t="s">
        <v>159</v>
      </c>
      <c r="P104" s="2" t="s">
        <v>1779</v>
      </c>
      <c r="Q104" s="2" t="s">
        <v>435</v>
      </c>
      <c r="R104" s="2" t="s">
        <v>428</v>
      </c>
      <c r="S104" s="2" t="s">
        <v>45</v>
      </c>
      <c r="T104" s="153">
        <v>3.9940000000000002</v>
      </c>
      <c r="U104" s="2" t="s">
        <v>1800</v>
      </c>
      <c r="V104" s="165">
        <v>6.4999999999999997E-3</v>
      </c>
      <c r="W104" s="167">
        <v>2.2290000000000001E-2</v>
      </c>
      <c r="X104" s="4" t="s">
        <v>434</v>
      </c>
      <c r="Y104" s="4" t="s">
        <v>159</v>
      </c>
      <c r="Z104" s="153">
        <v>1693191.49</v>
      </c>
      <c r="AA104" s="153">
        <v>1</v>
      </c>
      <c r="AB104" s="153">
        <v>104.53</v>
      </c>
      <c r="AD104" s="153">
        <v>1769.893</v>
      </c>
      <c r="AG104" s="2" t="s">
        <v>37</v>
      </c>
      <c r="AH104" s="153">
        <v>3.362E-3</v>
      </c>
      <c r="AI104" s="167">
        <v>1.05903430084402E-2</v>
      </c>
      <c r="AJ104" s="167">
        <v>1.61457317490825E-3</v>
      </c>
    </row>
    <row r="105" spans="1:36">
      <c r="A105" s="2" t="s">
        <v>26</v>
      </c>
      <c r="B105" s="2">
        <v>9935</v>
      </c>
      <c r="C105" s="2" t="s">
        <v>1577</v>
      </c>
      <c r="D105" s="2" t="s">
        <v>1578</v>
      </c>
      <c r="E105" s="4" t="s">
        <v>1345</v>
      </c>
      <c r="F105" s="2" t="s">
        <v>1886</v>
      </c>
      <c r="G105" s="2" t="s">
        <v>1887</v>
      </c>
      <c r="H105" s="2" t="s">
        <v>343</v>
      </c>
      <c r="I105" s="2" t="s">
        <v>777</v>
      </c>
      <c r="J105" s="2" t="s">
        <v>31</v>
      </c>
      <c r="K105" s="2" t="s">
        <v>31</v>
      </c>
      <c r="L105" s="2" t="s">
        <v>349</v>
      </c>
      <c r="M105" s="2" t="s">
        <v>49</v>
      </c>
      <c r="N105" s="2" t="s">
        <v>484</v>
      </c>
      <c r="O105" s="2" t="s">
        <v>159</v>
      </c>
      <c r="P105" s="2" t="s">
        <v>1779</v>
      </c>
      <c r="Q105" s="2" t="s">
        <v>435</v>
      </c>
      <c r="R105" s="2" t="s">
        <v>428</v>
      </c>
      <c r="S105" s="2" t="s">
        <v>45</v>
      </c>
      <c r="T105" s="153">
        <v>6.45</v>
      </c>
      <c r="U105" s="2" t="s">
        <v>1888</v>
      </c>
      <c r="V105" s="165">
        <v>3.61E-2</v>
      </c>
      <c r="W105" s="167">
        <v>2.9960000000000001E-2</v>
      </c>
      <c r="X105" s="4" t="s">
        <v>434</v>
      </c>
      <c r="Y105" s="4" t="s">
        <v>159</v>
      </c>
      <c r="Z105" s="153">
        <v>482130</v>
      </c>
      <c r="AA105" s="153">
        <v>1</v>
      </c>
      <c r="AB105" s="153">
        <v>107.22</v>
      </c>
      <c r="AD105" s="153">
        <v>516.94000000000005</v>
      </c>
      <c r="AG105" s="2" t="s">
        <v>37</v>
      </c>
      <c r="AH105" s="153">
        <v>1.049E-3</v>
      </c>
      <c r="AI105" s="167">
        <v>3.09316407768711E-3</v>
      </c>
      <c r="AJ105" s="167">
        <v>4.71574881138717E-4</v>
      </c>
    </row>
    <row r="106" spans="1:36">
      <c r="A106" s="2" t="s">
        <v>26</v>
      </c>
      <c r="B106" s="2">
        <v>9935</v>
      </c>
      <c r="C106" s="2" t="s">
        <v>1577</v>
      </c>
      <c r="D106" s="2" t="s">
        <v>1578</v>
      </c>
      <c r="E106" s="4" t="s">
        <v>1345</v>
      </c>
      <c r="F106" s="2" t="s">
        <v>2087</v>
      </c>
      <c r="G106" s="2" t="s">
        <v>2088</v>
      </c>
      <c r="H106" s="2" t="s">
        <v>343</v>
      </c>
      <c r="I106" s="2" t="s">
        <v>777</v>
      </c>
      <c r="J106" s="2" t="s">
        <v>31</v>
      </c>
      <c r="K106" s="2" t="s">
        <v>31</v>
      </c>
      <c r="L106" s="2" t="s">
        <v>349</v>
      </c>
      <c r="M106" s="2" t="s">
        <v>49</v>
      </c>
      <c r="N106" s="2" t="s">
        <v>484</v>
      </c>
      <c r="O106" s="2" t="s">
        <v>159</v>
      </c>
      <c r="P106" s="2" t="s">
        <v>1779</v>
      </c>
      <c r="Q106" s="2" t="s">
        <v>435</v>
      </c>
      <c r="R106" s="2" t="s">
        <v>428</v>
      </c>
      <c r="S106" s="2" t="s">
        <v>45</v>
      </c>
      <c r="T106" s="153">
        <v>1.2430000000000001</v>
      </c>
      <c r="U106" s="2" t="s">
        <v>1891</v>
      </c>
      <c r="V106" s="165">
        <v>1.7600000000000001E-2</v>
      </c>
      <c r="W106" s="167">
        <v>1.3939999999999999E-2</v>
      </c>
      <c r="X106" s="4" t="s">
        <v>434</v>
      </c>
      <c r="Y106" s="4" t="s">
        <v>159</v>
      </c>
      <c r="Z106" s="153">
        <v>1165547.8600000001</v>
      </c>
      <c r="AA106" s="153">
        <v>1</v>
      </c>
      <c r="AB106" s="153">
        <v>114.03</v>
      </c>
      <c r="AC106" s="153">
        <v>930.82100000000003</v>
      </c>
      <c r="AD106" s="153">
        <v>2259.895</v>
      </c>
      <c r="AG106" s="2" t="s">
        <v>37</v>
      </c>
      <c r="AH106" s="153">
        <v>8.7299999999999997E-4</v>
      </c>
      <c r="AI106" s="167">
        <v>1.3522320071218801E-2</v>
      </c>
      <c r="AJ106" s="167">
        <v>2.0615739482765698E-3</v>
      </c>
    </row>
    <row r="107" spans="1:36">
      <c r="A107" s="2" t="s">
        <v>26</v>
      </c>
      <c r="B107" s="2">
        <v>9935</v>
      </c>
      <c r="C107" s="2" t="s">
        <v>1577</v>
      </c>
      <c r="D107" s="2" t="s">
        <v>1578</v>
      </c>
      <c r="E107" s="4" t="s">
        <v>1345</v>
      </c>
      <c r="F107" s="2" t="s">
        <v>1892</v>
      </c>
      <c r="G107" s="2" t="s">
        <v>1893</v>
      </c>
      <c r="H107" s="2" t="s">
        <v>343</v>
      </c>
      <c r="I107" s="2" t="s">
        <v>777</v>
      </c>
      <c r="J107" s="2" t="s">
        <v>31</v>
      </c>
      <c r="K107" s="2" t="s">
        <v>31</v>
      </c>
      <c r="L107" s="2" t="s">
        <v>349</v>
      </c>
      <c r="M107" s="2" t="s">
        <v>49</v>
      </c>
      <c r="N107" s="2" t="s">
        <v>484</v>
      </c>
      <c r="O107" s="2" t="s">
        <v>159</v>
      </c>
      <c r="P107" s="2" t="s">
        <v>1779</v>
      </c>
      <c r="Q107" s="2" t="s">
        <v>435</v>
      </c>
      <c r="R107" s="2" t="s">
        <v>428</v>
      </c>
      <c r="S107" s="2" t="s">
        <v>45</v>
      </c>
      <c r="T107" s="153">
        <v>5.657</v>
      </c>
      <c r="U107" s="2" t="s">
        <v>1894</v>
      </c>
      <c r="V107" s="165">
        <v>2.5000000000000001E-3</v>
      </c>
      <c r="W107" s="167">
        <v>2.648E-2</v>
      </c>
      <c r="X107" s="4" t="s">
        <v>434</v>
      </c>
      <c r="Y107" s="4" t="s">
        <v>159</v>
      </c>
      <c r="Z107" s="153">
        <v>1097038.8</v>
      </c>
      <c r="AA107" s="153">
        <v>1</v>
      </c>
      <c r="AB107" s="153">
        <v>95.66</v>
      </c>
      <c r="AD107" s="153">
        <v>1049.4269999999999</v>
      </c>
      <c r="AG107" s="2" t="s">
        <v>37</v>
      </c>
      <c r="AH107" s="153">
        <v>8.4500000000000005E-4</v>
      </c>
      <c r="AI107" s="167">
        <v>6.2793597323194898E-3</v>
      </c>
      <c r="AJ107" s="167">
        <v>9.5733308839213496E-4</v>
      </c>
    </row>
    <row r="108" spans="1:36">
      <c r="A108" s="2" t="s">
        <v>26</v>
      </c>
      <c r="B108" s="2">
        <v>9935</v>
      </c>
      <c r="C108" s="2" t="s">
        <v>2089</v>
      </c>
      <c r="D108" s="2" t="s">
        <v>2090</v>
      </c>
      <c r="E108" s="4" t="s">
        <v>1345</v>
      </c>
      <c r="F108" s="2" t="s">
        <v>2091</v>
      </c>
      <c r="G108" s="2" t="s">
        <v>2092</v>
      </c>
      <c r="H108" s="2" t="s">
        <v>343</v>
      </c>
      <c r="I108" s="2" t="s">
        <v>990</v>
      </c>
      <c r="J108" s="2" t="s">
        <v>31</v>
      </c>
      <c r="K108" s="2" t="s">
        <v>31</v>
      </c>
      <c r="L108" s="2" t="s">
        <v>349</v>
      </c>
      <c r="M108" s="2" t="s">
        <v>49</v>
      </c>
      <c r="N108" s="2" t="s">
        <v>505</v>
      </c>
      <c r="O108" s="2" t="s">
        <v>159</v>
      </c>
      <c r="P108" s="2" t="s">
        <v>1795</v>
      </c>
      <c r="Q108" s="2" t="s">
        <v>435</v>
      </c>
      <c r="R108" s="2" t="s">
        <v>428</v>
      </c>
      <c r="S108" s="2" t="s">
        <v>45</v>
      </c>
      <c r="T108" s="153">
        <v>0.745</v>
      </c>
      <c r="U108" s="2" t="s">
        <v>2093</v>
      </c>
      <c r="V108" s="165">
        <v>4.1399999999999999E-2</v>
      </c>
      <c r="W108" s="167">
        <v>5.0970000000000001E-2</v>
      </c>
      <c r="X108" s="4" t="s">
        <v>434</v>
      </c>
      <c r="Y108" s="4" t="s">
        <v>159</v>
      </c>
      <c r="Z108" s="153">
        <v>1359598.8</v>
      </c>
      <c r="AA108" s="153">
        <v>1</v>
      </c>
      <c r="AB108" s="153">
        <v>100.34</v>
      </c>
      <c r="AD108" s="153">
        <v>1364.221</v>
      </c>
      <c r="AG108" s="2" t="s">
        <v>37</v>
      </c>
      <c r="AH108" s="153">
        <v>6.0390000000000001E-3</v>
      </c>
      <c r="AI108" s="167">
        <v>8.1629637607318391E-3</v>
      </c>
      <c r="AJ108" s="167">
        <v>1.2445019302322799E-3</v>
      </c>
    </row>
    <row r="109" spans="1:36">
      <c r="A109" s="2" t="s">
        <v>26</v>
      </c>
      <c r="B109" s="2">
        <v>9935</v>
      </c>
      <c r="C109" s="2" t="s">
        <v>1594</v>
      </c>
      <c r="D109" s="2" t="s">
        <v>1595</v>
      </c>
      <c r="E109" s="4" t="s">
        <v>1345</v>
      </c>
      <c r="F109" s="2" t="s">
        <v>2094</v>
      </c>
      <c r="G109" s="2" t="s">
        <v>2095</v>
      </c>
      <c r="H109" s="2" t="s">
        <v>343</v>
      </c>
      <c r="I109" s="2" t="s">
        <v>777</v>
      </c>
      <c r="J109" s="2" t="s">
        <v>31</v>
      </c>
      <c r="K109" s="2" t="s">
        <v>31</v>
      </c>
      <c r="L109" s="2" t="s">
        <v>349</v>
      </c>
      <c r="M109" s="2" t="s">
        <v>49</v>
      </c>
      <c r="N109" s="2" t="s">
        <v>484</v>
      </c>
      <c r="O109" s="2" t="s">
        <v>159</v>
      </c>
      <c r="P109" s="2" t="s">
        <v>2004</v>
      </c>
      <c r="Q109" s="2" t="s">
        <v>435</v>
      </c>
      <c r="R109" s="2" t="s">
        <v>428</v>
      </c>
      <c r="S109" s="2" t="s">
        <v>45</v>
      </c>
      <c r="T109" s="153">
        <v>7.2489999999999997</v>
      </c>
      <c r="U109" s="2" t="s">
        <v>2096</v>
      </c>
      <c r="V109" s="165">
        <v>8.9999999999999993E-3</v>
      </c>
      <c r="W109" s="167">
        <v>2.8979999999999999E-2</v>
      </c>
      <c r="X109" s="4" t="s">
        <v>434</v>
      </c>
      <c r="Y109" s="4" t="s">
        <v>159</v>
      </c>
      <c r="Z109" s="153">
        <v>1000000</v>
      </c>
      <c r="AA109" s="153">
        <v>1</v>
      </c>
      <c r="AB109" s="153">
        <v>95.37</v>
      </c>
      <c r="AD109" s="153">
        <v>953.7</v>
      </c>
      <c r="AG109" s="2" t="s">
        <v>37</v>
      </c>
      <c r="AH109" s="153">
        <v>5.2499999999999997E-4</v>
      </c>
      <c r="AI109" s="167">
        <v>5.7065651760265096E-3</v>
      </c>
      <c r="AJ109" s="167">
        <v>8.70006481068174E-4</v>
      </c>
    </row>
    <row r="110" spans="1:36">
      <c r="A110" s="2" t="s">
        <v>26</v>
      </c>
      <c r="B110" s="2">
        <v>9935</v>
      </c>
      <c r="C110" s="2" t="s">
        <v>1598</v>
      </c>
      <c r="D110" s="2" t="s">
        <v>1599</v>
      </c>
      <c r="E110" s="4" t="s">
        <v>1345</v>
      </c>
      <c r="F110" s="2" t="s">
        <v>2097</v>
      </c>
      <c r="G110" s="2" t="s">
        <v>2098</v>
      </c>
      <c r="H110" s="2" t="s">
        <v>343</v>
      </c>
      <c r="I110" s="2" t="s">
        <v>990</v>
      </c>
      <c r="J110" s="2" t="s">
        <v>31</v>
      </c>
      <c r="K110" s="2" t="s">
        <v>31</v>
      </c>
      <c r="L110" s="2" t="s">
        <v>349</v>
      </c>
      <c r="M110" s="2" t="s">
        <v>49</v>
      </c>
      <c r="N110" s="2" t="s">
        <v>468</v>
      </c>
      <c r="O110" s="2" t="s">
        <v>159</v>
      </c>
      <c r="P110" s="2" t="s">
        <v>127</v>
      </c>
      <c r="Q110" s="2" t="s">
        <v>128</v>
      </c>
      <c r="R110" s="2" t="s">
        <v>428</v>
      </c>
      <c r="S110" s="2" t="s">
        <v>45</v>
      </c>
      <c r="T110" s="153">
        <v>3.8450000000000002</v>
      </c>
      <c r="U110" s="2" t="s">
        <v>1899</v>
      </c>
      <c r="V110" s="165">
        <v>2.5000000000000001E-2</v>
      </c>
      <c r="W110" s="167">
        <v>4.514E-2</v>
      </c>
      <c r="X110" s="4" t="s">
        <v>434</v>
      </c>
      <c r="Y110" s="4" t="s">
        <v>159</v>
      </c>
      <c r="Z110" s="153">
        <v>1600000</v>
      </c>
      <c r="AA110" s="153">
        <v>1</v>
      </c>
      <c r="AB110" s="153">
        <v>93.42</v>
      </c>
      <c r="AD110" s="153">
        <v>1494.72</v>
      </c>
      <c r="AG110" s="2" t="s">
        <v>37</v>
      </c>
      <c r="AH110" s="153">
        <v>5.3899999999999998E-4</v>
      </c>
      <c r="AI110" s="167">
        <v>8.9438157700643204E-3</v>
      </c>
      <c r="AJ110" s="167">
        <v>1.36354837724884E-3</v>
      </c>
    </row>
    <row r="111" spans="1:36">
      <c r="A111" s="2" t="s">
        <v>26</v>
      </c>
      <c r="B111" s="2">
        <v>9935</v>
      </c>
      <c r="C111" s="2" t="s">
        <v>1598</v>
      </c>
      <c r="D111" s="2" t="s">
        <v>1599</v>
      </c>
      <c r="E111" s="4" t="s">
        <v>1345</v>
      </c>
      <c r="F111" s="2" t="s">
        <v>2099</v>
      </c>
      <c r="G111" s="2" t="s">
        <v>2100</v>
      </c>
      <c r="H111" s="2" t="s">
        <v>343</v>
      </c>
      <c r="I111" s="2" t="s">
        <v>777</v>
      </c>
      <c r="J111" s="2" t="s">
        <v>31</v>
      </c>
      <c r="K111" s="2" t="s">
        <v>31</v>
      </c>
      <c r="L111" s="2" t="s">
        <v>349</v>
      </c>
      <c r="M111" s="2" t="s">
        <v>49</v>
      </c>
      <c r="N111" s="2" t="s">
        <v>468</v>
      </c>
      <c r="O111" s="2" t="s">
        <v>159</v>
      </c>
      <c r="P111" s="2" t="s">
        <v>127</v>
      </c>
      <c r="Q111" s="2" t="s">
        <v>128</v>
      </c>
      <c r="R111" s="2" t="s">
        <v>428</v>
      </c>
      <c r="S111" s="2" t="s">
        <v>45</v>
      </c>
      <c r="T111" s="153">
        <v>3.54</v>
      </c>
      <c r="U111" s="2" t="s">
        <v>2101</v>
      </c>
      <c r="V111" s="165">
        <v>1.7500000000000002E-2</v>
      </c>
      <c r="W111" s="167">
        <v>1.8929999999999999E-2</v>
      </c>
      <c r="X111" s="4" t="s">
        <v>434</v>
      </c>
      <c r="Y111" s="4" t="s">
        <v>159</v>
      </c>
      <c r="Z111" s="153">
        <v>525044.99</v>
      </c>
      <c r="AA111" s="153">
        <v>1</v>
      </c>
      <c r="AB111" s="153">
        <v>111.16</v>
      </c>
      <c r="AD111" s="153">
        <v>583.64</v>
      </c>
      <c r="AG111" s="2" t="s">
        <v>37</v>
      </c>
      <c r="AH111" s="153">
        <v>1.8200000000000001E-4</v>
      </c>
      <c r="AI111" s="167">
        <v>3.4922719528639699E-3</v>
      </c>
      <c r="AJ111" s="167">
        <v>5.3242171760488604E-4</v>
      </c>
    </row>
    <row r="112" spans="1:36">
      <c r="A112" s="2" t="s">
        <v>26</v>
      </c>
      <c r="B112" s="2">
        <v>9935</v>
      </c>
      <c r="C112" s="2" t="s">
        <v>1906</v>
      </c>
      <c r="D112" s="2" t="s">
        <v>1907</v>
      </c>
      <c r="E112" s="4" t="s">
        <v>1345</v>
      </c>
      <c r="F112" s="2" t="s">
        <v>2102</v>
      </c>
      <c r="G112" s="2" t="s">
        <v>2103</v>
      </c>
      <c r="H112" s="2" t="s">
        <v>343</v>
      </c>
      <c r="I112" s="2" t="s">
        <v>777</v>
      </c>
      <c r="J112" s="2" t="s">
        <v>31</v>
      </c>
      <c r="K112" s="2" t="s">
        <v>31</v>
      </c>
      <c r="L112" s="2" t="s">
        <v>349</v>
      </c>
      <c r="M112" s="2" t="s">
        <v>49</v>
      </c>
      <c r="N112" s="2" t="s">
        <v>460</v>
      </c>
      <c r="O112" s="2" t="s">
        <v>159</v>
      </c>
      <c r="P112" s="2" t="s">
        <v>1785</v>
      </c>
      <c r="Q112" s="2" t="s">
        <v>435</v>
      </c>
      <c r="R112" s="2" t="s">
        <v>428</v>
      </c>
      <c r="S112" s="2" t="s">
        <v>45</v>
      </c>
      <c r="T112" s="153">
        <v>3.5649999999999999</v>
      </c>
      <c r="U112" s="2" t="s">
        <v>2104</v>
      </c>
      <c r="V112" s="165">
        <v>1.23E-2</v>
      </c>
      <c r="W112" s="167">
        <v>2.2089999999999999E-2</v>
      </c>
      <c r="X112" s="4" t="s">
        <v>434</v>
      </c>
      <c r="Y112" s="4" t="s">
        <v>159</v>
      </c>
      <c r="Z112" s="153">
        <v>2869066.88</v>
      </c>
      <c r="AA112" s="153">
        <v>1</v>
      </c>
      <c r="AB112" s="153">
        <v>108.66</v>
      </c>
      <c r="AD112" s="153">
        <v>3117.5279999999998</v>
      </c>
      <c r="AG112" s="2" t="s">
        <v>37</v>
      </c>
      <c r="AH112" s="153">
        <v>2.2560000000000002E-3</v>
      </c>
      <c r="AI112" s="167">
        <v>1.8654060113101199E-2</v>
      </c>
      <c r="AJ112" s="167">
        <v>2.8439442459735E-3</v>
      </c>
    </row>
    <row r="113" spans="1:36">
      <c r="A113" s="2" t="s">
        <v>26</v>
      </c>
      <c r="B113" s="2">
        <v>9935</v>
      </c>
      <c r="C113" s="2" t="s">
        <v>2105</v>
      </c>
      <c r="D113" s="2" t="s">
        <v>2106</v>
      </c>
      <c r="E113" s="4" t="s">
        <v>1345</v>
      </c>
      <c r="F113" s="2" t="s">
        <v>2107</v>
      </c>
      <c r="G113" s="2" t="s">
        <v>2108</v>
      </c>
      <c r="H113" s="2" t="s">
        <v>343</v>
      </c>
      <c r="I113" s="2" t="s">
        <v>990</v>
      </c>
      <c r="J113" s="2" t="s">
        <v>31</v>
      </c>
      <c r="K113" s="2" t="s">
        <v>31</v>
      </c>
      <c r="L113" s="2" t="s">
        <v>349</v>
      </c>
      <c r="M113" s="2" t="s">
        <v>49</v>
      </c>
      <c r="N113" s="2" t="s">
        <v>505</v>
      </c>
      <c r="O113" s="2" t="s">
        <v>159</v>
      </c>
      <c r="P113" s="2" t="s">
        <v>1795</v>
      </c>
      <c r="Q113" s="2" t="s">
        <v>435</v>
      </c>
      <c r="R113" s="2" t="s">
        <v>428</v>
      </c>
      <c r="S113" s="2" t="s">
        <v>45</v>
      </c>
      <c r="T113" s="153">
        <v>0.23300000000000001</v>
      </c>
      <c r="U113" s="2" t="s">
        <v>2109</v>
      </c>
      <c r="V113" s="165">
        <v>2.1600000000000001E-2</v>
      </c>
      <c r="W113" s="167">
        <v>5.5559999999999998E-2</v>
      </c>
      <c r="X113" s="4" t="s">
        <v>434</v>
      </c>
      <c r="Y113" s="4" t="s">
        <v>159</v>
      </c>
      <c r="Z113" s="153">
        <v>990664.64</v>
      </c>
      <c r="AA113" s="153">
        <v>1</v>
      </c>
      <c r="AB113" s="153">
        <v>99.83</v>
      </c>
      <c r="AD113" s="153">
        <v>988.98099999999999</v>
      </c>
      <c r="AG113" s="2" t="s">
        <v>37</v>
      </c>
      <c r="AH113" s="153">
        <v>7.7460000000000003E-3</v>
      </c>
      <c r="AI113" s="167">
        <v>5.9176698529664201E-3</v>
      </c>
      <c r="AJ113" s="167">
        <v>9.0219089173487299E-4</v>
      </c>
    </row>
    <row r="114" spans="1:36">
      <c r="A114" s="2" t="s">
        <v>26</v>
      </c>
      <c r="B114" s="2">
        <v>9935</v>
      </c>
      <c r="C114" s="2" t="s">
        <v>2105</v>
      </c>
      <c r="D114" s="2" t="s">
        <v>2106</v>
      </c>
      <c r="E114" s="4" t="s">
        <v>1345</v>
      </c>
      <c r="F114" s="2" t="s">
        <v>2110</v>
      </c>
      <c r="G114" s="2" t="s">
        <v>2111</v>
      </c>
      <c r="H114" s="2" t="s">
        <v>343</v>
      </c>
      <c r="I114" s="2" t="s">
        <v>990</v>
      </c>
      <c r="J114" s="2" t="s">
        <v>31</v>
      </c>
      <c r="K114" s="2" t="s">
        <v>31</v>
      </c>
      <c r="L114" s="2" t="s">
        <v>349</v>
      </c>
      <c r="M114" s="2" t="s">
        <v>49</v>
      </c>
      <c r="N114" s="2" t="s">
        <v>505</v>
      </c>
      <c r="O114" s="2" t="s">
        <v>159</v>
      </c>
      <c r="P114" s="2" t="s">
        <v>1795</v>
      </c>
      <c r="Q114" s="2" t="s">
        <v>435</v>
      </c>
      <c r="R114" s="2" t="s">
        <v>428</v>
      </c>
      <c r="S114" s="2" t="s">
        <v>45</v>
      </c>
      <c r="T114" s="153">
        <v>2.2029999999999998</v>
      </c>
      <c r="U114" s="2" t="s">
        <v>2112</v>
      </c>
      <c r="V114" s="165">
        <v>0.04</v>
      </c>
      <c r="W114" s="167">
        <v>4.7980000000000002E-2</v>
      </c>
      <c r="X114" s="4" t="s">
        <v>434</v>
      </c>
      <c r="Y114" s="4" t="s">
        <v>159</v>
      </c>
      <c r="Z114" s="153">
        <v>1220372.8</v>
      </c>
      <c r="AA114" s="153">
        <v>1</v>
      </c>
      <c r="AB114" s="153">
        <v>101.47</v>
      </c>
      <c r="AD114" s="153">
        <v>1238.3119999999999</v>
      </c>
      <c r="AG114" s="2" t="s">
        <v>37</v>
      </c>
      <c r="AH114" s="153">
        <v>1.7930000000000001E-3</v>
      </c>
      <c r="AI114" s="167">
        <v>7.4095729632033596E-3</v>
      </c>
      <c r="AJ114" s="167">
        <v>1.12964214042729E-3</v>
      </c>
    </row>
    <row r="115" spans="1:36">
      <c r="A115" s="2" t="s">
        <v>26</v>
      </c>
      <c r="B115" s="2">
        <v>9935</v>
      </c>
      <c r="C115" s="2" t="s">
        <v>2113</v>
      </c>
      <c r="D115" s="2" t="s">
        <v>2114</v>
      </c>
      <c r="E115" s="4" t="s">
        <v>1345</v>
      </c>
      <c r="F115" s="2" t="s">
        <v>2115</v>
      </c>
      <c r="G115" s="2" t="s">
        <v>2116</v>
      </c>
      <c r="H115" s="2" t="s">
        <v>343</v>
      </c>
      <c r="I115" s="2" t="s">
        <v>990</v>
      </c>
      <c r="J115" s="2" t="s">
        <v>31</v>
      </c>
      <c r="K115" s="2" t="s">
        <v>31</v>
      </c>
      <c r="L115" s="2" t="s">
        <v>349</v>
      </c>
      <c r="M115" s="2" t="s">
        <v>49</v>
      </c>
      <c r="N115" s="2" t="s">
        <v>482</v>
      </c>
      <c r="O115" s="2" t="s">
        <v>159</v>
      </c>
      <c r="P115" s="2" t="s">
        <v>1785</v>
      </c>
      <c r="Q115" s="2" t="s">
        <v>435</v>
      </c>
      <c r="R115" s="2" t="s">
        <v>428</v>
      </c>
      <c r="S115" s="2" t="s">
        <v>45</v>
      </c>
      <c r="T115" s="153">
        <v>2.0630000000000002</v>
      </c>
      <c r="U115" s="2" t="s">
        <v>2117</v>
      </c>
      <c r="V115" s="165">
        <v>2.3E-2</v>
      </c>
      <c r="W115" s="167">
        <v>4.895E-2</v>
      </c>
      <c r="X115" s="4" t="s">
        <v>434</v>
      </c>
      <c r="Y115" s="4" t="s">
        <v>159</v>
      </c>
      <c r="Z115" s="153">
        <v>1761290.32</v>
      </c>
      <c r="AA115" s="153">
        <v>1</v>
      </c>
      <c r="AB115" s="153">
        <v>95.14</v>
      </c>
      <c r="AD115" s="153">
        <v>1675.692</v>
      </c>
      <c r="AG115" s="2" t="s">
        <v>37</v>
      </c>
      <c r="AH115" s="153">
        <v>2.1570000000000001E-3</v>
      </c>
      <c r="AI115" s="167">
        <v>1.0026678609565199E-2</v>
      </c>
      <c r="AJ115" s="167">
        <v>1.5286385250721699E-3</v>
      </c>
    </row>
    <row r="116" spans="1:36">
      <c r="A116" s="2" t="s">
        <v>26</v>
      </c>
      <c r="B116" s="2">
        <v>9935</v>
      </c>
      <c r="C116" s="2" t="s">
        <v>1915</v>
      </c>
      <c r="D116" s="2" t="s">
        <v>1916</v>
      </c>
      <c r="E116" s="4" t="s">
        <v>1345</v>
      </c>
      <c r="F116" s="2" t="s">
        <v>2118</v>
      </c>
      <c r="G116" s="2" t="s">
        <v>2119</v>
      </c>
      <c r="H116" s="2" t="s">
        <v>343</v>
      </c>
      <c r="I116" s="2" t="s">
        <v>777</v>
      </c>
      <c r="J116" s="2" t="s">
        <v>31</v>
      </c>
      <c r="K116" s="2" t="s">
        <v>31</v>
      </c>
      <c r="L116" s="2" t="s">
        <v>349</v>
      </c>
      <c r="M116" s="2" t="s">
        <v>49</v>
      </c>
      <c r="N116" s="2" t="s">
        <v>496</v>
      </c>
      <c r="O116" s="2" t="s">
        <v>159</v>
      </c>
      <c r="P116" s="2" t="s">
        <v>1779</v>
      </c>
      <c r="Q116" s="2" t="s">
        <v>435</v>
      </c>
      <c r="R116" s="2" t="s">
        <v>428</v>
      </c>
      <c r="S116" s="2" t="s">
        <v>45</v>
      </c>
      <c r="T116" s="153">
        <v>2.8919999999999999</v>
      </c>
      <c r="U116" s="2" t="s">
        <v>1919</v>
      </c>
      <c r="V116" s="165">
        <v>2.9899999999999999E-2</v>
      </c>
      <c r="W116" s="167">
        <v>1.8759999999999999E-2</v>
      </c>
      <c r="X116" s="4" t="s">
        <v>434</v>
      </c>
      <c r="Y116" s="4" t="s">
        <v>159</v>
      </c>
      <c r="Z116" s="153">
        <v>1305116.01</v>
      </c>
      <c r="AA116" s="153">
        <v>1</v>
      </c>
      <c r="AB116" s="153">
        <v>116.68</v>
      </c>
      <c r="AD116" s="153">
        <v>1522.809</v>
      </c>
      <c r="AG116" s="2" t="s">
        <v>37</v>
      </c>
      <c r="AH116" s="153">
        <v>6.3150000000000003E-3</v>
      </c>
      <c r="AI116" s="167">
        <v>9.1118914398384092E-3</v>
      </c>
      <c r="AJ116" s="167">
        <v>1.38917270948772E-3</v>
      </c>
    </row>
    <row r="117" spans="1:36">
      <c r="A117" s="2" t="s">
        <v>26</v>
      </c>
      <c r="B117" s="2">
        <v>9935</v>
      </c>
      <c r="C117" s="2" t="s">
        <v>1915</v>
      </c>
      <c r="D117" s="2" t="s">
        <v>1916</v>
      </c>
      <c r="E117" s="4" t="s">
        <v>1345</v>
      </c>
      <c r="F117" s="2" t="s">
        <v>1917</v>
      </c>
      <c r="G117" s="2" t="s">
        <v>1918</v>
      </c>
      <c r="H117" s="2" t="s">
        <v>343</v>
      </c>
      <c r="I117" s="2" t="s">
        <v>990</v>
      </c>
      <c r="J117" s="2" t="s">
        <v>31</v>
      </c>
      <c r="K117" s="2" t="s">
        <v>31</v>
      </c>
      <c r="L117" s="2" t="s">
        <v>349</v>
      </c>
      <c r="M117" s="2" t="s">
        <v>49</v>
      </c>
      <c r="N117" s="2" t="s">
        <v>496</v>
      </c>
      <c r="O117" s="2" t="s">
        <v>159</v>
      </c>
      <c r="P117" s="2" t="s">
        <v>1779</v>
      </c>
      <c r="Q117" s="2" t="s">
        <v>435</v>
      </c>
      <c r="R117" s="2" t="s">
        <v>428</v>
      </c>
      <c r="S117" s="2" t="s">
        <v>45</v>
      </c>
      <c r="T117" s="153">
        <v>2.7639999999999998</v>
      </c>
      <c r="U117" s="2" t="s">
        <v>1919</v>
      </c>
      <c r="V117" s="165">
        <v>5.0900000000000001E-2</v>
      </c>
      <c r="W117" s="167">
        <v>4.6390000000000001E-2</v>
      </c>
      <c r="X117" s="4" t="s">
        <v>434</v>
      </c>
      <c r="Y117" s="4" t="s">
        <v>159</v>
      </c>
      <c r="Z117" s="153">
        <v>2039991.25</v>
      </c>
      <c r="AA117" s="153">
        <v>1</v>
      </c>
      <c r="AB117" s="153">
        <v>103.64</v>
      </c>
      <c r="AD117" s="153">
        <v>2114.2469999999998</v>
      </c>
      <c r="AG117" s="2" t="s">
        <v>37</v>
      </c>
      <c r="AH117" s="153">
        <v>2.823E-3</v>
      </c>
      <c r="AI117" s="167">
        <v>1.2650820921483501E-2</v>
      </c>
      <c r="AJ117" s="167">
        <v>1.9287076994689101E-3</v>
      </c>
    </row>
    <row r="118" spans="1:36">
      <c r="A118" s="2" t="s">
        <v>26</v>
      </c>
      <c r="B118" s="2">
        <v>9935</v>
      </c>
      <c r="C118" s="2" t="s">
        <v>2120</v>
      </c>
      <c r="D118" s="2" t="s">
        <v>2121</v>
      </c>
      <c r="E118" s="4" t="s">
        <v>1345</v>
      </c>
      <c r="F118" s="2" t="s">
        <v>2122</v>
      </c>
      <c r="G118" s="2" t="s">
        <v>2123</v>
      </c>
      <c r="H118" s="2" t="s">
        <v>343</v>
      </c>
      <c r="I118" s="2" t="s">
        <v>990</v>
      </c>
      <c r="J118" s="2" t="s">
        <v>31</v>
      </c>
      <c r="K118" s="2" t="s">
        <v>31</v>
      </c>
      <c r="L118" s="2" t="s">
        <v>349</v>
      </c>
      <c r="M118" s="2" t="s">
        <v>49</v>
      </c>
      <c r="N118" s="2" t="s">
        <v>467</v>
      </c>
      <c r="O118" s="2" t="s">
        <v>159</v>
      </c>
      <c r="P118" s="2" t="s">
        <v>1994</v>
      </c>
      <c r="Q118" s="2" t="s">
        <v>128</v>
      </c>
      <c r="R118" s="2" t="s">
        <v>428</v>
      </c>
      <c r="S118" s="2" t="s">
        <v>45</v>
      </c>
      <c r="T118" s="153">
        <v>0.98499999999999999</v>
      </c>
      <c r="U118" s="2" t="s">
        <v>2005</v>
      </c>
      <c r="V118" s="165">
        <v>6.2300000000000001E-2</v>
      </c>
      <c r="W118" s="167">
        <v>4.9349999999999998E-2</v>
      </c>
      <c r="X118" s="4" t="s">
        <v>434</v>
      </c>
      <c r="Y118" s="4" t="s">
        <v>159</v>
      </c>
      <c r="Z118" s="153">
        <v>592006.5</v>
      </c>
      <c r="AA118" s="153">
        <v>1</v>
      </c>
      <c r="AB118" s="153">
        <v>101.32</v>
      </c>
      <c r="AC118" s="153">
        <v>628.88900000000001</v>
      </c>
      <c r="AD118" s="153">
        <v>1228.71</v>
      </c>
      <c r="AG118" s="2" t="s">
        <v>37</v>
      </c>
      <c r="AH118" s="153">
        <v>1.861E-3</v>
      </c>
      <c r="AI118" s="167">
        <v>7.3521137435787198E-3</v>
      </c>
      <c r="AJ118" s="167">
        <v>1.1208820733942301E-3</v>
      </c>
    </row>
    <row r="119" spans="1:36">
      <c r="A119" s="2" t="s">
        <v>26</v>
      </c>
      <c r="B119" s="2">
        <v>9935</v>
      </c>
      <c r="C119" s="2" t="s">
        <v>1920</v>
      </c>
      <c r="D119" s="2" t="s">
        <v>1921</v>
      </c>
      <c r="E119" s="4" t="s">
        <v>1345</v>
      </c>
      <c r="F119" s="2" t="s">
        <v>1922</v>
      </c>
      <c r="G119" s="2" t="s">
        <v>1923</v>
      </c>
      <c r="H119" s="2" t="s">
        <v>343</v>
      </c>
      <c r="I119" s="2" t="s">
        <v>990</v>
      </c>
      <c r="J119" s="2" t="s">
        <v>31</v>
      </c>
      <c r="K119" s="2" t="s">
        <v>31</v>
      </c>
      <c r="L119" s="2" t="s">
        <v>349</v>
      </c>
      <c r="M119" s="2" t="s">
        <v>49</v>
      </c>
      <c r="N119" s="2" t="s">
        <v>460</v>
      </c>
      <c r="O119" s="2" t="s">
        <v>159</v>
      </c>
      <c r="P119" s="2" t="s">
        <v>1810</v>
      </c>
      <c r="Q119" s="2" t="s">
        <v>128</v>
      </c>
      <c r="R119" s="2" t="s">
        <v>428</v>
      </c>
      <c r="S119" s="2" t="s">
        <v>45</v>
      </c>
      <c r="T119" s="153">
        <v>4.556</v>
      </c>
      <c r="U119" s="2" t="s">
        <v>1924</v>
      </c>
      <c r="V119" s="165">
        <v>6.7699999999999996E-2</v>
      </c>
      <c r="W119" s="167">
        <v>5.8840000000000003E-2</v>
      </c>
      <c r="X119" s="4" t="s">
        <v>434</v>
      </c>
      <c r="Y119" s="4" t="s">
        <v>159</v>
      </c>
      <c r="Z119" s="153">
        <v>900000</v>
      </c>
      <c r="AA119" s="153">
        <v>1</v>
      </c>
      <c r="AB119" s="153">
        <v>108.96</v>
      </c>
      <c r="AD119" s="153">
        <v>980.64</v>
      </c>
      <c r="AG119" s="2" t="s">
        <v>37</v>
      </c>
      <c r="AH119" s="153">
        <v>0</v>
      </c>
      <c r="AI119" s="167">
        <v>5.8677635254468204E-3</v>
      </c>
      <c r="AJ119" s="167">
        <v>8.9458231686557002E-4</v>
      </c>
    </row>
    <row r="120" spans="1:36">
      <c r="A120" s="2" t="s">
        <v>26</v>
      </c>
      <c r="B120" s="2">
        <v>9935</v>
      </c>
      <c r="C120" s="2" t="s">
        <v>2124</v>
      </c>
      <c r="D120" s="2" t="s">
        <v>2125</v>
      </c>
      <c r="E120" s="4" t="s">
        <v>1345</v>
      </c>
      <c r="F120" s="2" t="s">
        <v>2126</v>
      </c>
      <c r="G120" s="2" t="s">
        <v>2127</v>
      </c>
      <c r="H120" s="2" t="s">
        <v>343</v>
      </c>
      <c r="I120" s="2" t="s">
        <v>778</v>
      </c>
      <c r="J120" s="2" t="s">
        <v>31</v>
      </c>
      <c r="K120" s="2" t="s">
        <v>31</v>
      </c>
      <c r="L120" s="2" t="s">
        <v>349</v>
      </c>
      <c r="M120" s="2" t="s">
        <v>49</v>
      </c>
      <c r="N120" s="2" t="s">
        <v>474</v>
      </c>
      <c r="O120" s="2" t="s">
        <v>159</v>
      </c>
      <c r="P120" s="2" t="s">
        <v>33</v>
      </c>
      <c r="Q120" s="2" t="s">
        <v>128</v>
      </c>
      <c r="R120" s="2" t="s">
        <v>428</v>
      </c>
      <c r="S120" s="2" t="s">
        <v>45</v>
      </c>
      <c r="T120" s="153">
        <v>3.3</v>
      </c>
      <c r="U120" s="2" t="s">
        <v>2128</v>
      </c>
      <c r="V120" s="165">
        <v>4.6899999999999997E-2</v>
      </c>
      <c r="W120" s="167">
        <v>6.9029999999999994E-2</v>
      </c>
      <c r="X120" s="4" t="s">
        <v>434</v>
      </c>
      <c r="Y120" s="4" t="s">
        <v>159</v>
      </c>
      <c r="Z120" s="153">
        <v>2063314.82</v>
      </c>
      <c r="AA120" s="153">
        <v>1</v>
      </c>
      <c r="AB120" s="153">
        <v>98.27</v>
      </c>
      <c r="AD120" s="153">
        <v>2027.6189999999999</v>
      </c>
      <c r="AG120" s="2" t="s">
        <v>37</v>
      </c>
      <c r="AH120" s="153">
        <v>1.408E-3</v>
      </c>
      <c r="AI120" s="167">
        <v>1.2132476332556199E-2</v>
      </c>
      <c r="AJ120" s="167">
        <v>1.84968237725094E-3</v>
      </c>
    </row>
    <row r="121" spans="1:36">
      <c r="A121" s="2" t="s">
        <v>26</v>
      </c>
      <c r="B121" s="2">
        <v>9935</v>
      </c>
      <c r="C121" s="2" t="s">
        <v>1935</v>
      </c>
      <c r="D121" s="2" t="s">
        <v>1936</v>
      </c>
      <c r="E121" s="4" t="s">
        <v>1345</v>
      </c>
      <c r="F121" s="2" t="s">
        <v>1937</v>
      </c>
      <c r="G121" s="2" t="s">
        <v>1938</v>
      </c>
      <c r="H121" s="2" t="s">
        <v>343</v>
      </c>
      <c r="I121" s="2" t="s">
        <v>778</v>
      </c>
      <c r="J121" s="2" t="s">
        <v>31</v>
      </c>
      <c r="K121" s="2" t="s">
        <v>31</v>
      </c>
      <c r="L121" s="2" t="s">
        <v>349</v>
      </c>
      <c r="M121" s="2" t="s">
        <v>336</v>
      </c>
      <c r="N121" s="2" t="s">
        <v>507</v>
      </c>
      <c r="O121" s="2" t="s">
        <v>159</v>
      </c>
      <c r="P121" s="2" t="s">
        <v>1939</v>
      </c>
      <c r="Q121" s="2" t="s">
        <v>34</v>
      </c>
      <c r="R121" s="2" t="s">
        <v>428</v>
      </c>
      <c r="S121" s="2" t="s">
        <v>35</v>
      </c>
      <c r="T121" s="153">
        <v>1.1399999999999999</v>
      </c>
      <c r="U121" s="2" t="s">
        <v>1940</v>
      </c>
      <c r="V121" s="165">
        <v>6.1249999999999999E-2</v>
      </c>
      <c r="W121" s="167">
        <v>7.5679999999999997E-2</v>
      </c>
      <c r="X121" s="4" t="s">
        <v>434</v>
      </c>
      <c r="Y121" s="4" t="s">
        <v>159</v>
      </c>
      <c r="Z121" s="153">
        <v>350000</v>
      </c>
      <c r="AA121" s="153">
        <v>3.681</v>
      </c>
      <c r="AB121" s="153">
        <v>98.581000000000003</v>
      </c>
      <c r="AD121" s="153">
        <v>1289.796</v>
      </c>
      <c r="AG121" s="2" t="s">
        <v>37</v>
      </c>
      <c r="AH121" s="153">
        <v>5.8299999999999997E-4</v>
      </c>
      <c r="AI121" s="167">
        <v>7.7176322997805904E-3</v>
      </c>
      <c r="AJ121" s="167">
        <v>1.17660797909005E-3</v>
      </c>
    </row>
    <row r="122" spans="1:36">
      <c r="A122" s="2" t="s">
        <v>26</v>
      </c>
      <c r="B122" s="2">
        <v>9935</v>
      </c>
      <c r="C122" s="2" t="s">
        <v>1941</v>
      </c>
      <c r="D122" s="2" t="s">
        <v>1942</v>
      </c>
      <c r="E122" s="4" t="s">
        <v>1345</v>
      </c>
      <c r="F122" s="2" t="s">
        <v>2129</v>
      </c>
      <c r="G122" s="2" t="s">
        <v>2130</v>
      </c>
      <c r="H122" s="2" t="s">
        <v>343</v>
      </c>
      <c r="I122" s="2" t="s">
        <v>990</v>
      </c>
      <c r="J122" s="2" t="s">
        <v>31</v>
      </c>
      <c r="K122" s="2" t="s">
        <v>31</v>
      </c>
      <c r="L122" s="2" t="s">
        <v>349</v>
      </c>
      <c r="M122" s="2" t="s">
        <v>49</v>
      </c>
      <c r="N122" s="2" t="s">
        <v>467</v>
      </c>
      <c r="O122" s="2" t="s">
        <v>159</v>
      </c>
      <c r="P122" s="2" t="s">
        <v>1810</v>
      </c>
      <c r="Q122" s="2" t="s">
        <v>128</v>
      </c>
      <c r="R122" s="2" t="s">
        <v>428</v>
      </c>
      <c r="S122" s="2" t="s">
        <v>45</v>
      </c>
      <c r="T122" s="153">
        <v>1.9119999999999999</v>
      </c>
      <c r="U122" s="2" t="s">
        <v>2131</v>
      </c>
      <c r="V122" s="165">
        <v>3.5000000000000003E-2</v>
      </c>
      <c r="W122" s="167">
        <v>5.6559999999999999E-2</v>
      </c>
      <c r="X122" s="4" t="s">
        <v>434</v>
      </c>
      <c r="Y122" s="4" t="s">
        <v>159</v>
      </c>
      <c r="Z122" s="153">
        <v>728208</v>
      </c>
      <c r="AA122" s="153">
        <v>1</v>
      </c>
      <c r="AB122" s="153">
        <v>96.19</v>
      </c>
      <c r="AD122" s="153">
        <v>700.46299999999997</v>
      </c>
      <c r="AG122" s="2" t="s">
        <v>37</v>
      </c>
      <c r="AH122" s="153">
        <v>2.9129999999999998E-3</v>
      </c>
      <c r="AI122" s="167">
        <v>4.1912963545578203E-3</v>
      </c>
      <c r="AJ122" s="167">
        <v>6.3899296337867199E-4</v>
      </c>
    </row>
    <row r="123" spans="1:36">
      <c r="A123" s="2" t="s">
        <v>26</v>
      </c>
      <c r="B123" s="2">
        <v>9935</v>
      </c>
      <c r="C123" s="2" t="s">
        <v>1941</v>
      </c>
      <c r="D123" s="2" t="s">
        <v>1942</v>
      </c>
      <c r="E123" s="4" t="s">
        <v>1345</v>
      </c>
      <c r="F123" s="2" t="s">
        <v>1943</v>
      </c>
      <c r="G123" s="2" t="s">
        <v>1944</v>
      </c>
      <c r="H123" s="2" t="s">
        <v>343</v>
      </c>
      <c r="I123" s="2" t="s">
        <v>777</v>
      </c>
      <c r="J123" s="2" t="s">
        <v>31</v>
      </c>
      <c r="K123" s="2" t="s">
        <v>31</v>
      </c>
      <c r="L123" s="2" t="s">
        <v>349</v>
      </c>
      <c r="M123" s="2" t="s">
        <v>49</v>
      </c>
      <c r="N123" s="2" t="s">
        <v>467</v>
      </c>
      <c r="O123" s="2" t="s">
        <v>159</v>
      </c>
      <c r="P123" s="2" t="s">
        <v>1945</v>
      </c>
      <c r="Q123" s="2" t="s">
        <v>435</v>
      </c>
      <c r="R123" s="2" t="s">
        <v>428</v>
      </c>
      <c r="S123" s="2" t="s">
        <v>45</v>
      </c>
      <c r="T123" s="153">
        <v>3.2690000000000001</v>
      </c>
      <c r="U123" s="2" t="s">
        <v>1946</v>
      </c>
      <c r="V123" s="165">
        <v>3.85E-2</v>
      </c>
      <c r="W123" s="167">
        <v>3.1759999999999997E-2</v>
      </c>
      <c r="X123" s="4" t="s">
        <v>434</v>
      </c>
      <c r="Y123" s="4" t="s">
        <v>159</v>
      </c>
      <c r="Z123" s="153">
        <v>330000</v>
      </c>
      <c r="AA123" s="153">
        <v>1</v>
      </c>
      <c r="AB123" s="153">
        <v>106.03</v>
      </c>
      <c r="AD123" s="153">
        <v>349.899</v>
      </c>
      <c r="AG123" s="2" t="s">
        <v>37</v>
      </c>
      <c r="AH123" s="153">
        <v>1.864E-3</v>
      </c>
      <c r="AI123" s="167">
        <v>2.0936578048930499E-3</v>
      </c>
      <c r="AJ123" s="167">
        <v>3.1919303525141301E-4</v>
      </c>
    </row>
    <row r="124" spans="1:36">
      <c r="A124" s="2" t="s">
        <v>26</v>
      </c>
      <c r="B124" s="2">
        <v>9935</v>
      </c>
      <c r="C124" s="2" t="s">
        <v>1941</v>
      </c>
      <c r="D124" s="2" t="s">
        <v>1942</v>
      </c>
      <c r="E124" s="4" t="s">
        <v>1345</v>
      </c>
      <c r="F124" s="2" t="s">
        <v>2132</v>
      </c>
      <c r="G124" s="2" t="s">
        <v>1944</v>
      </c>
      <c r="H124" s="2" t="s">
        <v>343</v>
      </c>
      <c r="I124" s="2" t="s">
        <v>777</v>
      </c>
      <c r="J124" s="2" t="s">
        <v>31</v>
      </c>
      <c r="K124" s="2" t="s">
        <v>31</v>
      </c>
      <c r="L124" s="2" t="s">
        <v>351</v>
      </c>
      <c r="M124" s="2" t="s">
        <v>49</v>
      </c>
      <c r="N124" s="2" t="s">
        <v>467</v>
      </c>
      <c r="O124" s="2" t="s">
        <v>159</v>
      </c>
      <c r="P124" s="2" t="s">
        <v>1945</v>
      </c>
      <c r="Q124" s="2" t="s">
        <v>435</v>
      </c>
      <c r="R124" s="2" t="s">
        <v>428</v>
      </c>
      <c r="S124" s="2" t="s">
        <v>45</v>
      </c>
      <c r="T124" s="153">
        <v>3.45</v>
      </c>
      <c r="U124" s="2" t="s">
        <v>1946</v>
      </c>
      <c r="V124" s="165">
        <v>3.85E-2</v>
      </c>
      <c r="W124" s="167">
        <v>2.9700000000000001E-2</v>
      </c>
      <c r="X124" s="4" t="s">
        <v>434</v>
      </c>
      <c r="Y124" s="4" t="s">
        <v>159</v>
      </c>
      <c r="Z124" s="153">
        <v>416000</v>
      </c>
      <c r="AA124" s="153">
        <v>1</v>
      </c>
      <c r="AB124" s="153">
        <v>105.578</v>
      </c>
      <c r="AD124" s="153">
        <v>439.20400000000001</v>
      </c>
      <c r="AG124" s="2" t="s">
        <v>37</v>
      </c>
      <c r="AH124" s="153">
        <v>2.3500000000000001E-3</v>
      </c>
      <c r="AI124" s="167">
        <v>2.6280241342054298E-3</v>
      </c>
      <c r="AJ124" s="167">
        <v>4.0066098583567303E-4</v>
      </c>
    </row>
    <row r="125" spans="1:36">
      <c r="A125" s="2" t="s">
        <v>26</v>
      </c>
      <c r="B125" s="2">
        <v>9935</v>
      </c>
      <c r="C125" s="2" t="s">
        <v>2133</v>
      </c>
      <c r="D125" s="2" t="s">
        <v>2134</v>
      </c>
      <c r="E125" s="4" t="s">
        <v>1345</v>
      </c>
      <c r="F125" s="2" t="s">
        <v>2135</v>
      </c>
      <c r="G125" s="2" t="s">
        <v>2136</v>
      </c>
      <c r="H125" s="2" t="s">
        <v>343</v>
      </c>
      <c r="I125" s="2" t="s">
        <v>777</v>
      </c>
      <c r="J125" s="2" t="s">
        <v>31</v>
      </c>
      <c r="K125" s="2" t="s">
        <v>31</v>
      </c>
      <c r="L125" s="2" t="s">
        <v>349</v>
      </c>
      <c r="M125" s="2" t="s">
        <v>49</v>
      </c>
      <c r="N125" s="2" t="s">
        <v>476</v>
      </c>
      <c r="O125" s="2" t="s">
        <v>159</v>
      </c>
      <c r="P125" s="2" t="s">
        <v>1785</v>
      </c>
      <c r="Q125" s="2" t="s">
        <v>435</v>
      </c>
      <c r="R125" s="2" t="s">
        <v>428</v>
      </c>
      <c r="S125" s="2" t="s">
        <v>45</v>
      </c>
      <c r="T125" s="153">
        <v>5.6740000000000004</v>
      </c>
      <c r="U125" s="2" t="s">
        <v>2137</v>
      </c>
      <c r="V125" s="165">
        <v>5.1499999999999997E-2</v>
      </c>
      <c r="W125" s="167">
        <v>2.9309999999999999E-2</v>
      </c>
      <c r="X125" s="4" t="s">
        <v>434</v>
      </c>
      <c r="Y125" s="4" t="s">
        <v>159</v>
      </c>
      <c r="Z125" s="153">
        <v>1229896.1000000001</v>
      </c>
      <c r="AA125" s="153">
        <v>1</v>
      </c>
      <c r="AB125" s="153">
        <v>154.27000000000001</v>
      </c>
      <c r="AD125" s="153">
        <v>1897.3610000000001</v>
      </c>
      <c r="AG125" s="2" t="s">
        <v>37</v>
      </c>
      <c r="AH125" s="153">
        <v>3.9300000000000001E-4</v>
      </c>
      <c r="AI125" s="167">
        <v>1.13530592155276E-2</v>
      </c>
      <c r="AJ125" s="167">
        <v>1.73085468977984E-3</v>
      </c>
    </row>
    <row r="126" spans="1:36">
      <c r="A126" s="2" t="s">
        <v>26</v>
      </c>
      <c r="B126" s="2">
        <v>9935</v>
      </c>
      <c r="C126" s="2" t="s">
        <v>1775</v>
      </c>
      <c r="D126" s="2" t="s">
        <v>1776</v>
      </c>
      <c r="E126" s="4" t="s">
        <v>1345</v>
      </c>
      <c r="F126" s="2" t="s">
        <v>1777</v>
      </c>
      <c r="G126" s="2" t="s">
        <v>1778</v>
      </c>
      <c r="H126" s="2" t="s">
        <v>343</v>
      </c>
      <c r="I126" s="2" t="s">
        <v>777</v>
      </c>
      <c r="J126" s="2" t="s">
        <v>31</v>
      </c>
      <c r="K126" s="2" t="s">
        <v>31</v>
      </c>
      <c r="L126" s="2" t="s">
        <v>349</v>
      </c>
      <c r="M126" s="2" t="s">
        <v>49</v>
      </c>
      <c r="N126" s="2" t="s">
        <v>484</v>
      </c>
      <c r="O126" s="2" t="s">
        <v>159</v>
      </c>
      <c r="P126" s="2" t="s">
        <v>1779</v>
      </c>
      <c r="Q126" s="2" t="s">
        <v>435</v>
      </c>
      <c r="R126" s="2" t="s">
        <v>428</v>
      </c>
      <c r="S126" s="2" t="s">
        <v>45</v>
      </c>
      <c r="T126" s="153">
        <v>2.698</v>
      </c>
      <c r="U126" s="2" t="s">
        <v>108</v>
      </c>
      <c r="V126" s="165">
        <v>2.3400000000000001E-2</v>
      </c>
      <c r="W126" s="167">
        <v>2.1569999999999999E-2</v>
      </c>
      <c r="X126" s="4" t="s">
        <v>434</v>
      </c>
      <c r="Y126" s="4" t="s">
        <v>159</v>
      </c>
      <c r="Z126" s="153">
        <v>639019.09</v>
      </c>
      <c r="AA126" s="153">
        <v>1</v>
      </c>
      <c r="AB126" s="153">
        <v>111.84</v>
      </c>
      <c r="AD126" s="153">
        <v>714.67899999999997</v>
      </c>
      <c r="AG126" s="2" t="s">
        <v>37</v>
      </c>
      <c r="AH126" s="153">
        <v>2.4699999999999999E-4</v>
      </c>
      <c r="AI126" s="167">
        <v>4.2763573551117496E-3</v>
      </c>
      <c r="AJ126" s="167">
        <v>6.5196111838703905E-4</v>
      </c>
    </row>
    <row r="127" spans="1:36">
      <c r="A127" s="2" t="s">
        <v>26</v>
      </c>
      <c r="B127" s="2">
        <v>9935</v>
      </c>
      <c r="C127" s="2" t="s">
        <v>2138</v>
      </c>
      <c r="D127" s="2" t="s">
        <v>2139</v>
      </c>
      <c r="E127" s="4" t="s">
        <v>1345</v>
      </c>
      <c r="F127" s="2" t="s">
        <v>2140</v>
      </c>
      <c r="G127" s="2" t="s">
        <v>2141</v>
      </c>
      <c r="H127" s="2" t="s">
        <v>343</v>
      </c>
      <c r="I127" s="2" t="s">
        <v>777</v>
      </c>
      <c r="J127" s="2" t="s">
        <v>31</v>
      </c>
      <c r="K127" s="2" t="s">
        <v>31</v>
      </c>
      <c r="L127" s="2" t="s">
        <v>349</v>
      </c>
      <c r="M127" s="2" t="s">
        <v>49</v>
      </c>
      <c r="N127" s="2" t="s">
        <v>498</v>
      </c>
      <c r="O127" s="2" t="s">
        <v>159</v>
      </c>
      <c r="P127" s="2" t="s">
        <v>1795</v>
      </c>
      <c r="Q127" s="2" t="s">
        <v>435</v>
      </c>
      <c r="R127" s="2" t="s">
        <v>428</v>
      </c>
      <c r="S127" s="2" t="s">
        <v>45</v>
      </c>
      <c r="T127" s="153">
        <v>2.036</v>
      </c>
      <c r="U127" s="2" t="s">
        <v>2142</v>
      </c>
      <c r="V127" s="165">
        <v>3.2000000000000001E-2</v>
      </c>
      <c r="W127" s="167">
        <v>2.9739999999999999E-2</v>
      </c>
      <c r="X127" s="4" t="s">
        <v>434</v>
      </c>
      <c r="Y127" s="4" t="s">
        <v>159</v>
      </c>
      <c r="Z127" s="153">
        <v>0.89</v>
      </c>
      <c r="AA127" s="153">
        <v>1</v>
      </c>
      <c r="AB127" s="153">
        <v>104.3</v>
      </c>
      <c r="AD127" s="153">
        <v>1E-3</v>
      </c>
      <c r="AG127" s="2" t="s">
        <v>37</v>
      </c>
      <c r="AH127" s="153">
        <v>0</v>
      </c>
      <c r="AI127" s="167">
        <v>5.5544020718780806E-9</v>
      </c>
      <c r="AJ127" s="167">
        <v>8.4680813272638506E-10</v>
      </c>
    </row>
    <row r="128" spans="1:36">
      <c r="A128" s="2" t="s">
        <v>26</v>
      </c>
      <c r="B128" s="2">
        <v>9935</v>
      </c>
      <c r="C128" s="2" t="s">
        <v>2138</v>
      </c>
      <c r="D128" s="2" t="s">
        <v>2139</v>
      </c>
      <c r="E128" s="4" t="s">
        <v>1345</v>
      </c>
      <c r="F128" s="2" t="s">
        <v>2143</v>
      </c>
      <c r="G128" s="2" t="s">
        <v>2144</v>
      </c>
      <c r="H128" s="2" t="s">
        <v>343</v>
      </c>
      <c r="I128" s="2" t="s">
        <v>990</v>
      </c>
      <c r="J128" s="2" t="s">
        <v>31</v>
      </c>
      <c r="K128" s="2" t="s">
        <v>31</v>
      </c>
      <c r="L128" s="2" t="s">
        <v>349</v>
      </c>
      <c r="M128" s="2" t="s">
        <v>49</v>
      </c>
      <c r="N128" s="2" t="s">
        <v>498</v>
      </c>
      <c r="O128" s="2" t="s">
        <v>159</v>
      </c>
      <c r="P128" s="2" t="s">
        <v>1795</v>
      </c>
      <c r="Q128" s="2" t="s">
        <v>435</v>
      </c>
      <c r="R128" s="2" t="s">
        <v>428</v>
      </c>
      <c r="S128" s="2" t="s">
        <v>45</v>
      </c>
      <c r="T128" s="153">
        <v>2.0590000000000002</v>
      </c>
      <c r="U128" s="2" t="s">
        <v>2145</v>
      </c>
      <c r="V128" s="165">
        <v>5.7000000000000002E-2</v>
      </c>
      <c r="W128" s="167">
        <v>5.9130000000000002E-2</v>
      </c>
      <c r="X128" s="4" t="s">
        <v>434</v>
      </c>
      <c r="Y128" s="4" t="s">
        <v>159</v>
      </c>
      <c r="Z128" s="153">
        <v>367200</v>
      </c>
      <c r="AA128" s="153">
        <v>1</v>
      </c>
      <c r="AB128" s="153">
        <v>100.07</v>
      </c>
      <c r="AD128" s="153">
        <v>367.45699999999999</v>
      </c>
      <c r="AG128" s="2" t="s">
        <v>37</v>
      </c>
      <c r="AH128" s="153">
        <v>9.2599999999999996E-4</v>
      </c>
      <c r="AI128" s="167">
        <v>2.1987182008490901E-3</v>
      </c>
      <c r="AJ128" s="167">
        <v>3.3521024044681498E-4</v>
      </c>
    </row>
    <row r="129" spans="1:36">
      <c r="A129" s="2" t="s">
        <v>26</v>
      </c>
      <c r="B129" s="2">
        <v>9935</v>
      </c>
      <c r="C129" s="2" t="s">
        <v>2146</v>
      </c>
      <c r="D129" s="2" t="s">
        <v>2147</v>
      </c>
      <c r="E129" s="4" t="s">
        <v>1345</v>
      </c>
      <c r="F129" s="2" t="s">
        <v>2148</v>
      </c>
      <c r="G129" s="2" t="s">
        <v>2149</v>
      </c>
      <c r="H129" s="2" t="s">
        <v>343</v>
      </c>
      <c r="I129" s="2" t="s">
        <v>777</v>
      </c>
      <c r="J129" s="2" t="s">
        <v>31</v>
      </c>
      <c r="K129" s="2" t="s">
        <v>31</v>
      </c>
      <c r="L129" s="2" t="s">
        <v>349</v>
      </c>
      <c r="M129" s="2" t="s">
        <v>49</v>
      </c>
      <c r="N129" s="2" t="s">
        <v>498</v>
      </c>
      <c r="O129" s="2" t="s">
        <v>159</v>
      </c>
      <c r="P129" s="2" t="s">
        <v>1795</v>
      </c>
      <c r="Q129" s="2" t="s">
        <v>435</v>
      </c>
      <c r="R129" s="2" t="s">
        <v>428</v>
      </c>
      <c r="S129" s="2" t="s">
        <v>45</v>
      </c>
      <c r="T129" s="153">
        <v>2.9870000000000001</v>
      </c>
      <c r="U129" s="2" t="s">
        <v>2150</v>
      </c>
      <c r="V129" s="165">
        <v>3.2300000000000002E-2</v>
      </c>
      <c r="W129" s="167">
        <v>2.8750000000000001E-2</v>
      </c>
      <c r="X129" s="4" t="s">
        <v>434</v>
      </c>
      <c r="Y129" s="4" t="s">
        <v>159</v>
      </c>
      <c r="Z129" s="153">
        <v>428160</v>
      </c>
      <c r="AA129" s="153">
        <v>1</v>
      </c>
      <c r="AB129" s="153">
        <v>104.51</v>
      </c>
      <c r="AD129" s="153">
        <v>447.47</v>
      </c>
      <c r="AG129" s="2" t="s">
        <v>37</v>
      </c>
      <c r="AH129" s="153">
        <v>9.1100000000000003E-4</v>
      </c>
      <c r="AI129" s="167">
        <v>2.67748433534825E-3</v>
      </c>
      <c r="AJ129" s="167">
        <v>4.08201545563258E-4</v>
      </c>
    </row>
    <row r="130" spans="1:36">
      <c r="A130" s="2" t="s">
        <v>26</v>
      </c>
      <c r="B130" s="2">
        <v>9935</v>
      </c>
      <c r="C130" s="2" t="s">
        <v>1947</v>
      </c>
      <c r="D130" s="2" t="s">
        <v>1948</v>
      </c>
      <c r="E130" s="4" t="s">
        <v>1345</v>
      </c>
      <c r="F130" s="2" t="s">
        <v>1949</v>
      </c>
      <c r="G130" s="2" t="s">
        <v>1950</v>
      </c>
      <c r="H130" s="2" t="s">
        <v>343</v>
      </c>
      <c r="I130" s="2" t="s">
        <v>990</v>
      </c>
      <c r="J130" s="2" t="s">
        <v>31</v>
      </c>
      <c r="K130" s="2" t="s">
        <v>31</v>
      </c>
      <c r="L130" s="2" t="s">
        <v>349</v>
      </c>
      <c r="M130" s="2" t="s">
        <v>49</v>
      </c>
      <c r="N130" s="2" t="s">
        <v>461</v>
      </c>
      <c r="O130" s="2" t="s">
        <v>159</v>
      </c>
      <c r="P130" s="2" t="s">
        <v>1951</v>
      </c>
      <c r="Q130" s="2" t="s">
        <v>128</v>
      </c>
      <c r="R130" s="2" t="s">
        <v>430</v>
      </c>
      <c r="S130" s="2" t="s">
        <v>45</v>
      </c>
      <c r="T130" s="153">
        <v>3.82</v>
      </c>
      <c r="U130" s="2" t="s">
        <v>93</v>
      </c>
      <c r="V130" s="165">
        <v>5.5E-2</v>
      </c>
      <c r="W130" s="167">
        <v>6.694E-2</v>
      </c>
      <c r="X130" s="4" t="s">
        <v>434</v>
      </c>
      <c r="Y130" s="4" t="s">
        <v>159</v>
      </c>
      <c r="Z130" s="153">
        <v>418000</v>
      </c>
      <c r="AA130" s="153">
        <v>1</v>
      </c>
      <c r="AB130" s="153">
        <v>96.08</v>
      </c>
      <c r="AD130" s="153">
        <v>401.61399999999998</v>
      </c>
      <c r="AG130" s="2" t="s">
        <v>37</v>
      </c>
      <c r="AH130" s="153">
        <v>0</v>
      </c>
      <c r="AI130" s="167">
        <v>2.4031023898823298E-3</v>
      </c>
      <c r="AJ130" s="167">
        <v>3.6637006489494199E-4</v>
      </c>
    </row>
    <row r="131" spans="1:36">
      <c r="A131" s="2" t="s">
        <v>26</v>
      </c>
      <c r="B131" s="2">
        <v>9935</v>
      </c>
      <c r="C131" s="2" t="s">
        <v>1520</v>
      </c>
      <c r="D131" s="2" t="s">
        <v>1521</v>
      </c>
      <c r="E131" s="4" t="s">
        <v>1345</v>
      </c>
      <c r="F131" s="2" t="s">
        <v>1783</v>
      </c>
      <c r="G131" s="2" t="s">
        <v>1784</v>
      </c>
      <c r="H131" s="2" t="s">
        <v>343</v>
      </c>
      <c r="I131" s="2" t="s">
        <v>990</v>
      </c>
      <c r="J131" s="2" t="s">
        <v>31</v>
      </c>
      <c r="K131" s="2" t="s">
        <v>31</v>
      </c>
      <c r="L131" s="2" t="s">
        <v>349</v>
      </c>
      <c r="M131" s="2" t="s">
        <v>49</v>
      </c>
      <c r="N131" s="2" t="s">
        <v>484</v>
      </c>
      <c r="O131" s="2" t="s">
        <v>159</v>
      </c>
      <c r="P131" s="2" t="s">
        <v>1785</v>
      </c>
      <c r="Q131" s="2" t="s">
        <v>435</v>
      </c>
      <c r="R131" s="2" t="s">
        <v>428</v>
      </c>
      <c r="S131" s="2" t="s">
        <v>45</v>
      </c>
      <c r="T131" s="153">
        <v>1.8580000000000001</v>
      </c>
      <c r="U131" s="2" t="s">
        <v>1786</v>
      </c>
      <c r="V131" s="165">
        <v>3.85E-2</v>
      </c>
      <c r="W131" s="167">
        <v>4.768E-2</v>
      </c>
      <c r="X131" s="4" t="s">
        <v>434</v>
      </c>
      <c r="Y131" s="4" t="s">
        <v>159</v>
      </c>
      <c r="Z131" s="153">
        <v>1400000</v>
      </c>
      <c r="AA131" s="153">
        <v>1</v>
      </c>
      <c r="AB131" s="153">
        <v>98.71</v>
      </c>
      <c r="AD131" s="153">
        <v>1381.94</v>
      </c>
      <c r="AG131" s="2" t="s">
        <v>37</v>
      </c>
      <c r="AH131" s="153">
        <v>1.4610000000000001E-3</v>
      </c>
      <c r="AI131" s="167">
        <v>8.2689846695586395E-3</v>
      </c>
      <c r="AJ131" s="167">
        <v>1.26066557245187E-3</v>
      </c>
    </row>
    <row r="132" spans="1:36">
      <c r="A132" s="2" t="s">
        <v>26</v>
      </c>
      <c r="B132" s="2">
        <v>9935</v>
      </c>
      <c r="C132" s="2" t="s">
        <v>1791</v>
      </c>
      <c r="D132" s="2" t="s">
        <v>1792</v>
      </c>
      <c r="E132" s="4" t="s">
        <v>1345</v>
      </c>
      <c r="F132" s="2" t="s">
        <v>1793</v>
      </c>
      <c r="G132" s="2" t="s">
        <v>1794</v>
      </c>
      <c r="H132" s="2" t="s">
        <v>343</v>
      </c>
      <c r="I132" s="2" t="s">
        <v>990</v>
      </c>
      <c r="J132" s="2" t="s">
        <v>31</v>
      </c>
      <c r="K132" s="2" t="s">
        <v>31</v>
      </c>
      <c r="L132" s="2" t="s">
        <v>349</v>
      </c>
      <c r="M132" s="2" t="s">
        <v>49</v>
      </c>
      <c r="N132" s="2" t="s">
        <v>471</v>
      </c>
      <c r="O132" s="2" t="s">
        <v>159</v>
      </c>
      <c r="P132" s="2" t="s">
        <v>1795</v>
      </c>
      <c r="Q132" s="2" t="s">
        <v>435</v>
      </c>
      <c r="R132" s="2" t="s">
        <v>428</v>
      </c>
      <c r="S132" s="2" t="s">
        <v>45</v>
      </c>
      <c r="T132" s="153">
        <v>3.41</v>
      </c>
      <c r="U132" s="2" t="s">
        <v>1796</v>
      </c>
      <c r="V132" s="165">
        <v>0.04</v>
      </c>
      <c r="W132" s="167">
        <v>5.0200000000000002E-2</v>
      </c>
      <c r="X132" s="4" t="s">
        <v>434</v>
      </c>
      <c r="Y132" s="4" t="s">
        <v>159</v>
      </c>
      <c r="Z132" s="153">
        <v>1100000</v>
      </c>
      <c r="AA132" s="153">
        <v>1</v>
      </c>
      <c r="AB132" s="153">
        <v>97.7</v>
      </c>
      <c r="AD132" s="153">
        <v>1074.7</v>
      </c>
      <c r="AG132" s="2" t="s">
        <v>37</v>
      </c>
      <c r="AH132" s="153">
        <v>1.421E-3</v>
      </c>
      <c r="AI132" s="167">
        <v>6.4305815190056504E-3</v>
      </c>
      <c r="AJ132" s="167">
        <v>9.8038792618639591E-4</v>
      </c>
    </row>
    <row r="133" spans="1:36">
      <c r="A133" s="2" t="s">
        <v>26</v>
      </c>
      <c r="B133" s="2">
        <v>9935</v>
      </c>
      <c r="C133" s="2" t="s">
        <v>2151</v>
      </c>
      <c r="D133" s="2" t="s">
        <v>2152</v>
      </c>
      <c r="E133" s="4" t="s">
        <v>44</v>
      </c>
      <c r="F133" s="2" t="s">
        <v>2153</v>
      </c>
      <c r="G133" s="2" t="s">
        <v>2154</v>
      </c>
      <c r="H133" s="2" t="s">
        <v>343</v>
      </c>
      <c r="I133" s="2" t="s">
        <v>990</v>
      </c>
      <c r="J133" s="2" t="s">
        <v>31</v>
      </c>
      <c r="K133" s="2" t="s">
        <v>125</v>
      </c>
      <c r="L133" s="2" t="s">
        <v>349</v>
      </c>
      <c r="M133" s="2" t="s">
        <v>49</v>
      </c>
      <c r="N133" s="2" t="s">
        <v>463</v>
      </c>
      <c r="O133" s="2" t="s">
        <v>159</v>
      </c>
      <c r="P133" s="2" t="s">
        <v>1795</v>
      </c>
      <c r="Q133" s="2" t="s">
        <v>435</v>
      </c>
      <c r="R133" s="2" t="s">
        <v>428</v>
      </c>
      <c r="S133" s="2" t="s">
        <v>45</v>
      </c>
      <c r="T133" s="153">
        <v>1.206</v>
      </c>
      <c r="U133" s="2" t="s">
        <v>2155</v>
      </c>
      <c r="V133" s="165">
        <v>4.7500000000000001E-2</v>
      </c>
      <c r="W133" s="167">
        <v>6.3960000000000003E-2</v>
      </c>
      <c r="X133" s="4" t="s">
        <v>434</v>
      </c>
      <c r="Y133" s="4" t="s">
        <v>159</v>
      </c>
      <c r="Z133" s="153">
        <v>0.4</v>
      </c>
      <c r="AA133" s="153">
        <v>1</v>
      </c>
      <c r="AB133" s="153">
        <v>98.34</v>
      </c>
      <c r="AD133" s="153">
        <v>0</v>
      </c>
      <c r="AG133" s="2" t="s">
        <v>37</v>
      </c>
      <c r="AH133" s="153">
        <v>0</v>
      </c>
      <c r="AI133" s="167">
        <v>2.3537113113576503E-9</v>
      </c>
      <c r="AJ133" s="167">
        <v>3.5884004340251299E-10</v>
      </c>
    </row>
    <row r="134" spans="1:36">
      <c r="A134" s="2" t="s">
        <v>26</v>
      </c>
      <c r="B134" s="2">
        <v>9935</v>
      </c>
      <c r="C134" s="2" t="s">
        <v>1528</v>
      </c>
      <c r="D134" s="2" t="s">
        <v>1529</v>
      </c>
      <c r="E134" s="4" t="s">
        <v>1345</v>
      </c>
      <c r="F134" s="2" t="s">
        <v>2038</v>
      </c>
      <c r="G134" s="2" t="s">
        <v>2039</v>
      </c>
      <c r="H134" s="2" t="s">
        <v>343</v>
      </c>
      <c r="I134" s="2" t="s">
        <v>990</v>
      </c>
      <c r="J134" s="2" t="s">
        <v>31</v>
      </c>
      <c r="K134" s="2" t="s">
        <v>31</v>
      </c>
      <c r="L134" s="2" t="s">
        <v>349</v>
      </c>
      <c r="M134" s="2" t="s">
        <v>49</v>
      </c>
      <c r="N134" s="2" t="s">
        <v>461</v>
      </c>
      <c r="O134" s="2" t="s">
        <v>159</v>
      </c>
      <c r="P134" s="2" t="s">
        <v>2040</v>
      </c>
      <c r="Q134" s="2" t="s">
        <v>128</v>
      </c>
      <c r="R134" s="2" t="s">
        <v>428</v>
      </c>
      <c r="S134" s="2" t="s">
        <v>45</v>
      </c>
      <c r="T134" s="153">
        <v>1.9910000000000001</v>
      </c>
      <c r="U134" s="2" t="s">
        <v>2041</v>
      </c>
      <c r="V134" s="165">
        <v>3.4500000000000003E-2</v>
      </c>
      <c r="W134" s="167">
        <v>5.0560000000000001E-2</v>
      </c>
      <c r="X134" s="4" t="s">
        <v>434</v>
      </c>
      <c r="Y134" s="4" t="s">
        <v>159</v>
      </c>
      <c r="Z134" s="153">
        <v>1156000</v>
      </c>
      <c r="AA134" s="153">
        <v>1</v>
      </c>
      <c r="AB134" s="153">
        <v>97.31</v>
      </c>
      <c r="AD134" s="153">
        <v>1124.904</v>
      </c>
      <c r="AG134" s="2" t="s">
        <v>37</v>
      </c>
      <c r="AH134" s="153">
        <v>2.63E-3</v>
      </c>
      <c r="AI134" s="167">
        <v>6.730980088232E-3</v>
      </c>
      <c r="AJ134" s="167">
        <v>1.02618582633629E-3</v>
      </c>
    </row>
    <row r="135" spans="1:36">
      <c r="A135" s="2" t="s">
        <v>26</v>
      </c>
      <c r="B135" s="2">
        <v>9935</v>
      </c>
      <c r="C135" s="2" t="s">
        <v>1528</v>
      </c>
      <c r="D135" s="2" t="s">
        <v>1529</v>
      </c>
      <c r="E135" s="4" t="s">
        <v>1345</v>
      </c>
      <c r="F135" s="2" t="s">
        <v>2156</v>
      </c>
      <c r="G135" s="2" t="s">
        <v>2157</v>
      </c>
      <c r="H135" s="2" t="s">
        <v>343</v>
      </c>
      <c r="I135" s="2" t="s">
        <v>990</v>
      </c>
      <c r="J135" s="2" t="s">
        <v>31</v>
      </c>
      <c r="K135" s="2" t="s">
        <v>31</v>
      </c>
      <c r="L135" s="2" t="s">
        <v>349</v>
      </c>
      <c r="M135" s="2" t="s">
        <v>49</v>
      </c>
      <c r="N135" s="2" t="s">
        <v>461</v>
      </c>
      <c r="O135" s="2" t="s">
        <v>159</v>
      </c>
      <c r="P135" s="2" t="s">
        <v>2040</v>
      </c>
      <c r="Q135" s="2" t="s">
        <v>128</v>
      </c>
      <c r="R135" s="2" t="s">
        <v>428</v>
      </c>
      <c r="S135" s="2" t="s">
        <v>45</v>
      </c>
      <c r="T135" s="153">
        <v>4.2329999999999997</v>
      </c>
      <c r="U135" s="2" t="s">
        <v>2158</v>
      </c>
      <c r="V135" s="165">
        <v>1.4999999999999999E-2</v>
      </c>
      <c r="W135" s="167">
        <v>5.4089999999999999E-2</v>
      </c>
      <c r="X135" s="4" t="s">
        <v>434</v>
      </c>
      <c r="Y135" s="4" t="s">
        <v>159</v>
      </c>
      <c r="Z135" s="153">
        <v>525000</v>
      </c>
      <c r="AA135" s="153">
        <v>1</v>
      </c>
      <c r="AB135" s="153">
        <v>85.27</v>
      </c>
      <c r="AD135" s="153">
        <v>447.66800000000001</v>
      </c>
      <c r="AG135" s="2" t="s">
        <v>37</v>
      </c>
      <c r="AH135" s="153">
        <v>1.3600000000000001E-3</v>
      </c>
      <c r="AI135" s="167">
        <v>2.67866600182327E-3</v>
      </c>
      <c r="AJ135" s="167">
        <v>4.0838169902861102E-4</v>
      </c>
    </row>
    <row r="136" spans="1:36">
      <c r="A136" s="2" t="s">
        <v>26</v>
      </c>
      <c r="B136" s="2">
        <v>9935</v>
      </c>
      <c r="C136" s="2" t="s">
        <v>1532</v>
      </c>
      <c r="D136" s="2" t="s">
        <v>1533</v>
      </c>
      <c r="E136" s="4" t="s">
        <v>1345</v>
      </c>
      <c r="F136" s="2" t="s">
        <v>2042</v>
      </c>
      <c r="G136" s="2" t="s">
        <v>2043</v>
      </c>
      <c r="H136" s="2" t="s">
        <v>343</v>
      </c>
      <c r="I136" s="2" t="s">
        <v>990</v>
      </c>
      <c r="J136" s="2" t="s">
        <v>31</v>
      </c>
      <c r="K136" s="2" t="s">
        <v>31</v>
      </c>
      <c r="L136" s="2" t="s">
        <v>349</v>
      </c>
      <c r="M136" s="2" t="s">
        <v>49</v>
      </c>
      <c r="N136" s="2" t="s">
        <v>461</v>
      </c>
      <c r="O136" s="2" t="s">
        <v>159</v>
      </c>
      <c r="P136" s="2" t="s">
        <v>2040</v>
      </c>
      <c r="Q136" s="2" t="s">
        <v>128</v>
      </c>
      <c r="R136" s="2" t="s">
        <v>428</v>
      </c>
      <c r="S136" s="2" t="s">
        <v>45</v>
      </c>
      <c r="T136" s="153">
        <v>3.1</v>
      </c>
      <c r="U136" s="2" t="s">
        <v>2044</v>
      </c>
      <c r="V136" s="165">
        <v>2.0500000000000001E-2</v>
      </c>
      <c r="W136" s="167">
        <v>5.0770000000000003E-2</v>
      </c>
      <c r="X136" s="4" t="s">
        <v>434</v>
      </c>
      <c r="Y136" s="4" t="s">
        <v>159</v>
      </c>
      <c r="Z136" s="153">
        <v>950000</v>
      </c>
      <c r="AA136" s="153">
        <v>1</v>
      </c>
      <c r="AB136" s="153">
        <v>91.55</v>
      </c>
      <c r="AD136" s="153">
        <v>869.72500000000002</v>
      </c>
      <c r="AG136" s="2" t="s">
        <v>37</v>
      </c>
      <c r="AH136" s="153">
        <v>1.6999999999999999E-3</v>
      </c>
      <c r="AI136" s="167">
        <v>5.20409185039285E-3</v>
      </c>
      <c r="AJ136" s="167">
        <v>7.9340084591277905E-4</v>
      </c>
    </row>
    <row r="137" spans="1:36">
      <c r="A137" s="2" t="s">
        <v>26</v>
      </c>
      <c r="B137" s="2">
        <v>9935</v>
      </c>
      <c r="C137" s="2" t="s">
        <v>1952</v>
      </c>
      <c r="D137" s="2" t="s">
        <v>1953</v>
      </c>
      <c r="E137" s="4" t="s">
        <v>1345</v>
      </c>
      <c r="F137" s="2" t="s">
        <v>1954</v>
      </c>
      <c r="G137" s="2" t="s">
        <v>1955</v>
      </c>
      <c r="H137" s="2" t="s">
        <v>343</v>
      </c>
      <c r="I137" s="2" t="s">
        <v>990</v>
      </c>
      <c r="J137" s="2" t="s">
        <v>31</v>
      </c>
      <c r="K137" s="2" t="s">
        <v>31</v>
      </c>
      <c r="L137" s="2" t="s">
        <v>349</v>
      </c>
      <c r="M137" s="2" t="s">
        <v>49</v>
      </c>
      <c r="N137" s="2" t="s">
        <v>463</v>
      </c>
      <c r="O137" s="2" t="s">
        <v>159</v>
      </c>
      <c r="P137" s="2" t="s">
        <v>1810</v>
      </c>
      <c r="Q137" s="2" t="s">
        <v>128</v>
      </c>
      <c r="R137" s="2" t="s">
        <v>428</v>
      </c>
      <c r="S137" s="2" t="s">
        <v>45</v>
      </c>
      <c r="T137" s="153">
        <v>0.37</v>
      </c>
      <c r="U137" s="2" t="s">
        <v>1956</v>
      </c>
      <c r="V137" s="165">
        <v>3.2399999999999998E-2</v>
      </c>
      <c r="W137" s="167">
        <v>8.9459999999999998E-2</v>
      </c>
      <c r="X137" s="4" t="s">
        <v>434</v>
      </c>
      <c r="Y137" s="4" t="s">
        <v>159</v>
      </c>
      <c r="Z137" s="153">
        <v>279939.63</v>
      </c>
      <c r="AA137" s="153">
        <v>1</v>
      </c>
      <c r="AB137" s="153">
        <v>98.07</v>
      </c>
      <c r="AD137" s="153">
        <v>274.53699999999998</v>
      </c>
      <c r="AG137" s="2" t="s">
        <v>37</v>
      </c>
      <c r="AH137" s="153">
        <v>1.0499999999999999E-3</v>
      </c>
      <c r="AI137" s="167">
        <v>1.6427200531504199E-3</v>
      </c>
      <c r="AJ137" s="167">
        <v>2.5044436517181E-4</v>
      </c>
    </row>
    <row r="138" spans="1:36">
      <c r="A138" s="2" t="s">
        <v>26</v>
      </c>
      <c r="B138" s="2">
        <v>9935</v>
      </c>
      <c r="C138" s="2" t="s">
        <v>1952</v>
      </c>
      <c r="D138" s="2" t="s">
        <v>1953</v>
      </c>
      <c r="E138" s="4" t="s">
        <v>1345</v>
      </c>
      <c r="F138" s="2" t="s">
        <v>1957</v>
      </c>
      <c r="G138" s="2" t="s">
        <v>1958</v>
      </c>
      <c r="H138" s="2" t="s">
        <v>343</v>
      </c>
      <c r="I138" s="2" t="s">
        <v>777</v>
      </c>
      <c r="J138" s="2" t="s">
        <v>31</v>
      </c>
      <c r="K138" s="2" t="s">
        <v>31</v>
      </c>
      <c r="L138" s="2" t="s">
        <v>349</v>
      </c>
      <c r="M138" s="2" t="s">
        <v>49</v>
      </c>
      <c r="N138" s="2" t="s">
        <v>463</v>
      </c>
      <c r="O138" s="2" t="s">
        <v>159</v>
      </c>
      <c r="P138" s="2" t="s">
        <v>1810</v>
      </c>
      <c r="Q138" s="2" t="s">
        <v>128</v>
      </c>
      <c r="R138" s="2" t="s">
        <v>428</v>
      </c>
      <c r="S138" s="2" t="s">
        <v>45</v>
      </c>
      <c r="T138" s="153">
        <v>1.694</v>
      </c>
      <c r="U138" s="2" t="s">
        <v>1959</v>
      </c>
      <c r="V138" s="165">
        <v>1.2500000000000001E-2</v>
      </c>
      <c r="W138" s="167">
        <v>4.546E-2</v>
      </c>
      <c r="X138" s="4" t="s">
        <v>434</v>
      </c>
      <c r="Y138" s="4" t="s">
        <v>159</v>
      </c>
      <c r="Z138" s="153">
        <v>371777.78</v>
      </c>
      <c r="AA138" s="153">
        <v>1</v>
      </c>
      <c r="AB138" s="153">
        <v>100.5</v>
      </c>
      <c r="AD138" s="153">
        <v>373.637</v>
      </c>
      <c r="AG138" s="2" t="s">
        <v>37</v>
      </c>
      <c r="AH138" s="153">
        <v>2.2529999999999998E-3</v>
      </c>
      <c r="AI138" s="167">
        <v>2.2356946662800601E-3</v>
      </c>
      <c r="AJ138" s="167">
        <v>3.4084756580446998E-4</v>
      </c>
    </row>
    <row r="139" spans="1:36">
      <c r="A139" s="2" t="s">
        <v>26</v>
      </c>
      <c r="B139" s="2">
        <v>9935</v>
      </c>
      <c r="C139" s="2" t="s">
        <v>2159</v>
      </c>
      <c r="D139" s="2" t="s">
        <v>2160</v>
      </c>
      <c r="E139" s="4" t="s">
        <v>1345</v>
      </c>
      <c r="F139" s="2" t="s">
        <v>2161</v>
      </c>
      <c r="G139" s="2" t="s">
        <v>2162</v>
      </c>
      <c r="H139" s="2" t="s">
        <v>343</v>
      </c>
      <c r="I139" s="2" t="s">
        <v>777</v>
      </c>
      <c r="J139" s="2" t="s">
        <v>31</v>
      </c>
      <c r="K139" s="2" t="s">
        <v>31</v>
      </c>
      <c r="L139" s="2" t="s">
        <v>349</v>
      </c>
      <c r="M139" s="2" t="s">
        <v>49</v>
      </c>
      <c r="N139" s="2" t="s">
        <v>471</v>
      </c>
      <c r="O139" s="2" t="s">
        <v>159</v>
      </c>
      <c r="P139" s="2" t="s">
        <v>1945</v>
      </c>
      <c r="Q139" s="2" t="s">
        <v>453</v>
      </c>
      <c r="R139" s="2" t="s">
        <v>428</v>
      </c>
      <c r="S139" s="2" t="s">
        <v>45</v>
      </c>
      <c r="T139" s="153">
        <v>3.17</v>
      </c>
      <c r="U139" s="2" t="s">
        <v>2163</v>
      </c>
      <c r="V139" s="165">
        <v>2.8799999999999999E-2</v>
      </c>
      <c r="W139" s="167">
        <v>3.6900000000000002E-2</v>
      </c>
      <c r="X139" s="4" t="s">
        <v>434</v>
      </c>
      <c r="Y139" s="4" t="s">
        <v>159</v>
      </c>
      <c r="Z139" s="153">
        <v>814000</v>
      </c>
      <c r="AA139" s="153">
        <v>1</v>
      </c>
      <c r="AB139" s="153">
        <v>111.527</v>
      </c>
      <c r="AD139" s="153">
        <v>907.83</v>
      </c>
      <c r="AG139" s="2" t="s">
        <v>37</v>
      </c>
      <c r="AH139" s="153">
        <v>0</v>
      </c>
      <c r="AI139" s="167">
        <v>5.4320958459765202E-3</v>
      </c>
      <c r="AJ139" s="167">
        <v>8.2816167799800203E-4</v>
      </c>
    </row>
    <row r="140" spans="1:36">
      <c r="A140" s="2" t="s">
        <v>26</v>
      </c>
      <c r="B140" s="2">
        <v>9935</v>
      </c>
      <c r="C140" s="2" t="s">
        <v>2159</v>
      </c>
      <c r="D140" s="2" t="s">
        <v>2160</v>
      </c>
      <c r="E140" s="4" t="s">
        <v>1345</v>
      </c>
      <c r="F140" s="2" t="s">
        <v>2164</v>
      </c>
      <c r="G140" s="2" t="s">
        <v>2162</v>
      </c>
      <c r="H140" s="2" t="s">
        <v>343</v>
      </c>
      <c r="I140" s="2" t="s">
        <v>777</v>
      </c>
      <c r="J140" s="2" t="s">
        <v>31</v>
      </c>
      <c r="K140" s="2" t="s">
        <v>31</v>
      </c>
      <c r="L140" s="2" t="s">
        <v>349</v>
      </c>
      <c r="M140" s="2" t="s">
        <v>49</v>
      </c>
      <c r="N140" s="2" t="s">
        <v>471</v>
      </c>
      <c r="O140" s="2" t="s">
        <v>159</v>
      </c>
      <c r="P140" s="2" t="s">
        <v>1945</v>
      </c>
      <c r="Q140" s="2" t="s">
        <v>453</v>
      </c>
      <c r="R140" s="2" t="s">
        <v>428</v>
      </c>
      <c r="S140" s="2" t="s">
        <v>45</v>
      </c>
      <c r="T140" s="153">
        <v>3.0790000000000002</v>
      </c>
      <c r="U140" s="2" t="s">
        <v>2165</v>
      </c>
      <c r="V140" s="165">
        <v>2.8799999999999999E-2</v>
      </c>
      <c r="W140" s="167">
        <v>3.0550000000000001E-2</v>
      </c>
      <c r="X140" s="4" t="s">
        <v>434</v>
      </c>
      <c r="Y140" s="4" t="s">
        <v>159</v>
      </c>
      <c r="Z140" s="153">
        <v>-90444.44</v>
      </c>
      <c r="AA140" s="153">
        <v>1</v>
      </c>
      <c r="AB140" s="153">
        <v>111.23</v>
      </c>
      <c r="AD140" s="153">
        <v>-100.601</v>
      </c>
      <c r="AG140" s="2" t="s">
        <v>37</v>
      </c>
      <c r="AH140" s="153">
        <v>-4.4700000000000002E-4</v>
      </c>
      <c r="AI140" s="167">
        <v>-6.0195885924679902E-4</v>
      </c>
      <c r="AJ140" s="167">
        <v>-9.1772912904112102E-5</v>
      </c>
    </row>
    <row r="141" spans="1:36">
      <c r="A141" s="2" t="s">
        <v>26</v>
      </c>
      <c r="B141" s="2">
        <v>9935</v>
      </c>
      <c r="C141" s="2" t="s">
        <v>1960</v>
      </c>
      <c r="D141" s="2" t="s">
        <v>1961</v>
      </c>
      <c r="E141" s="4" t="s">
        <v>44</v>
      </c>
      <c r="F141" s="2" t="s">
        <v>1962</v>
      </c>
      <c r="G141" s="2" t="s">
        <v>1963</v>
      </c>
      <c r="H141" s="2" t="s">
        <v>343</v>
      </c>
      <c r="I141" s="2" t="s">
        <v>990</v>
      </c>
      <c r="J141" s="2" t="s">
        <v>31</v>
      </c>
      <c r="K141" s="2" t="s">
        <v>31</v>
      </c>
      <c r="L141" s="2" t="s">
        <v>349</v>
      </c>
      <c r="M141" s="2" t="s">
        <v>49</v>
      </c>
      <c r="N141" s="2" t="s">
        <v>485</v>
      </c>
      <c r="O141" s="2" t="s">
        <v>159</v>
      </c>
      <c r="P141" s="2" t="s">
        <v>1810</v>
      </c>
      <c r="Q141" s="2" t="s">
        <v>128</v>
      </c>
      <c r="R141" s="2" t="s">
        <v>428</v>
      </c>
      <c r="S141" s="2" t="s">
        <v>45</v>
      </c>
      <c r="T141" s="153">
        <v>1.44</v>
      </c>
      <c r="U141" s="2" t="s">
        <v>1964</v>
      </c>
      <c r="V141" s="165">
        <v>7.0000000000000007E-2</v>
      </c>
      <c r="W141" s="167">
        <v>6.7129999999999995E-2</v>
      </c>
      <c r="X141" s="4" t="s">
        <v>434</v>
      </c>
      <c r="Y141" s="4" t="s">
        <v>159</v>
      </c>
      <c r="Z141" s="153">
        <v>1624263.88</v>
      </c>
      <c r="AA141" s="153">
        <v>1</v>
      </c>
      <c r="AB141" s="153">
        <v>100.59</v>
      </c>
      <c r="AD141" s="153">
        <v>1633.847</v>
      </c>
      <c r="AG141" s="2" t="s">
        <v>37</v>
      </c>
      <c r="AH141" s="153">
        <v>2.7070000000000002E-3</v>
      </c>
      <c r="AI141" s="167">
        <v>9.7762971622963098E-3</v>
      </c>
      <c r="AJ141" s="167">
        <v>1.4904660911922701E-3</v>
      </c>
    </row>
    <row r="142" spans="1:36">
      <c r="A142" s="2" t="s">
        <v>26</v>
      </c>
      <c r="B142" s="2">
        <v>9935</v>
      </c>
      <c r="C142" s="2" t="s">
        <v>1960</v>
      </c>
      <c r="D142" s="2" t="s">
        <v>1961</v>
      </c>
      <c r="E142" s="4" t="s">
        <v>44</v>
      </c>
      <c r="F142" s="2" t="s">
        <v>1965</v>
      </c>
      <c r="G142" s="2" t="s">
        <v>1966</v>
      </c>
      <c r="H142" s="2" t="s">
        <v>343</v>
      </c>
      <c r="I142" s="2" t="s">
        <v>990</v>
      </c>
      <c r="J142" s="2" t="s">
        <v>31</v>
      </c>
      <c r="K142" s="2" t="s">
        <v>31</v>
      </c>
      <c r="L142" s="2" t="s">
        <v>351</v>
      </c>
      <c r="M142" s="2" t="s">
        <v>49</v>
      </c>
      <c r="N142" s="2" t="s">
        <v>467</v>
      </c>
      <c r="O142" s="2" t="s">
        <v>159</v>
      </c>
      <c r="P142" s="2" t="s">
        <v>1810</v>
      </c>
      <c r="Q142" s="2" t="s">
        <v>128</v>
      </c>
      <c r="R142" s="2" t="s">
        <v>428</v>
      </c>
      <c r="S142" s="2" t="s">
        <v>45</v>
      </c>
      <c r="T142" s="153">
        <v>3.15</v>
      </c>
      <c r="U142" s="2" t="s">
        <v>1967</v>
      </c>
      <c r="V142" s="165">
        <v>6.5000000000000002E-2</v>
      </c>
      <c r="W142" s="167">
        <v>8.9200000000000002E-2</v>
      </c>
      <c r="X142" s="4" t="s">
        <v>434</v>
      </c>
      <c r="Y142" s="4" t="s">
        <v>159</v>
      </c>
      <c r="Z142" s="153">
        <v>1381000</v>
      </c>
      <c r="AA142" s="153">
        <v>1</v>
      </c>
      <c r="AB142" s="153">
        <v>98.662999999999997</v>
      </c>
      <c r="AD142" s="153">
        <v>1362.5360000000001</v>
      </c>
      <c r="AG142" s="2" t="s">
        <v>37</v>
      </c>
      <c r="AH142" s="153">
        <v>0</v>
      </c>
      <c r="AI142" s="167">
        <v>8.1528789555199901E-3</v>
      </c>
      <c r="AJ142" s="167">
        <v>1.2429644298929401E-3</v>
      </c>
    </row>
    <row r="143" spans="1:36">
      <c r="A143" s="2" t="s">
        <v>26</v>
      </c>
      <c r="B143" s="2">
        <v>9935</v>
      </c>
      <c r="C143" s="2" t="s">
        <v>1775</v>
      </c>
      <c r="D143" s="2" t="s">
        <v>1776</v>
      </c>
      <c r="E143" s="4" t="s">
        <v>1345</v>
      </c>
      <c r="F143" s="2" t="s">
        <v>2166</v>
      </c>
      <c r="G143" s="2" t="s">
        <v>2167</v>
      </c>
      <c r="H143" s="2" t="s">
        <v>343</v>
      </c>
      <c r="I143" s="2" t="s">
        <v>777</v>
      </c>
      <c r="J143" s="2" t="s">
        <v>31</v>
      </c>
      <c r="K143" s="2" t="s">
        <v>31</v>
      </c>
      <c r="L143" s="2" t="s">
        <v>349</v>
      </c>
      <c r="M143" s="2" t="s">
        <v>49</v>
      </c>
      <c r="N143" s="2" t="s">
        <v>484</v>
      </c>
      <c r="O143" s="2" t="s">
        <v>159</v>
      </c>
      <c r="P143" s="2" t="s">
        <v>1779</v>
      </c>
      <c r="Q143" s="2" t="s">
        <v>435</v>
      </c>
      <c r="R143" s="2" t="s">
        <v>428</v>
      </c>
      <c r="S143" s="2" t="s">
        <v>45</v>
      </c>
      <c r="T143" s="153">
        <v>5.4580000000000002</v>
      </c>
      <c r="U143" s="2" t="s">
        <v>2168</v>
      </c>
      <c r="V143" s="165">
        <v>6.4999999999999997E-3</v>
      </c>
      <c r="W143" s="167">
        <v>2.6950000000000002E-2</v>
      </c>
      <c r="X143" s="4" t="s">
        <v>434</v>
      </c>
      <c r="Y143" s="4" t="s">
        <v>159</v>
      </c>
      <c r="Z143" s="153">
        <v>450000</v>
      </c>
      <c r="AA143" s="153">
        <v>1</v>
      </c>
      <c r="AB143" s="153">
        <v>99.03</v>
      </c>
      <c r="AD143" s="153">
        <v>445.63499999999999</v>
      </c>
      <c r="AG143" s="2" t="s">
        <v>37</v>
      </c>
      <c r="AH143" s="153">
        <v>1.9699999999999999E-4</v>
      </c>
      <c r="AI143" s="167">
        <v>2.6665043223430599E-3</v>
      </c>
      <c r="AJ143" s="167">
        <v>4.0652756442363002E-4</v>
      </c>
    </row>
    <row r="144" spans="1:36">
      <c r="A144" s="2" t="s">
        <v>26</v>
      </c>
      <c r="B144" s="2">
        <v>9935</v>
      </c>
      <c r="C144" s="2" t="s">
        <v>1968</v>
      </c>
      <c r="D144" s="2" t="s">
        <v>1969</v>
      </c>
      <c r="E144" s="4" t="s">
        <v>1345</v>
      </c>
      <c r="F144" s="2" t="s">
        <v>2169</v>
      </c>
      <c r="G144" s="2" t="s">
        <v>2170</v>
      </c>
      <c r="H144" s="2" t="s">
        <v>343</v>
      </c>
      <c r="I144" s="2" t="s">
        <v>778</v>
      </c>
      <c r="J144" s="2" t="s">
        <v>31</v>
      </c>
      <c r="K144" s="2" t="s">
        <v>31</v>
      </c>
      <c r="L144" s="2" t="s">
        <v>349</v>
      </c>
      <c r="M144" s="2" t="s">
        <v>49</v>
      </c>
      <c r="N144" s="2" t="s">
        <v>460</v>
      </c>
      <c r="O144" s="2" t="s">
        <v>159</v>
      </c>
      <c r="P144" s="2" t="s">
        <v>1795</v>
      </c>
      <c r="Q144" s="2" t="s">
        <v>435</v>
      </c>
      <c r="R144" s="2" t="s">
        <v>428</v>
      </c>
      <c r="S144" s="2" t="s">
        <v>45</v>
      </c>
      <c r="T144" s="153">
        <v>0.01</v>
      </c>
      <c r="U144" s="2" t="s">
        <v>2171</v>
      </c>
      <c r="V144" s="165">
        <v>6.7000000000000004E-2</v>
      </c>
      <c r="W144" s="167">
        <v>1E-4</v>
      </c>
      <c r="X144" s="4" t="s">
        <v>434</v>
      </c>
      <c r="Y144" s="4" t="s">
        <v>159</v>
      </c>
      <c r="Z144" s="153">
        <v>0.23</v>
      </c>
      <c r="AA144" s="153">
        <v>1</v>
      </c>
      <c r="AB144" s="153">
        <v>96.84</v>
      </c>
      <c r="AD144" s="153">
        <v>0</v>
      </c>
      <c r="AG144" s="2" t="s">
        <v>37</v>
      </c>
      <c r="AH144" s="153">
        <v>0</v>
      </c>
      <c r="AI144" s="167">
        <v>1.33274056284653E-9</v>
      </c>
      <c r="AJ144" s="167">
        <v>2.03185785405554E-10</v>
      </c>
    </row>
    <row r="145" spans="1:36">
      <c r="A145" s="2" t="s">
        <v>26</v>
      </c>
      <c r="B145" s="2">
        <v>9935</v>
      </c>
      <c r="C145" s="2" t="s">
        <v>1968</v>
      </c>
      <c r="D145" s="2" t="s">
        <v>1969</v>
      </c>
      <c r="E145" s="4" t="s">
        <v>1345</v>
      </c>
      <c r="F145" s="2" t="s">
        <v>1970</v>
      </c>
      <c r="G145" s="2" t="s">
        <v>1971</v>
      </c>
      <c r="H145" s="2" t="s">
        <v>343</v>
      </c>
      <c r="I145" s="2" t="s">
        <v>990</v>
      </c>
      <c r="J145" s="2" t="s">
        <v>31</v>
      </c>
      <c r="K145" s="2" t="s">
        <v>31</v>
      </c>
      <c r="L145" s="2" t="s">
        <v>349</v>
      </c>
      <c r="M145" s="2" t="s">
        <v>49</v>
      </c>
      <c r="N145" s="2" t="s">
        <v>460</v>
      </c>
      <c r="O145" s="2" t="s">
        <v>159</v>
      </c>
      <c r="P145" s="2" t="s">
        <v>1795</v>
      </c>
      <c r="Q145" s="2" t="s">
        <v>435</v>
      </c>
      <c r="R145" s="2" t="s">
        <v>428</v>
      </c>
      <c r="S145" s="2" t="s">
        <v>45</v>
      </c>
      <c r="T145" s="153">
        <v>3.6160000000000001</v>
      </c>
      <c r="U145" s="2" t="s">
        <v>1972</v>
      </c>
      <c r="V145" s="165">
        <v>0.05</v>
      </c>
      <c r="W145" s="167">
        <v>5.287E-2</v>
      </c>
      <c r="X145" s="4" t="s">
        <v>434</v>
      </c>
      <c r="Y145" s="4" t="s">
        <v>159</v>
      </c>
      <c r="Z145" s="153">
        <v>680667.87</v>
      </c>
      <c r="AA145" s="153">
        <v>1</v>
      </c>
      <c r="AB145" s="153">
        <v>99.32</v>
      </c>
      <c r="AD145" s="153">
        <v>676.03899999999999</v>
      </c>
      <c r="AG145" s="2" t="s">
        <v>37</v>
      </c>
      <c r="AH145" s="153">
        <v>6.5799999999999995E-4</v>
      </c>
      <c r="AI145" s="167">
        <v>4.04515307701703E-3</v>
      </c>
      <c r="AJ145" s="167">
        <v>6.16712380453031E-4</v>
      </c>
    </row>
    <row r="146" spans="1:36">
      <c r="A146" s="2" t="s">
        <v>26</v>
      </c>
      <c r="B146" s="2">
        <v>9935</v>
      </c>
      <c r="C146" s="2" t="s">
        <v>1801</v>
      </c>
      <c r="D146" s="2" t="s">
        <v>1802</v>
      </c>
      <c r="E146" s="4" t="s">
        <v>1345</v>
      </c>
      <c r="F146" s="2" t="s">
        <v>2172</v>
      </c>
      <c r="G146" s="2" t="s">
        <v>2173</v>
      </c>
      <c r="H146" s="2" t="s">
        <v>343</v>
      </c>
      <c r="I146" s="2" t="s">
        <v>777</v>
      </c>
      <c r="J146" s="2" t="s">
        <v>31</v>
      </c>
      <c r="K146" s="2" t="s">
        <v>31</v>
      </c>
      <c r="L146" s="2" t="s">
        <v>349</v>
      </c>
      <c r="M146" s="2" t="s">
        <v>49</v>
      </c>
      <c r="N146" s="2" t="s">
        <v>484</v>
      </c>
      <c r="O146" s="2" t="s">
        <v>159</v>
      </c>
      <c r="P146" s="2" t="s">
        <v>1789</v>
      </c>
      <c r="Q146" s="2" t="s">
        <v>128</v>
      </c>
      <c r="R146" s="2" t="s">
        <v>428</v>
      </c>
      <c r="S146" s="2" t="s">
        <v>45</v>
      </c>
      <c r="T146" s="153">
        <v>4.9459999999999997</v>
      </c>
      <c r="U146" s="2" t="s">
        <v>2174</v>
      </c>
      <c r="V146" s="165">
        <v>1.17E-2</v>
      </c>
      <c r="W146" s="167">
        <v>2.989E-2</v>
      </c>
      <c r="X146" s="4" t="s">
        <v>434</v>
      </c>
      <c r="Y146" s="4" t="s">
        <v>159</v>
      </c>
      <c r="Z146" s="153">
        <v>282240</v>
      </c>
      <c r="AA146" s="153">
        <v>1</v>
      </c>
      <c r="AB146" s="153">
        <v>101.71</v>
      </c>
      <c r="AD146" s="153">
        <v>287.06599999999997</v>
      </c>
      <c r="AG146" s="2" t="s">
        <v>37</v>
      </c>
      <c r="AH146" s="153">
        <v>3.9100000000000002E-4</v>
      </c>
      <c r="AI146" s="167">
        <v>1.7176916992943699E-3</v>
      </c>
      <c r="AJ146" s="167">
        <v>2.6187432628319902E-4</v>
      </c>
    </row>
    <row r="147" spans="1:36">
      <c r="A147" s="2" t="s">
        <v>26</v>
      </c>
      <c r="B147" s="2">
        <v>9935</v>
      </c>
      <c r="C147" s="2" t="s">
        <v>1801</v>
      </c>
      <c r="D147" s="2" t="s">
        <v>1802</v>
      </c>
      <c r="E147" s="4" t="s">
        <v>1345</v>
      </c>
      <c r="F147" s="2" t="s">
        <v>2175</v>
      </c>
      <c r="G147" s="2" t="s">
        <v>2176</v>
      </c>
      <c r="H147" s="2" t="s">
        <v>343</v>
      </c>
      <c r="I147" s="2" t="s">
        <v>777</v>
      </c>
      <c r="J147" s="2" t="s">
        <v>31</v>
      </c>
      <c r="K147" s="2" t="s">
        <v>31</v>
      </c>
      <c r="L147" s="2" t="s">
        <v>349</v>
      </c>
      <c r="M147" s="2" t="s">
        <v>49</v>
      </c>
      <c r="N147" s="2" t="s">
        <v>484</v>
      </c>
      <c r="O147" s="2" t="s">
        <v>159</v>
      </c>
      <c r="P147" s="2" t="s">
        <v>1779</v>
      </c>
      <c r="Q147" s="2" t="s">
        <v>435</v>
      </c>
      <c r="R147" s="2" t="s">
        <v>428</v>
      </c>
      <c r="S147" s="2" t="s">
        <v>45</v>
      </c>
      <c r="T147" s="153">
        <v>3.3650000000000002</v>
      </c>
      <c r="U147" s="2" t="s">
        <v>2177</v>
      </c>
      <c r="V147" s="165">
        <v>1.8200000000000001E-2</v>
      </c>
      <c r="W147" s="167">
        <v>2.2620000000000001E-2</v>
      </c>
      <c r="X147" s="4" t="s">
        <v>434</v>
      </c>
      <c r="Y147" s="4" t="s">
        <v>159</v>
      </c>
      <c r="Z147" s="153">
        <v>667243.31999999995</v>
      </c>
      <c r="AA147" s="153">
        <v>1</v>
      </c>
      <c r="AB147" s="153">
        <v>110.73</v>
      </c>
      <c r="AD147" s="153">
        <v>738.83900000000006</v>
      </c>
      <c r="AG147" s="2" t="s">
        <v>37</v>
      </c>
      <c r="AH147" s="153">
        <v>1.763E-3</v>
      </c>
      <c r="AI147" s="167">
        <v>4.4209187542604998E-3</v>
      </c>
      <c r="AJ147" s="167">
        <v>6.7400053269182198E-4</v>
      </c>
    </row>
    <row r="148" spans="1:36">
      <c r="A148" s="2" t="s">
        <v>26</v>
      </c>
      <c r="B148" s="2">
        <v>9935</v>
      </c>
      <c r="C148" s="2" t="s">
        <v>1806</v>
      </c>
      <c r="D148" s="2" t="s">
        <v>1807</v>
      </c>
      <c r="E148" s="4" t="s">
        <v>1345</v>
      </c>
      <c r="F148" s="2" t="s">
        <v>1808</v>
      </c>
      <c r="G148" s="2" t="s">
        <v>1809</v>
      </c>
      <c r="H148" s="2" t="s">
        <v>343</v>
      </c>
      <c r="I148" s="2" t="s">
        <v>990</v>
      </c>
      <c r="J148" s="2" t="s">
        <v>31</v>
      </c>
      <c r="K148" s="2" t="s">
        <v>31</v>
      </c>
      <c r="L148" s="2" t="s">
        <v>349</v>
      </c>
      <c r="M148" s="2" t="s">
        <v>49</v>
      </c>
      <c r="N148" s="2" t="s">
        <v>460</v>
      </c>
      <c r="O148" s="2" t="s">
        <v>159</v>
      </c>
      <c r="P148" s="2" t="s">
        <v>1810</v>
      </c>
      <c r="Q148" s="2" t="s">
        <v>128</v>
      </c>
      <c r="R148" s="2" t="s">
        <v>428</v>
      </c>
      <c r="S148" s="2" t="s">
        <v>45</v>
      </c>
      <c r="T148" s="153">
        <v>3.07</v>
      </c>
      <c r="U148" s="2" t="s">
        <v>1811</v>
      </c>
      <c r="V148" s="165">
        <v>7.2499999999999995E-2</v>
      </c>
      <c r="W148" s="167">
        <v>6.232E-2</v>
      </c>
      <c r="X148" s="4" t="s">
        <v>434</v>
      </c>
      <c r="Y148" s="4" t="s">
        <v>159</v>
      </c>
      <c r="Z148" s="153">
        <v>2266000</v>
      </c>
      <c r="AA148" s="153">
        <v>1</v>
      </c>
      <c r="AB148" s="153">
        <v>108.29</v>
      </c>
      <c r="AD148" s="153">
        <v>2453.8510000000001</v>
      </c>
      <c r="AG148" s="2" t="s">
        <v>37</v>
      </c>
      <c r="AH148" s="153">
        <v>3.9069999999999999E-3</v>
      </c>
      <c r="AI148" s="167">
        <v>1.4682880304481401E-2</v>
      </c>
      <c r="AJ148" s="167">
        <v>2.2385096168378001E-3</v>
      </c>
    </row>
    <row r="149" spans="1:36">
      <c r="A149" s="2" t="s">
        <v>26</v>
      </c>
      <c r="B149" s="2">
        <v>9935</v>
      </c>
      <c r="C149" s="2" t="s">
        <v>2054</v>
      </c>
      <c r="D149" s="2" t="s">
        <v>2055</v>
      </c>
      <c r="E149" s="4" t="s">
        <v>1345</v>
      </c>
      <c r="F149" s="2" t="s">
        <v>2056</v>
      </c>
      <c r="G149" s="2" t="s">
        <v>2057</v>
      </c>
      <c r="H149" s="2" t="s">
        <v>343</v>
      </c>
      <c r="I149" s="2" t="s">
        <v>777</v>
      </c>
      <c r="J149" s="2" t="s">
        <v>31</v>
      </c>
      <c r="K149" s="2" t="s">
        <v>31</v>
      </c>
      <c r="L149" s="2" t="s">
        <v>349</v>
      </c>
      <c r="M149" s="2" t="s">
        <v>49</v>
      </c>
      <c r="N149" s="2" t="s">
        <v>484</v>
      </c>
      <c r="O149" s="2" t="s">
        <v>159</v>
      </c>
      <c r="P149" s="2" t="s">
        <v>1779</v>
      </c>
      <c r="Q149" s="2" t="s">
        <v>435</v>
      </c>
      <c r="R149" s="2" t="s">
        <v>428</v>
      </c>
      <c r="S149" s="2" t="s">
        <v>45</v>
      </c>
      <c r="T149" s="153">
        <v>3.839</v>
      </c>
      <c r="U149" s="2" t="s">
        <v>2058</v>
      </c>
      <c r="V149" s="165">
        <v>5.0000000000000001E-3</v>
      </c>
      <c r="W149" s="167">
        <v>2.52E-2</v>
      </c>
      <c r="X149" s="4" t="s">
        <v>434</v>
      </c>
      <c r="Y149" s="4" t="s">
        <v>159</v>
      </c>
      <c r="Z149" s="153">
        <v>1967515.54</v>
      </c>
      <c r="AA149" s="153">
        <v>1</v>
      </c>
      <c r="AB149" s="153">
        <v>103.12</v>
      </c>
      <c r="AD149" s="153">
        <v>2028.902</v>
      </c>
      <c r="AG149" s="2" t="s">
        <v>37</v>
      </c>
      <c r="AH149" s="153">
        <v>1.1019999999999999E-3</v>
      </c>
      <c r="AI149" s="167">
        <v>1.21401506139953E-2</v>
      </c>
      <c r="AJ149" s="167">
        <v>1.8508523760827299E-3</v>
      </c>
    </row>
    <row r="150" spans="1:36">
      <c r="A150" s="2" t="s">
        <v>26</v>
      </c>
      <c r="B150" s="2">
        <v>9935</v>
      </c>
      <c r="C150" s="2" t="s">
        <v>2054</v>
      </c>
      <c r="D150" s="2" t="s">
        <v>2055</v>
      </c>
      <c r="E150" s="4" t="s">
        <v>1345</v>
      </c>
      <c r="F150" s="2" t="s">
        <v>2178</v>
      </c>
      <c r="G150" s="2" t="s">
        <v>2179</v>
      </c>
      <c r="H150" s="2" t="s">
        <v>343</v>
      </c>
      <c r="I150" s="2" t="s">
        <v>777</v>
      </c>
      <c r="J150" s="2" t="s">
        <v>31</v>
      </c>
      <c r="K150" s="2" t="s">
        <v>31</v>
      </c>
      <c r="L150" s="2" t="s">
        <v>349</v>
      </c>
      <c r="M150" s="2" t="s">
        <v>49</v>
      </c>
      <c r="N150" s="2" t="s">
        <v>484</v>
      </c>
      <c r="O150" s="2" t="s">
        <v>159</v>
      </c>
      <c r="P150" s="2" t="s">
        <v>1779</v>
      </c>
      <c r="Q150" s="2" t="s">
        <v>435</v>
      </c>
      <c r="R150" s="2" t="s">
        <v>428</v>
      </c>
      <c r="S150" s="2" t="s">
        <v>45</v>
      </c>
      <c r="T150" s="153">
        <v>1.466</v>
      </c>
      <c r="U150" s="2" t="s">
        <v>1964</v>
      </c>
      <c r="V150" s="165">
        <v>4.7500000000000001E-2</v>
      </c>
      <c r="W150" s="167">
        <v>1.567E-2</v>
      </c>
      <c r="X150" s="4" t="s">
        <v>434</v>
      </c>
      <c r="Y150" s="4" t="s">
        <v>159</v>
      </c>
      <c r="Z150" s="153">
        <v>1142462.26</v>
      </c>
      <c r="AA150" s="153">
        <v>1</v>
      </c>
      <c r="AB150" s="153">
        <v>141.47999999999999</v>
      </c>
      <c r="AD150" s="153">
        <v>1616.356</v>
      </c>
      <c r="AG150" s="2" t="s">
        <v>37</v>
      </c>
      <c r="AH150" s="153">
        <v>8.8500000000000004E-4</v>
      </c>
      <c r="AI150" s="167">
        <v>9.6716353257049401E-3</v>
      </c>
      <c r="AJ150" s="167">
        <v>1.4745096492090101E-3</v>
      </c>
    </row>
    <row r="151" spans="1:36">
      <c r="A151" s="2" t="s">
        <v>26</v>
      </c>
      <c r="B151" s="2">
        <v>9935</v>
      </c>
      <c r="C151" s="2" t="s">
        <v>1973</v>
      </c>
      <c r="D151" s="2" t="s">
        <v>1974</v>
      </c>
      <c r="E151" s="4" t="s">
        <v>1345</v>
      </c>
      <c r="F151" s="2" t="s">
        <v>2180</v>
      </c>
      <c r="G151" s="2" t="s">
        <v>1976</v>
      </c>
      <c r="H151" s="2" t="s">
        <v>343</v>
      </c>
      <c r="I151" s="2" t="s">
        <v>990</v>
      </c>
      <c r="J151" s="2" t="s">
        <v>31</v>
      </c>
      <c r="K151" s="2" t="s">
        <v>31</v>
      </c>
      <c r="L151" s="2" t="s">
        <v>349</v>
      </c>
      <c r="M151" s="2" t="s">
        <v>49</v>
      </c>
      <c r="N151" s="2" t="s">
        <v>467</v>
      </c>
      <c r="O151" s="2" t="s">
        <v>159</v>
      </c>
      <c r="P151" s="2" t="s">
        <v>1350</v>
      </c>
      <c r="Q151" s="2" t="s">
        <v>336</v>
      </c>
      <c r="R151" s="2" t="s">
        <v>430</v>
      </c>
      <c r="S151" s="2" t="s">
        <v>45</v>
      </c>
      <c r="T151" s="153">
        <v>2.0339999999999998</v>
      </c>
      <c r="U151" s="2" t="s">
        <v>1824</v>
      </c>
      <c r="V151" s="165">
        <v>3.8699999999999998E-2</v>
      </c>
      <c r="W151" s="167">
        <v>5.9580000000000001E-2</v>
      </c>
      <c r="X151" s="4" t="s">
        <v>434</v>
      </c>
      <c r="Y151" s="4" t="s">
        <v>159</v>
      </c>
      <c r="Z151" s="153">
        <v>170192.31</v>
      </c>
      <c r="AA151" s="153">
        <v>1</v>
      </c>
      <c r="AB151" s="153">
        <v>97.05</v>
      </c>
      <c r="AD151" s="153">
        <v>165.172</v>
      </c>
      <c r="AG151" s="2" t="s">
        <v>37</v>
      </c>
      <c r="AH151" s="153">
        <v>5.2400000000000005E-4</v>
      </c>
      <c r="AI151" s="167">
        <v>9.8832202049285896E-4</v>
      </c>
      <c r="AJ151" s="167">
        <v>1.506767270132E-4</v>
      </c>
    </row>
    <row r="152" spans="1:36">
      <c r="A152" s="2" t="s">
        <v>26</v>
      </c>
      <c r="B152" s="2">
        <v>9935</v>
      </c>
      <c r="C152" s="2" t="s">
        <v>1973</v>
      </c>
      <c r="D152" s="2" t="s">
        <v>1974</v>
      </c>
      <c r="E152" s="4" t="s">
        <v>1345</v>
      </c>
      <c r="F152" s="2" t="s">
        <v>1975</v>
      </c>
      <c r="G152" s="2" t="s">
        <v>1976</v>
      </c>
      <c r="H152" s="2" t="s">
        <v>343</v>
      </c>
      <c r="I152" s="2" t="s">
        <v>990</v>
      </c>
      <c r="J152" s="2" t="s">
        <v>31</v>
      </c>
      <c r="K152" s="2" t="s">
        <v>31</v>
      </c>
      <c r="L152" s="2" t="s">
        <v>351</v>
      </c>
      <c r="M152" s="2" t="s">
        <v>49</v>
      </c>
      <c r="N152" s="2" t="s">
        <v>467</v>
      </c>
      <c r="O152" s="2" t="s">
        <v>159</v>
      </c>
      <c r="P152" s="2" t="s">
        <v>1350</v>
      </c>
      <c r="Q152" s="2" t="s">
        <v>336</v>
      </c>
      <c r="R152" s="2" t="s">
        <v>430</v>
      </c>
      <c r="S152" s="2" t="s">
        <v>45</v>
      </c>
      <c r="T152" s="153">
        <v>2.2799999999999998</v>
      </c>
      <c r="U152" s="2" t="s">
        <v>1824</v>
      </c>
      <c r="V152" s="165">
        <v>3.8699999999999998E-2</v>
      </c>
      <c r="W152" s="167">
        <v>5.8299999999999998E-2</v>
      </c>
      <c r="X152" s="4" t="s">
        <v>434</v>
      </c>
      <c r="Y152" s="4" t="s">
        <v>159</v>
      </c>
      <c r="Z152" s="153">
        <v>266000</v>
      </c>
      <c r="AA152" s="153">
        <v>1</v>
      </c>
      <c r="AB152" s="153">
        <v>96.995000000000005</v>
      </c>
      <c r="AD152" s="153">
        <v>258.00799999999998</v>
      </c>
      <c r="AG152" s="2" t="s">
        <v>37</v>
      </c>
      <c r="AH152" s="153">
        <v>8.1999999999999998E-4</v>
      </c>
      <c r="AI152" s="167">
        <v>1.54381684092153E-3</v>
      </c>
      <c r="AJ152" s="167">
        <v>2.3536586646315201E-4</v>
      </c>
    </row>
    <row r="153" spans="1:36">
      <c r="A153" s="2" t="s">
        <v>26</v>
      </c>
      <c r="B153" s="2">
        <v>9935</v>
      </c>
      <c r="C153" s="2" t="s">
        <v>1812</v>
      </c>
      <c r="D153" s="2" t="s">
        <v>1813</v>
      </c>
      <c r="E153" s="4" t="s">
        <v>1345</v>
      </c>
      <c r="F153" s="2" t="s">
        <v>1814</v>
      </c>
      <c r="G153" s="2" t="s">
        <v>1815</v>
      </c>
      <c r="H153" s="2" t="s">
        <v>343</v>
      </c>
      <c r="I153" s="2" t="s">
        <v>777</v>
      </c>
      <c r="J153" s="2" t="s">
        <v>31</v>
      </c>
      <c r="K153" s="2" t="s">
        <v>31</v>
      </c>
      <c r="L153" s="2" t="s">
        <v>349</v>
      </c>
      <c r="M153" s="2" t="s">
        <v>49</v>
      </c>
      <c r="N153" s="2" t="s">
        <v>468</v>
      </c>
      <c r="O153" s="2" t="s">
        <v>159</v>
      </c>
      <c r="P153" s="2" t="s">
        <v>127</v>
      </c>
      <c r="Q153" s="2" t="s">
        <v>128</v>
      </c>
      <c r="R153" s="2" t="s">
        <v>428</v>
      </c>
      <c r="S153" s="2" t="s">
        <v>45</v>
      </c>
      <c r="T153" s="153">
        <v>4.2549999999999999</v>
      </c>
      <c r="U153" s="2" t="s">
        <v>1816</v>
      </c>
      <c r="V153" s="165">
        <v>2E-3</v>
      </c>
      <c r="W153" s="167">
        <v>1.9359999999999999E-2</v>
      </c>
      <c r="X153" s="4" t="s">
        <v>434</v>
      </c>
      <c r="Y153" s="4" t="s">
        <v>159</v>
      </c>
      <c r="Z153" s="153">
        <v>1693872.04</v>
      </c>
      <c r="AA153" s="153">
        <v>1</v>
      </c>
      <c r="AB153" s="153">
        <v>101.27</v>
      </c>
      <c r="AD153" s="153">
        <v>1715.384</v>
      </c>
      <c r="AG153" s="2" t="s">
        <v>37</v>
      </c>
      <c r="AH153" s="153">
        <v>3.9199999999999999E-4</v>
      </c>
      <c r="AI153" s="167">
        <v>1.0264183521337501E-2</v>
      </c>
      <c r="AJ153" s="167">
        <v>1.5648478394589499E-3</v>
      </c>
    </row>
    <row r="154" spans="1:36">
      <c r="A154" s="2" t="s">
        <v>26</v>
      </c>
      <c r="B154" s="2">
        <v>9935</v>
      </c>
      <c r="C154" s="2" t="s">
        <v>1812</v>
      </c>
      <c r="D154" s="2" t="s">
        <v>1813</v>
      </c>
      <c r="E154" s="4" t="s">
        <v>1345</v>
      </c>
      <c r="F154" s="2" t="s">
        <v>1817</v>
      </c>
      <c r="G154" s="2" t="s">
        <v>1818</v>
      </c>
      <c r="H154" s="2" t="s">
        <v>343</v>
      </c>
      <c r="I154" s="2" t="s">
        <v>777</v>
      </c>
      <c r="J154" s="2" t="s">
        <v>31</v>
      </c>
      <c r="K154" s="2" t="s">
        <v>31</v>
      </c>
      <c r="L154" s="2" t="s">
        <v>349</v>
      </c>
      <c r="M154" s="2" t="s">
        <v>49</v>
      </c>
      <c r="N154" s="2" t="s">
        <v>468</v>
      </c>
      <c r="O154" s="2" t="s">
        <v>159</v>
      </c>
      <c r="P154" s="2" t="s">
        <v>127</v>
      </c>
      <c r="Q154" s="2" t="s">
        <v>128</v>
      </c>
      <c r="R154" s="2" t="s">
        <v>428</v>
      </c>
      <c r="S154" s="2" t="s">
        <v>45</v>
      </c>
      <c r="T154" s="153">
        <v>5.62</v>
      </c>
      <c r="U154" s="2" t="s">
        <v>1819</v>
      </c>
      <c r="V154" s="165">
        <v>2.47E-2</v>
      </c>
      <c r="W154" s="167">
        <v>2.0109999999999999E-2</v>
      </c>
      <c r="X154" s="4" t="s">
        <v>434</v>
      </c>
      <c r="Y154" s="4" t="s">
        <v>159</v>
      </c>
      <c r="Z154" s="153">
        <v>1100000</v>
      </c>
      <c r="AA154" s="153">
        <v>1</v>
      </c>
      <c r="AB154" s="153">
        <v>101.35</v>
      </c>
      <c r="AD154" s="153">
        <v>1114.8499999999999</v>
      </c>
      <c r="AG154" s="2" t="s">
        <v>37</v>
      </c>
      <c r="AH154" s="153">
        <v>7.0399999999999998E-4</v>
      </c>
      <c r="AI154" s="167">
        <v>6.6708233055396398E-3</v>
      </c>
      <c r="AJ154" s="167">
        <v>1.0170144966119899E-3</v>
      </c>
    </row>
    <row r="155" spans="1:36">
      <c r="A155" s="2" t="s">
        <v>26</v>
      </c>
      <c r="B155" s="2">
        <v>9935</v>
      </c>
      <c r="C155" s="2" t="s">
        <v>2181</v>
      </c>
      <c r="D155" s="2" t="s">
        <v>2182</v>
      </c>
      <c r="E155" s="4" t="s">
        <v>1345</v>
      </c>
      <c r="F155" s="2" t="s">
        <v>2183</v>
      </c>
      <c r="G155" s="2" t="s">
        <v>2184</v>
      </c>
      <c r="H155" s="2" t="s">
        <v>343</v>
      </c>
      <c r="I155" s="2" t="s">
        <v>990</v>
      </c>
      <c r="J155" s="2" t="s">
        <v>31</v>
      </c>
      <c r="K155" s="2" t="s">
        <v>31</v>
      </c>
      <c r="L155" s="2" t="s">
        <v>349</v>
      </c>
      <c r="M155" s="2" t="s">
        <v>49</v>
      </c>
      <c r="N155" s="2" t="s">
        <v>457</v>
      </c>
      <c r="O155" s="2" t="s">
        <v>159</v>
      </c>
      <c r="P155" s="2" t="s">
        <v>1789</v>
      </c>
      <c r="Q155" s="2" t="s">
        <v>128</v>
      </c>
      <c r="R155" s="2" t="s">
        <v>428</v>
      </c>
      <c r="S155" s="2" t="s">
        <v>45</v>
      </c>
      <c r="T155" s="153">
        <v>2.258</v>
      </c>
      <c r="U155" s="2" t="s">
        <v>2185</v>
      </c>
      <c r="V155" s="165">
        <v>0.05</v>
      </c>
      <c r="W155" s="167">
        <v>4.8189999999999997E-2</v>
      </c>
      <c r="X155" s="4" t="s">
        <v>434</v>
      </c>
      <c r="Y155" s="4" t="s">
        <v>159</v>
      </c>
      <c r="Z155" s="153">
        <v>0.08</v>
      </c>
      <c r="AA155" s="153">
        <v>1</v>
      </c>
      <c r="AB155" s="153">
        <v>100.95</v>
      </c>
      <c r="AD155" s="153">
        <v>0</v>
      </c>
      <c r="AG155" s="2" t="s">
        <v>37</v>
      </c>
      <c r="AH155" s="153">
        <v>0</v>
      </c>
      <c r="AI155" s="167">
        <v>4.83236031892525E-10</v>
      </c>
      <c r="AJ155" s="167">
        <v>7.3672772791302998E-11</v>
      </c>
    </row>
    <row r="156" spans="1:36">
      <c r="A156" s="2" t="s">
        <v>26</v>
      </c>
      <c r="B156" s="2">
        <v>9935</v>
      </c>
      <c r="C156" s="2" t="s">
        <v>2186</v>
      </c>
      <c r="D156" s="2" t="s">
        <v>2187</v>
      </c>
      <c r="E156" s="4" t="s">
        <v>1345</v>
      </c>
      <c r="F156" s="2" t="s">
        <v>2188</v>
      </c>
      <c r="G156" s="2" t="s">
        <v>2189</v>
      </c>
      <c r="H156" s="2" t="s">
        <v>343</v>
      </c>
      <c r="I156" s="2" t="s">
        <v>777</v>
      </c>
      <c r="J156" s="2" t="s">
        <v>31</v>
      </c>
      <c r="K156" s="2" t="s">
        <v>31</v>
      </c>
      <c r="L156" s="2" t="s">
        <v>349</v>
      </c>
      <c r="M156" s="2" t="s">
        <v>49</v>
      </c>
      <c r="N156" s="2" t="s">
        <v>484</v>
      </c>
      <c r="O156" s="2" t="s">
        <v>159</v>
      </c>
      <c r="P156" s="2" t="s">
        <v>1994</v>
      </c>
      <c r="Q156" s="2" t="s">
        <v>435</v>
      </c>
      <c r="R156" s="2" t="s">
        <v>428</v>
      </c>
      <c r="S156" s="2" t="s">
        <v>45</v>
      </c>
      <c r="T156" s="153">
        <v>3.665</v>
      </c>
      <c r="U156" s="2" t="s">
        <v>1830</v>
      </c>
      <c r="V156" s="165">
        <v>2.7E-2</v>
      </c>
      <c r="W156" s="167">
        <v>2.8670000000000001E-2</v>
      </c>
      <c r="X156" s="4" t="s">
        <v>434</v>
      </c>
      <c r="Y156" s="4" t="s">
        <v>159</v>
      </c>
      <c r="Z156" s="153">
        <v>293000</v>
      </c>
      <c r="AA156" s="153">
        <v>1</v>
      </c>
      <c r="AB156" s="153">
        <v>103.46</v>
      </c>
      <c r="AD156" s="153">
        <v>303.13799999999998</v>
      </c>
      <c r="AG156" s="2" t="s">
        <v>37</v>
      </c>
      <c r="AH156" s="153">
        <v>7.9199999999999995E-4</v>
      </c>
      <c r="AI156" s="167">
        <v>1.8138572014441501E-3</v>
      </c>
      <c r="AJ156" s="167">
        <v>2.7653544160296498E-4</v>
      </c>
    </row>
    <row r="157" spans="1:36">
      <c r="A157" s="2" t="s">
        <v>26</v>
      </c>
      <c r="B157" s="2">
        <v>9935</v>
      </c>
      <c r="C157" s="2" t="s">
        <v>1831</v>
      </c>
      <c r="D157" s="2" t="s">
        <v>1832</v>
      </c>
      <c r="E157" s="4" t="s">
        <v>1345</v>
      </c>
      <c r="F157" s="2" t="s">
        <v>1833</v>
      </c>
      <c r="G157" s="2" t="s">
        <v>1834</v>
      </c>
      <c r="H157" s="2" t="s">
        <v>343</v>
      </c>
      <c r="I157" s="2" t="s">
        <v>990</v>
      </c>
      <c r="J157" s="2" t="s">
        <v>31</v>
      </c>
      <c r="K157" s="2" t="s">
        <v>31</v>
      </c>
      <c r="L157" s="2" t="s">
        <v>349</v>
      </c>
      <c r="M157" s="2" t="s">
        <v>49</v>
      </c>
      <c r="N157" s="2" t="s">
        <v>465</v>
      </c>
      <c r="O157" s="2" t="s">
        <v>159</v>
      </c>
      <c r="P157" s="2" t="s">
        <v>1799</v>
      </c>
      <c r="Q157" s="2" t="s">
        <v>128</v>
      </c>
      <c r="R157" s="2" t="s">
        <v>428</v>
      </c>
      <c r="S157" s="2" t="s">
        <v>45</v>
      </c>
      <c r="T157" s="153">
        <v>5.2210000000000001</v>
      </c>
      <c r="U157" s="2" t="s">
        <v>1835</v>
      </c>
      <c r="V157" s="165">
        <v>1.95E-2</v>
      </c>
      <c r="W157" s="167">
        <v>5.008E-2</v>
      </c>
      <c r="X157" s="4" t="s">
        <v>434</v>
      </c>
      <c r="Y157" s="4" t="s">
        <v>159</v>
      </c>
      <c r="Z157" s="153">
        <v>2070000</v>
      </c>
      <c r="AA157" s="153">
        <v>1</v>
      </c>
      <c r="AB157" s="153">
        <v>85.74</v>
      </c>
      <c r="AD157" s="153">
        <v>1774.818</v>
      </c>
      <c r="AG157" s="2" t="s">
        <v>37</v>
      </c>
      <c r="AH157" s="153">
        <v>1.8159999999999999E-3</v>
      </c>
      <c r="AI157" s="167">
        <v>1.0619811882756699E-2</v>
      </c>
      <c r="AJ157" s="167">
        <v>1.61906591456061E-3</v>
      </c>
    </row>
    <row r="158" spans="1:36">
      <c r="A158" s="2" t="s">
        <v>26</v>
      </c>
      <c r="B158" s="2">
        <v>9935</v>
      </c>
      <c r="C158" s="2" t="s">
        <v>1982</v>
      </c>
      <c r="D158" s="2" t="s">
        <v>1983</v>
      </c>
      <c r="E158" s="4" t="s">
        <v>1345</v>
      </c>
      <c r="F158" s="2" t="s">
        <v>1984</v>
      </c>
      <c r="G158" s="2" t="s">
        <v>1985</v>
      </c>
      <c r="H158" s="2" t="s">
        <v>343</v>
      </c>
      <c r="I158" s="2" t="s">
        <v>991</v>
      </c>
      <c r="J158" s="2" t="s">
        <v>31</v>
      </c>
      <c r="K158" s="2" t="s">
        <v>31</v>
      </c>
      <c r="L158" s="2" t="s">
        <v>349</v>
      </c>
      <c r="M158" s="2" t="s">
        <v>49</v>
      </c>
      <c r="N158" s="2" t="s">
        <v>467</v>
      </c>
      <c r="O158" s="2" t="s">
        <v>159</v>
      </c>
      <c r="P158" s="2" t="s">
        <v>1986</v>
      </c>
      <c r="Q158" s="2" t="s">
        <v>435</v>
      </c>
      <c r="R158" s="2" t="s">
        <v>428</v>
      </c>
      <c r="S158" s="2" t="s">
        <v>45</v>
      </c>
      <c r="T158" s="153">
        <v>0.747</v>
      </c>
      <c r="U158" s="2" t="s">
        <v>1987</v>
      </c>
      <c r="V158" s="165">
        <v>1.4999999999999999E-2</v>
      </c>
      <c r="W158" s="167">
        <v>4.972E-2</v>
      </c>
      <c r="X158" s="4" t="s">
        <v>434</v>
      </c>
      <c r="Y158" s="4" t="s">
        <v>159</v>
      </c>
      <c r="Z158" s="153">
        <v>4.88</v>
      </c>
      <c r="AA158" s="153">
        <v>1</v>
      </c>
      <c r="AB158" s="153">
        <v>97.9</v>
      </c>
      <c r="AD158" s="153">
        <v>5.0000000000000001E-3</v>
      </c>
      <c r="AG158" s="2" t="s">
        <v>37</v>
      </c>
      <c r="AH158" s="153">
        <v>0</v>
      </c>
      <c r="AI158" s="167">
        <v>2.8586798007518299E-8</v>
      </c>
      <c r="AJ158" s="167">
        <v>4.3582608403405906E-9</v>
      </c>
    </row>
    <row r="159" spans="1:36">
      <c r="A159" s="2" t="s">
        <v>26</v>
      </c>
      <c r="B159" s="2">
        <v>9935</v>
      </c>
      <c r="C159" s="2" t="s">
        <v>1836</v>
      </c>
      <c r="D159" s="2" t="s">
        <v>1837</v>
      </c>
      <c r="E159" s="4" t="s">
        <v>1345</v>
      </c>
      <c r="F159" s="2" t="s">
        <v>2067</v>
      </c>
      <c r="G159" s="2" t="s">
        <v>2068</v>
      </c>
      <c r="H159" s="2" t="s">
        <v>343</v>
      </c>
      <c r="I159" s="2" t="s">
        <v>777</v>
      </c>
      <c r="J159" s="2" t="s">
        <v>31</v>
      </c>
      <c r="K159" s="2" t="s">
        <v>31</v>
      </c>
      <c r="L159" s="2" t="s">
        <v>349</v>
      </c>
      <c r="M159" s="2" t="s">
        <v>49</v>
      </c>
      <c r="N159" s="2" t="s">
        <v>460</v>
      </c>
      <c r="O159" s="2" t="s">
        <v>159</v>
      </c>
      <c r="P159" s="2" t="s">
        <v>1840</v>
      </c>
      <c r="Q159" s="2" t="s">
        <v>128</v>
      </c>
      <c r="R159" s="2" t="s">
        <v>428</v>
      </c>
      <c r="S159" s="2" t="s">
        <v>45</v>
      </c>
      <c r="T159" s="153">
        <v>1.383</v>
      </c>
      <c r="U159" s="2" t="s">
        <v>2069</v>
      </c>
      <c r="V159" s="165">
        <v>4.4999999999999998E-2</v>
      </c>
      <c r="W159" s="167">
        <v>1.524E-2</v>
      </c>
      <c r="X159" s="4" t="s">
        <v>434</v>
      </c>
      <c r="Y159" s="4" t="s">
        <v>159</v>
      </c>
      <c r="Z159" s="153">
        <v>1003000</v>
      </c>
      <c r="AA159" s="153">
        <v>1</v>
      </c>
      <c r="AB159" s="153">
        <v>118.26</v>
      </c>
      <c r="AD159" s="153">
        <v>1186.1479999999999</v>
      </c>
      <c r="AG159" s="2" t="s">
        <v>37</v>
      </c>
      <c r="AH159" s="153">
        <v>3.39E-4</v>
      </c>
      <c r="AI159" s="167">
        <v>7.0974412594112003E-3</v>
      </c>
      <c r="AJ159" s="167">
        <v>1.08205544039505E-3</v>
      </c>
    </row>
    <row r="160" spans="1:36">
      <c r="A160" s="2" t="s">
        <v>26</v>
      </c>
      <c r="B160" s="2">
        <v>9935</v>
      </c>
      <c r="C160" s="2" t="s">
        <v>1836</v>
      </c>
      <c r="D160" s="2" t="s">
        <v>1837</v>
      </c>
      <c r="E160" s="4" t="s">
        <v>1345</v>
      </c>
      <c r="F160" s="2" t="s">
        <v>1842</v>
      </c>
      <c r="G160" s="2" t="s">
        <v>1843</v>
      </c>
      <c r="H160" s="2" t="s">
        <v>343</v>
      </c>
      <c r="I160" s="2" t="s">
        <v>777</v>
      </c>
      <c r="J160" s="2" t="s">
        <v>31</v>
      </c>
      <c r="K160" s="2" t="s">
        <v>31</v>
      </c>
      <c r="L160" s="2" t="s">
        <v>349</v>
      </c>
      <c r="M160" s="2" t="s">
        <v>49</v>
      </c>
      <c r="N160" s="2" t="s">
        <v>460</v>
      </c>
      <c r="O160" s="2" t="s">
        <v>159</v>
      </c>
      <c r="P160" s="2" t="s">
        <v>1840</v>
      </c>
      <c r="Q160" s="2" t="s">
        <v>128</v>
      </c>
      <c r="R160" s="2" t="s">
        <v>428</v>
      </c>
      <c r="S160" s="2" t="s">
        <v>45</v>
      </c>
      <c r="T160" s="153">
        <v>6.24</v>
      </c>
      <c r="U160" s="2" t="s">
        <v>1844</v>
      </c>
      <c r="V160" s="165">
        <v>2.3900000000000001E-2</v>
      </c>
      <c r="W160" s="167">
        <v>2.4760000000000001E-2</v>
      </c>
      <c r="X160" s="4" t="s">
        <v>434</v>
      </c>
      <c r="Y160" s="4" t="s">
        <v>159</v>
      </c>
      <c r="Z160" s="153">
        <v>1160000</v>
      </c>
      <c r="AA160" s="153">
        <v>1</v>
      </c>
      <c r="AB160" s="153">
        <v>110.76</v>
      </c>
      <c r="AD160" s="153">
        <v>1284.816</v>
      </c>
      <c r="AG160" s="2" t="s">
        <v>37</v>
      </c>
      <c r="AH160" s="153">
        <v>2.9799999999999998E-4</v>
      </c>
      <c r="AI160" s="167">
        <v>7.6878329067858603E-3</v>
      </c>
      <c r="AJ160" s="167">
        <v>1.17206484951252E-3</v>
      </c>
    </row>
    <row r="161" spans="1:36">
      <c r="A161" s="2" t="s">
        <v>26</v>
      </c>
      <c r="B161" s="2">
        <v>9935</v>
      </c>
      <c r="C161" s="2" t="s">
        <v>2190</v>
      </c>
      <c r="D161" s="2" t="s">
        <v>2191</v>
      </c>
      <c r="E161" s="4" t="s">
        <v>1345</v>
      </c>
      <c r="F161" s="2" t="s">
        <v>2192</v>
      </c>
      <c r="G161" s="2" t="s">
        <v>2193</v>
      </c>
      <c r="H161" s="2" t="s">
        <v>343</v>
      </c>
      <c r="I161" s="2" t="s">
        <v>777</v>
      </c>
      <c r="J161" s="2" t="s">
        <v>31</v>
      </c>
      <c r="K161" s="2" t="s">
        <v>31</v>
      </c>
      <c r="L161" s="2" t="s">
        <v>349</v>
      </c>
      <c r="M161" s="2" t="s">
        <v>49</v>
      </c>
      <c r="N161" s="2" t="s">
        <v>482</v>
      </c>
      <c r="O161" s="2" t="s">
        <v>159</v>
      </c>
      <c r="P161" s="2" t="s">
        <v>1785</v>
      </c>
      <c r="Q161" s="2" t="s">
        <v>435</v>
      </c>
      <c r="R161" s="2" t="s">
        <v>428</v>
      </c>
      <c r="S161" s="2" t="s">
        <v>45</v>
      </c>
      <c r="T161" s="153">
        <v>3.3039999999999998</v>
      </c>
      <c r="U161" s="2" t="s">
        <v>2194</v>
      </c>
      <c r="V161" s="165">
        <v>2.1999999999999999E-2</v>
      </c>
      <c r="W161" s="167">
        <v>2.6200000000000001E-2</v>
      </c>
      <c r="X161" s="4" t="s">
        <v>434</v>
      </c>
      <c r="Y161" s="4" t="s">
        <v>159</v>
      </c>
      <c r="Z161" s="153">
        <v>801379.31</v>
      </c>
      <c r="AA161" s="153">
        <v>1</v>
      </c>
      <c r="AB161" s="153">
        <v>102.62</v>
      </c>
      <c r="AD161" s="153">
        <v>822.375</v>
      </c>
      <c r="AG161" s="2" t="s">
        <v>37</v>
      </c>
      <c r="AH161" s="153">
        <v>4.0070000000000001E-3</v>
      </c>
      <c r="AI161" s="167">
        <v>4.9207707798373601E-3</v>
      </c>
      <c r="AJ161" s="167">
        <v>7.5020653199484402E-4</v>
      </c>
    </row>
    <row r="162" spans="1:36">
      <c r="A162" s="2" t="s">
        <v>26</v>
      </c>
      <c r="B162" s="2">
        <v>9935</v>
      </c>
      <c r="C162" s="2" t="s">
        <v>2195</v>
      </c>
      <c r="D162" s="2" t="s">
        <v>2196</v>
      </c>
      <c r="E162" s="4" t="s">
        <v>1345</v>
      </c>
      <c r="F162" s="2" t="s">
        <v>2197</v>
      </c>
      <c r="G162" s="2" t="s">
        <v>2198</v>
      </c>
      <c r="H162" s="2" t="s">
        <v>343</v>
      </c>
      <c r="I162" s="2" t="s">
        <v>777</v>
      </c>
      <c r="J162" s="2" t="s">
        <v>31</v>
      </c>
      <c r="K162" s="2" t="s">
        <v>31</v>
      </c>
      <c r="L162" s="2" t="s">
        <v>349</v>
      </c>
      <c r="M162" s="2" t="s">
        <v>49</v>
      </c>
      <c r="N162" s="2" t="s">
        <v>468</v>
      </c>
      <c r="O162" s="2" t="s">
        <v>159</v>
      </c>
      <c r="P162" s="2" t="s">
        <v>1785</v>
      </c>
      <c r="Q162" s="2" t="s">
        <v>128</v>
      </c>
      <c r="R162" s="2" t="s">
        <v>428</v>
      </c>
      <c r="S162" s="2" t="s">
        <v>45</v>
      </c>
      <c r="T162" s="153">
        <v>0.16400000000000001</v>
      </c>
      <c r="U162" s="2" t="s">
        <v>1827</v>
      </c>
      <c r="V162" s="165">
        <v>6.7999999999999996E-3</v>
      </c>
      <c r="W162" s="167">
        <v>1.25E-3</v>
      </c>
      <c r="X162" s="4" t="s">
        <v>434</v>
      </c>
      <c r="Y162" s="4" t="s">
        <v>159</v>
      </c>
      <c r="Z162" s="153">
        <v>255270.06</v>
      </c>
      <c r="AA162" s="153">
        <v>1</v>
      </c>
      <c r="AB162" s="153">
        <v>113.14</v>
      </c>
      <c r="AD162" s="153">
        <v>288.81299999999999</v>
      </c>
      <c r="AG162" s="2" t="s">
        <v>37</v>
      </c>
      <c r="AH162" s="153">
        <v>1.1379999999999999E-3</v>
      </c>
      <c r="AI162" s="167">
        <v>1.7281405229539601E-3</v>
      </c>
      <c r="AJ162" s="167">
        <v>2.6346732382602402E-4</v>
      </c>
    </row>
    <row r="163" spans="1:36">
      <c r="A163" s="2" t="s">
        <v>26</v>
      </c>
      <c r="B163" s="2">
        <v>9935</v>
      </c>
      <c r="C163" s="2" t="s">
        <v>2199</v>
      </c>
      <c r="D163" s="2" t="s">
        <v>2200</v>
      </c>
      <c r="E163" s="4" t="s">
        <v>1345</v>
      </c>
      <c r="F163" s="2" t="s">
        <v>2201</v>
      </c>
      <c r="G163" s="2" t="s">
        <v>2202</v>
      </c>
      <c r="H163" s="2" t="s">
        <v>343</v>
      </c>
      <c r="I163" s="2" t="s">
        <v>778</v>
      </c>
      <c r="J163" s="2" t="s">
        <v>31</v>
      </c>
      <c r="K163" s="2" t="s">
        <v>31</v>
      </c>
      <c r="L163" s="2" t="s">
        <v>349</v>
      </c>
      <c r="M163" s="2" t="s">
        <v>49</v>
      </c>
      <c r="N163" s="2" t="s">
        <v>474</v>
      </c>
      <c r="O163" s="2" t="s">
        <v>159</v>
      </c>
      <c r="P163" s="2" t="s">
        <v>1779</v>
      </c>
      <c r="Q163" s="2" t="s">
        <v>435</v>
      </c>
      <c r="R163" s="2" t="s">
        <v>428</v>
      </c>
      <c r="S163" s="2" t="s">
        <v>45</v>
      </c>
      <c r="T163" s="153">
        <v>0.76</v>
      </c>
      <c r="U163" s="2" t="s">
        <v>2203</v>
      </c>
      <c r="V163" s="165">
        <v>3.49E-2</v>
      </c>
      <c r="W163" s="167">
        <v>6.6479999999999997E-2</v>
      </c>
      <c r="X163" s="4" t="s">
        <v>434</v>
      </c>
      <c r="Y163" s="4" t="s">
        <v>159</v>
      </c>
      <c r="Z163" s="153">
        <v>0.23</v>
      </c>
      <c r="AA163" s="153">
        <v>1</v>
      </c>
      <c r="AB163" s="153">
        <v>101.56</v>
      </c>
      <c r="AD163" s="153">
        <v>0</v>
      </c>
      <c r="AG163" s="2" t="s">
        <v>37</v>
      </c>
      <c r="AH163" s="153">
        <v>0</v>
      </c>
      <c r="AI163" s="167">
        <v>1.3976985911058801E-9</v>
      </c>
      <c r="AJ163" s="167">
        <v>2.13089099192359E-10</v>
      </c>
    </row>
    <row r="164" spans="1:36">
      <c r="A164" s="2" t="s">
        <v>26</v>
      </c>
      <c r="B164" s="2">
        <v>9935</v>
      </c>
      <c r="C164" s="2" t="s">
        <v>1845</v>
      </c>
      <c r="D164" s="2" t="s">
        <v>1846</v>
      </c>
      <c r="E164" s="4" t="s">
        <v>1345</v>
      </c>
      <c r="F164" s="2" t="s">
        <v>2204</v>
      </c>
      <c r="G164" s="2" t="s">
        <v>2205</v>
      </c>
      <c r="H164" s="2" t="s">
        <v>343</v>
      </c>
      <c r="I164" s="2" t="s">
        <v>777</v>
      </c>
      <c r="J164" s="2" t="s">
        <v>31</v>
      </c>
      <c r="K164" s="2" t="s">
        <v>31</v>
      </c>
      <c r="L164" s="2" t="s">
        <v>349</v>
      </c>
      <c r="M164" s="2" t="s">
        <v>49</v>
      </c>
      <c r="N164" s="2" t="s">
        <v>484</v>
      </c>
      <c r="O164" s="2" t="s">
        <v>159</v>
      </c>
      <c r="P164" s="2" t="s">
        <v>1799</v>
      </c>
      <c r="Q164" s="2" t="s">
        <v>128</v>
      </c>
      <c r="R164" s="2" t="s">
        <v>428</v>
      </c>
      <c r="S164" s="2" t="s">
        <v>45</v>
      </c>
      <c r="T164" s="153">
        <v>2.5910000000000002</v>
      </c>
      <c r="U164" s="2" t="s">
        <v>2206</v>
      </c>
      <c r="V164" s="165">
        <v>1.5800000000000002E-2</v>
      </c>
      <c r="W164" s="167">
        <v>2.0109999999999999E-2</v>
      </c>
      <c r="X164" s="4" t="s">
        <v>434</v>
      </c>
      <c r="Y164" s="4" t="s">
        <v>159</v>
      </c>
      <c r="Z164" s="153">
        <v>422825.93</v>
      </c>
      <c r="AA164" s="153">
        <v>1</v>
      </c>
      <c r="AB164" s="153">
        <v>112.1</v>
      </c>
      <c r="AD164" s="153">
        <v>473.988</v>
      </c>
      <c r="AG164" s="2" t="s">
        <v>37</v>
      </c>
      <c r="AH164" s="153">
        <v>9.0899999999999998E-4</v>
      </c>
      <c r="AI164" s="167">
        <v>2.8361567145913399E-3</v>
      </c>
      <c r="AJ164" s="167">
        <v>4.3239227922699301E-4</v>
      </c>
    </row>
    <row r="165" spans="1:36">
      <c r="A165" s="2" t="s">
        <v>26</v>
      </c>
      <c r="B165" s="2">
        <v>9935</v>
      </c>
      <c r="C165" s="2" t="s">
        <v>1845</v>
      </c>
      <c r="D165" s="2" t="s">
        <v>1846</v>
      </c>
      <c r="E165" s="4" t="s">
        <v>1345</v>
      </c>
      <c r="F165" s="2" t="s">
        <v>2207</v>
      </c>
      <c r="G165" s="2" t="s">
        <v>2208</v>
      </c>
      <c r="H165" s="2" t="s">
        <v>343</v>
      </c>
      <c r="I165" s="2" t="s">
        <v>777</v>
      </c>
      <c r="J165" s="2" t="s">
        <v>31</v>
      </c>
      <c r="K165" s="2" t="s">
        <v>31</v>
      </c>
      <c r="L165" s="2" t="s">
        <v>349</v>
      </c>
      <c r="M165" s="2" t="s">
        <v>49</v>
      </c>
      <c r="N165" s="2" t="s">
        <v>484</v>
      </c>
      <c r="O165" s="2" t="s">
        <v>159</v>
      </c>
      <c r="P165" s="2" t="s">
        <v>1799</v>
      </c>
      <c r="Q165" s="2" t="s">
        <v>128</v>
      </c>
      <c r="R165" s="2" t="s">
        <v>428</v>
      </c>
      <c r="S165" s="2" t="s">
        <v>45</v>
      </c>
      <c r="T165" s="153">
        <v>5.2309999999999999</v>
      </c>
      <c r="U165" s="2" t="s">
        <v>2209</v>
      </c>
      <c r="V165" s="165">
        <v>8.3999999999999995E-3</v>
      </c>
      <c r="W165" s="167">
        <v>2.6040000000000001E-2</v>
      </c>
      <c r="X165" s="4" t="s">
        <v>434</v>
      </c>
      <c r="Y165" s="4" t="s">
        <v>159</v>
      </c>
      <c r="Z165" s="153">
        <v>861626.37</v>
      </c>
      <c r="AA165" s="153">
        <v>1</v>
      </c>
      <c r="AB165" s="153">
        <v>101.26</v>
      </c>
      <c r="AD165" s="153">
        <v>872.48299999999995</v>
      </c>
      <c r="AG165" s="2" t="s">
        <v>37</v>
      </c>
      <c r="AH165" s="153">
        <v>1.9319999999999999E-3</v>
      </c>
      <c r="AI165" s="167">
        <v>5.2205938119579201E-3</v>
      </c>
      <c r="AJ165" s="167">
        <v>7.9591668741622195E-4</v>
      </c>
    </row>
    <row r="166" spans="1:36">
      <c r="A166" s="2" t="s">
        <v>26</v>
      </c>
      <c r="B166" s="2">
        <v>9935</v>
      </c>
      <c r="C166" s="2" t="s">
        <v>1558</v>
      </c>
      <c r="D166" s="2" t="s">
        <v>1559</v>
      </c>
      <c r="E166" s="4" t="s">
        <v>1345</v>
      </c>
      <c r="F166" s="2" t="s">
        <v>2210</v>
      </c>
      <c r="G166" s="2" t="s">
        <v>2211</v>
      </c>
      <c r="H166" s="2" t="s">
        <v>343</v>
      </c>
      <c r="I166" s="2" t="s">
        <v>990</v>
      </c>
      <c r="J166" s="2" t="s">
        <v>31</v>
      </c>
      <c r="K166" s="2" t="s">
        <v>31</v>
      </c>
      <c r="L166" s="2" t="s">
        <v>349</v>
      </c>
      <c r="M166" s="2" t="s">
        <v>49</v>
      </c>
      <c r="N166" s="2" t="s">
        <v>465</v>
      </c>
      <c r="O166" s="2" t="s">
        <v>159</v>
      </c>
      <c r="P166" s="2" t="s">
        <v>1785</v>
      </c>
      <c r="Q166" s="2" t="s">
        <v>435</v>
      </c>
      <c r="R166" s="2" t="s">
        <v>428</v>
      </c>
      <c r="S166" s="2" t="s">
        <v>45</v>
      </c>
      <c r="T166" s="153">
        <v>5.5650000000000004</v>
      </c>
      <c r="U166" s="2" t="s">
        <v>2212</v>
      </c>
      <c r="V166" s="165">
        <v>5.2499999999999998E-2</v>
      </c>
      <c r="W166" s="167">
        <v>5.144E-2</v>
      </c>
      <c r="X166" s="4" t="s">
        <v>434</v>
      </c>
      <c r="Y166" s="4" t="s">
        <v>159</v>
      </c>
      <c r="Z166" s="153">
        <v>1060000</v>
      </c>
      <c r="AA166" s="153">
        <v>1</v>
      </c>
      <c r="AB166" s="153">
        <v>102.59</v>
      </c>
      <c r="AD166" s="153">
        <v>1087.454</v>
      </c>
      <c r="AG166" s="2" t="s">
        <v>37</v>
      </c>
      <c r="AH166" s="153">
        <v>0</v>
      </c>
      <c r="AI166" s="167">
        <v>6.5068964317193398E-3</v>
      </c>
      <c r="AJ166" s="167">
        <v>9.920226778478659E-4</v>
      </c>
    </row>
    <row r="167" spans="1:36">
      <c r="A167" s="2" t="s">
        <v>26</v>
      </c>
      <c r="B167" s="2">
        <v>9935</v>
      </c>
      <c r="C167" s="2" t="s">
        <v>1850</v>
      </c>
      <c r="D167" s="2" t="s">
        <v>1851</v>
      </c>
      <c r="E167" s="4" t="s">
        <v>1345</v>
      </c>
      <c r="F167" s="2" t="s">
        <v>2213</v>
      </c>
      <c r="G167" s="2" t="s">
        <v>2214</v>
      </c>
      <c r="H167" s="2" t="s">
        <v>343</v>
      </c>
      <c r="I167" s="2" t="s">
        <v>990</v>
      </c>
      <c r="J167" s="2" t="s">
        <v>31</v>
      </c>
      <c r="K167" s="2" t="s">
        <v>31</v>
      </c>
      <c r="L167" s="2" t="s">
        <v>349</v>
      </c>
      <c r="M167" s="2" t="s">
        <v>49</v>
      </c>
      <c r="N167" s="2" t="s">
        <v>465</v>
      </c>
      <c r="O167" s="2" t="s">
        <v>159</v>
      </c>
      <c r="P167" s="2" t="s">
        <v>1789</v>
      </c>
      <c r="Q167" s="2" t="s">
        <v>128</v>
      </c>
      <c r="R167" s="2" t="s">
        <v>428</v>
      </c>
      <c r="S167" s="2" t="s">
        <v>45</v>
      </c>
      <c r="T167" s="153">
        <v>7.2050000000000001</v>
      </c>
      <c r="U167" s="2" t="s">
        <v>2215</v>
      </c>
      <c r="V167" s="165">
        <v>2.5000000000000001E-2</v>
      </c>
      <c r="W167" s="167">
        <v>5.4949999999999999E-2</v>
      </c>
      <c r="X167" s="4" t="s">
        <v>434</v>
      </c>
      <c r="Y167" s="4" t="s">
        <v>159</v>
      </c>
      <c r="Z167" s="153">
        <v>672405</v>
      </c>
      <c r="AA167" s="153">
        <v>1</v>
      </c>
      <c r="AB167" s="153">
        <v>81.239999999999995</v>
      </c>
      <c r="AD167" s="153">
        <v>546.26199999999994</v>
      </c>
      <c r="AG167" s="2" t="s">
        <v>37</v>
      </c>
      <c r="AH167" s="153">
        <v>5.04E-4</v>
      </c>
      <c r="AI167" s="167">
        <v>3.2686155923435001E-3</v>
      </c>
      <c r="AJ167" s="167">
        <v>4.9832371343201101E-4</v>
      </c>
    </row>
    <row r="168" spans="1:36">
      <c r="A168" s="2" t="s">
        <v>26</v>
      </c>
      <c r="B168" s="2">
        <v>9935</v>
      </c>
      <c r="C168" s="2" t="s">
        <v>1850</v>
      </c>
      <c r="D168" s="2" t="s">
        <v>1851</v>
      </c>
      <c r="E168" s="4" t="s">
        <v>1345</v>
      </c>
      <c r="F168" s="2" t="s">
        <v>2216</v>
      </c>
      <c r="G168" s="2" t="s">
        <v>2217</v>
      </c>
      <c r="H168" s="2" t="s">
        <v>343</v>
      </c>
      <c r="I168" s="2" t="s">
        <v>777</v>
      </c>
      <c r="J168" s="2" t="s">
        <v>31</v>
      </c>
      <c r="K168" s="2" t="s">
        <v>31</v>
      </c>
      <c r="L168" s="2" t="s">
        <v>349</v>
      </c>
      <c r="M168" s="2" t="s">
        <v>49</v>
      </c>
      <c r="N168" s="2" t="s">
        <v>465</v>
      </c>
      <c r="O168" s="2" t="s">
        <v>159</v>
      </c>
      <c r="P168" s="2" t="s">
        <v>1789</v>
      </c>
      <c r="Q168" s="2" t="s">
        <v>128</v>
      </c>
      <c r="R168" s="2" t="s">
        <v>428</v>
      </c>
      <c r="S168" s="2" t="s">
        <v>45</v>
      </c>
      <c r="T168" s="153">
        <v>1.3129999999999999</v>
      </c>
      <c r="U168" s="2" t="s">
        <v>2218</v>
      </c>
      <c r="V168" s="165">
        <v>2.4799999999999999E-2</v>
      </c>
      <c r="W168" s="167">
        <v>1.8380000000000001E-2</v>
      </c>
      <c r="X168" s="4" t="s">
        <v>434</v>
      </c>
      <c r="Y168" s="4" t="s">
        <v>159</v>
      </c>
      <c r="Z168" s="153">
        <v>171394</v>
      </c>
      <c r="AA168" s="153">
        <v>1</v>
      </c>
      <c r="AB168" s="153">
        <v>112.96</v>
      </c>
      <c r="AD168" s="153">
        <v>193.607</v>
      </c>
      <c r="AG168" s="2" t="s">
        <v>37</v>
      </c>
      <c r="AH168" s="153">
        <v>4.0499999999999998E-4</v>
      </c>
      <c r="AI168" s="167">
        <v>1.1584660139441799E-3</v>
      </c>
      <c r="AJ168" s="167">
        <v>1.76616389919239E-4</v>
      </c>
    </row>
    <row r="169" spans="1:36">
      <c r="A169" s="2" t="s">
        <v>26</v>
      </c>
      <c r="B169" s="2">
        <v>9935</v>
      </c>
      <c r="C169" s="2" t="s">
        <v>1202</v>
      </c>
      <c r="D169" s="2" t="s">
        <v>1562</v>
      </c>
      <c r="E169" s="4" t="s">
        <v>1345</v>
      </c>
      <c r="F169" s="2" t="s">
        <v>1854</v>
      </c>
      <c r="G169" s="2" t="s">
        <v>1855</v>
      </c>
      <c r="H169" s="2" t="s">
        <v>343</v>
      </c>
      <c r="I169" s="2" t="s">
        <v>777</v>
      </c>
      <c r="J169" s="2" t="s">
        <v>31</v>
      </c>
      <c r="K169" s="2" t="s">
        <v>31</v>
      </c>
      <c r="L169" s="2" t="s">
        <v>349</v>
      </c>
      <c r="M169" s="2" t="s">
        <v>49</v>
      </c>
      <c r="N169" s="2" t="s">
        <v>468</v>
      </c>
      <c r="O169" s="2" t="s">
        <v>159</v>
      </c>
      <c r="P169" s="2" t="s">
        <v>127</v>
      </c>
      <c r="Q169" s="2" t="s">
        <v>128</v>
      </c>
      <c r="R169" s="2" t="s">
        <v>428</v>
      </c>
      <c r="S169" s="2" t="s">
        <v>45</v>
      </c>
      <c r="T169" s="153">
        <v>1.23</v>
      </c>
      <c r="U169" s="2" t="s">
        <v>1824</v>
      </c>
      <c r="V169" s="165">
        <v>8.3000000000000001E-3</v>
      </c>
      <c r="W169" s="167">
        <v>1.3979999999999999E-2</v>
      </c>
      <c r="X169" s="4" t="s">
        <v>434</v>
      </c>
      <c r="Y169" s="4" t="s">
        <v>159</v>
      </c>
      <c r="Z169" s="153">
        <v>2000000</v>
      </c>
      <c r="AA169" s="153">
        <v>1</v>
      </c>
      <c r="AB169" s="153">
        <v>111.66</v>
      </c>
      <c r="AD169" s="153">
        <v>2233.1999999999998</v>
      </c>
      <c r="AG169" s="2" t="s">
        <v>37</v>
      </c>
      <c r="AH169" s="153">
        <v>6.5700000000000003E-4</v>
      </c>
      <c r="AI169" s="167">
        <v>1.33625892325704E-2</v>
      </c>
      <c r="AJ169" s="167">
        <v>2.0372218449422699E-3</v>
      </c>
    </row>
    <row r="170" spans="1:36">
      <c r="A170" s="2" t="s">
        <v>26</v>
      </c>
      <c r="B170" s="2">
        <v>9935</v>
      </c>
      <c r="C170" s="2" t="s">
        <v>1202</v>
      </c>
      <c r="D170" s="2" t="s">
        <v>1562</v>
      </c>
      <c r="E170" s="4" t="s">
        <v>1345</v>
      </c>
      <c r="F170" s="2" t="s">
        <v>2219</v>
      </c>
      <c r="G170" s="2" t="s">
        <v>2220</v>
      </c>
      <c r="H170" s="2" t="s">
        <v>343</v>
      </c>
      <c r="I170" s="2" t="s">
        <v>777</v>
      </c>
      <c r="J170" s="2" t="s">
        <v>31</v>
      </c>
      <c r="K170" s="2" t="s">
        <v>31</v>
      </c>
      <c r="L170" s="2" t="s">
        <v>349</v>
      </c>
      <c r="M170" s="2" t="s">
        <v>49</v>
      </c>
      <c r="N170" s="2" t="s">
        <v>468</v>
      </c>
      <c r="O170" s="2" t="s">
        <v>159</v>
      </c>
      <c r="P170" s="2" t="s">
        <v>1201</v>
      </c>
      <c r="Q170" s="2" t="s">
        <v>435</v>
      </c>
      <c r="R170" s="2" t="s">
        <v>428</v>
      </c>
      <c r="S170" s="2" t="s">
        <v>45</v>
      </c>
      <c r="T170" s="153">
        <v>3.07</v>
      </c>
      <c r="U170" s="2" t="s">
        <v>2221</v>
      </c>
      <c r="V170" s="165">
        <v>1.8599999999999998E-2</v>
      </c>
      <c r="W170" s="167">
        <v>1.8350000000000002E-2</v>
      </c>
      <c r="X170" s="4" t="s">
        <v>434</v>
      </c>
      <c r="Y170" s="4" t="s">
        <v>159</v>
      </c>
      <c r="Z170" s="153">
        <v>646000</v>
      </c>
      <c r="AA170" s="153">
        <v>1</v>
      </c>
      <c r="AB170" s="153">
        <v>100.55</v>
      </c>
      <c r="AD170" s="153">
        <v>649.553</v>
      </c>
      <c r="AG170" s="2" t="s">
        <v>37</v>
      </c>
      <c r="AH170" s="153">
        <v>5.2599999999999999E-4</v>
      </c>
      <c r="AI170" s="167">
        <v>3.8866693192655399E-3</v>
      </c>
      <c r="AJ170" s="167">
        <v>5.92550403478322E-4</v>
      </c>
    </row>
    <row r="171" spans="1:36">
      <c r="A171" s="2" t="s">
        <v>26</v>
      </c>
      <c r="B171" s="2">
        <v>9935</v>
      </c>
      <c r="C171" s="2" t="s">
        <v>1202</v>
      </c>
      <c r="D171" s="2" t="s">
        <v>1562</v>
      </c>
      <c r="E171" s="4" t="s">
        <v>1345</v>
      </c>
      <c r="F171" s="2" t="s">
        <v>2222</v>
      </c>
      <c r="G171" s="2" t="s">
        <v>2223</v>
      </c>
      <c r="H171" s="2" t="s">
        <v>343</v>
      </c>
      <c r="I171" s="2" t="s">
        <v>990</v>
      </c>
      <c r="J171" s="2" t="s">
        <v>31</v>
      </c>
      <c r="K171" s="2" t="s">
        <v>31</v>
      </c>
      <c r="L171" s="2" t="s">
        <v>349</v>
      </c>
      <c r="M171" s="2" t="s">
        <v>49</v>
      </c>
      <c r="N171" s="2" t="s">
        <v>468</v>
      </c>
      <c r="O171" s="2" t="s">
        <v>159</v>
      </c>
      <c r="P171" s="2" t="s">
        <v>127</v>
      </c>
      <c r="Q171" s="2" t="s">
        <v>128</v>
      </c>
      <c r="R171" s="2" t="s">
        <v>428</v>
      </c>
      <c r="S171" s="2" t="s">
        <v>45</v>
      </c>
      <c r="T171" s="153">
        <v>3.5720000000000001</v>
      </c>
      <c r="U171" s="2" t="s">
        <v>2224</v>
      </c>
      <c r="V171" s="165">
        <v>2.76E-2</v>
      </c>
      <c r="W171" s="167">
        <v>4.4479999999999999E-2</v>
      </c>
      <c r="X171" s="4" t="s">
        <v>434</v>
      </c>
      <c r="Y171" s="4" t="s">
        <v>159</v>
      </c>
      <c r="Z171" s="153">
        <v>1400000</v>
      </c>
      <c r="AA171" s="153">
        <v>1</v>
      </c>
      <c r="AB171" s="153">
        <v>95.44</v>
      </c>
      <c r="AD171" s="153">
        <v>1336.16</v>
      </c>
      <c r="AG171" s="2" t="s">
        <v>37</v>
      </c>
      <c r="AH171" s="153">
        <v>1.0480000000000001E-3</v>
      </c>
      <c r="AI171" s="167">
        <v>7.9950551804546296E-3</v>
      </c>
      <c r="AJ171" s="167">
        <v>1.21890307197657E-3</v>
      </c>
    </row>
    <row r="172" spans="1:36">
      <c r="A172" s="2" t="s">
        <v>26</v>
      </c>
      <c r="B172" s="2">
        <v>9935</v>
      </c>
      <c r="C172" s="2" t="s">
        <v>1202</v>
      </c>
      <c r="D172" s="2" t="s">
        <v>1562</v>
      </c>
      <c r="E172" s="4" t="s">
        <v>1345</v>
      </c>
      <c r="F172" s="2" t="s">
        <v>1856</v>
      </c>
      <c r="G172" s="2" t="s">
        <v>1857</v>
      </c>
      <c r="H172" s="2" t="s">
        <v>343</v>
      </c>
      <c r="I172" s="2" t="s">
        <v>777</v>
      </c>
      <c r="J172" s="2" t="s">
        <v>31</v>
      </c>
      <c r="K172" s="2" t="s">
        <v>31</v>
      </c>
      <c r="L172" s="2" t="s">
        <v>349</v>
      </c>
      <c r="M172" s="2" t="s">
        <v>49</v>
      </c>
      <c r="N172" s="2" t="s">
        <v>468</v>
      </c>
      <c r="O172" s="2" t="s">
        <v>159</v>
      </c>
      <c r="P172" s="2" t="s">
        <v>1201</v>
      </c>
      <c r="Q172" s="2" t="s">
        <v>435</v>
      </c>
      <c r="R172" s="2" t="s">
        <v>428</v>
      </c>
      <c r="S172" s="2" t="s">
        <v>45</v>
      </c>
      <c r="T172" s="153">
        <v>5.54</v>
      </c>
      <c r="U172" s="2" t="s">
        <v>1858</v>
      </c>
      <c r="V172" s="165">
        <v>2.0199999999999999E-2</v>
      </c>
      <c r="W172" s="167">
        <v>2.0369999999999999E-2</v>
      </c>
      <c r="X172" s="4" t="s">
        <v>434</v>
      </c>
      <c r="Y172" s="4" t="s">
        <v>159</v>
      </c>
      <c r="Z172" s="153">
        <v>3046000</v>
      </c>
      <c r="AA172" s="153">
        <v>1</v>
      </c>
      <c r="AB172" s="153">
        <v>100.75</v>
      </c>
      <c r="AD172" s="153">
        <v>3068.8449999999998</v>
      </c>
      <c r="AG172" s="2" t="s">
        <v>37</v>
      </c>
      <c r="AH172" s="153">
        <v>1.4350000000000001E-3</v>
      </c>
      <c r="AI172" s="167">
        <v>1.8362759785701E-2</v>
      </c>
      <c r="AJ172" s="167">
        <v>2.7995334375523302E-3</v>
      </c>
    </row>
    <row r="173" spans="1:36">
      <c r="A173" s="2" t="s">
        <v>26</v>
      </c>
      <c r="B173" s="2">
        <v>9935</v>
      </c>
      <c r="C173" s="2" t="s">
        <v>2225</v>
      </c>
      <c r="D173" s="2" t="s">
        <v>2226</v>
      </c>
      <c r="E173" s="4" t="s">
        <v>1345</v>
      </c>
      <c r="F173" s="2" t="s">
        <v>2227</v>
      </c>
      <c r="G173" s="2" t="s">
        <v>2228</v>
      </c>
      <c r="H173" s="2" t="s">
        <v>343</v>
      </c>
      <c r="I173" s="2" t="s">
        <v>990</v>
      </c>
      <c r="J173" s="2" t="s">
        <v>124</v>
      </c>
      <c r="K173" s="2" t="s">
        <v>31</v>
      </c>
      <c r="L173" s="2" t="s">
        <v>349</v>
      </c>
      <c r="M173" s="2" t="s">
        <v>49</v>
      </c>
      <c r="N173" s="2" t="s">
        <v>467</v>
      </c>
      <c r="O173" s="2" t="s">
        <v>159</v>
      </c>
      <c r="P173" s="2" t="s">
        <v>1350</v>
      </c>
      <c r="Q173" s="2" t="s">
        <v>336</v>
      </c>
      <c r="R173" s="2" t="s">
        <v>430</v>
      </c>
      <c r="S173" s="2" t="s">
        <v>45</v>
      </c>
      <c r="T173" s="153">
        <v>3.8239999999999998</v>
      </c>
      <c r="U173" s="2" t="s">
        <v>2229</v>
      </c>
      <c r="V173" s="165">
        <v>8.1500000000000003E-2</v>
      </c>
      <c r="W173" s="167">
        <v>6.8169999999999994E-2</v>
      </c>
      <c r="X173" s="4" t="s">
        <v>434</v>
      </c>
      <c r="Y173" s="4" t="s">
        <v>159</v>
      </c>
      <c r="Z173" s="153">
        <v>430000</v>
      </c>
      <c r="AA173" s="153">
        <v>1</v>
      </c>
      <c r="AB173" s="153">
        <v>105.58</v>
      </c>
      <c r="AD173" s="153">
        <v>453.99400000000003</v>
      </c>
      <c r="AG173" s="2" t="s">
        <v>37</v>
      </c>
      <c r="AH173" s="153">
        <v>0</v>
      </c>
      <c r="AI173" s="167">
        <v>2.7165212860700201E-3</v>
      </c>
      <c r="AJ173" s="167">
        <v>4.1415300657026799E-4</v>
      </c>
    </row>
    <row r="174" spans="1:36">
      <c r="A174" s="2" t="s">
        <v>26</v>
      </c>
      <c r="B174" s="2">
        <v>9935</v>
      </c>
      <c r="C174" s="2" t="s">
        <v>1695</v>
      </c>
      <c r="D174" s="2" t="s">
        <v>1696</v>
      </c>
      <c r="E174" s="4" t="s">
        <v>1345</v>
      </c>
      <c r="F174" s="2" t="s">
        <v>2230</v>
      </c>
      <c r="G174" s="2" t="s">
        <v>2231</v>
      </c>
      <c r="H174" s="2" t="s">
        <v>343</v>
      </c>
      <c r="I174" s="2" t="s">
        <v>777</v>
      </c>
      <c r="J174" s="2" t="s">
        <v>31</v>
      </c>
      <c r="K174" s="2" t="s">
        <v>31</v>
      </c>
      <c r="L174" s="2" t="s">
        <v>349</v>
      </c>
      <c r="M174" s="2" t="s">
        <v>49</v>
      </c>
      <c r="N174" s="2" t="s">
        <v>484</v>
      </c>
      <c r="O174" s="2" t="s">
        <v>159</v>
      </c>
      <c r="P174" s="2" t="s">
        <v>1799</v>
      </c>
      <c r="Q174" s="2" t="s">
        <v>128</v>
      </c>
      <c r="R174" s="2" t="s">
        <v>428</v>
      </c>
      <c r="S174" s="2" t="s">
        <v>45</v>
      </c>
      <c r="T174" s="153">
        <v>3.903</v>
      </c>
      <c r="U174" s="2" t="s">
        <v>1830</v>
      </c>
      <c r="V174" s="165">
        <v>2.81E-2</v>
      </c>
      <c r="W174" s="167">
        <v>2.4490000000000001E-2</v>
      </c>
      <c r="X174" s="4" t="s">
        <v>434</v>
      </c>
      <c r="Y174" s="4" t="s">
        <v>159</v>
      </c>
      <c r="Z174" s="153">
        <v>473437.5</v>
      </c>
      <c r="AA174" s="153">
        <v>1</v>
      </c>
      <c r="AB174" s="153">
        <v>115.32</v>
      </c>
      <c r="AD174" s="153">
        <v>545.96799999999996</v>
      </c>
      <c r="AG174" s="2" t="s">
        <v>37</v>
      </c>
      <c r="AH174" s="153">
        <v>3.5500000000000001E-4</v>
      </c>
      <c r="AI174" s="167">
        <v>3.2668582251708998E-3</v>
      </c>
      <c r="AJ174" s="167">
        <v>4.9805579029740896E-4</v>
      </c>
    </row>
    <row r="175" spans="1:36">
      <c r="A175" s="2" t="s">
        <v>26</v>
      </c>
      <c r="B175" s="2">
        <v>9935</v>
      </c>
      <c r="C175" s="2" t="s">
        <v>1695</v>
      </c>
      <c r="D175" s="2" t="s">
        <v>1696</v>
      </c>
      <c r="E175" s="4" t="s">
        <v>1345</v>
      </c>
      <c r="F175" s="2" t="s">
        <v>1859</v>
      </c>
      <c r="G175" s="2" t="s">
        <v>1860</v>
      </c>
      <c r="H175" s="2" t="s">
        <v>343</v>
      </c>
      <c r="I175" s="2" t="s">
        <v>990</v>
      </c>
      <c r="J175" s="2" t="s">
        <v>31</v>
      </c>
      <c r="K175" s="2" t="s">
        <v>31</v>
      </c>
      <c r="L175" s="2" t="s">
        <v>349</v>
      </c>
      <c r="M175" s="2" t="s">
        <v>49</v>
      </c>
      <c r="N175" s="2" t="s">
        <v>484</v>
      </c>
      <c r="O175" s="2" t="s">
        <v>159</v>
      </c>
      <c r="P175" s="2" t="s">
        <v>1779</v>
      </c>
      <c r="Q175" s="2" t="s">
        <v>435</v>
      </c>
      <c r="R175" s="2" t="s">
        <v>428</v>
      </c>
      <c r="S175" s="2" t="s">
        <v>45</v>
      </c>
      <c r="T175" s="153">
        <v>2.0840000000000001</v>
      </c>
      <c r="U175" s="2" t="s">
        <v>1861</v>
      </c>
      <c r="V175" s="165">
        <v>5.6500000000000002E-2</v>
      </c>
      <c r="W175" s="167">
        <v>4.6330000000000003E-2</v>
      </c>
      <c r="X175" s="4" t="s">
        <v>434</v>
      </c>
      <c r="Y175" s="4" t="s">
        <v>159</v>
      </c>
      <c r="Z175" s="153">
        <v>216055.78</v>
      </c>
      <c r="AA175" s="153">
        <v>1</v>
      </c>
      <c r="AB175" s="153">
        <v>103.65</v>
      </c>
      <c r="AD175" s="153">
        <v>223.94200000000001</v>
      </c>
      <c r="AG175" s="2" t="s">
        <v>37</v>
      </c>
      <c r="AH175" s="153">
        <v>9.2299999999999999E-4</v>
      </c>
      <c r="AI175" s="167">
        <v>1.33997962511328E-3</v>
      </c>
      <c r="AJ175" s="167">
        <v>2.04289431976592E-4</v>
      </c>
    </row>
    <row r="176" spans="1:36">
      <c r="A176" s="2" t="s">
        <v>26</v>
      </c>
      <c r="B176" s="2">
        <v>9935</v>
      </c>
      <c r="C176" s="2" t="s">
        <v>1695</v>
      </c>
      <c r="D176" s="2" t="s">
        <v>1696</v>
      </c>
      <c r="E176" s="4" t="s">
        <v>1345</v>
      </c>
      <c r="F176" s="2" t="s">
        <v>1862</v>
      </c>
      <c r="G176" s="2" t="s">
        <v>1863</v>
      </c>
      <c r="H176" s="2" t="s">
        <v>343</v>
      </c>
      <c r="I176" s="2" t="s">
        <v>777</v>
      </c>
      <c r="J176" s="2" t="s">
        <v>31</v>
      </c>
      <c r="K176" s="2" t="s">
        <v>31</v>
      </c>
      <c r="L176" s="2" t="s">
        <v>349</v>
      </c>
      <c r="M176" s="2" t="s">
        <v>49</v>
      </c>
      <c r="N176" s="2" t="s">
        <v>484</v>
      </c>
      <c r="O176" s="2" t="s">
        <v>159</v>
      </c>
      <c r="P176" s="2" t="s">
        <v>1799</v>
      </c>
      <c r="Q176" s="2" t="s">
        <v>128</v>
      </c>
      <c r="R176" s="2" t="s">
        <v>428</v>
      </c>
      <c r="S176" s="2" t="s">
        <v>45</v>
      </c>
      <c r="T176" s="153">
        <v>2.1539999999999999</v>
      </c>
      <c r="U176" s="2" t="s">
        <v>1861</v>
      </c>
      <c r="V176" s="165">
        <v>3.6999999999999998E-2</v>
      </c>
      <c r="W176" s="167">
        <v>2.189E-2</v>
      </c>
      <c r="X176" s="4" t="s">
        <v>434</v>
      </c>
      <c r="Y176" s="4" t="s">
        <v>159</v>
      </c>
      <c r="Z176" s="153">
        <v>750000</v>
      </c>
      <c r="AA176" s="153">
        <v>1</v>
      </c>
      <c r="AB176" s="153">
        <v>116.15</v>
      </c>
      <c r="AD176" s="153">
        <v>871.125</v>
      </c>
      <c r="AG176" s="2" t="s">
        <v>37</v>
      </c>
      <c r="AH176" s="153">
        <v>1.9949999999999998E-3</v>
      </c>
      <c r="AI176" s="167">
        <v>5.2124688989893002E-3</v>
      </c>
      <c r="AJ176" s="167">
        <v>7.9467798660009701E-4</v>
      </c>
    </row>
    <row r="177" spans="1:36">
      <c r="A177" s="2" t="s">
        <v>26</v>
      </c>
      <c r="B177" s="2">
        <v>9935</v>
      </c>
      <c r="C177" s="2" t="s">
        <v>1864</v>
      </c>
      <c r="D177" s="2" t="s">
        <v>1865</v>
      </c>
      <c r="E177" s="4" t="s">
        <v>1345</v>
      </c>
      <c r="F177" s="2" t="s">
        <v>1866</v>
      </c>
      <c r="G177" s="2" t="s">
        <v>1867</v>
      </c>
      <c r="H177" s="2" t="s">
        <v>343</v>
      </c>
      <c r="I177" s="2" t="s">
        <v>777</v>
      </c>
      <c r="J177" s="2" t="s">
        <v>31</v>
      </c>
      <c r="K177" s="2" t="s">
        <v>31</v>
      </c>
      <c r="L177" s="2" t="s">
        <v>349</v>
      </c>
      <c r="M177" s="2" t="s">
        <v>49</v>
      </c>
      <c r="N177" s="2" t="s">
        <v>484</v>
      </c>
      <c r="O177" s="2" t="s">
        <v>159</v>
      </c>
      <c r="P177" s="2" t="s">
        <v>1795</v>
      </c>
      <c r="Q177" s="2" t="s">
        <v>435</v>
      </c>
      <c r="R177" s="2" t="s">
        <v>428</v>
      </c>
      <c r="S177" s="2" t="s">
        <v>45</v>
      </c>
      <c r="T177" s="153">
        <v>2.077</v>
      </c>
      <c r="U177" s="2" t="s">
        <v>1868</v>
      </c>
      <c r="V177" s="165">
        <v>2.0500000000000001E-2</v>
      </c>
      <c r="W177" s="167">
        <v>2.3279999999999999E-2</v>
      </c>
      <c r="X177" s="4" t="s">
        <v>434</v>
      </c>
      <c r="Y177" s="4" t="s">
        <v>159</v>
      </c>
      <c r="Z177" s="153">
        <v>801000</v>
      </c>
      <c r="AA177" s="153">
        <v>1</v>
      </c>
      <c r="AB177" s="153">
        <v>112.41</v>
      </c>
      <c r="AD177" s="153">
        <v>900.404</v>
      </c>
      <c r="AG177" s="2" t="s">
        <v>37</v>
      </c>
      <c r="AH177" s="153">
        <v>1.0460000000000001E-3</v>
      </c>
      <c r="AI177" s="167">
        <v>5.3876635015324397E-3</v>
      </c>
      <c r="AJ177" s="167">
        <v>8.2138765081299803E-4</v>
      </c>
    </row>
    <row r="178" spans="1:36">
      <c r="A178" s="2" t="s">
        <v>26</v>
      </c>
      <c r="B178" s="2">
        <v>9935</v>
      </c>
      <c r="C178" s="2" t="s">
        <v>1869</v>
      </c>
      <c r="D178" s="2" t="s">
        <v>1870</v>
      </c>
      <c r="E178" s="4" t="s">
        <v>1345</v>
      </c>
      <c r="F178" s="2" t="s">
        <v>2232</v>
      </c>
      <c r="G178" s="2" t="s">
        <v>2233</v>
      </c>
      <c r="H178" s="2" t="s">
        <v>343</v>
      </c>
      <c r="I178" s="2" t="s">
        <v>777</v>
      </c>
      <c r="J178" s="2" t="s">
        <v>31</v>
      </c>
      <c r="K178" s="2" t="s">
        <v>31</v>
      </c>
      <c r="L178" s="2" t="s">
        <v>349</v>
      </c>
      <c r="M178" s="2" t="s">
        <v>49</v>
      </c>
      <c r="N178" s="2" t="s">
        <v>468</v>
      </c>
      <c r="O178" s="2" t="s">
        <v>159</v>
      </c>
      <c r="P178" s="2" t="s">
        <v>127</v>
      </c>
      <c r="Q178" s="2" t="s">
        <v>128</v>
      </c>
      <c r="R178" s="2" t="s">
        <v>428</v>
      </c>
      <c r="S178" s="2" t="s">
        <v>45</v>
      </c>
      <c r="T178" s="153">
        <v>2.6619999999999999</v>
      </c>
      <c r="U178" s="2" t="s">
        <v>2234</v>
      </c>
      <c r="V178" s="165">
        <v>5.0000000000000001E-3</v>
      </c>
      <c r="W178" s="167">
        <v>1.7579999999999998E-2</v>
      </c>
      <c r="X178" s="4" t="s">
        <v>434</v>
      </c>
      <c r="Y178" s="4" t="s">
        <v>159</v>
      </c>
      <c r="Z178" s="153">
        <v>1012000</v>
      </c>
      <c r="AA178" s="153">
        <v>1</v>
      </c>
      <c r="AB178" s="153">
        <v>107.2</v>
      </c>
      <c r="AD178" s="153">
        <v>1084.864</v>
      </c>
      <c r="AG178" s="2" t="s">
        <v>37</v>
      </c>
      <c r="AH178" s="153">
        <v>1.3259999999999999E-3</v>
      </c>
      <c r="AI178" s="167">
        <v>6.4913988918159004E-3</v>
      </c>
      <c r="AJ178" s="167">
        <v>9.8965996757632694E-4</v>
      </c>
    </row>
    <row r="179" spans="1:36">
      <c r="A179" s="2" t="s">
        <v>26</v>
      </c>
      <c r="B179" s="2">
        <v>9935</v>
      </c>
      <c r="C179" s="2" t="s">
        <v>1869</v>
      </c>
      <c r="D179" s="2" t="s">
        <v>1870</v>
      </c>
      <c r="E179" s="4" t="s">
        <v>1345</v>
      </c>
      <c r="F179" s="2" t="s">
        <v>2235</v>
      </c>
      <c r="G179" s="2" t="s">
        <v>2236</v>
      </c>
      <c r="H179" s="2" t="s">
        <v>343</v>
      </c>
      <c r="I179" s="2" t="s">
        <v>777</v>
      </c>
      <c r="J179" s="2" t="s">
        <v>31</v>
      </c>
      <c r="K179" s="2" t="s">
        <v>31</v>
      </c>
      <c r="L179" s="2" t="s">
        <v>349</v>
      </c>
      <c r="M179" s="2" t="s">
        <v>49</v>
      </c>
      <c r="N179" s="2" t="s">
        <v>468</v>
      </c>
      <c r="O179" s="2" t="s">
        <v>159</v>
      </c>
      <c r="P179" s="2" t="s">
        <v>127</v>
      </c>
      <c r="Q179" s="2" t="s">
        <v>128</v>
      </c>
      <c r="R179" s="2" t="s">
        <v>428</v>
      </c>
      <c r="S179" s="2" t="s">
        <v>45</v>
      </c>
      <c r="T179" s="153">
        <v>0.496</v>
      </c>
      <c r="U179" s="2" t="s">
        <v>2237</v>
      </c>
      <c r="V179" s="165">
        <v>8.6E-3</v>
      </c>
      <c r="W179" s="167">
        <v>1.3089999999999999E-2</v>
      </c>
      <c r="X179" s="4" t="s">
        <v>434</v>
      </c>
      <c r="Y179" s="4" t="s">
        <v>159</v>
      </c>
      <c r="Z179" s="153">
        <v>500000</v>
      </c>
      <c r="AA179" s="153">
        <v>1</v>
      </c>
      <c r="AB179" s="153">
        <v>113.09</v>
      </c>
      <c r="AD179" s="153">
        <v>565.45000000000005</v>
      </c>
      <c r="AG179" s="2" t="s">
        <v>37</v>
      </c>
      <c r="AH179" s="153">
        <v>2.0000000000000001E-4</v>
      </c>
      <c r="AI179" s="167">
        <v>3.3834300920459201E-3</v>
      </c>
      <c r="AJ179" s="167">
        <v>5.1582800117437198E-4</v>
      </c>
    </row>
    <row r="180" spans="1:36">
      <c r="A180" s="2" t="s">
        <v>26</v>
      </c>
      <c r="B180" s="2">
        <v>9935</v>
      </c>
      <c r="C180" s="2" t="s">
        <v>1880</v>
      </c>
      <c r="D180" s="2" t="s">
        <v>1881</v>
      </c>
      <c r="E180" s="4" t="s">
        <v>1345</v>
      </c>
      <c r="F180" s="2" t="s">
        <v>2238</v>
      </c>
      <c r="G180" s="2" t="s">
        <v>2239</v>
      </c>
      <c r="H180" s="2" t="s">
        <v>343</v>
      </c>
      <c r="I180" s="2" t="s">
        <v>777</v>
      </c>
      <c r="J180" s="2" t="s">
        <v>31</v>
      </c>
      <c r="K180" s="2" t="s">
        <v>31</v>
      </c>
      <c r="L180" s="2" t="s">
        <v>349</v>
      </c>
      <c r="M180" s="2" t="s">
        <v>49</v>
      </c>
      <c r="N180" s="2" t="s">
        <v>463</v>
      </c>
      <c r="O180" s="2" t="s">
        <v>159</v>
      </c>
      <c r="P180" s="2" t="s">
        <v>33</v>
      </c>
      <c r="Q180" s="2" t="s">
        <v>128</v>
      </c>
      <c r="R180" s="2" t="s">
        <v>428</v>
      </c>
      <c r="S180" s="2" t="s">
        <v>45</v>
      </c>
      <c r="T180" s="153">
        <v>0.01</v>
      </c>
      <c r="U180" s="2" t="s">
        <v>2240</v>
      </c>
      <c r="V180" s="165">
        <v>1.35E-2</v>
      </c>
      <c r="W180" s="167">
        <v>0.1148</v>
      </c>
      <c r="X180" s="4" t="s">
        <v>434</v>
      </c>
      <c r="Y180" s="4" t="s">
        <v>159</v>
      </c>
      <c r="Z180" s="153">
        <v>-0.04</v>
      </c>
      <c r="AA180" s="153">
        <v>1</v>
      </c>
      <c r="AB180" s="153">
        <v>110.41</v>
      </c>
      <c r="AD180" s="153">
        <v>0</v>
      </c>
      <c r="AG180" s="2" t="s">
        <v>37</v>
      </c>
      <c r="AH180" s="153">
        <v>0</v>
      </c>
      <c r="AI180" s="167">
        <v>-2.6425998158124703E-10</v>
      </c>
      <c r="AJ180" s="167">
        <v>-4.0288315224803199E-11</v>
      </c>
    </row>
    <row r="181" spans="1:36">
      <c r="A181" s="2" t="s">
        <v>26</v>
      </c>
      <c r="B181" s="2">
        <v>9935</v>
      </c>
      <c r="C181" s="2" t="s">
        <v>1880</v>
      </c>
      <c r="D181" s="2" t="s">
        <v>1881</v>
      </c>
      <c r="E181" s="4" t="s">
        <v>1345</v>
      </c>
      <c r="F181" s="2" t="s">
        <v>2241</v>
      </c>
      <c r="G181" s="2" t="s">
        <v>2242</v>
      </c>
      <c r="H181" s="2" t="s">
        <v>343</v>
      </c>
      <c r="I181" s="2" t="s">
        <v>777</v>
      </c>
      <c r="J181" s="2" t="s">
        <v>31</v>
      </c>
      <c r="K181" s="2" t="s">
        <v>31</v>
      </c>
      <c r="L181" s="2" t="s">
        <v>349</v>
      </c>
      <c r="M181" s="2" t="s">
        <v>49</v>
      </c>
      <c r="N181" s="2" t="s">
        <v>463</v>
      </c>
      <c r="O181" s="2" t="s">
        <v>159</v>
      </c>
      <c r="P181" s="2" t="s">
        <v>33</v>
      </c>
      <c r="Q181" s="2" t="s">
        <v>128</v>
      </c>
      <c r="R181" s="2" t="s">
        <v>428</v>
      </c>
      <c r="S181" s="2" t="s">
        <v>45</v>
      </c>
      <c r="T181" s="153">
        <v>3.4689999999999999</v>
      </c>
      <c r="U181" s="2" t="s">
        <v>2243</v>
      </c>
      <c r="V181" s="165">
        <v>0.01</v>
      </c>
      <c r="W181" s="167">
        <v>3.6119999999999999E-2</v>
      </c>
      <c r="X181" s="4" t="s">
        <v>434</v>
      </c>
      <c r="Y181" s="4" t="s">
        <v>159</v>
      </c>
      <c r="Z181" s="153">
        <v>784375</v>
      </c>
      <c r="AA181" s="153">
        <v>1</v>
      </c>
      <c r="AB181" s="153">
        <v>99.91</v>
      </c>
      <c r="AD181" s="153">
        <v>783.66899999999998</v>
      </c>
      <c r="AG181" s="2" t="s">
        <v>37</v>
      </c>
      <c r="AH181" s="153">
        <v>6.6200000000000005E-4</v>
      </c>
      <c r="AI181" s="167">
        <v>4.68916701435655E-3</v>
      </c>
      <c r="AJ181" s="167">
        <v>7.1489688936523003E-4</v>
      </c>
    </row>
    <row r="182" spans="1:36">
      <c r="A182" s="2" t="s">
        <v>26</v>
      </c>
      <c r="B182" s="2">
        <v>9935</v>
      </c>
      <c r="C182" s="2" t="s">
        <v>1880</v>
      </c>
      <c r="D182" s="2" t="s">
        <v>1881</v>
      </c>
      <c r="E182" s="4" t="s">
        <v>1345</v>
      </c>
      <c r="F182" s="2" t="s">
        <v>1882</v>
      </c>
      <c r="G182" s="2" t="s">
        <v>1883</v>
      </c>
      <c r="H182" s="2" t="s">
        <v>343</v>
      </c>
      <c r="I182" s="2" t="s">
        <v>777</v>
      </c>
      <c r="J182" s="2" t="s">
        <v>31</v>
      </c>
      <c r="K182" s="2" t="s">
        <v>31</v>
      </c>
      <c r="L182" s="2" t="s">
        <v>349</v>
      </c>
      <c r="M182" s="2" t="s">
        <v>49</v>
      </c>
      <c r="N182" s="2" t="s">
        <v>463</v>
      </c>
      <c r="O182" s="2" t="s">
        <v>159</v>
      </c>
      <c r="P182" s="2" t="s">
        <v>33</v>
      </c>
      <c r="Q182" s="2" t="s">
        <v>128</v>
      </c>
      <c r="R182" s="2" t="s">
        <v>428</v>
      </c>
      <c r="S182" s="2" t="s">
        <v>45</v>
      </c>
      <c r="T182" s="153">
        <v>2.129</v>
      </c>
      <c r="U182" s="2" t="s">
        <v>111</v>
      </c>
      <c r="V182" s="165">
        <v>3.5400000000000001E-2</v>
      </c>
      <c r="W182" s="167">
        <v>3.2099999999999997E-2</v>
      </c>
      <c r="X182" s="4" t="s">
        <v>434</v>
      </c>
      <c r="Y182" s="4" t="s">
        <v>159</v>
      </c>
      <c r="Z182" s="153">
        <v>861000</v>
      </c>
      <c r="AA182" s="153">
        <v>1</v>
      </c>
      <c r="AB182" s="153">
        <v>104.17</v>
      </c>
      <c r="AD182" s="153">
        <v>896.904</v>
      </c>
      <c r="AG182" s="2" t="s">
        <v>37</v>
      </c>
      <c r="AH182" s="153">
        <v>1.253E-3</v>
      </c>
      <c r="AI182" s="167">
        <v>5.3667184865988597E-3</v>
      </c>
      <c r="AJ182" s="167">
        <v>8.1819443419736302E-4</v>
      </c>
    </row>
    <row r="183" spans="1:36">
      <c r="A183" s="2" t="s">
        <v>26</v>
      </c>
      <c r="B183" s="2">
        <v>9935</v>
      </c>
      <c r="C183" s="2" t="s">
        <v>1880</v>
      </c>
      <c r="D183" s="2" t="s">
        <v>1881</v>
      </c>
      <c r="E183" s="4" t="s">
        <v>1345</v>
      </c>
      <c r="F183" s="2" t="s">
        <v>2244</v>
      </c>
      <c r="G183" s="2" t="s">
        <v>2245</v>
      </c>
      <c r="H183" s="2" t="s">
        <v>343</v>
      </c>
      <c r="I183" s="2" t="s">
        <v>777</v>
      </c>
      <c r="J183" s="2" t="s">
        <v>31</v>
      </c>
      <c r="K183" s="2" t="s">
        <v>31</v>
      </c>
      <c r="L183" s="2" t="s">
        <v>349</v>
      </c>
      <c r="M183" s="2" t="s">
        <v>49</v>
      </c>
      <c r="N183" s="2" t="s">
        <v>463</v>
      </c>
      <c r="O183" s="2" t="s">
        <v>159</v>
      </c>
      <c r="P183" s="2" t="s">
        <v>33</v>
      </c>
      <c r="Q183" s="2" t="s">
        <v>128</v>
      </c>
      <c r="R183" s="2" t="s">
        <v>428</v>
      </c>
      <c r="S183" s="2" t="s">
        <v>45</v>
      </c>
      <c r="T183" s="153">
        <v>0.90300000000000002</v>
      </c>
      <c r="U183" s="2" t="s">
        <v>2246</v>
      </c>
      <c r="V183" s="165">
        <v>0.01</v>
      </c>
      <c r="W183" s="167">
        <v>2.2270000000000002E-2</v>
      </c>
      <c r="X183" s="4" t="s">
        <v>434</v>
      </c>
      <c r="Y183" s="4" t="s">
        <v>159</v>
      </c>
      <c r="Z183" s="153">
        <v>1168327.6799999999</v>
      </c>
      <c r="AA183" s="153">
        <v>1</v>
      </c>
      <c r="AB183" s="153">
        <v>109.27</v>
      </c>
      <c r="AD183" s="153">
        <v>1276.6320000000001</v>
      </c>
      <c r="AG183" s="2" t="s">
        <v>37</v>
      </c>
      <c r="AH183" s="153">
        <v>1.2279999999999999E-3</v>
      </c>
      <c r="AI183" s="167">
        <v>7.6388610153899899E-3</v>
      </c>
      <c r="AJ183" s="167">
        <v>1.1645987360816999E-3</v>
      </c>
    </row>
    <row r="184" spans="1:36">
      <c r="A184" s="2" t="s">
        <v>26</v>
      </c>
      <c r="B184" s="2">
        <v>9935</v>
      </c>
      <c r="C184" s="2" t="s">
        <v>1577</v>
      </c>
      <c r="D184" s="2" t="s">
        <v>1578</v>
      </c>
      <c r="E184" s="4" t="s">
        <v>1345</v>
      </c>
      <c r="F184" s="2" t="s">
        <v>1886</v>
      </c>
      <c r="G184" s="2" t="s">
        <v>1887</v>
      </c>
      <c r="H184" s="2" t="s">
        <v>343</v>
      </c>
      <c r="I184" s="2" t="s">
        <v>777</v>
      </c>
      <c r="J184" s="2" t="s">
        <v>31</v>
      </c>
      <c r="K184" s="2" t="s">
        <v>31</v>
      </c>
      <c r="L184" s="2" t="s">
        <v>349</v>
      </c>
      <c r="M184" s="2" t="s">
        <v>49</v>
      </c>
      <c r="N184" s="2" t="s">
        <v>484</v>
      </c>
      <c r="O184" s="2" t="s">
        <v>159</v>
      </c>
      <c r="P184" s="2" t="s">
        <v>1779</v>
      </c>
      <c r="Q184" s="2" t="s">
        <v>435</v>
      </c>
      <c r="R184" s="2" t="s">
        <v>428</v>
      </c>
      <c r="S184" s="2" t="s">
        <v>45</v>
      </c>
      <c r="T184" s="153">
        <v>6.45</v>
      </c>
      <c r="U184" s="2" t="s">
        <v>1888</v>
      </c>
      <c r="V184" s="165">
        <v>3.61E-2</v>
      </c>
      <c r="W184" s="167">
        <v>2.9960000000000001E-2</v>
      </c>
      <c r="X184" s="4" t="s">
        <v>434</v>
      </c>
      <c r="Y184" s="4" t="s">
        <v>159</v>
      </c>
      <c r="Z184" s="153">
        <v>1000000</v>
      </c>
      <c r="AA184" s="153">
        <v>1</v>
      </c>
      <c r="AB184" s="153">
        <v>107.22</v>
      </c>
      <c r="AD184" s="153">
        <v>1072.2</v>
      </c>
      <c r="AG184" s="2" t="s">
        <v>37</v>
      </c>
      <c r="AH184" s="153">
        <v>2.1770000000000001E-3</v>
      </c>
      <c r="AI184" s="167">
        <v>6.4156225036548402E-3</v>
      </c>
      <c r="AJ184" s="167">
        <v>9.7810731781618502E-4</v>
      </c>
    </row>
    <row r="185" spans="1:36">
      <c r="A185" s="2" t="s">
        <v>26</v>
      </c>
      <c r="B185" s="2">
        <v>9935</v>
      </c>
      <c r="C185" s="2" t="s">
        <v>1577</v>
      </c>
      <c r="D185" s="2" t="s">
        <v>1578</v>
      </c>
      <c r="E185" s="4" t="s">
        <v>1345</v>
      </c>
      <c r="F185" s="2" t="s">
        <v>2247</v>
      </c>
      <c r="G185" s="2" t="s">
        <v>2248</v>
      </c>
      <c r="H185" s="2" t="s">
        <v>343</v>
      </c>
      <c r="I185" s="2" t="s">
        <v>777</v>
      </c>
      <c r="J185" s="2" t="s">
        <v>31</v>
      </c>
      <c r="K185" s="2" t="s">
        <v>31</v>
      </c>
      <c r="L185" s="2" t="s">
        <v>349</v>
      </c>
      <c r="M185" s="2" t="s">
        <v>49</v>
      </c>
      <c r="N185" s="2" t="s">
        <v>484</v>
      </c>
      <c r="O185" s="2" t="s">
        <v>159</v>
      </c>
      <c r="P185" s="2" t="s">
        <v>1779</v>
      </c>
      <c r="Q185" s="2" t="s">
        <v>435</v>
      </c>
      <c r="R185" s="2" t="s">
        <v>428</v>
      </c>
      <c r="S185" s="2" t="s">
        <v>45</v>
      </c>
      <c r="T185" s="153">
        <v>1.962</v>
      </c>
      <c r="U185" s="2" t="s">
        <v>2249</v>
      </c>
      <c r="V185" s="165">
        <v>2.1499999999999998E-2</v>
      </c>
      <c r="W185" s="167">
        <v>1.797E-2</v>
      </c>
      <c r="X185" s="4" t="s">
        <v>434</v>
      </c>
      <c r="Y185" s="4" t="s">
        <v>159</v>
      </c>
      <c r="Z185" s="153">
        <v>148750</v>
      </c>
      <c r="AA185" s="153">
        <v>1</v>
      </c>
      <c r="AB185" s="153">
        <v>115.25</v>
      </c>
      <c r="AD185" s="153">
        <v>171.434</v>
      </c>
      <c r="AG185" s="2" t="s">
        <v>37</v>
      </c>
      <c r="AH185" s="153">
        <v>1.22E-4</v>
      </c>
      <c r="AI185" s="167">
        <v>1.0257957789125199E-3</v>
      </c>
      <c r="AJ185" s="167">
        <v>1.5638986822677099E-4</v>
      </c>
    </row>
    <row r="186" spans="1:36">
      <c r="A186" s="2" t="s">
        <v>26</v>
      </c>
      <c r="B186" s="2">
        <v>9935</v>
      </c>
      <c r="C186" s="2" t="s">
        <v>1577</v>
      </c>
      <c r="D186" s="2" t="s">
        <v>1578</v>
      </c>
      <c r="E186" s="4" t="s">
        <v>1345</v>
      </c>
      <c r="F186" s="2" t="s">
        <v>1892</v>
      </c>
      <c r="G186" s="2" t="s">
        <v>1893</v>
      </c>
      <c r="H186" s="2" t="s">
        <v>343</v>
      </c>
      <c r="I186" s="2" t="s">
        <v>777</v>
      </c>
      <c r="J186" s="2" t="s">
        <v>31</v>
      </c>
      <c r="K186" s="2" t="s">
        <v>31</v>
      </c>
      <c r="L186" s="2" t="s">
        <v>349</v>
      </c>
      <c r="M186" s="2" t="s">
        <v>49</v>
      </c>
      <c r="N186" s="2" t="s">
        <v>484</v>
      </c>
      <c r="O186" s="2" t="s">
        <v>159</v>
      </c>
      <c r="P186" s="2" t="s">
        <v>1779</v>
      </c>
      <c r="Q186" s="2" t="s">
        <v>435</v>
      </c>
      <c r="R186" s="2" t="s">
        <v>428</v>
      </c>
      <c r="S186" s="2" t="s">
        <v>45</v>
      </c>
      <c r="T186" s="153">
        <v>5.657</v>
      </c>
      <c r="U186" s="2" t="s">
        <v>1894</v>
      </c>
      <c r="V186" s="165">
        <v>2.5000000000000001E-3</v>
      </c>
      <c r="W186" s="167">
        <v>2.648E-2</v>
      </c>
      <c r="X186" s="4" t="s">
        <v>434</v>
      </c>
      <c r="Y186" s="4" t="s">
        <v>159</v>
      </c>
      <c r="Z186" s="153">
        <v>954900</v>
      </c>
      <c r="AA186" s="153">
        <v>1</v>
      </c>
      <c r="AB186" s="153">
        <v>95.66</v>
      </c>
      <c r="AD186" s="153">
        <v>913.45699999999999</v>
      </c>
      <c r="AG186" s="2" t="s">
        <v>37</v>
      </c>
      <c r="AH186" s="153">
        <v>7.36E-4</v>
      </c>
      <c r="AI186" s="167">
        <v>5.4657689485475601E-3</v>
      </c>
      <c r="AJ186" s="167">
        <v>8.3329538217394804E-4</v>
      </c>
    </row>
    <row r="187" spans="1:36">
      <c r="A187" s="2" t="s">
        <v>26</v>
      </c>
      <c r="B187" s="2">
        <v>9935</v>
      </c>
      <c r="C187" s="2" t="s">
        <v>2250</v>
      </c>
      <c r="D187" s="2" t="s">
        <v>2251</v>
      </c>
      <c r="E187" s="4" t="s">
        <v>1345</v>
      </c>
      <c r="F187" s="2" t="s">
        <v>2252</v>
      </c>
      <c r="G187" s="2" t="s">
        <v>2253</v>
      </c>
      <c r="H187" s="2" t="s">
        <v>343</v>
      </c>
      <c r="I187" s="2" t="s">
        <v>990</v>
      </c>
      <c r="J187" s="2" t="s">
        <v>31</v>
      </c>
      <c r="K187" s="2" t="s">
        <v>31</v>
      </c>
      <c r="L187" s="2" t="s">
        <v>349</v>
      </c>
      <c r="M187" s="2" t="s">
        <v>49</v>
      </c>
      <c r="N187" s="2" t="s">
        <v>498</v>
      </c>
      <c r="O187" s="2" t="s">
        <v>159</v>
      </c>
      <c r="P187" s="2" t="s">
        <v>1795</v>
      </c>
      <c r="Q187" s="2" t="s">
        <v>435</v>
      </c>
      <c r="R187" s="2" t="s">
        <v>428</v>
      </c>
      <c r="S187" s="2" t="s">
        <v>45</v>
      </c>
      <c r="T187" s="153">
        <v>0.49299999999999999</v>
      </c>
      <c r="U187" s="2" t="s">
        <v>1987</v>
      </c>
      <c r="V187" s="165">
        <v>2.9499999999999998E-2</v>
      </c>
      <c r="W187" s="167">
        <v>5.6259999999999998E-2</v>
      </c>
      <c r="X187" s="4" t="s">
        <v>434</v>
      </c>
      <c r="Y187" s="4" t="s">
        <v>159</v>
      </c>
      <c r="Z187" s="153">
        <v>0.3</v>
      </c>
      <c r="AA187" s="153">
        <v>1</v>
      </c>
      <c r="AB187" s="153">
        <v>99.55</v>
      </c>
      <c r="AD187" s="153">
        <v>0</v>
      </c>
      <c r="AG187" s="2" t="s">
        <v>37</v>
      </c>
      <c r="AH187" s="153">
        <v>0</v>
      </c>
      <c r="AI187" s="167">
        <v>1.7870039738076102E-9</v>
      </c>
      <c r="AJ187" s="167">
        <v>2.7244147590543102E-10</v>
      </c>
    </row>
    <row r="188" spans="1:36">
      <c r="A188" s="2" t="s">
        <v>26</v>
      </c>
      <c r="B188" s="2">
        <v>9935</v>
      </c>
      <c r="C188" s="2" t="s">
        <v>2254</v>
      </c>
      <c r="D188" s="2" t="s">
        <v>2255</v>
      </c>
      <c r="E188" s="4" t="s">
        <v>1345</v>
      </c>
      <c r="F188" s="2" t="s">
        <v>2256</v>
      </c>
      <c r="G188" s="2" t="s">
        <v>2257</v>
      </c>
      <c r="H188" s="2" t="s">
        <v>343</v>
      </c>
      <c r="I188" s="2" t="s">
        <v>990</v>
      </c>
      <c r="J188" s="2" t="s">
        <v>31</v>
      </c>
      <c r="K188" s="2" t="s">
        <v>31</v>
      </c>
      <c r="L188" s="2" t="s">
        <v>349</v>
      </c>
      <c r="M188" s="2" t="s">
        <v>49</v>
      </c>
      <c r="N188" s="2" t="s">
        <v>465</v>
      </c>
      <c r="O188" s="2" t="s">
        <v>159</v>
      </c>
      <c r="P188" s="2" t="s">
        <v>1799</v>
      </c>
      <c r="Q188" s="2" t="s">
        <v>128</v>
      </c>
      <c r="R188" s="2" t="s">
        <v>428</v>
      </c>
      <c r="S188" s="2" t="s">
        <v>45</v>
      </c>
      <c r="T188" s="153">
        <v>1.4550000000000001</v>
      </c>
      <c r="U188" s="2" t="s">
        <v>1995</v>
      </c>
      <c r="V188" s="165">
        <v>2.9399999999999999E-2</v>
      </c>
      <c r="W188" s="167">
        <v>4.5580000000000002E-2</v>
      </c>
      <c r="X188" s="4" t="s">
        <v>434</v>
      </c>
      <c r="Y188" s="4" t="s">
        <v>159</v>
      </c>
      <c r="Z188" s="153">
        <v>0.05</v>
      </c>
      <c r="AA188" s="153">
        <v>1</v>
      </c>
      <c r="AB188" s="153">
        <v>99.19</v>
      </c>
      <c r="AD188" s="153">
        <v>0</v>
      </c>
      <c r="AG188" s="2" t="s">
        <v>37</v>
      </c>
      <c r="AH188" s="153">
        <v>0</v>
      </c>
      <c r="AI188" s="167">
        <v>2.9675694652934301E-10</v>
      </c>
      <c r="AJ188" s="167">
        <v>4.5242708848250095E-11</v>
      </c>
    </row>
    <row r="189" spans="1:36">
      <c r="A189" s="2" t="s">
        <v>26</v>
      </c>
      <c r="B189" s="2">
        <v>9935</v>
      </c>
      <c r="C189" s="2" t="s">
        <v>2258</v>
      </c>
      <c r="D189" s="2" t="s">
        <v>2259</v>
      </c>
      <c r="E189" s="4" t="s">
        <v>1345</v>
      </c>
      <c r="F189" s="2" t="s">
        <v>2260</v>
      </c>
      <c r="G189" s="2" t="s">
        <v>2261</v>
      </c>
      <c r="H189" s="2" t="s">
        <v>343</v>
      </c>
      <c r="I189" s="2" t="s">
        <v>777</v>
      </c>
      <c r="J189" s="2" t="s">
        <v>31</v>
      </c>
      <c r="K189" s="2" t="s">
        <v>31</v>
      </c>
      <c r="L189" s="2" t="s">
        <v>349</v>
      </c>
      <c r="M189" s="2" t="s">
        <v>49</v>
      </c>
      <c r="N189" s="2" t="s">
        <v>468</v>
      </c>
      <c r="O189" s="2" t="s">
        <v>159</v>
      </c>
      <c r="P189" s="2" t="s">
        <v>1201</v>
      </c>
      <c r="Q189" s="2" t="s">
        <v>435</v>
      </c>
      <c r="R189" s="2" t="s">
        <v>428</v>
      </c>
      <c r="S189" s="2" t="s">
        <v>45</v>
      </c>
      <c r="T189" s="153">
        <v>3.246</v>
      </c>
      <c r="U189" s="2" t="s">
        <v>2262</v>
      </c>
      <c r="V189" s="165">
        <v>1.4999999999999999E-2</v>
      </c>
      <c r="W189" s="167">
        <v>1.8880000000000001E-2</v>
      </c>
      <c r="X189" s="4" t="s">
        <v>434</v>
      </c>
      <c r="Y189" s="4" t="s">
        <v>159</v>
      </c>
      <c r="Z189" s="153">
        <v>1042029.41</v>
      </c>
      <c r="AA189" s="153">
        <v>1</v>
      </c>
      <c r="AB189" s="153">
        <v>110.62</v>
      </c>
      <c r="AD189" s="153">
        <v>1152.693</v>
      </c>
      <c r="AG189" s="2" t="s">
        <v>37</v>
      </c>
      <c r="AH189" s="153">
        <v>3.2009999999999999E-3</v>
      </c>
      <c r="AI189" s="167">
        <v>6.8972605138526797E-3</v>
      </c>
      <c r="AJ189" s="167">
        <v>1.05153646082523E-3</v>
      </c>
    </row>
    <row r="190" spans="1:36">
      <c r="A190" s="2" t="s">
        <v>26</v>
      </c>
      <c r="B190" s="2">
        <v>9935</v>
      </c>
      <c r="C190" s="2" t="s">
        <v>1361</v>
      </c>
      <c r="D190" s="2" t="s">
        <v>1362</v>
      </c>
      <c r="E190" s="4" t="s">
        <v>1345</v>
      </c>
      <c r="F190" s="2" t="s">
        <v>2263</v>
      </c>
      <c r="G190" s="2" t="s">
        <v>2264</v>
      </c>
      <c r="H190" s="2" t="s">
        <v>343</v>
      </c>
      <c r="I190" s="2" t="s">
        <v>777</v>
      </c>
      <c r="J190" s="2" t="s">
        <v>31</v>
      </c>
      <c r="K190" s="2" t="s">
        <v>31</v>
      </c>
      <c r="L190" s="2" t="s">
        <v>349</v>
      </c>
      <c r="M190" s="2" t="s">
        <v>49</v>
      </c>
      <c r="N190" s="2" t="s">
        <v>461</v>
      </c>
      <c r="O190" s="2" t="s">
        <v>159</v>
      </c>
      <c r="P190" s="2" t="s">
        <v>1350</v>
      </c>
      <c r="Q190" s="2" t="s">
        <v>336</v>
      </c>
      <c r="R190" s="2" t="s">
        <v>430</v>
      </c>
      <c r="S190" s="2" t="s">
        <v>45</v>
      </c>
      <c r="T190" s="153">
        <v>2.7650000000000001</v>
      </c>
      <c r="U190" s="2" t="s">
        <v>1967</v>
      </c>
      <c r="V190" s="165">
        <v>1.4800000000000001E-2</v>
      </c>
      <c r="W190" s="167">
        <v>3.6080000000000001E-2</v>
      </c>
      <c r="X190" s="4" t="s">
        <v>434</v>
      </c>
      <c r="Y190" s="4" t="s">
        <v>159</v>
      </c>
      <c r="Z190" s="153">
        <v>1239000</v>
      </c>
      <c r="AA190" s="153">
        <v>1</v>
      </c>
      <c r="AB190" s="153">
        <v>103.65</v>
      </c>
      <c r="AD190" s="153">
        <v>1284.2239999999999</v>
      </c>
      <c r="AG190" s="2" t="s">
        <v>37</v>
      </c>
      <c r="AH190" s="153">
        <v>1.4239999999999999E-3</v>
      </c>
      <c r="AI190" s="167">
        <v>7.6842876201477202E-3</v>
      </c>
      <c r="AJ190" s="167">
        <v>1.1715243453287801E-3</v>
      </c>
    </row>
    <row r="191" spans="1:36">
      <c r="A191" s="2" t="s">
        <v>26</v>
      </c>
      <c r="B191" s="2">
        <v>9935</v>
      </c>
      <c r="C191" s="2" t="s">
        <v>2265</v>
      </c>
      <c r="D191" s="2" t="s">
        <v>2266</v>
      </c>
      <c r="E191" s="4" t="s">
        <v>1345</v>
      </c>
      <c r="F191" s="2" t="s">
        <v>2267</v>
      </c>
      <c r="G191" s="2" t="s">
        <v>2268</v>
      </c>
      <c r="H191" s="2" t="s">
        <v>343</v>
      </c>
      <c r="I191" s="2" t="s">
        <v>777</v>
      </c>
      <c r="J191" s="2" t="s">
        <v>31</v>
      </c>
      <c r="K191" s="2" t="s">
        <v>31</v>
      </c>
      <c r="L191" s="2" t="s">
        <v>349</v>
      </c>
      <c r="M191" s="2" t="s">
        <v>49</v>
      </c>
      <c r="N191" s="2" t="s">
        <v>484</v>
      </c>
      <c r="O191" s="2" t="s">
        <v>159</v>
      </c>
      <c r="P191" s="2" t="s">
        <v>1994</v>
      </c>
      <c r="Q191" s="2" t="s">
        <v>435</v>
      </c>
      <c r="R191" s="2" t="s">
        <v>428</v>
      </c>
      <c r="S191" s="2" t="s">
        <v>45</v>
      </c>
      <c r="T191" s="153">
        <v>4.4139999999999997</v>
      </c>
      <c r="U191" s="2" t="s">
        <v>1782</v>
      </c>
      <c r="V191" s="165">
        <v>3.6200000000000003E-2</v>
      </c>
      <c r="W191" s="167">
        <v>3.5619999999999999E-2</v>
      </c>
      <c r="X191" s="4" t="s">
        <v>434</v>
      </c>
      <c r="Y191" s="4" t="s">
        <v>159</v>
      </c>
      <c r="Z191" s="153">
        <v>420010</v>
      </c>
      <c r="AA191" s="153">
        <v>1</v>
      </c>
      <c r="AB191" s="153">
        <v>103.98</v>
      </c>
      <c r="AD191" s="153">
        <v>436.726</v>
      </c>
      <c r="AG191" s="2" t="s">
        <v>37</v>
      </c>
      <c r="AH191" s="153">
        <v>2.3599999999999999E-4</v>
      </c>
      <c r="AI191" s="167">
        <v>2.6131987567141598E-3</v>
      </c>
      <c r="AJ191" s="167">
        <v>3.98400751508397E-4</v>
      </c>
    </row>
    <row r="192" spans="1:36">
      <c r="A192" s="2" t="s">
        <v>26</v>
      </c>
      <c r="B192" s="2">
        <v>9935</v>
      </c>
      <c r="C192" s="2" t="s">
        <v>2269</v>
      </c>
      <c r="D192" s="2" t="s">
        <v>2270</v>
      </c>
      <c r="E192" s="4" t="s">
        <v>334</v>
      </c>
      <c r="F192" s="2" t="s">
        <v>2271</v>
      </c>
      <c r="G192" s="2" t="s">
        <v>2272</v>
      </c>
      <c r="H192" s="2" t="s">
        <v>343</v>
      </c>
      <c r="I192" s="2" t="s">
        <v>990</v>
      </c>
      <c r="J192" s="2" t="s">
        <v>31</v>
      </c>
      <c r="K192" s="2" t="s">
        <v>31</v>
      </c>
      <c r="L192" s="2" t="s">
        <v>349</v>
      </c>
      <c r="M192" s="2" t="s">
        <v>49</v>
      </c>
      <c r="N192" s="2" t="s">
        <v>485</v>
      </c>
      <c r="O192" s="2" t="s">
        <v>159</v>
      </c>
      <c r="P192" s="2" t="s">
        <v>1779</v>
      </c>
      <c r="Q192" s="2" t="s">
        <v>435</v>
      </c>
      <c r="R192" s="2" t="s">
        <v>428</v>
      </c>
      <c r="S192" s="2" t="s">
        <v>45</v>
      </c>
      <c r="T192" s="153">
        <v>2.8650000000000002</v>
      </c>
      <c r="U192" s="2" t="s">
        <v>1959</v>
      </c>
      <c r="V192" s="165">
        <v>6.3500000000000001E-2</v>
      </c>
      <c r="W192" s="167">
        <v>5.8930000000000003E-2</v>
      </c>
      <c r="X192" s="4" t="s">
        <v>434</v>
      </c>
      <c r="Y192" s="4" t="s">
        <v>159</v>
      </c>
      <c r="Z192" s="153">
        <v>438000</v>
      </c>
      <c r="AA192" s="153">
        <v>1</v>
      </c>
      <c r="AB192" s="153">
        <v>103.15</v>
      </c>
      <c r="AD192" s="153">
        <v>451.79700000000003</v>
      </c>
      <c r="AG192" s="2" t="s">
        <v>37</v>
      </c>
      <c r="AH192" s="153">
        <v>1.0679999999999999E-3</v>
      </c>
      <c r="AI192" s="167">
        <v>2.7033753033797298E-3</v>
      </c>
      <c r="AJ192" s="167">
        <v>4.1214880793452602E-4</v>
      </c>
    </row>
    <row r="193" spans="1:36">
      <c r="A193" s="2" t="s">
        <v>26</v>
      </c>
      <c r="B193" s="2">
        <v>9935</v>
      </c>
      <c r="C193" s="2" t="s">
        <v>2273</v>
      </c>
      <c r="D193" s="2" t="s">
        <v>2274</v>
      </c>
      <c r="E193" s="4" t="s">
        <v>1345</v>
      </c>
      <c r="F193" s="2" t="s">
        <v>2275</v>
      </c>
      <c r="G193" s="2" t="s">
        <v>2276</v>
      </c>
      <c r="H193" s="2" t="s">
        <v>343</v>
      </c>
      <c r="I193" s="2" t="s">
        <v>990</v>
      </c>
      <c r="J193" s="2" t="s">
        <v>31</v>
      </c>
      <c r="K193" s="2" t="s">
        <v>31</v>
      </c>
      <c r="L193" s="2" t="s">
        <v>349</v>
      </c>
      <c r="M193" s="2" t="s">
        <v>49</v>
      </c>
      <c r="N193" s="2" t="s">
        <v>485</v>
      </c>
      <c r="O193" s="2" t="s">
        <v>159</v>
      </c>
      <c r="P193" s="2" t="s">
        <v>1799</v>
      </c>
      <c r="Q193" s="2" t="s">
        <v>128</v>
      </c>
      <c r="R193" s="2" t="s">
        <v>428</v>
      </c>
      <c r="S193" s="2" t="s">
        <v>45</v>
      </c>
      <c r="T193" s="153">
        <v>0.01</v>
      </c>
      <c r="U193" s="2" t="s">
        <v>2240</v>
      </c>
      <c r="V193" s="165">
        <v>6.4000000000000001E-2</v>
      </c>
      <c r="W193" s="167">
        <v>0.13189999999999999</v>
      </c>
      <c r="X193" s="4" t="s">
        <v>434</v>
      </c>
      <c r="Y193" s="4" t="s">
        <v>159</v>
      </c>
      <c r="Z193" s="153">
        <v>-0.3</v>
      </c>
      <c r="AA193" s="153">
        <v>1</v>
      </c>
      <c r="AB193" s="153">
        <v>103.06</v>
      </c>
      <c r="AD193" s="153">
        <v>0</v>
      </c>
      <c r="AG193" s="2" t="s">
        <v>37</v>
      </c>
      <c r="AH193" s="153">
        <v>0</v>
      </c>
      <c r="AI193" s="167">
        <v>-1.8500113464652202E-9</v>
      </c>
      <c r="AJ193" s="167">
        <v>-2.82047398360761E-10</v>
      </c>
    </row>
    <row r="194" spans="1:36">
      <c r="A194" s="2" t="s">
        <v>26</v>
      </c>
      <c r="B194" s="2">
        <v>9935</v>
      </c>
      <c r="C194" s="2" t="s">
        <v>1990</v>
      </c>
      <c r="D194" s="2" t="s">
        <v>1991</v>
      </c>
      <c r="E194" s="4" t="s">
        <v>44</v>
      </c>
      <c r="F194" s="2" t="s">
        <v>1992</v>
      </c>
      <c r="G194" s="2" t="s">
        <v>1993</v>
      </c>
      <c r="H194" s="2" t="s">
        <v>44</v>
      </c>
      <c r="I194" s="2" t="s">
        <v>990</v>
      </c>
      <c r="J194" s="2" t="s">
        <v>31</v>
      </c>
      <c r="K194" s="2" t="s">
        <v>125</v>
      </c>
      <c r="L194" s="2" t="s">
        <v>349</v>
      </c>
      <c r="M194" s="2" t="s">
        <v>49</v>
      </c>
      <c r="N194" s="2" t="s">
        <v>485</v>
      </c>
      <c r="O194" s="2" t="s">
        <v>159</v>
      </c>
      <c r="P194" s="2" t="s">
        <v>1994</v>
      </c>
      <c r="Q194" s="2" t="s">
        <v>435</v>
      </c>
      <c r="R194" s="2" t="s">
        <v>428</v>
      </c>
      <c r="S194" s="2" t="s">
        <v>45</v>
      </c>
      <c r="T194" s="153">
        <v>2.62</v>
      </c>
      <c r="U194" s="2" t="s">
        <v>1995</v>
      </c>
      <c r="V194" s="165">
        <v>9.0999999999999998E-2</v>
      </c>
      <c r="W194" s="167">
        <v>8.7900000000000006E-2</v>
      </c>
      <c r="X194" s="4" t="s">
        <v>434</v>
      </c>
      <c r="Y194" s="4" t="s">
        <v>159</v>
      </c>
      <c r="Z194" s="153">
        <v>446000</v>
      </c>
      <c r="AA194" s="153">
        <v>1</v>
      </c>
      <c r="AB194" s="153">
        <v>107.07599999999999</v>
      </c>
      <c r="AD194" s="153">
        <v>477.55900000000003</v>
      </c>
      <c r="AG194" s="2" t="s">
        <v>37</v>
      </c>
      <c r="AH194" s="153">
        <v>2.9169999999999999E-3</v>
      </c>
      <c r="AI194" s="167">
        <v>2.8575247254225E-3</v>
      </c>
      <c r="AJ194" s="167">
        <v>4.3564998457814501E-4</v>
      </c>
    </row>
    <row r="195" spans="1:36">
      <c r="A195" s="2" t="s">
        <v>26</v>
      </c>
      <c r="B195" s="2">
        <v>9935</v>
      </c>
      <c r="C195" s="2" t="s">
        <v>1996</v>
      </c>
      <c r="D195" s="2" t="s">
        <v>1997</v>
      </c>
      <c r="E195" s="4" t="s">
        <v>44</v>
      </c>
      <c r="F195" s="2" t="s">
        <v>1998</v>
      </c>
      <c r="G195" s="2" t="s">
        <v>1999</v>
      </c>
      <c r="H195" s="2" t="s">
        <v>343</v>
      </c>
      <c r="I195" s="2" t="s">
        <v>778</v>
      </c>
      <c r="J195" s="2" t="s">
        <v>31</v>
      </c>
      <c r="K195" s="2" t="s">
        <v>125</v>
      </c>
      <c r="L195" s="2" t="s">
        <v>349</v>
      </c>
      <c r="M195" s="2" t="s">
        <v>49</v>
      </c>
      <c r="N195" s="2" t="s">
        <v>463</v>
      </c>
      <c r="O195" s="2" t="s">
        <v>159</v>
      </c>
      <c r="P195" s="2" t="s">
        <v>33</v>
      </c>
      <c r="Q195" s="2" t="s">
        <v>128</v>
      </c>
      <c r="R195" s="2" t="s">
        <v>428</v>
      </c>
      <c r="S195" s="2" t="s">
        <v>45</v>
      </c>
      <c r="T195" s="153">
        <v>2.2000000000000002</v>
      </c>
      <c r="U195" s="2" t="s">
        <v>2000</v>
      </c>
      <c r="V195" s="165">
        <v>8.9126999999999998E-2</v>
      </c>
      <c r="W195" s="167">
        <v>7.6850000000000002E-2</v>
      </c>
      <c r="X195" s="4" t="s">
        <v>434</v>
      </c>
      <c r="Y195" s="4" t="s">
        <v>159</v>
      </c>
      <c r="Z195" s="153">
        <v>671000</v>
      </c>
      <c r="AA195" s="153">
        <v>1</v>
      </c>
      <c r="AB195" s="153">
        <v>105</v>
      </c>
      <c r="AD195" s="153">
        <v>704.55</v>
      </c>
      <c r="AG195" s="2" t="s">
        <v>37</v>
      </c>
      <c r="AH195" s="153">
        <v>2.2680000000000001E-3</v>
      </c>
      <c r="AI195" s="167">
        <v>4.2157497061649099E-3</v>
      </c>
      <c r="AJ195" s="167">
        <v>6.4272105089292395E-4</v>
      </c>
    </row>
    <row r="196" spans="1:36">
      <c r="A196" s="2" t="s">
        <v>26</v>
      </c>
      <c r="B196" s="2">
        <v>9935</v>
      </c>
      <c r="C196" s="2" t="s">
        <v>1996</v>
      </c>
      <c r="D196" s="2" t="s">
        <v>1997</v>
      </c>
      <c r="E196" s="4" t="s">
        <v>44</v>
      </c>
      <c r="F196" s="2" t="s">
        <v>2001</v>
      </c>
      <c r="G196" s="2" t="s">
        <v>1999</v>
      </c>
      <c r="H196" s="2" t="s">
        <v>343</v>
      </c>
      <c r="I196" s="2" t="s">
        <v>778</v>
      </c>
      <c r="J196" s="2" t="s">
        <v>31</v>
      </c>
      <c r="K196" s="2" t="s">
        <v>125</v>
      </c>
      <c r="L196" s="2" t="s">
        <v>349</v>
      </c>
      <c r="M196" s="2" t="s">
        <v>49</v>
      </c>
      <c r="N196" s="2" t="s">
        <v>463</v>
      </c>
      <c r="O196" s="2" t="s">
        <v>159</v>
      </c>
      <c r="P196" s="2" t="s">
        <v>33</v>
      </c>
      <c r="Q196" s="2" t="s">
        <v>128</v>
      </c>
      <c r="R196" s="2" t="s">
        <v>428</v>
      </c>
      <c r="S196" s="2" t="s">
        <v>45</v>
      </c>
      <c r="T196" s="153">
        <v>2.4</v>
      </c>
      <c r="U196" s="2" t="s">
        <v>2000</v>
      </c>
      <c r="V196" s="165">
        <v>8.9126999999999998E-2</v>
      </c>
      <c r="W196" s="167">
        <v>6.5500000000000003E-2</v>
      </c>
      <c r="X196" s="4" t="s">
        <v>434</v>
      </c>
      <c r="Y196" s="4" t="s">
        <v>159</v>
      </c>
      <c r="Z196" s="153">
        <v>671000</v>
      </c>
      <c r="AA196" s="153">
        <v>1</v>
      </c>
      <c r="AB196" s="153">
        <v>104.923</v>
      </c>
      <c r="AD196" s="153">
        <v>704.03300000000002</v>
      </c>
      <c r="AG196" s="2" t="s">
        <v>37</v>
      </c>
      <c r="AH196" s="153">
        <v>0</v>
      </c>
      <c r="AI196" s="167">
        <v>4.2126581563803897E-3</v>
      </c>
      <c r="AJ196" s="167">
        <v>6.42249722122269E-4</v>
      </c>
    </row>
    <row r="197" spans="1:36">
      <c r="A197" s="2" t="s">
        <v>26</v>
      </c>
      <c r="B197" s="2">
        <v>9935</v>
      </c>
      <c r="C197" s="2" t="s">
        <v>2277</v>
      </c>
      <c r="D197" s="2" t="s">
        <v>2278</v>
      </c>
      <c r="E197" s="4" t="s">
        <v>1345</v>
      </c>
      <c r="F197" s="2" t="s">
        <v>2279</v>
      </c>
      <c r="G197" s="2" t="s">
        <v>2280</v>
      </c>
      <c r="H197" s="2" t="s">
        <v>343</v>
      </c>
      <c r="I197" s="2" t="s">
        <v>777</v>
      </c>
      <c r="J197" s="2" t="s">
        <v>31</v>
      </c>
      <c r="K197" s="2" t="s">
        <v>31</v>
      </c>
      <c r="L197" s="2" t="s">
        <v>349</v>
      </c>
      <c r="M197" s="2" t="s">
        <v>49</v>
      </c>
      <c r="N197" s="2" t="s">
        <v>484</v>
      </c>
      <c r="O197" s="2" t="s">
        <v>159</v>
      </c>
      <c r="P197" s="2" t="s">
        <v>1789</v>
      </c>
      <c r="Q197" s="2" t="s">
        <v>128</v>
      </c>
      <c r="R197" s="2" t="s">
        <v>428</v>
      </c>
      <c r="S197" s="2" t="s">
        <v>45</v>
      </c>
      <c r="T197" s="153">
        <v>3.3839999999999999</v>
      </c>
      <c r="U197" s="2" t="s">
        <v>2281</v>
      </c>
      <c r="V197" s="165">
        <v>1.9599999999999999E-2</v>
      </c>
      <c r="W197" s="167">
        <v>2.3910000000000001E-2</v>
      </c>
      <c r="X197" s="4" t="s">
        <v>434</v>
      </c>
      <c r="Y197" s="4" t="s">
        <v>159</v>
      </c>
      <c r="Z197" s="153">
        <v>1000000</v>
      </c>
      <c r="AA197" s="153">
        <v>1</v>
      </c>
      <c r="AB197" s="153">
        <v>111.5</v>
      </c>
      <c r="AD197" s="153">
        <v>1115</v>
      </c>
      <c r="AG197" s="2" t="s">
        <v>37</v>
      </c>
      <c r="AH197" s="153">
        <v>9.5100000000000002E-4</v>
      </c>
      <c r="AI197" s="167">
        <v>6.6717208464606896E-3</v>
      </c>
      <c r="AJ197" s="167">
        <v>1.0171513331142001E-3</v>
      </c>
    </row>
    <row r="198" spans="1:36">
      <c r="A198" s="2" t="s">
        <v>26</v>
      </c>
      <c r="B198" s="2">
        <v>9935</v>
      </c>
      <c r="C198" s="2" t="s">
        <v>2282</v>
      </c>
      <c r="D198" s="2" t="s">
        <v>2283</v>
      </c>
      <c r="E198" s="4" t="s">
        <v>1345</v>
      </c>
      <c r="F198" s="2" t="s">
        <v>2284</v>
      </c>
      <c r="G198" s="2" t="s">
        <v>2285</v>
      </c>
      <c r="H198" s="2" t="s">
        <v>343</v>
      </c>
      <c r="I198" s="2" t="s">
        <v>990</v>
      </c>
      <c r="J198" s="2" t="s">
        <v>31</v>
      </c>
      <c r="K198" s="2" t="s">
        <v>31</v>
      </c>
      <c r="L198" s="2" t="s">
        <v>349</v>
      </c>
      <c r="M198" s="2" t="s">
        <v>49</v>
      </c>
      <c r="N198" s="2" t="s">
        <v>485</v>
      </c>
      <c r="O198" s="2" t="s">
        <v>159</v>
      </c>
      <c r="P198" s="2" t="s">
        <v>1350</v>
      </c>
      <c r="Q198" s="2" t="s">
        <v>336</v>
      </c>
      <c r="R198" s="2" t="s">
        <v>430</v>
      </c>
      <c r="S198" s="2" t="s">
        <v>45</v>
      </c>
      <c r="T198" s="153">
        <v>0.748</v>
      </c>
      <c r="U198" s="2" t="s">
        <v>2286</v>
      </c>
      <c r="V198" s="165">
        <v>0.06</v>
      </c>
      <c r="W198" s="167">
        <v>0.14593</v>
      </c>
      <c r="X198" s="4" t="s">
        <v>434</v>
      </c>
      <c r="Y198" s="4" t="s">
        <v>159</v>
      </c>
      <c r="Z198" s="153">
        <v>0.14000000000000001</v>
      </c>
      <c r="AA198" s="153">
        <v>1</v>
      </c>
      <c r="AB198" s="153">
        <v>95.56</v>
      </c>
      <c r="AD198" s="153">
        <v>0</v>
      </c>
      <c r="AG198" s="2" t="s">
        <v>37</v>
      </c>
      <c r="AH198" s="153">
        <v>0</v>
      </c>
      <c r="AI198" s="167">
        <v>8.0051076387703806E-10</v>
      </c>
      <c r="AJ198" s="167">
        <v>1.22043564080135E-10</v>
      </c>
    </row>
    <row r="199" spans="1:36">
      <c r="A199" s="2" t="s">
        <v>26</v>
      </c>
      <c r="B199" s="2">
        <v>9935</v>
      </c>
      <c r="C199" s="2" t="s">
        <v>1594</v>
      </c>
      <c r="D199" s="2" t="s">
        <v>1595</v>
      </c>
      <c r="E199" s="4" t="s">
        <v>1345</v>
      </c>
      <c r="F199" s="2" t="s">
        <v>2287</v>
      </c>
      <c r="G199" s="2" t="s">
        <v>2288</v>
      </c>
      <c r="H199" s="2" t="s">
        <v>343</v>
      </c>
      <c r="I199" s="2" t="s">
        <v>777</v>
      </c>
      <c r="J199" s="2" t="s">
        <v>31</v>
      </c>
      <c r="K199" s="2" t="s">
        <v>31</v>
      </c>
      <c r="L199" s="2" t="s">
        <v>349</v>
      </c>
      <c r="M199" s="2" t="s">
        <v>49</v>
      </c>
      <c r="N199" s="2" t="s">
        <v>484</v>
      </c>
      <c r="O199" s="2" t="s">
        <v>159</v>
      </c>
      <c r="P199" s="2" t="s">
        <v>1840</v>
      </c>
      <c r="Q199" s="2" t="s">
        <v>128</v>
      </c>
      <c r="R199" s="2" t="s">
        <v>428</v>
      </c>
      <c r="S199" s="2" t="s">
        <v>45</v>
      </c>
      <c r="T199" s="153">
        <v>3.1419999999999999</v>
      </c>
      <c r="U199" s="2" t="s">
        <v>2289</v>
      </c>
      <c r="V199" s="165">
        <v>1.34E-2</v>
      </c>
      <c r="W199" s="167">
        <v>2.206E-2</v>
      </c>
      <c r="X199" s="4" t="s">
        <v>434</v>
      </c>
      <c r="Y199" s="4" t="s">
        <v>159</v>
      </c>
      <c r="Z199" s="153">
        <v>2532625.94</v>
      </c>
      <c r="AA199" s="153">
        <v>1</v>
      </c>
      <c r="AB199" s="153">
        <v>110.26</v>
      </c>
      <c r="AD199" s="153">
        <v>2792.473</v>
      </c>
      <c r="AG199" s="2" t="s">
        <v>37</v>
      </c>
      <c r="AH199" s="153">
        <v>8.1899999999999996E-4</v>
      </c>
      <c r="AI199" s="167">
        <v>1.6709060752226099E-2</v>
      </c>
      <c r="AJ199" s="167">
        <v>2.54741524868041E-3</v>
      </c>
    </row>
    <row r="200" spans="1:36">
      <c r="A200" s="2" t="s">
        <v>26</v>
      </c>
      <c r="B200" s="2">
        <v>9935</v>
      </c>
      <c r="C200" s="2" t="s">
        <v>1594</v>
      </c>
      <c r="D200" s="2" t="s">
        <v>1595</v>
      </c>
      <c r="E200" s="4" t="s">
        <v>1345</v>
      </c>
      <c r="F200" s="2" t="s">
        <v>1895</v>
      </c>
      <c r="G200" s="2" t="s">
        <v>1896</v>
      </c>
      <c r="H200" s="2" t="s">
        <v>343</v>
      </c>
      <c r="I200" s="2" t="s">
        <v>777</v>
      </c>
      <c r="J200" s="2" t="s">
        <v>31</v>
      </c>
      <c r="K200" s="2" t="s">
        <v>31</v>
      </c>
      <c r="L200" s="2" t="s">
        <v>349</v>
      </c>
      <c r="M200" s="2" t="s">
        <v>49</v>
      </c>
      <c r="N200" s="2" t="s">
        <v>484</v>
      </c>
      <c r="O200" s="2" t="s">
        <v>159</v>
      </c>
      <c r="P200" s="2" t="s">
        <v>1840</v>
      </c>
      <c r="Q200" s="2" t="s">
        <v>128</v>
      </c>
      <c r="R200" s="2" t="s">
        <v>428</v>
      </c>
      <c r="S200" s="2" t="s">
        <v>45</v>
      </c>
      <c r="T200" s="153">
        <v>2.8639999999999999</v>
      </c>
      <c r="U200" s="2" t="s">
        <v>1861</v>
      </c>
      <c r="V200" s="165">
        <v>1.77E-2</v>
      </c>
      <c r="W200" s="167">
        <v>2.0539999999999999E-2</v>
      </c>
      <c r="X200" s="4" t="s">
        <v>434</v>
      </c>
      <c r="Y200" s="4" t="s">
        <v>159</v>
      </c>
      <c r="Z200" s="153">
        <v>1331100</v>
      </c>
      <c r="AA200" s="153">
        <v>1</v>
      </c>
      <c r="AB200" s="153">
        <v>111.11</v>
      </c>
      <c r="AD200" s="153">
        <v>1478.9849999999999</v>
      </c>
      <c r="AG200" s="2" t="s">
        <v>37</v>
      </c>
      <c r="AH200" s="153">
        <v>4.8299999999999998E-4</v>
      </c>
      <c r="AI200" s="167">
        <v>8.84966498400362E-3</v>
      </c>
      <c r="AJ200" s="167">
        <v>1.3491944197378399E-3</v>
      </c>
    </row>
    <row r="201" spans="1:36">
      <c r="A201" s="2" t="s">
        <v>26</v>
      </c>
      <c r="B201" s="2">
        <v>9935</v>
      </c>
      <c r="C201" s="2" t="s">
        <v>1594</v>
      </c>
      <c r="D201" s="2" t="s">
        <v>1595</v>
      </c>
      <c r="E201" s="4" t="s">
        <v>1345</v>
      </c>
      <c r="F201" s="2" t="s">
        <v>2094</v>
      </c>
      <c r="G201" s="2" t="s">
        <v>2095</v>
      </c>
      <c r="H201" s="2" t="s">
        <v>343</v>
      </c>
      <c r="I201" s="2" t="s">
        <v>777</v>
      </c>
      <c r="J201" s="2" t="s">
        <v>31</v>
      </c>
      <c r="K201" s="2" t="s">
        <v>31</v>
      </c>
      <c r="L201" s="2" t="s">
        <v>349</v>
      </c>
      <c r="M201" s="2" t="s">
        <v>49</v>
      </c>
      <c r="N201" s="2" t="s">
        <v>484</v>
      </c>
      <c r="O201" s="2" t="s">
        <v>159</v>
      </c>
      <c r="P201" s="2" t="s">
        <v>2004</v>
      </c>
      <c r="Q201" s="2" t="s">
        <v>435</v>
      </c>
      <c r="R201" s="2" t="s">
        <v>428</v>
      </c>
      <c r="S201" s="2" t="s">
        <v>45</v>
      </c>
      <c r="T201" s="153">
        <v>7.2489999999999997</v>
      </c>
      <c r="U201" s="2" t="s">
        <v>2096</v>
      </c>
      <c r="V201" s="165">
        <v>8.9999999999999993E-3</v>
      </c>
      <c r="W201" s="167">
        <v>2.8979999999999999E-2</v>
      </c>
      <c r="X201" s="4" t="s">
        <v>434</v>
      </c>
      <c r="Y201" s="4" t="s">
        <v>159</v>
      </c>
      <c r="Z201" s="153">
        <v>453000</v>
      </c>
      <c r="AA201" s="153">
        <v>1</v>
      </c>
      <c r="AB201" s="153">
        <v>95.37</v>
      </c>
      <c r="AD201" s="153">
        <v>432.02600000000001</v>
      </c>
      <c r="AG201" s="2" t="s">
        <v>37</v>
      </c>
      <c r="AH201" s="153">
        <v>2.3800000000000001E-4</v>
      </c>
      <c r="AI201" s="167">
        <v>2.5850740247400101E-3</v>
      </c>
      <c r="AJ201" s="167">
        <v>3.94112935923883E-4</v>
      </c>
    </row>
    <row r="202" spans="1:36">
      <c r="A202" s="2" t="s">
        <v>26</v>
      </c>
      <c r="B202" s="2">
        <v>9935</v>
      </c>
      <c r="C202" s="2" t="s">
        <v>1594</v>
      </c>
      <c r="D202" s="2" t="s">
        <v>1595</v>
      </c>
      <c r="E202" s="4" t="s">
        <v>1345</v>
      </c>
      <c r="F202" s="2" t="s">
        <v>2002</v>
      </c>
      <c r="G202" s="2" t="s">
        <v>2003</v>
      </c>
      <c r="H202" s="2" t="s">
        <v>343</v>
      </c>
      <c r="I202" s="2" t="s">
        <v>777</v>
      </c>
      <c r="J202" s="2" t="s">
        <v>31</v>
      </c>
      <c r="K202" s="2" t="s">
        <v>31</v>
      </c>
      <c r="L202" s="2" t="s">
        <v>349</v>
      </c>
      <c r="M202" s="2" t="s">
        <v>49</v>
      </c>
      <c r="N202" s="2" t="s">
        <v>484</v>
      </c>
      <c r="O202" s="2" t="s">
        <v>159</v>
      </c>
      <c r="P202" s="2" t="s">
        <v>2004</v>
      </c>
      <c r="Q202" s="2" t="s">
        <v>435</v>
      </c>
      <c r="R202" s="2" t="s">
        <v>428</v>
      </c>
      <c r="S202" s="2" t="s">
        <v>45</v>
      </c>
      <c r="T202" s="153">
        <v>0.998</v>
      </c>
      <c r="U202" s="2" t="s">
        <v>2005</v>
      </c>
      <c r="V202" s="165">
        <v>6.4999999999999997E-3</v>
      </c>
      <c r="W202" s="167">
        <v>1.6490000000000001E-2</v>
      </c>
      <c r="X202" s="4" t="s">
        <v>434</v>
      </c>
      <c r="Y202" s="4" t="s">
        <v>159</v>
      </c>
      <c r="Z202" s="153">
        <v>397101</v>
      </c>
      <c r="AA202" s="153">
        <v>1</v>
      </c>
      <c r="AB202" s="153">
        <v>110.63</v>
      </c>
      <c r="AC202" s="153">
        <v>446.524</v>
      </c>
      <c r="AD202" s="153">
        <v>885.83600000000001</v>
      </c>
      <c r="AG202" s="2" t="s">
        <v>37</v>
      </c>
      <c r="AH202" s="153">
        <v>1.315E-3</v>
      </c>
      <c r="AI202" s="167">
        <v>5.3004960403866498E-3</v>
      </c>
      <c r="AJ202" s="167">
        <v>8.0809835089337299E-4</v>
      </c>
    </row>
    <row r="203" spans="1:36">
      <c r="A203" s="2" t="s">
        <v>26</v>
      </c>
      <c r="B203" s="2">
        <v>9935</v>
      </c>
      <c r="C203" s="2" t="s">
        <v>2006</v>
      </c>
      <c r="D203" s="2" t="s">
        <v>2007</v>
      </c>
      <c r="E203" s="4" t="s">
        <v>1345</v>
      </c>
      <c r="F203" s="2" t="s">
        <v>2008</v>
      </c>
      <c r="G203" s="2" t="s">
        <v>2009</v>
      </c>
      <c r="H203" s="2" t="s">
        <v>343</v>
      </c>
      <c r="I203" s="2" t="s">
        <v>990</v>
      </c>
      <c r="J203" s="2" t="s">
        <v>31</v>
      </c>
      <c r="K203" s="2" t="s">
        <v>31</v>
      </c>
      <c r="L203" s="2" t="s">
        <v>349</v>
      </c>
      <c r="M203" s="2" t="s">
        <v>49</v>
      </c>
      <c r="N203" s="2" t="s">
        <v>467</v>
      </c>
      <c r="O203" s="2" t="s">
        <v>159</v>
      </c>
      <c r="P203" s="2" t="s">
        <v>1350</v>
      </c>
      <c r="Q203" s="2" t="s">
        <v>336</v>
      </c>
      <c r="R203" s="2" t="s">
        <v>430</v>
      </c>
      <c r="S203" s="2" t="s">
        <v>45</v>
      </c>
      <c r="T203" s="153">
        <v>1.5680000000000001</v>
      </c>
      <c r="U203" s="2" t="s">
        <v>61</v>
      </c>
      <c r="V203" s="165">
        <v>0.06</v>
      </c>
      <c r="W203" s="167">
        <v>6.1800000000000001E-2</v>
      </c>
      <c r="X203" s="4" t="s">
        <v>434</v>
      </c>
      <c r="Y203" s="4" t="s">
        <v>159</v>
      </c>
      <c r="Z203" s="153">
        <v>778700</v>
      </c>
      <c r="AA203" s="153">
        <v>1</v>
      </c>
      <c r="AB203" s="153">
        <v>101.88</v>
      </c>
      <c r="AD203" s="153">
        <v>793.34</v>
      </c>
      <c r="AG203" s="2" t="s">
        <v>37</v>
      </c>
      <c r="AH203" s="153">
        <v>3.1150000000000001E-3</v>
      </c>
      <c r="AI203" s="167">
        <v>4.7470314625775297E-3</v>
      </c>
      <c r="AJ203" s="167">
        <v>7.2371873638227204E-4</v>
      </c>
    </row>
    <row r="204" spans="1:36">
      <c r="A204" s="2" t="s">
        <v>26</v>
      </c>
      <c r="B204" s="2">
        <v>9935</v>
      </c>
      <c r="C204" s="2" t="s">
        <v>1598</v>
      </c>
      <c r="D204" s="2" t="s">
        <v>1599</v>
      </c>
      <c r="E204" s="4" t="s">
        <v>1345</v>
      </c>
      <c r="F204" s="2" t="s">
        <v>2097</v>
      </c>
      <c r="G204" s="2" t="s">
        <v>2098</v>
      </c>
      <c r="H204" s="2" t="s">
        <v>343</v>
      </c>
      <c r="I204" s="2" t="s">
        <v>990</v>
      </c>
      <c r="J204" s="2" t="s">
        <v>31</v>
      </c>
      <c r="K204" s="2" t="s">
        <v>31</v>
      </c>
      <c r="L204" s="2" t="s">
        <v>349</v>
      </c>
      <c r="M204" s="2" t="s">
        <v>49</v>
      </c>
      <c r="N204" s="2" t="s">
        <v>468</v>
      </c>
      <c r="O204" s="2" t="s">
        <v>159</v>
      </c>
      <c r="P204" s="2" t="s">
        <v>127</v>
      </c>
      <c r="Q204" s="2" t="s">
        <v>128</v>
      </c>
      <c r="R204" s="2" t="s">
        <v>428</v>
      </c>
      <c r="S204" s="2" t="s">
        <v>45</v>
      </c>
      <c r="T204" s="153">
        <v>3.8450000000000002</v>
      </c>
      <c r="U204" s="2" t="s">
        <v>1899</v>
      </c>
      <c r="V204" s="165">
        <v>2.5000000000000001E-2</v>
      </c>
      <c r="W204" s="167">
        <v>4.514E-2</v>
      </c>
      <c r="X204" s="4" t="s">
        <v>434</v>
      </c>
      <c r="Y204" s="4" t="s">
        <v>159</v>
      </c>
      <c r="Z204" s="153">
        <v>1900000</v>
      </c>
      <c r="AA204" s="153">
        <v>1</v>
      </c>
      <c r="AB204" s="153">
        <v>93.42</v>
      </c>
      <c r="AD204" s="153">
        <v>1774.98</v>
      </c>
      <c r="AG204" s="2" t="s">
        <v>37</v>
      </c>
      <c r="AH204" s="153">
        <v>6.4000000000000005E-4</v>
      </c>
      <c r="AI204" s="167">
        <v>1.06207812269514E-2</v>
      </c>
      <c r="AJ204" s="167">
        <v>1.6192136979829999E-3</v>
      </c>
    </row>
    <row r="205" spans="1:36">
      <c r="A205" s="2" t="s">
        <v>26</v>
      </c>
      <c r="B205" s="2">
        <v>9935</v>
      </c>
      <c r="C205" s="2" t="s">
        <v>1598</v>
      </c>
      <c r="D205" s="2" t="s">
        <v>1599</v>
      </c>
      <c r="E205" s="4" t="s">
        <v>1345</v>
      </c>
      <c r="F205" s="2" t="s">
        <v>1897</v>
      </c>
      <c r="G205" s="2" t="s">
        <v>1898</v>
      </c>
      <c r="H205" s="2" t="s">
        <v>343</v>
      </c>
      <c r="I205" s="2" t="s">
        <v>777</v>
      </c>
      <c r="J205" s="2" t="s">
        <v>31</v>
      </c>
      <c r="K205" s="2" t="s">
        <v>31</v>
      </c>
      <c r="L205" s="2" t="s">
        <v>349</v>
      </c>
      <c r="M205" s="2" t="s">
        <v>49</v>
      </c>
      <c r="N205" s="2" t="s">
        <v>468</v>
      </c>
      <c r="O205" s="2" t="s">
        <v>159</v>
      </c>
      <c r="P205" s="2" t="s">
        <v>127</v>
      </c>
      <c r="Q205" s="2" t="s">
        <v>128</v>
      </c>
      <c r="R205" s="2" t="s">
        <v>428</v>
      </c>
      <c r="S205" s="2" t="s">
        <v>45</v>
      </c>
      <c r="T205" s="153">
        <v>4.0890000000000004</v>
      </c>
      <c r="U205" s="2" t="s">
        <v>1899</v>
      </c>
      <c r="V205" s="165">
        <v>1E-3</v>
      </c>
      <c r="W205" s="167">
        <v>1.9650000000000001E-2</v>
      </c>
      <c r="X205" s="4" t="s">
        <v>434</v>
      </c>
      <c r="Y205" s="4" t="s">
        <v>159</v>
      </c>
      <c r="Z205" s="153">
        <v>1239535.56</v>
      </c>
      <c r="AA205" s="153">
        <v>1</v>
      </c>
      <c r="AB205" s="153">
        <v>101.03</v>
      </c>
      <c r="AD205" s="153">
        <v>1252.3030000000001</v>
      </c>
      <c r="AG205" s="2" t="s">
        <v>37</v>
      </c>
      <c r="AH205" s="153">
        <v>4.6999999999999999E-4</v>
      </c>
      <c r="AI205" s="167">
        <v>7.4932865816213596E-3</v>
      </c>
      <c r="AJ205" s="167">
        <v>1.14240487743822E-3</v>
      </c>
    </row>
    <row r="206" spans="1:36">
      <c r="A206" s="2" t="s">
        <v>26</v>
      </c>
      <c r="B206" s="2">
        <v>9935</v>
      </c>
      <c r="C206" s="2" t="s">
        <v>1598</v>
      </c>
      <c r="D206" s="2" t="s">
        <v>1599</v>
      </c>
      <c r="E206" s="4" t="s">
        <v>1345</v>
      </c>
      <c r="F206" s="2" t="s">
        <v>1900</v>
      </c>
      <c r="G206" s="2" t="s">
        <v>1901</v>
      </c>
      <c r="H206" s="2" t="s">
        <v>343</v>
      </c>
      <c r="I206" s="2" t="s">
        <v>777</v>
      </c>
      <c r="J206" s="2" t="s">
        <v>31</v>
      </c>
      <c r="K206" s="2" t="s">
        <v>31</v>
      </c>
      <c r="L206" s="2" t="s">
        <v>349</v>
      </c>
      <c r="M206" s="2" t="s">
        <v>49</v>
      </c>
      <c r="N206" s="2" t="s">
        <v>468</v>
      </c>
      <c r="O206" s="2" t="s">
        <v>159</v>
      </c>
      <c r="P206" s="2" t="s">
        <v>127</v>
      </c>
      <c r="Q206" s="2" t="s">
        <v>128</v>
      </c>
      <c r="R206" s="2" t="s">
        <v>428</v>
      </c>
      <c r="S206" s="2" t="s">
        <v>45</v>
      </c>
      <c r="T206" s="153">
        <v>4.4530000000000003</v>
      </c>
      <c r="U206" s="2" t="s">
        <v>1902</v>
      </c>
      <c r="V206" s="165">
        <v>1.3899999999999999E-2</v>
      </c>
      <c r="W206" s="167">
        <v>1.992E-2</v>
      </c>
      <c r="X206" s="4" t="s">
        <v>434</v>
      </c>
      <c r="Y206" s="4" t="s">
        <v>159</v>
      </c>
      <c r="Z206" s="153">
        <v>1935200</v>
      </c>
      <c r="AA206" s="153">
        <v>1</v>
      </c>
      <c r="AB206" s="153">
        <v>101.5</v>
      </c>
      <c r="AD206" s="153">
        <v>1964.2280000000001</v>
      </c>
      <c r="AG206" s="2" t="s">
        <v>37</v>
      </c>
      <c r="AH206" s="153">
        <v>1.075E-3</v>
      </c>
      <c r="AI206" s="167">
        <v>1.17531667217953E-2</v>
      </c>
      <c r="AJ206" s="167">
        <v>1.79185392712129E-3</v>
      </c>
    </row>
    <row r="207" spans="1:36">
      <c r="A207" s="2" t="s">
        <v>26</v>
      </c>
      <c r="B207" s="2">
        <v>9935</v>
      </c>
      <c r="C207" s="2" t="s">
        <v>1598</v>
      </c>
      <c r="D207" s="2" t="s">
        <v>1599</v>
      </c>
      <c r="E207" s="4" t="s">
        <v>1345</v>
      </c>
      <c r="F207" s="2" t="s">
        <v>2099</v>
      </c>
      <c r="G207" s="2" t="s">
        <v>2100</v>
      </c>
      <c r="H207" s="2" t="s">
        <v>343</v>
      </c>
      <c r="I207" s="2" t="s">
        <v>777</v>
      </c>
      <c r="J207" s="2" t="s">
        <v>31</v>
      </c>
      <c r="K207" s="2" t="s">
        <v>31</v>
      </c>
      <c r="L207" s="2" t="s">
        <v>349</v>
      </c>
      <c r="M207" s="2" t="s">
        <v>49</v>
      </c>
      <c r="N207" s="2" t="s">
        <v>468</v>
      </c>
      <c r="O207" s="2" t="s">
        <v>159</v>
      </c>
      <c r="P207" s="2" t="s">
        <v>127</v>
      </c>
      <c r="Q207" s="2" t="s">
        <v>128</v>
      </c>
      <c r="R207" s="2" t="s">
        <v>428</v>
      </c>
      <c r="S207" s="2" t="s">
        <v>45</v>
      </c>
      <c r="T207" s="153">
        <v>3.54</v>
      </c>
      <c r="U207" s="2" t="s">
        <v>2101</v>
      </c>
      <c r="V207" s="165">
        <v>1.7500000000000002E-2</v>
      </c>
      <c r="W207" s="167">
        <v>1.8929999999999999E-2</v>
      </c>
      <c r="X207" s="4" t="s">
        <v>434</v>
      </c>
      <c r="Y207" s="4" t="s">
        <v>159</v>
      </c>
      <c r="Z207" s="153">
        <v>1012372.5</v>
      </c>
      <c r="AA207" s="153">
        <v>1</v>
      </c>
      <c r="AB207" s="153">
        <v>111.16</v>
      </c>
      <c r="AD207" s="153">
        <v>1125.3530000000001</v>
      </c>
      <c r="AG207" s="2" t="s">
        <v>37</v>
      </c>
      <c r="AH207" s="153">
        <v>3.5E-4</v>
      </c>
      <c r="AI207" s="167">
        <v>6.7336707423887197E-3</v>
      </c>
      <c r="AJ207" s="167">
        <v>1.0265960357148699E-3</v>
      </c>
    </row>
    <row r="208" spans="1:36">
      <c r="A208" s="2" t="s">
        <v>26</v>
      </c>
      <c r="B208" s="2">
        <v>9935</v>
      </c>
      <c r="C208" s="2" t="s">
        <v>2290</v>
      </c>
      <c r="D208" s="2" t="s">
        <v>2291</v>
      </c>
      <c r="E208" s="4" t="s">
        <v>1345</v>
      </c>
      <c r="F208" s="2" t="s">
        <v>2292</v>
      </c>
      <c r="G208" s="2" t="s">
        <v>2293</v>
      </c>
      <c r="H208" s="2" t="s">
        <v>343</v>
      </c>
      <c r="I208" s="2" t="s">
        <v>777</v>
      </c>
      <c r="J208" s="2" t="s">
        <v>31</v>
      </c>
      <c r="K208" s="2" t="s">
        <v>31</v>
      </c>
      <c r="L208" s="2" t="s">
        <v>349</v>
      </c>
      <c r="M208" s="2" t="s">
        <v>49</v>
      </c>
      <c r="N208" s="2" t="s">
        <v>468</v>
      </c>
      <c r="O208" s="2" t="s">
        <v>159</v>
      </c>
      <c r="P208" s="2" t="s">
        <v>1201</v>
      </c>
      <c r="Q208" s="2" t="s">
        <v>435</v>
      </c>
      <c r="R208" s="2" t="s">
        <v>428</v>
      </c>
      <c r="S208" s="2" t="s">
        <v>45</v>
      </c>
      <c r="T208" s="153">
        <v>0.01</v>
      </c>
      <c r="U208" s="2" t="s">
        <v>2294</v>
      </c>
      <c r="V208" s="165">
        <v>7.0000000000000001E-3</v>
      </c>
      <c r="W208" s="167">
        <v>0.24379999999999999</v>
      </c>
      <c r="X208" s="4" t="s">
        <v>434</v>
      </c>
      <c r="Y208" s="4" t="s">
        <v>159</v>
      </c>
      <c r="Z208" s="153">
        <v>-0.13</v>
      </c>
      <c r="AA208" s="153">
        <v>1</v>
      </c>
      <c r="AB208" s="153">
        <v>111.44</v>
      </c>
      <c r="AD208" s="153">
        <v>0</v>
      </c>
      <c r="AG208" s="2" t="s">
        <v>37</v>
      </c>
      <c r="AH208" s="153">
        <v>0</v>
      </c>
      <c r="AI208" s="167">
        <v>-8.6685698876094401E-10</v>
      </c>
      <c r="AJ208" s="167">
        <v>-1.3215851832369601E-10</v>
      </c>
    </row>
    <row r="209" spans="1:36">
      <c r="A209" s="2" t="s">
        <v>26</v>
      </c>
      <c r="B209" s="2">
        <v>9935</v>
      </c>
      <c r="C209" s="2" t="s">
        <v>1598</v>
      </c>
      <c r="D209" s="2" t="s">
        <v>1599</v>
      </c>
      <c r="E209" s="4" t="s">
        <v>1345</v>
      </c>
      <c r="F209" s="2" t="s">
        <v>2295</v>
      </c>
      <c r="G209" s="2" t="s">
        <v>2296</v>
      </c>
      <c r="H209" s="2" t="s">
        <v>343</v>
      </c>
      <c r="I209" s="2" t="s">
        <v>777</v>
      </c>
      <c r="J209" s="2" t="s">
        <v>31</v>
      </c>
      <c r="K209" s="2" t="s">
        <v>31</v>
      </c>
      <c r="L209" s="2" t="s">
        <v>349</v>
      </c>
      <c r="M209" s="2" t="s">
        <v>49</v>
      </c>
      <c r="N209" s="2" t="s">
        <v>468</v>
      </c>
      <c r="O209" s="2" t="s">
        <v>159</v>
      </c>
      <c r="P209" s="2" t="s">
        <v>1799</v>
      </c>
      <c r="Q209" s="2" t="s">
        <v>128</v>
      </c>
      <c r="R209" s="2" t="s">
        <v>428</v>
      </c>
      <c r="S209" s="2" t="s">
        <v>45</v>
      </c>
      <c r="T209" s="153">
        <v>3.899</v>
      </c>
      <c r="U209" s="2" t="s">
        <v>2297</v>
      </c>
      <c r="V209" s="165">
        <v>8.3999999999999995E-3</v>
      </c>
      <c r="W209" s="167">
        <v>2.5999999999999999E-2</v>
      </c>
      <c r="X209" s="4" t="s">
        <v>434</v>
      </c>
      <c r="Y209" s="4" t="s">
        <v>159</v>
      </c>
      <c r="Z209" s="153">
        <v>1050000</v>
      </c>
      <c r="AA209" s="153">
        <v>1</v>
      </c>
      <c r="AB209" s="153">
        <v>101.18</v>
      </c>
      <c r="AD209" s="153">
        <v>1062.3900000000001</v>
      </c>
      <c r="AG209" s="2" t="s">
        <v>37</v>
      </c>
      <c r="AH209" s="153">
        <v>2.6410000000000001E-3</v>
      </c>
      <c r="AI209" s="167">
        <v>6.35692332741827E-3</v>
      </c>
      <c r="AJ209" s="167">
        <v>9.6915821057147597E-4</v>
      </c>
    </row>
    <row r="210" spans="1:36">
      <c r="A210" s="2" t="s">
        <v>26</v>
      </c>
      <c r="B210" s="2">
        <v>9935</v>
      </c>
      <c r="C210" s="2" t="s">
        <v>1606</v>
      </c>
      <c r="D210" s="2" t="s">
        <v>1607</v>
      </c>
      <c r="E210" s="4" t="s">
        <v>1345</v>
      </c>
      <c r="F210" s="2" t="s">
        <v>2298</v>
      </c>
      <c r="G210" s="2" t="s">
        <v>2299</v>
      </c>
      <c r="H210" s="2" t="s">
        <v>343</v>
      </c>
      <c r="I210" s="2" t="s">
        <v>990</v>
      </c>
      <c r="J210" s="2" t="s">
        <v>31</v>
      </c>
      <c r="K210" s="2" t="s">
        <v>31</v>
      </c>
      <c r="L210" s="2" t="s">
        <v>349</v>
      </c>
      <c r="M210" s="2" t="s">
        <v>49</v>
      </c>
      <c r="N210" s="2" t="s">
        <v>497</v>
      </c>
      <c r="O210" s="2" t="s">
        <v>159</v>
      </c>
      <c r="P210" s="2" t="s">
        <v>1789</v>
      </c>
      <c r="Q210" s="2" t="s">
        <v>128</v>
      </c>
      <c r="R210" s="2" t="s">
        <v>428</v>
      </c>
      <c r="S210" s="2" t="s">
        <v>45</v>
      </c>
      <c r="T210" s="153">
        <v>0.252</v>
      </c>
      <c r="U210" s="2" t="s">
        <v>2300</v>
      </c>
      <c r="V210" s="165">
        <v>2.8000000000000001E-2</v>
      </c>
      <c r="W210" s="167">
        <v>4.8910000000000002E-2</v>
      </c>
      <c r="X210" s="4" t="s">
        <v>434</v>
      </c>
      <c r="Y210" s="4" t="s">
        <v>159</v>
      </c>
      <c r="Z210" s="153">
        <v>0.31</v>
      </c>
      <c r="AA210" s="153">
        <v>1</v>
      </c>
      <c r="AB210" s="153">
        <v>100.2</v>
      </c>
      <c r="AD210" s="153">
        <v>0</v>
      </c>
      <c r="AG210" s="2" t="s">
        <v>37</v>
      </c>
      <c r="AH210" s="153">
        <v>0</v>
      </c>
      <c r="AI210" s="167">
        <v>1.8586277393072802E-9</v>
      </c>
      <c r="AJ210" s="167">
        <v>2.83361028782003E-10</v>
      </c>
    </row>
    <row r="211" spans="1:36">
      <c r="A211" s="2" t="s">
        <v>26</v>
      </c>
      <c r="B211" s="2">
        <v>9935</v>
      </c>
      <c r="C211" s="2" t="s">
        <v>1906</v>
      </c>
      <c r="D211" s="2" t="s">
        <v>1907</v>
      </c>
      <c r="E211" s="4" t="s">
        <v>1345</v>
      </c>
      <c r="F211" s="2" t="s">
        <v>2301</v>
      </c>
      <c r="G211" s="2" t="s">
        <v>2302</v>
      </c>
      <c r="H211" s="2" t="s">
        <v>343</v>
      </c>
      <c r="I211" s="2" t="s">
        <v>777</v>
      </c>
      <c r="J211" s="2" t="s">
        <v>31</v>
      </c>
      <c r="K211" s="2" t="s">
        <v>31</v>
      </c>
      <c r="L211" s="2" t="s">
        <v>349</v>
      </c>
      <c r="M211" s="2" t="s">
        <v>49</v>
      </c>
      <c r="N211" s="2" t="s">
        <v>460</v>
      </c>
      <c r="O211" s="2" t="s">
        <v>159</v>
      </c>
      <c r="P211" s="2" t="s">
        <v>1785</v>
      </c>
      <c r="Q211" s="2" t="s">
        <v>435</v>
      </c>
      <c r="R211" s="2" t="s">
        <v>428</v>
      </c>
      <c r="S211" s="2" t="s">
        <v>45</v>
      </c>
      <c r="T211" s="153">
        <v>2.581</v>
      </c>
      <c r="U211" s="2" t="s">
        <v>2303</v>
      </c>
      <c r="V211" s="165">
        <v>1.9400000000000001E-2</v>
      </c>
      <c r="W211" s="167">
        <v>1.8630000000000001E-2</v>
      </c>
      <c r="X211" s="4" t="s">
        <v>434</v>
      </c>
      <c r="Y211" s="4" t="s">
        <v>159</v>
      </c>
      <c r="Z211" s="153">
        <v>0.36</v>
      </c>
      <c r="AA211" s="153">
        <v>1</v>
      </c>
      <c r="AB211" s="153">
        <v>113.16</v>
      </c>
      <c r="AD211" s="153">
        <v>0</v>
      </c>
      <c r="AG211" s="2" t="s">
        <v>37</v>
      </c>
      <c r="AH211" s="153">
        <v>0</v>
      </c>
      <c r="AI211" s="167">
        <v>2.4375775350204202E-9</v>
      </c>
      <c r="AJ211" s="167">
        <v>3.7162604616926503E-10</v>
      </c>
    </row>
    <row r="212" spans="1:36">
      <c r="A212" s="2" t="s">
        <v>26</v>
      </c>
      <c r="B212" s="2">
        <v>9935</v>
      </c>
      <c r="C212" s="2" t="s">
        <v>2010</v>
      </c>
      <c r="D212" s="2" t="s">
        <v>2011</v>
      </c>
      <c r="E212" s="4" t="s">
        <v>1345</v>
      </c>
      <c r="F212" s="2" t="s">
        <v>2012</v>
      </c>
      <c r="G212" s="2" t="s">
        <v>2013</v>
      </c>
      <c r="H212" s="2" t="s">
        <v>343</v>
      </c>
      <c r="I212" s="2" t="s">
        <v>990</v>
      </c>
      <c r="J212" s="2" t="s">
        <v>31</v>
      </c>
      <c r="K212" s="2" t="s">
        <v>125</v>
      </c>
      <c r="L212" s="2" t="s">
        <v>349</v>
      </c>
      <c r="M212" s="2" t="s">
        <v>49</v>
      </c>
      <c r="N212" s="2" t="s">
        <v>485</v>
      </c>
      <c r="O212" s="2" t="s">
        <v>159</v>
      </c>
      <c r="P212" s="2" t="s">
        <v>1779</v>
      </c>
      <c r="Q212" s="2" t="s">
        <v>435</v>
      </c>
      <c r="R212" s="2" t="s">
        <v>428</v>
      </c>
      <c r="S212" s="2" t="s">
        <v>45</v>
      </c>
      <c r="T212" s="153">
        <v>2.048</v>
      </c>
      <c r="U212" s="2" t="s">
        <v>1824</v>
      </c>
      <c r="V212" s="165">
        <v>0.09</v>
      </c>
      <c r="W212" s="167">
        <v>6.2280000000000002E-2</v>
      </c>
      <c r="X212" s="4" t="s">
        <v>434</v>
      </c>
      <c r="Y212" s="4" t="s">
        <v>159</v>
      </c>
      <c r="Z212" s="153">
        <v>527000</v>
      </c>
      <c r="AA212" s="153">
        <v>1</v>
      </c>
      <c r="AB212" s="153">
        <v>108.21</v>
      </c>
      <c r="AD212" s="153">
        <v>570.26700000000005</v>
      </c>
      <c r="AG212" s="2" t="s">
        <v>37</v>
      </c>
      <c r="AH212" s="153">
        <v>1.6490000000000001E-3</v>
      </c>
      <c r="AI212" s="167">
        <v>3.41225132774201E-3</v>
      </c>
      <c r="AJ212" s="167">
        <v>5.2022200370909096E-4</v>
      </c>
    </row>
    <row r="213" spans="1:36">
      <c r="A213" s="2" t="s">
        <v>26</v>
      </c>
      <c r="B213" s="2">
        <v>9935</v>
      </c>
      <c r="C213" s="2" t="s">
        <v>2304</v>
      </c>
      <c r="D213" s="2" t="s">
        <v>2305</v>
      </c>
      <c r="E213" s="4" t="s">
        <v>1345</v>
      </c>
      <c r="F213" s="2" t="s">
        <v>2306</v>
      </c>
      <c r="G213" s="2" t="s">
        <v>2307</v>
      </c>
      <c r="H213" s="2" t="s">
        <v>343</v>
      </c>
      <c r="I213" s="2" t="s">
        <v>990</v>
      </c>
      <c r="J213" s="2" t="s">
        <v>31</v>
      </c>
      <c r="K213" s="2" t="s">
        <v>31</v>
      </c>
      <c r="L213" s="2" t="s">
        <v>349</v>
      </c>
      <c r="M213" s="2" t="s">
        <v>49</v>
      </c>
      <c r="N213" s="2" t="s">
        <v>485</v>
      </c>
      <c r="O213" s="2" t="s">
        <v>159</v>
      </c>
      <c r="P213" s="2" t="s">
        <v>2040</v>
      </c>
      <c r="Q213" s="2" t="s">
        <v>128</v>
      </c>
      <c r="R213" s="2" t="s">
        <v>428</v>
      </c>
      <c r="S213" s="2" t="s">
        <v>45</v>
      </c>
      <c r="T213" s="153">
        <v>2.15</v>
      </c>
      <c r="U213" s="2" t="s">
        <v>1868</v>
      </c>
      <c r="V213" s="165">
        <v>2.6499999999999999E-2</v>
      </c>
      <c r="W213" s="167">
        <v>5.4269999999999999E-2</v>
      </c>
      <c r="X213" s="4" t="s">
        <v>434</v>
      </c>
      <c r="Y213" s="4" t="s">
        <v>159</v>
      </c>
      <c r="Z213" s="153">
        <v>650201.06000000006</v>
      </c>
      <c r="AA213" s="153">
        <v>1</v>
      </c>
      <c r="AB213" s="153">
        <v>94.87</v>
      </c>
      <c r="AD213" s="153">
        <v>616.846</v>
      </c>
      <c r="AG213" s="2" t="s">
        <v>37</v>
      </c>
      <c r="AH213" s="153">
        <v>9.0700000000000004E-4</v>
      </c>
      <c r="AI213" s="167">
        <v>3.69096199113622E-3</v>
      </c>
      <c r="AJ213" s="167">
        <v>5.6271342823788401E-4</v>
      </c>
    </row>
    <row r="214" spans="1:36">
      <c r="A214" s="2" t="s">
        <v>26</v>
      </c>
      <c r="B214" s="2">
        <v>9935</v>
      </c>
      <c r="C214" s="2" t="s">
        <v>2308</v>
      </c>
      <c r="D214" s="2" t="s">
        <v>2309</v>
      </c>
      <c r="E214" s="4" t="s">
        <v>1345</v>
      </c>
      <c r="F214" s="2" t="s">
        <v>2310</v>
      </c>
      <c r="G214" s="2" t="s">
        <v>2311</v>
      </c>
      <c r="H214" s="2" t="s">
        <v>343</v>
      </c>
      <c r="I214" s="2" t="s">
        <v>990</v>
      </c>
      <c r="J214" s="2" t="s">
        <v>31</v>
      </c>
      <c r="K214" s="2" t="s">
        <v>31</v>
      </c>
      <c r="L214" s="2" t="s">
        <v>349</v>
      </c>
      <c r="M214" s="2" t="s">
        <v>49</v>
      </c>
      <c r="N214" s="2" t="s">
        <v>481</v>
      </c>
      <c r="O214" s="2" t="s">
        <v>159</v>
      </c>
      <c r="P214" s="2" t="s">
        <v>2040</v>
      </c>
      <c r="Q214" s="2" t="s">
        <v>128</v>
      </c>
      <c r="R214" s="2" t="s">
        <v>428</v>
      </c>
      <c r="S214" s="2" t="s">
        <v>45</v>
      </c>
      <c r="T214" s="153">
        <v>3.6070000000000002</v>
      </c>
      <c r="U214" s="2" t="s">
        <v>2312</v>
      </c>
      <c r="V214" s="165">
        <v>2.1600000000000001E-2</v>
      </c>
      <c r="W214" s="167">
        <v>5.6860000000000001E-2</v>
      </c>
      <c r="X214" s="4" t="s">
        <v>434</v>
      </c>
      <c r="Y214" s="4" t="s">
        <v>159</v>
      </c>
      <c r="Z214" s="153">
        <v>683057.96</v>
      </c>
      <c r="AA214" s="153">
        <v>1</v>
      </c>
      <c r="AB214" s="153">
        <v>88.45</v>
      </c>
      <c r="AD214" s="153">
        <v>604.16499999999996</v>
      </c>
      <c r="AG214" s="2" t="s">
        <v>37</v>
      </c>
      <c r="AH214" s="153">
        <v>8.3000000000000001E-4</v>
      </c>
      <c r="AI214" s="167">
        <v>3.6150840013309299E-3</v>
      </c>
      <c r="AJ214" s="167">
        <v>5.5114528858386704E-4</v>
      </c>
    </row>
    <row r="215" spans="1:36">
      <c r="A215" s="2" t="s">
        <v>26</v>
      </c>
      <c r="B215" s="2">
        <v>9935</v>
      </c>
      <c r="C215" s="2" t="s">
        <v>1614</v>
      </c>
      <c r="D215" s="2" t="s">
        <v>1615</v>
      </c>
      <c r="E215" s="4" t="s">
        <v>1345</v>
      </c>
      <c r="F215" s="2" t="s">
        <v>2313</v>
      </c>
      <c r="G215" s="2" t="s">
        <v>2314</v>
      </c>
      <c r="H215" s="2" t="s">
        <v>343</v>
      </c>
      <c r="I215" s="2" t="s">
        <v>777</v>
      </c>
      <c r="J215" s="2" t="s">
        <v>31</v>
      </c>
      <c r="K215" s="2" t="s">
        <v>31</v>
      </c>
      <c r="L215" s="2" t="s">
        <v>349</v>
      </c>
      <c r="M215" s="2" t="s">
        <v>49</v>
      </c>
      <c r="N215" s="2" t="s">
        <v>484</v>
      </c>
      <c r="O215" s="2" t="s">
        <v>159</v>
      </c>
      <c r="P215" s="2" t="s">
        <v>1779</v>
      </c>
      <c r="Q215" s="2" t="s">
        <v>435</v>
      </c>
      <c r="R215" s="2" t="s">
        <v>428</v>
      </c>
      <c r="S215" s="2" t="s">
        <v>45</v>
      </c>
      <c r="T215" s="153">
        <v>0.47099999999999997</v>
      </c>
      <c r="U215" s="2" t="s">
        <v>2315</v>
      </c>
      <c r="V215" s="165">
        <v>0.04</v>
      </c>
      <c r="W215" s="167">
        <v>1.1520000000000001E-2</v>
      </c>
      <c r="X215" s="4" t="s">
        <v>434</v>
      </c>
      <c r="Y215" s="4" t="s">
        <v>159</v>
      </c>
      <c r="Z215" s="153">
        <v>93240.77</v>
      </c>
      <c r="AA215" s="153">
        <v>1</v>
      </c>
      <c r="AB215" s="153">
        <v>112.74</v>
      </c>
      <c r="AD215" s="153">
        <v>105.12</v>
      </c>
      <c r="AG215" s="2" t="s">
        <v>37</v>
      </c>
      <c r="AH215" s="153">
        <v>5.7300000000000005E-4</v>
      </c>
      <c r="AI215" s="167">
        <v>6.2899454789341295E-4</v>
      </c>
      <c r="AJ215" s="167">
        <v>9.5894696081408998E-5</v>
      </c>
    </row>
    <row r="216" spans="1:36">
      <c r="A216" s="2" t="s">
        <v>26</v>
      </c>
      <c r="B216" s="2">
        <v>9935</v>
      </c>
      <c r="C216" s="2" t="s">
        <v>1614</v>
      </c>
      <c r="D216" s="2" t="s">
        <v>1615</v>
      </c>
      <c r="E216" s="4" t="s">
        <v>1345</v>
      </c>
      <c r="F216" s="2" t="s">
        <v>2316</v>
      </c>
      <c r="G216" s="2" t="s">
        <v>2317</v>
      </c>
      <c r="H216" s="2" t="s">
        <v>343</v>
      </c>
      <c r="I216" s="2" t="s">
        <v>777</v>
      </c>
      <c r="J216" s="2" t="s">
        <v>31</v>
      </c>
      <c r="K216" s="2" t="s">
        <v>31</v>
      </c>
      <c r="L216" s="2" t="s">
        <v>349</v>
      </c>
      <c r="M216" s="2" t="s">
        <v>49</v>
      </c>
      <c r="N216" s="2" t="s">
        <v>484</v>
      </c>
      <c r="O216" s="2" t="s">
        <v>159</v>
      </c>
      <c r="P216" s="2" t="s">
        <v>1779</v>
      </c>
      <c r="Q216" s="2" t="s">
        <v>435</v>
      </c>
      <c r="R216" s="2" t="s">
        <v>428</v>
      </c>
      <c r="S216" s="2" t="s">
        <v>45</v>
      </c>
      <c r="T216" s="153">
        <v>3.9</v>
      </c>
      <c r="U216" s="2" t="s">
        <v>1844</v>
      </c>
      <c r="V216" s="165">
        <v>3.5000000000000003E-2</v>
      </c>
      <c r="W216" s="167">
        <v>2.4580000000000001E-2</v>
      </c>
      <c r="X216" s="4" t="s">
        <v>434</v>
      </c>
      <c r="Y216" s="4" t="s">
        <v>159</v>
      </c>
      <c r="Z216" s="153">
        <v>716569.77</v>
      </c>
      <c r="AA216" s="153">
        <v>1</v>
      </c>
      <c r="AB216" s="153">
        <v>117.88</v>
      </c>
      <c r="AD216" s="153">
        <v>844.69200000000001</v>
      </c>
      <c r="AG216" s="2" t="s">
        <v>37</v>
      </c>
      <c r="AH216" s="153">
        <v>8.03E-4</v>
      </c>
      <c r="AI216" s="167">
        <v>5.0543068998448902E-3</v>
      </c>
      <c r="AJ216" s="167">
        <v>7.7056506401535201E-4</v>
      </c>
    </row>
    <row r="217" spans="1:36">
      <c r="A217" s="2" t="s">
        <v>26</v>
      </c>
      <c r="B217" s="2">
        <v>9935</v>
      </c>
      <c r="C217" s="2" t="s">
        <v>2318</v>
      </c>
      <c r="D217" s="2" t="s">
        <v>2319</v>
      </c>
      <c r="E217" s="4" t="s">
        <v>1345</v>
      </c>
      <c r="F217" s="2" t="s">
        <v>2320</v>
      </c>
      <c r="G217" s="2" t="s">
        <v>2321</v>
      </c>
      <c r="H217" s="2" t="s">
        <v>343</v>
      </c>
      <c r="I217" s="2" t="s">
        <v>777</v>
      </c>
      <c r="J217" s="2" t="s">
        <v>31</v>
      </c>
      <c r="K217" s="2" t="s">
        <v>31</v>
      </c>
      <c r="L217" s="2" t="s">
        <v>349</v>
      </c>
      <c r="M217" s="2" t="s">
        <v>49</v>
      </c>
      <c r="N217" s="2" t="s">
        <v>484</v>
      </c>
      <c r="O217" s="2" t="s">
        <v>159</v>
      </c>
      <c r="P217" s="2" t="s">
        <v>1986</v>
      </c>
      <c r="Q217" s="2" t="s">
        <v>435</v>
      </c>
      <c r="R217" s="2" t="s">
        <v>428</v>
      </c>
      <c r="S217" s="2" t="s">
        <v>45</v>
      </c>
      <c r="T217" s="153">
        <v>3.899</v>
      </c>
      <c r="U217" s="2" t="s">
        <v>1782</v>
      </c>
      <c r="V217" s="165">
        <v>9.4000000000000004E-3</v>
      </c>
      <c r="W217" s="167">
        <v>4.641E-2</v>
      </c>
      <c r="X217" s="4" t="s">
        <v>434</v>
      </c>
      <c r="Y217" s="4" t="s">
        <v>159</v>
      </c>
      <c r="Z217" s="153">
        <v>1759351</v>
      </c>
      <c r="AA217" s="153">
        <v>1</v>
      </c>
      <c r="AB217" s="153">
        <v>94.91</v>
      </c>
      <c r="AD217" s="153">
        <v>1669.8</v>
      </c>
      <c r="AG217" s="2" t="s">
        <v>37</v>
      </c>
      <c r="AH217" s="153">
        <v>4.4539999999999996E-3</v>
      </c>
      <c r="AI217" s="167">
        <v>9.9914257371531302E-3</v>
      </c>
      <c r="AJ217" s="167">
        <v>1.5232639737389701E-3</v>
      </c>
    </row>
    <row r="218" spans="1:36">
      <c r="A218" s="2" t="s">
        <v>26</v>
      </c>
      <c r="B218" s="2">
        <v>9935</v>
      </c>
      <c r="C218" s="2" t="s">
        <v>2322</v>
      </c>
      <c r="D218" s="2" t="s">
        <v>2323</v>
      </c>
      <c r="E218" s="4" t="s">
        <v>1345</v>
      </c>
      <c r="F218" s="2" t="s">
        <v>2324</v>
      </c>
      <c r="G218" s="2" t="s">
        <v>2325</v>
      </c>
      <c r="H218" s="2" t="s">
        <v>343</v>
      </c>
      <c r="I218" s="2" t="s">
        <v>990</v>
      </c>
      <c r="J218" s="2" t="s">
        <v>31</v>
      </c>
      <c r="K218" s="2" t="s">
        <v>31</v>
      </c>
      <c r="L218" s="2" t="s">
        <v>349</v>
      </c>
      <c r="M218" s="2" t="s">
        <v>49</v>
      </c>
      <c r="N218" s="2" t="s">
        <v>463</v>
      </c>
      <c r="O218" s="2" t="s">
        <v>159</v>
      </c>
      <c r="P218" s="2" t="s">
        <v>2326</v>
      </c>
      <c r="Q218" s="2" t="s">
        <v>128</v>
      </c>
      <c r="R218" s="2" t="s">
        <v>428</v>
      </c>
      <c r="S218" s="2" t="s">
        <v>45</v>
      </c>
      <c r="T218" s="153">
        <v>0.95599999999999996</v>
      </c>
      <c r="U218" s="2" t="s">
        <v>1981</v>
      </c>
      <c r="V218" s="165">
        <v>3.15E-2</v>
      </c>
      <c r="W218" s="167">
        <v>0.10729</v>
      </c>
      <c r="X218" s="4" t="s">
        <v>434</v>
      </c>
      <c r="Y218" s="4" t="s">
        <v>159</v>
      </c>
      <c r="Z218" s="153">
        <v>386894.28</v>
      </c>
      <c r="AA218" s="153">
        <v>1</v>
      </c>
      <c r="AB218" s="153">
        <v>94.15</v>
      </c>
      <c r="AD218" s="153">
        <v>364.26100000000002</v>
      </c>
      <c r="AG218" s="2" t="s">
        <v>37</v>
      </c>
      <c r="AH218" s="153">
        <v>1.934E-3</v>
      </c>
      <c r="AI218" s="167">
        <v>2.1795941445803902E-3</v>
      </c>
      <c r="AJ218" s="167">
        <v>3.3229464194143302E-4</v>
      </c>
    </row>
    <row r="219" spans="1:36">
      <c r="A219" s="2" t="s">
        <v>26</v>
      </c>
      <c r="B219" s="2">
        <v>9935</v>
      </c>
      <c r="C219" s="2" t="s">
        <v>1915</v>
      </c>
      <c r="D219" s="2" t="s">
        <v>1916</v>
      </c>
      <c r="E219" s="4" t="s">
        <v>1345</v>
      </c>
      <c r="F219" s="2" t="s">
        <v>2327</v>
      </c>
      <c r="G219" s="2" t="s">
        <v>2328</v>
      </c>
      <c r="H219" s="2" t="s">
        <v>343</v>
      </c>
      <c r="I219" s="2" t="s">
        <v>777</v>
      </c>
      <c r="J219" s="2" t="s">
        <v>31</v>
      </c>
      <c r="K219" s="2" t="s">
        <v>31</v>
      </c>
      <c r="L219" s="2" t="s">
        <v>349</v>
      </c>
      <c r="M219" s="2" t="s">
        <v>49</v>
      </c>
      <c r="N219" s="2" t="s">
        <v>496</v>
      </c>
      <c r="O219" s="2" t="s">
        <v>159</v>
      </c>
      <c r="P219" s="2" t="s">
        <v>1779</v>
      </c>
      <c r="Q219" s="2" t="s">
        <v>435</v>
      </c>
      <c r="R219" s="2" t="s">
        <v>428</v>
      </c>
      <c r="S219" s="2" t="s">
        <v>45</v>
      </c>
      <c r="T219" s="153">
        <v>2.4089999999999998</v>
      </c>
      <c r="U219" s="2" t="s">
        <v>2329</v>
      </c>
      <c r="V219" s="165">
        <v>4.2999999999999997E-2</v>
      </c>
      <c r="W219" s="167">
        <v>1.9650000000000001E-2</v>
      </c>
      <c r="X219" s="4" t="s">
        <v>434</v>
      </c>
      <c r="Y219" s="4" t="s">
        <v>159</v>
      </c>
      <c r="Z219" s="153">
        <v>0.11</v>
      </c>
      <c r="AA219" s="153">
        <v>1</v>
      </c>
      <c r="AB219" s="153">
        <v>120.32</v>
      </c>
      <c r="AD219" s="153">
        <v>0</v>
      </c>
      <c r="AG219" s="2" t="s">
        <v>37</v>
      </c>
      <c r="AH219" s="153">
        <v>0</v>
      </c>
      <c r="AI219" s="167">
        <v>7.9194223988409401E-10</v>
      </c>
      <c r="AJ219" s="167">
        <v>1.2073723160567801E-10</v>
      </c>
    </row>
    <row r="220" spans="1:36">
      <c r="A220" s="2" t="s">
        <v>26</v>
      </c>
      <c r="B220" s="2">
        <v>9935</v>
      </c>
      <c r="C220" s="2" t="s">
        <v>2124</v>
      </c>
      <c r="D220" s="2" t="s">
        <v>2125</v>
      </c>
      <c r="E220" s="4" t="s">
        <v>1345</v>
      </c>
      <c r="F220" s="2" t="s">
        <v>2330</v>
      </c>
      <c r="G220" s="2" t="s">
        <v>2331</v>
      </c>
      <c r="H220" s="2" t="s">
        <v>343</v>
      </c>
      <c r="I220" s="2" t="s">
        <v>778</v>
      </c>
      <c r="J220" s="2" t="s">
        <v>31</v>
      </c>
      <c r="K220" s="2" t="s">
        <v>31</v>
      </c>
      <c r="L220" s="2" t="s">
        <v>349</v>
      </c>
      <c r="M220" s="2" t="s">
        <v>49</v>
      </c>
      <c r="N220" s="2" t="s">
        <v>474</v>
      </c>
      <c r="O220" s="2" t="s">
        <v>159</v>
      </c>
      <c r="P220" s="2" t="s">
        <v>33</v>
      </c>
      <c r="Q220" s="2" t="s">
        <v>128</v>
      </c>
      <c r="R220" s="2" t="s">
        <v>428</v>
      </c>
      <c r="S220" s="2" t="s">
        <v>45</v>
      </c>
      <c r="T220" s="153">
        <v>3.44</v>
      </c>
      <c r="U220" s="2" t="s">
        <v>2128</v>
      </c>
      <c r="V220" s="165">
        <v>4.6899999999999997E-2</v>
      </c>
      <c r="W220" s="167">
        <v>7.0639999999999994E-2</v>
      </c>
      <c r="X220" s="4" t="s">
        <v>434</v>
      </c>
      <c r="Y220" s="4" t="s">
        <v>159</v>
      </c>
      <c r="Z220" s="153">
        <v>841030.75</v>
      </c>
      <c r="AA220" s="153">
        <v>1</v>
      </c>
      <c r="AB220" s="153">
        <v>99.26</v>
      </c>
      <c r="AD220" s="153">
        <v>834.80700000000002</v>
      </c>
      <c r="AG220" s="2" t="s">
        <v>37</v>
      </c>
      <c r="AH220" s="153">
        <v>6.7900000000000002E-4</v>
      </c>
      <c r="AI220" s="167">
        <v>4.9951570238775996E-3</v>
      </c>
      <c r="AJ220" s="167">
        <v>7.6154724438856299E-4</v>
      </c>
    </row>
    <row r="221" spans="1:36">
      <c r="A221" s="2" t="s">
        <v>26</v>
      </c>
      <c r="B221" s="2">
        <v>9935</v>
      </c>
      <c r="C221" s="2" t="s">
        <v>1930</v>
      </c>
      <c r="D221" s="2" t="s">
        <v>1931</v>
      </c>
      <c r="E221" s="4" t="s">
        <v>335</v>
      </c>
      <c r="F221" s="2" t="s">
        <v>1932</v>
      </c>
      <c r="G221" s="2" t="s">
        <v>1933</v>
      </c>
      <c r="H221" s="2" t="s">
        <v>343</v>
      </c>
      <c r="I221" s="2" t="s">
        <v>778</v>
      </c>
      <c r="J221" s="2" t="s">
        <v>124</v>
      </c>
      <c r="K221" s="2" t="s">
        <v>125</v>
      </c>
      <c r="L221" s="2" t="s">
        <v>349</v>
      </c>
      <c r="M221" s="2" t="s">
        <v>336</v>
      </c>
      <c r="N221" s="2" t="s">
        <v>499</v>
      </c>
      <c r="O221" s="2" t="s">
        <v>159</v>
      </c>
      <c r="P221" s="2" t="s">
        <v>1795</v>
      </c>
      <c r="Q221" s="2" t="s">
        <v>453</v>
      </c>
      <c r="R221" s="2" t="s">
        <v>428</v>
      </c>
      <c r="S221" s="2" t="s">
        <v>35</v>
      </c>
      <c r="T221" s="153">
        <v>4.0599999999999996</v>
      </c>
      <c r="U221" s="2" t="s">
        <v>1934</v>
      </c>
      <c r="V221" s="165">
        <v>1.985E-2</v>
      </c>
      <c r="W221" s="167">
        <v>5.645E-2</v>
      </c>
      <c r="X221" s="4" t="s">
        <v>434</v>
      </c>
      <c r="Y221" s="4" t="s">
        <v>159</v>
      </c>
      <c r="Z221" s="153">
        <v>600000</v>
      </c>
      <c r="AA221" s="153">
        <v>3.681</v>
      </c>
      <c r="AB221" s="153">
        <v>86.867000000000004</v>
      </c>
      <c r="AD221" s="153">
        <v>1923.296</v>
      </c>
      <c r="AG221" s="2" t="s">
        <v>37</v>
      </c>
      <c r="AH221" s="153">
        <v>0</v>
      </c>
      <c r="AI221" s="167">
        <v>1.1508246837394801E-2</v>
      </c>
      <c r="AJ221" s="167">
        <v>1.75451414737671E-3</v>
      </c>
    </row>
    <row r="222" spans="1:36">
      <c r="A222" s="2" t="s">
        <v>26</v>
      </c>
      <c r="B222" s="2">
        <v>9935</v>
      </c>
      <c r="C222" s="2" t="s">
        <v>2332</v>
      </c>
      <c r="D222" s="2" t="s">
        <v>2333</v>
      </c>
      <c r="E222" s="4" t="s">
        <v>335</v>
      </c>
      <c r="F222" s="2" t="s">
        <v>2334</v>
      </c>
      <c r="G222" s="2" t="s">
        <v>2335</v>
      </c>
      <c r="H222" s="2" t="s">
        <v>343</v>
      </c>
      <c r="I222" s="2" t="s">
        <v>778</v>
      </c>
      <c r="J222" s="2" t="s">
        <v>124</v>
      </c>
      <c r="K222" s="2" t="s">
        <v>125</v>
      </c>
      <c r="L222" s="2" t="s">
        <v>349</v>
      </c>
      <c r="M222" s="2" t="s">
        <v>336</v>
      </c>
      <c r="N222" s="2" t="s">
        <v>1637</v>
      </c>
      <c r="O222" s="2" t="s">
        <v>159</v>
      </c>
      <c r="P222" s="2" t="s">
        <v>2023</v>
      </c>
      <c r="Q222" s="2" t="s">
        <v>34</v>
      </c>
      <c r="R222" s="2" t="s">
        <v>428</v>
      </c>
      <c r="S222" s="2" t="s">
        <v>35</v>
      </c>
      <c r="T222" s="153">
        <v>1.73</v>
      </c>
      <c r="U222" s="2" t="s">
        <v>2336</v>
      </c>
      <c r="V222" s="165">
        <v>2.196E-2</v>
      </c>
      <c r="W222" s="167">
        <v>5.9720000000000002E-2</v>
      </c>
      <c r="X222" s="4" t="s">
        <v>434</v>
      </c>
      <c r="Y222" s="4" t="s">
        <v>159</v>
      </c>
      <c r="Z222" s="153">
        <v>287000</v>
      </c>
      <c r="AA222" s="153">
        <v>3.681</v>
      </c>
      <c r="AB222" s="153">
        <v>94.027000000000001</v>
      </c>
      <c r="AD222" s="153">
        <v>996.89800000000002</v>
      </c>
      <c r="AG222" s="2" t="s">
        <v>37</v>
      </c>
      <c r="AH222" s="153">
        <v>5.1999999999999997E-5</v>
      </c>
      <c r="AI222" s="167">
        <v>5.96504650165176E-3</v>
      </c>
      <c r="AJ222" s="167">
        <v>9.09413799059351E-4</v>
      </c>
    </row>
    <row r="223" spans="1:36">
      <c r="A223" s="2" t="s">
        <v>26</v>
      </c>
      <c r="B223" s="2">
        <v>9935</v>
      </c>
      <c r="C223" s="2" t="s">
        <v>2337</v>
      </c>
      <c r="D223" s="2" t="s">
        <v>2338</v>
      </c>
      <c r="E223" s="4" t="s">
        <v>335</v>
      </c>
      <c r="F223" s="2" t="s">
        <v>2339</v>
      </c>
      <c r="G223" s="2" t="s">
        <v>2340</v>
      </c>
      <c r="H223" s="2" t="s">
        <v>343</v>
      </c>
      <c r="I223" s="2" t="s">
        <v>778</v>
      </c>
      <c r="J223" s="2" t="s">
        <v>124</v>
      </c>
      <c r="K223" s="2" t="s">
        <v>125</v>
      </c>
      <c r="L223" s="2" t="s">
        <v>349</v>
      </c>
      <c r="M223" s="2" t="s">
        <v>336</v>
      </c>
      <c r="N223" s="2" t="s">
        <v>557</v>
      </c>
      <c r="O223" s="2" t="s">
        <v>159</v>
      </c>
      <c r="P223" s="2" t="s">
        <v>1986</v>
      </c>
      <c r="Q223" s="2" t="s">
        <v>34</v>
      </c>
      <c r="R223" s="2" t="s">
        <v>428</v>
      </c>
      <c r="S223" s="2" t="s">
        <v>35</v>
      </c>
      <c r="T223" s="153">
        <v>0.12</v>
      </c>
      <c r="U223" s="2" t="s">
        <v>2341</v>
      </c>
      <c r="V223" s="165">
        <v>4.1399999999999999E-2</v>
      </c>
      <c r="W223" s="167">
        <v>6.583E-2</v>
      </c>
      <c r="X223" s="4" t="s">
        <v>434</v>
      </c>
      <c r="Y223" s="4" t="s">
        <v>159</v>
      </c>
      <c r="Z223" s="153">
        <v>525000</v>
      </c>
      <c r="AA223" s="153">
        <v>3.681</v>
      </c>
      <c r="AB223" s="153">
        <v>99.724000000000004</v>
      </c>
      <c r="AD223" s="153">
        <v>1954.7570000000001</v>
      </c>
      <c r="AG223" s="2" t="s">
        <v>37</v>
      </c>
      <c r="AH223" s="153">
        <v>3.5E-4</v>
      </c>
      <c r="AI223" s="167">
        <v>1.1696493478546999E-2</v>
      </c>
      <c r="AJ223" s="167">
        <v>1.7832136877814701E-3</v>
      </c>
    </row>
    <row r="224" spans="1:36">
      <c r="A224" s="2" t="s">
        <v>26</v>
      </c>
      <c r="B224" s="2">
        <v>9935</v>
      </c>
      <c r="C224" s="2" t="s">
        <v>2342</v>
      </c>
      <c r="D224" s="2" t="s">
        <v>2343</v>
      </c>
      <c r="E224" s="4" t="s">
        <v>335</v>
      </c>
      <c r="F224" s="2" t="s">
        <v>2344</v>
      </c>
      <c r="G224" s="2" t="s">
        <v>2345</v>
      </c>
      <c r="H224" s="2" t="s">
        <v>343</v>
      </c>
      <c r="I224" s="2" t="s">
        <v>778</v>
      </c>
      <c r="J224" s="2" t="s">
        <v>124</v>
      </c>
      <c r="K224" s="2" t="s">
        <v>125</v>
      </c>
      <c r="L224" s="2" t="s">
        <v>349</v>
      </c>
      <c r="M224" s="2" t="s">
        <v>336</v>
      </c>
      <c r="N224" s="2" t="s">
        <v>533</v>
      </c>
      <c r="O224" s="2" t="s">
        <v>159</v>
      </c>
      <c r="P224" s="2" t="s">
        <v>2016</v>
      </c>
      <c r="Q224" s="2" t="s">
        <v>453</v>
      </c>
      <c r="R224" s="2" t="s">
        <v>428</v>
      </c>
      <c r="S224" s="2" t="s">
        <v>35</v>
      </c>
      <c r="T224" s="153">
        <v>0.96</v>
      </c>
      <c r="U224" s="2" t="s">
        <v>2346</v>
      </c>
      <c r="V224" s="165">
        <v>4.3499999999999997E-2</v>
      </c>
      <c r="W224" s="167">
        <v>5.6349999999999997E-2</v>
      </c>
      <c r="X224" s="4" t="s">
        <v>434</v>
      </c>
      <c r="Y224" s="4" t="s">
        <v>159</v>
      </c>
      <c r="Z224" s="153">
        <v>270000</v>
      </c>
      <c r="AA224" s="153">
        <v>3.681</v>
      </c>
      <c r="AB224" s="153">
        <v>98.778999999999996</v>
      </c>
      <c r="AC224" s="153">
        <v>5.8440000000000003</v>
      </c>
      <c r="AD224" s="153">
        <v>1003.251</v>
      </c>
      <c r="AG224" s="2" t="s">
        <v>37</v>
      </c>
      <c r="AH224" s="153">
        <v>2.7E-4</v>
      </c>
      <c r="AI224" s="167">
        <v>6.0030575672833097E-3</v>
      </c>
      <c r="AJ224" s="167">
        <v>9.1520885658198995E-4</v>
      </c>
    </row>
    <row r="225" spans="1:36">
      <c r="A225" s="2" t="s">
        <v>26</v>
      </c>
      <c r="B225" s="2">
        <v>9935</v>
      </c>
      <c r="C225" s="2" t="s">
        <v>2347</v>
      </c>
      <c r="D225" s="2" t="s">
        <v>2348</v>
      </c>
      <c r="E225" s="4" t="s">
        <v>335</v>
      </c>
      <c r="F225" s="2" t="s">
        <v>2349</v>
      </c>
      <c r="G225" s="2" t="s">
        <v>2350</v>
      </c>
      <c r="H225" s="2" t="s">
        <v>343</v>
      </c>
      <c r="I225" s="2" t="s">
        <v>778</v>
      </c>
      <c r="J225" s="2" t="s">
        <v>124</v>
      </c>
      <c r="K225" s="2" t="s">
        <v>319</v>
      </c>
      <c r="L225" s="2" t="s">
        <v>349</v>
      </c>
      <c r="M225" s="2" t="s">
        <v>336</v>
      </c>
      <c r="N225" s="2" t="s">
        <v>474</v>
      </c>
      <c r="O225" s="2" t="s">
        <v>159</v>
      </c>
      <c r="P225" s="2" t="s">
        <v>1939</v>
      </c>
      <c r="Q225" s="2" t="s">
        <v>34</v>
      </c>
      <c r="R225" s="2" t="s">
        <v>428</v>
      </c>
      <c r="S225" s="2" t="s">
        <v>35</v>
      </c>
      <c r="T225" s="153">
        <v>3.63</v>
      </c>
      <c r="U225" s="2" t="s">
        <v>2351</v>
      </c>
      <c r="V225" s="165">
        <v>5.3749999999999999E-2</v>
      </c>
      <c r="W225" s="167">
        <v>8.9200000000000002E-2</v>
      </c>
      <c r="X225" s="4" t="s">
        <v>434</v>
      </c>
      <c r="Y225" s="4" t="s">
        <v>159</v>
      </c>
      <c r="Z225" s="153">
        <v>530000</v>
      </c>
      <c r="AA225" s="153">
        <v>3.681</v>
      </c>
      <c r="AB225" s="153">
        <v>91.602000000000004</v>
      </c>
      <c r="AD225" s="153">
        <v>1838.6479999999999</v>
      </c>
      <c r="AG225" s="2" t="s">
        <v>37</v>
      </c>
      <c r="AH225" s="153">
        <v>8.4800000000000001E-4</v>
      </c>
      <c r="AI225" s="167">
        <v>1.1001747188426499E-2</v>
      </c>
      <c r="AJ225" s="167">
        <v>1.6772946705691299E-3</v>
      </c>
    </row>
    <row r="226" spans="1:36">
      <c r="A226" s="2" t="s">
        <v>26</v>
      </c>
      <c r="B226" s="2">
        <v>9935</v>
      </c>
      <c r="C226" s="2" t="s">
        <v>2347</v>
      </c>
      <c r="D226" s="2" t="s">
        <v>2348</v>
      </c>
      <c r="E226" s="4" t="s">
        <v>335</v>
      </c>
      <c r="F226" s="2" t="s">
        <v>2352</v>
      </c>
      <c r="G226" s="2" t="s">
        <v>2353</v>
      </c>
      <c r="H226" s="2" t="s">
        <v>343</v>
      </c>
      <c r="I226" s="2" t="s">
        <v>778</v>
      </c>
      <c r="J226" s="2" t="s">
        <v>124</v>
      </c>
      <c r="K226" s="2" t="s">
        <v>319</v>
      </c>
      <c r="L226" s="2" t="s">
        <v>349</v>
      </c>
      <c r="M226" s="2" t="s">
        <v>336</v>
      </c>
      <c r="N226" s="2" t="s">
        <v>474</v>
      </c>
      <c r="O226" s="2" t="s">
        <v>159</v>
      </c>
      <c r="P226" s="2" t="s">
        <v>1939</v>
      </c>
      <c r="Q226" s="2" t="s">
        <v>34</v>
      </c>
      <c r="R226" s="2" t="s">
        <v>428</v>
      </c>
      <c r="S226" s="2" t="s">
        <v>35</v>
      </c>
      <c r="T226" s="153">
        <v>5.72</v>
      </c>
      <c r="U226" s="2" t="s">
        <v>2354</v>
      </c>
      <c r="V226" s="165">
        <v>5.8749999999999997E-2</v>
      </c>
      <c r="W226" s="167">
        <v>9.0700000000000003E-2</v>
      </c>
      <c r="X226" s="4" t="s">
        <v>434</v>
      </c>
      <c r="Y226" s="4" t="s">
        <v>159</v>
      </c>
      <c r="Z226" s="153">
        <v>670000</v>
      </c>
      <c r="AA226" s="153">
        <v>3.681</v>
      </c>
      <c r="AB226" s="153">
        <v>87.728999999999999</v>
      </c>
      <c r="AD226" s="153">
        <v>2234.873</v>
      </c>
      <c r="AG226" s="2" t="s">
        <v>37</v>
      </c>
      <c r="AH226" s="153">
        <v>1.072E-3</v>
      </c>
      <c r="AI226" s="167">
        <v>1.3372601271538101E-2</v>
      </c>
      <c r="AJ226" s="167">
        <v>2.0387482515497402E-3</v>
      </c>
    </row>
    <row r="227" spans="1:36">
      <c r="A227" s="2" t="s">
        <v>26</v>
      </c>
      <c r="B227" s="2">
        <v>9935</v>
      </c>
      <c r="C227" s="2" t="s">
        <v>2355</v>
      </c>
      <c r="D227" s="2" t="s">
        <v>2356</v>
      </c>
      <c r="E227" s="4" t="s">
        <v>335</v>
      </c>
      <c r="F227" s="2" t="s">
        <v>2357</v>
      </c>
      <c r="G227" s="2" t="s">
        <v>2358</v>
      </c>
      <c r="H227" s="2" t="s">
        <v>343</v>
      </c>
      <c r="I227" s="2" t="s">
        <v>778</v>
      </c>
      <c r="J227" s="2" t="s">
        <v>124</v>
      </c>
      <c r="K227" s="2" t="s">
        <v>125</v>
      </c>
      <c r="L227" s="2" t="s">
        <v>349</v>
      </c>
      <c r="M227" s="2" t="s">
        <v>336</v>
      </c>
      <c r="N227" s="2" t="s">
        <v>557</v>
      </c>
      <c r="O227" s="2" t="s">
        <v>159</v>
      </c>
      <c r="P227" s="2" t="s">
        <v>1945</v>
      </c>
      <c r="Q227" s="2" t="s">
        <v>34</v>
      </c>
      <c r="R227" s="2" t="s">
        <v>428</v>
      </c>
      <c r="S227" s="2" t="s">
        <v>35</v>
      </c>
      <c r="T227" s="153">
        <v>6.63</v>
      </c>
      <c r="U227" s="2" t="s">
        <v>2359</v>
      </c>
      <c r="V227" s="165">
        <v>4.9119999999999997E-2</v>
      </c>
      <c r="W227" s="167">
        <v>5.5989999999999998E-2</v>
      </c>
      <c r="X227" s="4" t="s">
        <v>434</v>
      </c>
      <c r="Y227" s="4" t="s">
        <v>159</v>
      </c>
      <c r="Z227" s="153">
        <v>131000</v>
      </c>
      <c r="AA227" s="153">
        <v>3.681</v>
      </c>
      <c r="AB227" s="153">
        <v>97.835999999999999</v>
      </c>
      <c r="AD227" s="153">
        <v>476.053</v>
      </c>
      <c r="AG227" s="2" t="s">
        <v>37</v>
      </c>
      <c r="AH227" s="153">
        <v>3.6999999999999998E-5</v>
      </c>
      <c r="AI227" s="167">
        <v>2.8485114374504901E-3</v>
      </c>
      <c r="AJ227" s="167">
        <v>4.34275844669198E-4</v>
      </c>
    </row>
    <row r="228" spans="1:36">
      <c r="A228" s="2" t="s">
        <v>26</v>
      </c>
      <c r="B228" s="2">
        <v>9935</v>
      </c>
      <c r="C228" s="2" t="s">
        <v>1202</v>
      </c>
      <c r="D228" s="2" t="s">
        <v>1562</v>
      </c>
      <c r="E228" s="4" t="s">
        <v>1345</v>
      </c>
      <c r="F228" s="2" t="s">
        <v>2014</v>
      </c>
      <c r="G228" s="2" t="s">
        <v>2015</v>
      </c>
      <c r="H228" s="2" t="s">
        <v>343</v>
      </c>
      <c r="I228" s="2" t="s">
        <v>778</v>
      </c>
      <c r="J228" s="2" t="s">
        <v>31</v>
      </c>
      <c r="K228" s="2" t="s">
        <v>31</v>
      </c>
      <c r="L228" s="2" t="s">
        <v>349</v>
      </c>
      <c r="M228" s="2" t="s">
        <v>336</v>
      </c>
      <c r="N228" s="2" t="s">
        <v>557</v>
      </c>
      <c r="O228" s="2" t="s">
        <v>159</v>
      </c>
      <c r="P228" s="2" t="s">
        <v>2016</v>
      </c>
      <c r="Q228" s="2" t="s">
        <v>453</v>
      </c>
      <c r="R228" s="2" t="s">
        <v>428</v>
      </c>
      <c r="S228" s="2" t="s">
        <v>35</v>
      </c>
      <c r="T228" s="153">
        <v>1.69</v>
      </c>
      <c r="U228" s="2" t="s">
        <v>2017</v>
      </c>
      <c r="V228" s="165">
        <v>3.2750000000000001E-2</v>
      </c>
      <c r="W228" s="167">
        <v>6.5809999999999994E-2</v>
      </c>
      <c r="X228" s="4" t="s">
        <v>434</v>
      </c>
      <c r="Y228" s="4" t="s">
        <v>159</v>
      </c>
      <c r="Z228" s="153">
        <v>104000</v>
      </c>
      <c r="AA228" s="153">
        <v>3.681</v>
      </c>
      <c r="AB228" s="153">
        <v>92.834000000000003</v>
      </c>
      <c r="AD228" s="153">
        <v>357.51499999999999</v>
      </c>
      <c r="AG228" s="2" t="s">
        <v>37</v>
      </c>
      <c r="AH228" s="153">
        <v>1.3899999999999999E-4</v>
      </c>
      <c r="AI228" s="167">
        <v>2.13922696670175E-3</v>
      </c>
      <c r="AJ228" s="167">
        <v>3.2614037833565002E-4</v>
      </c>
    </row>
    <row r="229" spans="1:36">
      <c r="A229" s="2" t="s">
        <v>26</v>
      </c>
      <c r="B229" s="2">
        <v>9935</v>
      </c>
      <c r="C229" s="2" t="s">
        <v>1935</v>
      </c>
      <c r="D229" s="2" t="s">
        <v>1936</v>
      </c>
      <c r="E229" s="4" t="s">
        <v>1345</v>
      </c>
      <c r="F229" s="2" t="s">
        <v>2018</v>
      </c>
      <c r="G229" s="2" t="s">
        <v>2019</v>
      </c>
      <c r="H229" s="2" t="s">
        <v>343</v>
      </c>
      <c r="I229" s="2" t="s">
        <v>778</v>
      </c>
      <c r="J229" s="2" t="s">
        <v>31</v>
      </c>
      <c r="K229" s="2" t="s">
        <v>31</v>
      </c>
      <c r="L229" s="2" t="s">
        <v>349</v>
      </c>
      <c r="M229" s="2" t="s">
        <v>336</v>
      </c>
      <c r="N229" s="2" t="s">
        <v>507</v>
      </c>
      <c r="O229" s="2" t="s">
        <v>159</v>
      </c>
      <c r="P229" s="2" t="s">
        <v>2020</v>
      </c>
      <c r="Q229" s="2" t="s">
        <v>453</v>
      </c>
      <c r="R229" s="2" t="s">
        <v>428</v>
      </c>
      <c r="S229" s="2" t="s">
        <v>35</v>
      </c>
      <c r="T229" s="153">
        <v>2.79</v>
      </c>
      <c r="U229" s="2" t="s">
        <v>1959</v>
      </c>
      <c r="V229" s="165">
        <v>6.5000000000000002E-2</v>
      </c>
      <c r="W229" s="167">
        <v>7.7990000000000004E-2</v>
      </c>
      <c r="X229" s="4" t="s">
        <v>434</v>
      </c>
      <c r="Y229" s="4" t="s">
        <v>159</v>
      </c>
      <c r="Z229" s="153">
        <v>70000</v>
      </c>
      <c r="AA229" s="153">
        <v>3.681</v>
      </c>
      <c r="AB229" s="153">
        <v>96.843000000000004</v>
      </c>
      <c r="AD229" s="153">
        <v>253.72200000000001</v>
      </c>
      <c r="AG229" s="2" t="s">
        <v>37</v>
      </c>
      <c r="AH229" s="153">
        <v>1.17E-4</v>
      </c>
      <c r="AI229" s="167">
        <v>1.51817548261036E-3</v>
      </c>
      <c r="AJ229" s="167">
        <v>2.31456658870495E-4</v>
      </c>
    </row>
    <row r="230" spans="1:36">
      <c r="A230" s="2" t="s">
        <v>26</v>
      </c>
      <c r="B230" s="2">
        <v>9935</v>
      </c>
      <c r="C230" s="2" t="s">
        <v>1565</v>
      </c>
      <c r="D230" s="2" t="s">
        <v>1566</v>
      </c>
      <c r="E230" s="4" t="s">
        <v>1345</v>
      </c>
      <c r="F230" s="2" t="s">
        <v>2021</v>
      </c>
      <c r="G230" s="2" t="s">
        <v>2022</v>
      </c>
      <c r="H230" s="2" t="s">
        <v>343</v>
      </c>
      <c r="I230" s="2" t="s">
        <v>778</v>
      </c>
      <c r="J230" s="2" t="s">
        <v>31</v>
      </c>
      <c r="K230" s="2" t="s">
        <v>31</v>
      </c>
      <c r="L230" s="2" t="s">
        <v>349</v>
      </c>
      <c r="M230" s="2" t="s">
        <v>336</v>
      </c>
      <c r="N230" s="2" t="s">
        <v>557</v>
      </c>
      <c r="O230" s="2" t="s">
        <v>159</v>
      </c>
      <c r="P230" s="2" t="s">
        <v>2023</v>
      </c>
      <c r="Q230" s="2" t="s">
        <v>453</v>
      </c>
      <c r="R230" s="2" t="s">
        <v>428</v>
      </c>
      <c r="S230" s="2" t="s">
        <v>35</v>
      </c>
      <c r="T230" s="153">
        <v>1.87</v>
      </c>
      <c r="U230" s="2" t="s">
        <v>2024</v>
      </c>
      <c r="V230" s="165">
        <v>3.0769999999999999E-2</v>
      </c>
      <c r="W230" s="167">
        <v>7.1179999999999993E-2</v>
      </c>
      <c r="X230" s="4" t="s">
        <v>434</v>
      </c>
      <c r="Y230" s="4" t="s">
        <v>159</v>
      </c>
      <c r="Z230" s="153">
        <v>104000</v>
      </c>
      <c r="AA230" s="153">
        <v>3.681</v>
      </c>
      <c r="AB230" s="153">
        <v>91.664000000000001</v>
      </c>
      <c r="AD230" s="153">
        <v>356.572</v>
      </c>
      <c r="AG230" s="2" t="s">
        <v>37</v>
      </c>
      <c r="AH230" s="153">
        <v>1.73E-4</v>
      </c>
      <c r="AI230" s="167">
        <v>2.1335893573418601E-3</v>
      </c>
      <c r="AJ230" s="167">
        <v>3.2528088465958799E-4</v>
      </c>
    </row>
    <row r="231" spans="1:36">
      <c r="A231" s="2" t="s">
        <v>26</v>
      </c>
      <c r="B231" s="2">
        <v>9935</v>
      </c>
      <c r="C231" s="2" t="s">
        <v>2360</v>
      </c>
      <c r="D231" s="2" t="s">
        <v>2361</v>
      </c>
      <c r="E231" s="4" t="s">
        <v>335</v>
      </c>
      <c r="F231" s="2" t="s">
        <v>2362</v>
      </c>
      <c r="G231" s="2" t="s">
        <v>2363</v>
      </c>
      <c r="H231" s="2" t="s">
        <v>343</v>
      </c>
      <c r="I231" s="2" t="s">
        <v>778</v>
      </c>
      <c r="J231" s="2" t="s">
        <v>124</v>
      </c>
      <c r="K231" s="2" t="s">
        <v>125</v>
      </c>
      <c r="L231" s="2" t="s">
        <v>349</v>
      </c>
      <c r="M231" s="2" t="s">
        <v>336</v>
      </c>
      <c r="N231" s="2" t="s">
        <v>551</v>
      </c>
      <c r="O231" s="2" t="s">
        <v>159</v>
      </c>
      <c r="P231" s="2" t="s">
        <v>2040</v>
      </c>
      <c r="Q231" s="2" t="s">
        <v>34</v>
      </c>
      <c r="R231" s="2" t="s">
        <v>428</v>
      </c>
      <c r="S231" s="2" t="s">
        <v>35</v>
      </c>
      <c r="T231" s="153">
        <v>4.83</v>
      </c>
      <c r="U231" s="2" t="s">
        <v>2364</v>
      </c>
      <c r="V231" s="165">
        <v>5.2999999999999999E-2</v>
      </c>
      <c r="W231" s="167">
        <v>4.9860000000000002E-2</v>
      </c>
      <c r="X231" s="4" t="s">
        <v>434</v>
      </c>
      <c r="Y231" s="4" t="s">
        <v>159</v>
      </c>
      <c r="Z231" s="153">
        <v>116000</v>
      </c>
      <c r="AA231" s="153">
        <v>3.681</v>
      </c>
      <c r="AB231" s="153">
        <v>102.42100000000001</v>
      </c>
      <c r="AD231" s="153">
        <v>440.16199999999998</v>
      </c>
      <c r="AG231" s="2" t="s">
        <v>37</v>
      </c>
      <c r="AH231" s="153">
        <v>9.2999999999999997E-5</v>
      </c>
      <c r="AI231" s="167">
        <v>2.6337585689844298E-3</v>
      </c>
      <c r="AJ231" s="167">
        <v>4.0153524123609302E-4</v>
      </c>
    </row>
    <row r="232" spans="1:36">
      <c r="A232" s="2" t="s">
        <v>26</v>
      </c>
      <c r="B232" s="2">
        <v>9935</v>
      </c>
      <c r="C232" s="2" t="s">
        <v>1581</v>
      </c>
      <c r="D232" s="2" t="s">
        <v>1582</v>
      </c>
      <c r="E232" s="4" t="s">
        <v>1345</v>
      </c>
      <c r="F232" s="2" t="s">
        <v>2365</v>
      </c>
      <c r="G232" s="2" t="s">
        <v>2366</v>
      </c>
      <c r="H232" s="2" t="s">
        <v>343</v>
      </c>
      <c r="I232" s="2" t="s">
        <v>990</v>
      </c>
      <c r="J232" s="2" t="s">
        <v>124</v>
      </c>
      <c r="K232" s="2" t="s">
        <v>125</v>
      </c>
      <c r="L232" s="2" t="s">
        <v>351</v>
      </c>
      <c r="M232" s="2" t="s">
        <v>49</v>
      </c>
      <c r="N232" s="2" t="s">
        <v>474</v>
      </c>
      <c r="O232" s="2" t="s">
        <v>159</v>
      </c>
      <c r="P232" s="2" t="s">
        <v>1945</v>
      </c>
      <c r="Q232" s="2" t="s">
        <v>435</v>
      </c>
      <c r="R232" s="2" t="s">
        <v>428</v>
      </c>
      <c r="S232" s="2" t="s">
        <v>45</v>
      </c>
      <c r="T232" s="153">
        <v>0</v>
      </c>
      <c r="U232" s="2" t="s">
        <v>2367</v>
      </c>
      <c r="V232" s="165">
        <v>6.5000000000000002E-2</v>
      </c>
      <c r="W232" s="167">
        <v>0</v>
      </c>
      <c r="X232" s="4" t="s">
        <v>434</v>
      </c>
      <c r="Y232" s="4" t="s">
        <v>159</v>
      </c>
      <c r="Z232" s="153">
        <v>867000</v>
      </c>
      <c r="AA232" s="153">
        <v>1</v>
      </c>
      <c r="AB232" s="153">
        <v>101.78</v>
      </c>
      <c r="AD232" s="153">
        <v>882.43299999999999</v>
      </c>
      <c r="AG232" s="2" t="s">
        <v>37</v>
      </c>
      <c r="AH232" s="153">
        <v>0</v>
      </c>
      <c r="AI232" s="167">
        <v>5.2801343115681399E-3</v>
      </c>
      <c r="AJ232" s="167">
        <v>8.0499406039788001E-4</v>
      </c>
    </row>
    <row r="233" spans="1:36">
      <c r="A233" s="2" t="s">
        <v>26</v>
      </c>
      <c r="B233" s="2">
        <v>9935</v>
      </c>
      <c r="C233" s="2" t="s">
        <v>2269</v>
      </c>
      <c r="D233" s="2" t="s">
        <v>2270</v>
      </c>
      <c r="E233" s="4" t="s">
        <v>334</v>
      </c>
      <c r="F233" s="2" t="s">
        <v>2368</v>
      </c>
      <c r="G233" s="2" t="s">
        <v>2369</v>
      </c>
      <c r="H233" s="2" t="s">
        <v>343</v>
      </c>
      <c r="I233" s="2" t="s">
        <v>990</v>
      </c>
      <c r="J233" s="2" t="s">
        <v>124</v>
      </c>
      <c r="K233" s="2" t="s">
        <v>125</v>
      </c>
      <c r="L233" s="2" t="s">
        <v>349</v>
      </c>
      <c r="M233" s="2" t="s">
        <v>49</v>
      </c>
      <c r="N233" s="2" t="s">
        <v>485</v>
      </c>
      <c r="O233" s="2" t="s">
        <v>159</v>
      </c>
      <c r="P233" s="2" t="s">
        <v>1785</v>
      </c>
      <c r="Q233" s="2" t="s">
        <v>435</v>
      </c>
      <c r="R233" s="2" t="s">
        <v>428</v>
      </c>
      <c r="S233" s="2" t="s">
        <v>45</v>
      </c>
      <c r="T233" s="153">
        <v>3.6259999999999999</v>
      </c>
      <c r="U233" s="2" t="s">
        <v>2370</v>
      </c>
      <c r="V233" s="165">
        <v>4.4999999999999998E-2</v>
      </c>
      <c r="W233" s="167">
        <v>6.3890000000000002E-2</v>
      </c>
      <c r="X233" s="4" t="s">
        <v>434</v>
      </c>
      <c r="Y233" s="4" t="s">
        <v>159</v>
      </c>
      <c r="Z233" s="153">
        <v>-0.14000000000000001</v>
      </c>
      <c r="AA233" s="153">
        <v>1</v>
      </c>
      <c r="AB233" s="153">
        <v>95.73</v>
      </c>
      <c r="AD233" s="153">
        <v>0</v>
      </c>
      <c r="AG233" s="2" t="s">
        <v>37</v>
      </c>
      <c r="AH233" s="153">
        <v>0</v>
      </c>
      <c r="AI233" s="167">
        <v>-8.0193486213843505E-10</v>
      </c>
      <c r="AJ233" s="167">
        <v>-1.22260677996979E-10</v>
      </c>
    </row>
    <row r="234" spans="1:36">
      <c r="A234" s="2" t="s">
        <v>26</v>
      </c>
      <c r="B234" s="2">
        <v>9935</v>
      </c>
      <c r="C234" s="2" t="s">
        <v>2371</v>
      </c>
      <c r="D234" s="2" t="s">
        <v>2372</v>
      </c>
      <c r="E234" s="4" t="s">
        <v>334</v>
      </c>
      <c r="F234" s="2" t="s">
        <v>2373</v>
      </c>
      <c r="G234" s="2" t="s">
        <v>2374</v>
      </c>
      <c r="H234" s="2" t="s">
        <v>343</v>
      </c>
      <c r="I234" s="2" t="s">
        <v>778</v>
      </c>
      <c r="J234" s="2" t="s">
        <v>31</v>
      </c>
      <c r="K234" s="2" t="s">
        <v>31</v>
      </c>
      <c r="L234" s="2" t="s">
        <v>349</v>
      </c>
      <c r="M234" s="2" t="s">
        <v>49</v>
      </c>
      <c r="N234" s="2" t="s">
        <v>501</v>
      </c>
      <c r="O234" s="2" t="s">
        <v>159</v>
      </c>
      <c r="P234" s="2" t="s">
        <v>1785</v>
      </c>
      <c r="Q234" s="2" t="s">
        <v>435</v>
      </c>
      <c r="R234" s="2" t="s">
        <v>428</v>
      </c>
      <c r="S234" s="2" t="s">
        <v>45</v>
      </c>
      <c r="T234" s="153">
        <v>1.23</v>
      </c>
      <c r="U234" s="2" t="s">
        <v>2375</v>
      </c>
      <c r="V234" s="165">
        <v>3.3700000000000001E-2</v>
      </c>
      <c r="W234" s="167">
        <v>6.4079999999999998E-2</v>
      </c>
      <c r="X234" s="4" t="s">
        <v>434</v>
      </c>
      <c r="Y234" s="4" t="s">
        <v>159</v>
      </c>
      <c r="Z234" s="153">
        <v>0.21</v>
      </c>
      <c r="AA234" s="153">
        <v>1</v>
      </c>
      <c r="AB234" s="153">
        <v>101.54</v>
      </c>
      <c r="AD234" s="153">
        <v>0</v>
      </c>
      <c r="AG234" s="2" t="s">
        <v>37</v>
      </c>
      <c r="AH234" s="153">
        <v>0</v>
      </c>
      <c r="AI234" s="167">
        <v>1.27590827172574E-9</v>
      </c>
      <c r="AJ234" s="167">
        <v>1.9452129808544701E-10</v>
      </c>
    </row>
    <row r="235" spans="1:36">
      <c r="A235" s="2" t="s">
        <v>26</v>
      </c>
      <c r="B235" s="2">
        <v>9935</v>
      </c>
      <c r="C235" s="2" t="s">
        <v>2010</v>
      </c>
      <c r="D235" s="2" t="s">
        <v>2011</v>
      </c>
      <c r="E235" s="4" t="s">
        <v>1345</v>
      </c>
      <c r="F235" s="2" t="s">
        <v>2376</v>
      </c>
      <c r="G235" s="2" t="s">
        <v>2377</v>
      </c>
      <c r="H235" s="2" t="s">
        <v>343</v>
      </c>
      <c r="I235" s="2" t="s">
        <v>990</v>
      </c>
      <c r="J235" s="2" t="s">
        <v>124</v>
      </c>
      <c r="K235" s="2" t="s">
        <v>125</v>
      </c>
      <c r="L235" s="2" t="s">
        <v>349</v>
      </c>
      <c r="M235" s="2" t="s">
        <v>49</v>
      </c>
      <c r="N235" s="2" t="s">
        <v>485</v>
      </c>
      <c r="O235" s="2" t="s">
        <v>159</v>
      </c>
      <c r="P235" s="2" t="s">
        <v>1785</v>
      </c>
      <c r="Q235" s="2" t="s">
        <v>435</v>
      </c>
      <c r="R235" s="2" t="s">
        <v>428</v>
      </c>
      <c r="S235" s="2" t="s">
        <v>45</v>
      </c>
      <c r="T235" s="153">
        <v>1.2949999999999999</v>
      </c>
      <c r="U235" s="2" t="s">
        <v>2246</v>
      </c>
      <c r="V235" s="165">
        <v>3.9300000000000002E-2</v>
      </c>
      <c r="W235" s="167">
        <v>7.3649999999999993E-2</v>
      </c>
      <c r="X235" s="4" t="s">
        <v>434</v>
      </c>
      <c r="Y235" s="4" t="s">
        <v>159</v>
      </c>
      <c r="Z235" s="153">
        <v>1330733.2</v>
      </c>
      <c r="AA235" s="153">
        <v>1</v>
      </c>
      <c r="AB235" s="153">
        <v>96.54</v>
      </c>
      <c r="AD235" s="153">
        <v>1284.69</v>
      </c>
      <c r="AG235" s="2" t="s">
        <v>37</v>
      </c>
      <c r="AH235" s="153">
        <v>1.1429999999999999E-3</v>
      </c>
      <c r="AI235" s="167">
        <v>7.68707796285816E-3</v>
      </c>
      <c r="AJ235" s="167">
        <v>1.17194975293696E-3</v>
      </c>
    </row>
    <row r="236" spans="1:36">
      <c r="A236" s="2" t="s">
        <v>26</v>
      </c>
      <c r="B236" s="2">
        <v>9936</v>
      </c>
      <c r="C236" s="2" t="s">
        <v>1935</v>
      </c>
      <c r="D236" s="2" t="s">
        <v>1936</v>
      </c>
      <c r="E236" s="4" t="s">
        <v>1345</v>
      </c>
      <c r="F236" s="2" t="s">
        <v>1937</v>
      </c>
      <c r="G236" s="2" t="s">
        <v>1938</v>
      </c>
      <c r="H236" s="2" t="s">
        <v>343</v>
      </c>
      <c r="I236" s="2" t="s">
        <v>778</v>
      </c>
      <c r="J236" s="2" t="s">
        <v>31</v>
      </c>
      <c r="K236" s="2" t="s">
        <v>31</v>
      </c>
      <c r="L236" s="2" t="s">
        <v>349</v>
      </c>
      <c r="M236" s="2" t="s">
        <v>336</v>
      </c>
      <c r="N236" s="2" t="s">
        <v>507</v>
      </c>
      <c r="O236" s="2" t="s">
        <v>159</v>
      </c>
      <c r="P236" s="2" t="s">
        <v>1939</v>
      </c>
      <c r="Q236" s="2" t="s">
        <v>34</v>
      </c>
      <c r="R236" s="2" t="s">
        <v>428</v>
      </c>
      <c r="S236" s="2" t="s">
        <v>35</v>
      </c>
      <c r="T236" s="153">
        <v>1.1399999999999999</v>
      </c>
      <c r="U236" s="2" t="s">
        <v>1940</v>
      </c>
      <c r="V236" s="165">
        <v>6.1249999999999999E-2</v>
      </c>
      <c r="W236" s="167">
        <v>7.5679999999999997E-2</v>
      </c>
      <c r="X236" s="4" t="s">
        <v>434</v>
      </c>
      <c r="Y236" s="4" t="s">
        <v>159</v>
      </c>
      <c r="Z236" s="153">
        <v>6000</v>
      </c>
      <c r="AA236" s="153">
        <v>3.681</v>
      </c>
      <c r="AB236" s="153">
        <v>98.581000000000003</v>
      </c>
      <c r="AD236" s="153">
        <v>22.111000000000001</v>
      </c>
      <c r="AG236" s="2" t="s">
        <v>37</v>
      </c>
      <c r="AH236" s="153">
        <v>1.0000000000000001E-5</v>
      </c>
      <c r="AI236" s="167">
        <v>7.4578185930921099E-3</v>
      </c>
      <c r="AJ236" s="167">
        <v>1.4524924663788001E-3</v>
      </c>
    </row>
    <row r="237" spans="1:36">
      <c r="A237" s="2" t="s">
        <v>26</v>
      </c>
      <c r="B237" s="2">
        <v>9936</v>
      </c>
      <c r="C237" s="2" t="s">
        <v>1941</v>
      </c>
      <c r="D237" s="2" t="s">
        <v>1942</v>
      </c>
      <c r="E237" s="4" t="s">
        <v>1345</v>
      </c>
      <c r="F237" s="2" t="s">
        <v>2129</v>
      </c>
      <c r="G237" s="2" t="s">
        <v>2130</v>
      </c>
      <c r="H237" s="2" t="s">
        <v>343</v>
      </c>
      <c r="I237" s="2" t="s">
        <v>990</v>
      </c>
      <c r="J237" s="2" t="s">
        <v>31</v>
      </c>
      <c r="K237" s="2" t="s">
        <v>31</v>
      </c>
      <c r="L237" s="2" t="s">
        <v>349</v>
      </c>
      <c r="M237" s="2" t="s">
        <v>49</v>
      </c>
      <c r="N237" s="2" t="s">
        <v>467</v>
      </c>
      <c r="O237" s="2" t="s">
        <v>159</v>
      </c>
      <c r="P237" s="2" t="s">
        <v>1810</v>
      </c>
      <c r="Q237" s="2" t="s">
        <v>128</v>
      </c>
      <c r="R237" s="2" t="s">
        <v>428</v>
      </c>
      <c r="S237" s="2" t="s">
        <v>45</v>
      </c>
      <c r="T237" s="153">
        <v>1.9119999999999999</v>
      </c>
      <c r="U237" s="2" t="s">
        <v>2131</v>
      </c>
      <c r="V237" s="165">
        <v>3.5000000000000003E-2</v>
      </c>
      <c r="W237" s="167">
        <v>5.6559999999999999E-2</v>
      </c>
      <c r="X237" s="4" t="s">
        <v>434</v>
      </c>
      <c r="Y237" s="4" t="s">
        <v>159</v>
      </c>
      <c r="Z237" s="153">
        <v>16338</v>
      </c>
      <c r="AA237" s="153">
        <v>1</v>
      </c>
      <c r="AB237" s="153">
        <v>96.19</v>
      </c>
      <c r="AD237" s="153">
        <v>15.715999999999999</v>
      </c>
      <c r="AG237" s="2" t="s">
        <v>37</v>
      </c>
      <c r="AH237" s="153">
        <v>6.4999999999999994E-5</v>
      </c>
      <c r="AI237" s="167">
        <v>5.3007380345378398E-3</v>
      </c>
      <c r="AJ237" s="167">
        <v>1.03237722469481E-3</v>
      </c>
    </row>
    <row r="238" spans="1:36">
      <c r="A238" s="2" t="s">
        <v>26</v>
      </c>
      <c r="B238" s="2">
        <v>9936</v>
      </c>
      <c r="C238" s="2" t="s">
        <v>1941</v>
      </c>
      <c r="D238" s="2" t="s">
        <v>1942</v>
      </c>
      <c r="E238" s="4" t="s">
        <v>1345</v>
      </c>
      <c r="F238" s="2" t="s">
        <v>1943</v>
      </c>
      <c r="G238" s="2" t="s">
        <v>1944</v>
      </c>
      <c r="H238" s="2" t="s">
        <v>343</v>
      </c>
      <c r="I238" s="2" t="s">
        <v>777</v>
      </c>
      <c r="J238" s="2" t="s">
        <v>31</v>
      </c>
      <c r="K238" s="2" t="s">
        <v>31</v>
      </c>
      <c r="L238" s="2" t="s">
        <v>349</v>
      </c>
      <c r="M238" s="2" t="s">
        <v>49</v>
      </c>
      <c r="N238" s="2" t="s">
        <v>467</v>
      </c>
      <c r="O238" s="2" t="s">
        <v>159</v>
      </c>
      <c r="P238" s="2" t="s">
        <v>1945</v>
      </c>
      <c r="Q238" s="2" t="s">
        <v>435</v>
      </c>
      <c r="R238" s="2" t="s">
        <v>428</v>
      </c>
      <c r="S238" s="2" t="s">
        <v>45</v>
      </c>
      <c r="T238" s="153">
        <v>3.2690000000000001</v>
      </c>
      <c r="U238" s="2" t="s">
        <v>1946</v>
      </c>
      <c r="V238" s="165">
        <v>3.85E-2</v>
      </c>
      <c r="W238" s="167">
        <v>3.1759999999999997E-2</v>
      </c>
      <c r="X238" s="4" t="s">
        <v>434</v>
      </c>
      <c r="Y238" s="4" t="s">
        <v>159</v>
      </c>
      <c r="Z238" s="153">
        <v>9000</v>
      </c>
      <c r="AA238" s="153">
        <v>1</v>
      </c>
      <c r="AB238" s="153">
        <v>106.03</v>
      </c>
      <c r="AD238" s="153">
        <v>9.5429999999999993</v>
      </c>
      <c r="AG238" s="2" t="s">
        <v>37</v>
      </c>
      <c r="AH238" s="153">
        <v>5.1E-5</v>
      </c>
      <c r="AI238" s="167">
        <v>3.2186873715328601E-3</v>
      </c>
      <c r="AJ238" s="167">
        <v>6.2687488310729804E-4</v>
      </c>
    </row>
    <row r="239" spans="1:36">
      <c r="A239" s="2" t="s">
        <v>26</v>
      </c>
      <c r="B239" s="2">
        <v>9936</v>
      </c>
      <c r="C239" s="2" t="s">
        <v>1941</v>
      </c>
      <c r="D239" s="2" t="s">
        <v>1942</v>
      </c>
      <c r="E239" s="4" t="s">
        <v>1345</v>
      </c>
      <c r="F239" s="2" t="s">
        <v>2132</v>
      </c>
      <c r="G239" s="2" t="s">
        <v>1944</v>
      </c>
      <c r="H239" s="2" t="s">
        <v>343</v>
      </c>
      <c r="I239" s="2" t="s">
        <v>777</v>
      </c>
      <c r="J239" s="2" t="s">
        <v>31</v>
      </c>
      <c r="K239" s="2" t="s">
        <v>31</v>
      </c>
      <c r="L239" s="2" t="s">
        <v>351</v>
      </c>
      <c r="M239" s="2" t="s">
        <v>49</v>
      </c>
      <c r="N239" s="2" t="s">
        <v>467</v>
      </c>
      <c r="O239" s="2" t="s">
        <v>159</v>
      </c>
      <c r="P239" s="2" t="s">
        <v>1945</v>
      </c>
      <c r="Q239" s="2" t="s">
        <v>435</v>
      </c>
      <c r="R239" s="2" t="s">
        <v>428</v>
      </c>
      <c r="S239" s="2" t="s">
        <v>45</v>
      </c>
      <c r="T239" s="153">
        <v>3.45</v>
      </c>
      <c r="U239" s="2" t="s">
        <v>1946</v>
      </c>
      <c r="V239" s="165">
        <v>3.85E-2</v>
      </c>
      <c r="W239" s="167">
        <v>2.9700000000000001E-2</v>
      </c>
      <c r="X239" s="4" t="s">
        <v>434</v>
      </c>
      <c r="Y239" s="4" t="s">
        <v>159</v>
      </c>
      <c r="Z239" s="153">
        <v>14000</v>
      </c>
      <c r="AA239" s="153">
        <v>1</v>
      </c>
      <c r="AB239" s="153">
        <v>105.578</v>
      </c>
      <c r="AD239" s="153">
        <v>14.781000000000001</v>
      </c>
      <c r="AG239" s="2" t="s">
        <v>37</v>
      </c>
      <c r="AH239" s="153">
        <v>7.8999999999999996E-5</v>
      </c>
      <c r="AI239" s="167">
        <v>4.98549838955581E-3</v>
      </c>
      <c r="AJ239" s="167">
        <v>9.7098082523499197E-4</v>
      </c>
    </row>
    <row r="240" spans="1:36">
      <c r="A240" s="2" t="s">
        <v>26</v>
      </c>
      <c r="B240" s="2">
        <v>9936</v>
      </c>
      <c r="C240" s="2" t="s">
        <v>1659</v>
      </c>
      <c r="D240" s="2" t="s">
        <v>1660</v>
      </c>
      <c r="E240" s="4" t="s">
        <v>1345</v>
      </c>
      <c r="F240" s="2" t="s">
        <v>2378</v>
      </c>
      <c r="G240" s="2" t="s">
        <v>2379</v>
      </c>
      <c r="H240" s="2" t="s">
        <v>343</v>
      </c>
      <c r="I240" s="2" t="s">
        <v>777</v>
      </c>
      <c r="J240" s="2" t="s">
        <v>31</v>
      </c>
      <c r="K240" s="2" t="s">
        <v>31</v>
      </c>
      <c r="L240" s="2" t="s">
        <v>349</v>
      </c>
      <c r="M240" s="2" t="s">
        <v>49</v>
      </c>
      <c r="N240" s="2" t="s">
        <v>485</v>
      </c>
      <c r="O240" s="2" t="s">
        <v>159</v>
      </c>
      <c r="P240" s="2" t="s">
        <v>2040</v>
      </c>
      <c r="Q240" s="2" t="s">
        <v>128</v>
      </c>
      <c r="R240" s="2" t="s">
        <v>428</v>
      </c>
      <c r="S240" s="2" t="s">
        <v>45</v>
      </c>
      <c r="T240" s="153">
        <v>1.863</v>
      </c>
      <c r="U240" s="2" t="s">
        <v>2117</v>
      </c>
      <c r="V240" s="165">
        <v>2.8500000000000001E-2</v>
      </c>
      <c r="W240" s="167">
        <v>2.861E-2</v>
      </c>
      <c r="X240" s="4" t="s">
        <v>434</v>
      </c>
      <c r="Y240" s="4" t="s">
        <v>159</v>
      </c>
      <c r="Z240" s="153">
        <v>20000</v>
      </c>
      <c r="AA240" s="153">
        <v>1</v>
      </c>
      <c r="AB240" s="153">
        <v>113.36</v>
      </c>
      <c r="AD240" s="153">
        <v>22.672000000000001</v>
      </c>
      <c r="AG240" s="2" t="s">
        <v>37</v>
      </c>
      <c r="AH240" s="153">
        <v>2.9E-5</v>
      </c>
      <c r="AI240" s="167">
        <v>7.6471103657657601E-3</v>
      </c>
      <c r="AJ240" s="167">
        <v>1.4893591278997201E-3</v>
      </c>
    </row>
    <row r="241" spans="1:36">
      <c r="A241" s="2" t="s">
        <v>26</v>
      </c>
      <c r="B241" s="2">
        <v>9936</v>
      </c>
      <c r="C241" s="2" t="s">
        <v>2133</v>
      </c>
      <c r="D241" s="2" t="s">
        <v>2134</v>
      </c>
      <c r="E241" s="4" t="s">
        <v>1345</v>
      </c>
      <c r="F241" s="2" t="s">
        <v>2135</v>
      </c>
      <c r="G241" s="2" t="s">
        <v>2136</v>
      </c>
      <c r="H241" s="2" t="s">
        <v>343</v>
      </c>
      <c r="I241" s="2" t="s">
        <v>777</v>
      </c>
      <c r="J241" s="2" t="s">
        <v>31</v>
      </c>
      <c r="K241" s="2" t="s">
        <v>31</v>
      </c>
      <c r="L241" s="2" t="s">
        <v>349</v>
      </c>
      <c r="M241" s="2" t="s">
        <v>49</v>
      </c>
      <c r="N241" s="2" t="s">
        <v>476</v>
      </c>
      <c r="O241" s="2" t="s">
        <v>159</v>
      </c>
      <c r="P241" s="2" t="s">
        <v>1785</v>
      </c>
      <c r="Q241" s="2" t="s">
        <v>435</v>
      </c>
      <c r="R241" s="2" t="s">
        <v>428</v>
      </c>
      <c r="S241" s="2" t="s">
        <v>45</v>
      </c>
      <c r="T241" s="153">
        <v>5.6740000000000004</v>
      </c>
      <c r="U241" s="2" t="s">
        <v>2137</v>
      </c>
      <c r="V241" s="165">
        <v>5.1499999999999997E-2</v>
      </c>
      <c r="W241" s="167">
        <v>2.9309999999999999E-2</v>
      </c>
      <c r="X241" s="4" t="s">
        <v>434</v>
      </c>
      <c r="Y241" s="4" t="s">
        <v>159</v>
      </c>
      <c r="Z241" s="153">
        <v>34357.14</v>
      </c>
      <c r="AA241" s="153">
        <v>1</v>
      </c>
      <c r="AB241" s="153">
        <v>154.27000000000001</v>
      </c>
      <c r="AD241" s="153">
        <v>53.003</v>
      </c>
      <c r="AG241" s="2" t="s">
        <v>37</v>
      </c>
      <c r="AH241" s="153">
        <v>1.1E-5</v>
      </c>
      <c r="AI241" s="167">
        <v>1.7877467999172902E-2</v>
      </c>
      <c r="AJ241" s="167">
        <v>3.4818341667332501E-3</v>
      </c>
    </row>
    <row r="242" spans="1:36">
      <c r="A242" s="2" t="s">
        <v>26</v>
      </c>
      <c r="B242" s="2">
        <v>9936</v>
      </c>
      <c r="C242" s="2" t="s">
        <v>2380</v>
      </c>
      <c r="D242" s="2" t="s">
        <v>2381</v>
      </c>
      <c r="E242" s="4" t="s">
        <v>1345</v>
      </c>
      <c r="F242" s="2" t="s">
        <v>2382</v>
      </c>
      <c r="G242" s="2" t="s">
        <v>2383</v>
      </c>
      <c r="H242" s="2" t="s">
        <v>343</v>
      </c>
      <c r="I242" s="2" t="s">
        <v>990</v>
      </c>
      <c r="J242" s="2" t="s">
        <v>31</v>
      </c>
      <c r="K242" s="2" t="s">
        <v>31</v>
      </c>
      <c r="L242" s="2" t="s">
        <v>349</v>
      </c>
      <c r="M242" s="2" t="s">
        <v>49</v>
      </c>
      <c r="N242" s="2" t="s">
        <v>460</v>
      </c>
      <c r="O242" s="2" t="s">
        <v>159</v>
      </c>
      <c r="P242" s="2" t="s">
        <v>1945</v>
      </c>
      <c r="Q242" s="2" t="s">
        <v>435</v>
      </c>
      <c r="R242" s="2" t="s">
        <v>428</v>
      </c>
      <c r="S242" s="2" t="s">
        <v>45</v>
      </c>
      <c r="T242" s="153">
        <v>3.532</v>
      </c>
      <c r="U242" s="2" t="s">
        <v>2384</v>
      </c>
      <c r="V242" s="165">
        <v>2.5000000000000001E-2</v>
      </c>
      <c r="W242" s="167">
        <v>5.5169999999999997E-2</v>
      </c>
      <c r="X242" s="4" t="s">
        <v>434</v>
      </c>
      <c r="Y242" s="4" t="s">
        <v>159</v>
      </c>
      <c r="Z242" s="153">
        <v>16150</v>
      </c>
      <c r="AA242" s="153">
        <v>1</v>
      </c>
      <c r="AB242" s="153">
        <v>90.36</v>
      </c>
      <c r="AD242" s="153">
        <v>14.593</v>
      </c>
      <c r="AG242" s="2" t="s">
        <v>37</v>
      </c>
      <c r="AH242" s="153">
        <v>1.9000000000000001E-5</v>
      </c>
      <c r="AI242" s="167">
        <v>4.9221662033817398E-3</v>
      </c>
      <c r="AJ242" s="167">
        <v>9.5864618312096496E-4</v>
      </c>
    </row>
    <row r="243" spans="1:36">
      <c r="A243" s="2" t="s">
        <v>26</v>
      </c>
      <c r="B243" s="2">
        <v>9936</v>
      </c>
      <c r="C243" s="2" t="s">
        <v>1775</v>
      </c>
      <c r="D243" s="2" t="s">
        <v>1776</v>
      </c>
      <c r="E243" s="4" t="s">
        <v>1345</v>
      </c>
      <c r="F243" s="2" t="s">
        <v>1777</v>
      </c>
      <c r="G243" s="2" t="s">
        <v>1778</v>
      </c>
      <c r="H243" s="2" t="s">
        <v>343</v>
      </c>
      <c r="I243" s="2" t="s">
        <v>777</v>
      </c>
      <c r="J243" s="2" t="s">
        <v>31</v>
      </c>
      <c r="K243" s="2" t="s">
        <v>31</v>
      </c>
      <c r="L243" s="2" t="s">
        <v>349</v>
      </c>
      <c r="M243" s="2" t="s">
        <v>49</v>
      </c>
      <c r="N243" s="2" t="s">
        <v>484</v>
      </c>
      <c r="O243" s="2" t="s">
        <v>159</v>
      </c>
      <c r="P243" s="2" t="s">
        <v>1779</v>
      </c>
      <c r="Q243" s="2" t="s">
        <v>435</v>
      </c>
      <c r="R243" s="2" t="s">
        <v>428</v>
      </c>
      <c r="S243" s="2" t="s">
        <v>45</v>
      </c>
      <c r="T243" s="153">
        <v>2.698</v>
      </c>
      <c r="U243" s="2" t="s">
        <v>108</v>
      </c>
      <c r="V243" s="165">
        <v>2.3400000000000001E-2</v>
      </c>
      <c r="W243" s="167">
        <v>2.1569999999999999E-2</v>
      </c>
      <c r="X243" s="4" t="s">
        <v>434</v>
      </c>
      <c r="Y243" s="4" t="s">
        <v>159</v>
      </c>
      <c r="Z243" s="153">
        <v>34375</v>
      </c>
      <c r="AA243" s="153">
        <v>1</v>
      </c>
      <c r="AB243" s="153">
        <v>111.84</v>
      </c>
      <c r="AD243" s="153">
        <v>38.445</v>
      </c>
      <c r="AG243" s="2" t="s">
        <v>37</v>
      </c>
      <c r="AH243" s="153">
        <v>1.2999999999999999E-5</v>
      </c>
      <c r="AI243" s="167">
        <v>1.29672352686955E-2</v>
      </c>
      <c r="AJ243" s="167">
        <v>2.5255121591436398E-3</v>
      </c>
    </row>
    <row r="244" spans="1:36">
      <c r="A244" s="2" t="s">
        <v>26</v>
      </c>
      <c r="B244" s="2">
        <v>9936</v>
      </c>
      <c r="C244" s="2" t="s">
        <v>2138</v>
      </c>
      <c r="D244" s="2" t="s">
        <v>2139</v>
      </c>
      <c r="E244" s="4" t="s">
        <v>1345</v>
      </c>
      <c r="F244" s="2" t="s">
        <v>2140</v>
      </c>
      <c r="G244" s="2" t="s">
        <v>2141</v>
      </c>
      <c r="H244" s="2" t="s">
        <v>343</v>
      </c>
      <c r="I244" s="2" t="s">
        <v>777</v>
      </c>
      <c r="J244" s="2" t="s">
        <v>31</v>
      </c>
      <c r="K244" s="2" t="s">
        <v>31</v>
      </c>
      <c r="L244" s="2" t="s">
        <v>349</v>
      </c>
      <c r="M244" s="2" t="s">
        <v>49</v>
      </c>
      <c r="N244" s="2" t="s">
        <v>498</v>
      </c>
      <c r="O244" s="2" t="s">
        <v>159</v>
      </c>
      <c r="P244" s="2" t="s">
        <v>1795</v>
      </c>
      <c r="Q244" s="2" t="s">
        <v>435</v>
      </c>
      <c r="R244" s="2" t="s">
        <v>428</v>
      </c>
      <c r="S244" s="2" t="s">
        <v>45</v>
      </c>
      <c r="T244" s="153">
        <v>2.036</v>
      </c>
      <c r="U244" s="2" t="s">
        <v>2142</v>
      </c>
      <c r="V244" s="165">
        <v>3.2000000000000001E-2</v>
      </c>
      <c r="W244" s="167">
        <v>2.9739999999999999E-2</v>
      </c>
      <c r="X244" s="4" t="s">
        <v>434</v>
      </c>
      <c r="Y244" s="4" t="s">
        <v>159</v>
      </c>
      <c r="Z244" s="153">
        <v>0.33</v>
      </c>
      <c r="AA244" s="153">
        <v>1</v>
      </c>
      <c r="AB244" s="153">
        <v>104.3</v>
      </c>
      <c r="AD244" s="153">
        <v>0</v>
      </c>
      <c r="AG244" s="2" t="s">
        <v>37</v>
      </c>
      <c r="AH244" s="153">
        <v>0</v>
      </c>
      <c r="AI244" s="167">
        <v>1.1609293034548901E-7</v>
      </c>
      <c r="AJ244" s="167">
        <v>2.26103792445221E-8</v>
      </c>
    </row>
    <row r="245" spans="1:36">
      <c r="A245" s="2" t="s">
        <v>26</v>
      </c>
      <c r="B245" s="2">
        <v>9936</v>
      </c>
      <c r="C245" s="2" t="s">
        <v>2138</v>
      </c>
      <c r="D245" s="2" t="s">
        <v>2139</v>
      </c>
      <c r="E245" s="4" t="s">
        <v>1345</v>
      </c>
      <c r="F245" s="2" t="s">
        <v>2143</v>
      </c>
      <c r="G245" s="2" t="s">
        <v>2144</v>
      </c>
      <c r="H245" s="2" t="s">
        <v>343</v>
      </c>
      <c r="I245" s="2" t="s">
        <v>990</v>
      </c>
      <c r="J245" s="2" t="s">
        <v>31</v>
      </c>
      <c r="K245" s="2" t="s">
        <v>31</v>
      </c>
      <c r="L245" s="2" t="s">
        <v>349</v>
      </c>
      <c r="M245" s="2" t="s">
        <v>49</v>
      </c>
      <c r="N245" s="2" t="s">
        <v>498</v>
      </c>
      <c r="O245" s="2" t="s">
        <v>159</v>
      </c>
      <c r="P245" s="2" t="s">
        <v>1795</v>
      </c>
      <c r="Q245" s="2" t="s">
        <v>435</v>
      </c>
      <c r="R245" s="2" t="s">
        <v>428</v>
      </c>
      <c r="S245" s="2" t="s">
        <v>45</v>
      </c>
      <c r="T245" s="153">
        <v>2.0590000000000002</v>
      </c>
      <c r="U245" s="2" t="s">
        <v>2145</v>
      </c>
      <c r="V245" s="165">
        <v>5.7000000000000002E-2</v>
      </c>
      <c r="W245" s="167">
        <v>5.9130000000000002E-2</v>
      </c>
      <c r="X245" s="4" t="s">
        <v>434</v>
      </c>
      <c r="Y245" s="4" t="s">
        <v>159</v>
      </c>
      <c r="Z245" s="153">
        <v>10200</v>
      </c>
      <c r="AA245" s="153">
        <v>1</v>
      </c>
      <c r="AB245" s="153">
        <v>100.07</v>
      </c>
      <c r="AD245" s="153">
        <v>10.207000000000001</v>
      </c>
      <c r="AG245" s="2" t="s">
        <v>37</v>
      </c>
      <c r="AH245" s="153">
        <v>2.5999999999999998E-5</v>
      </c>
      <c r="AI245" s="167">
        <v>3.4427984341400099E-3</v>
      </c>
      <c r="AJ245" s="167">
        <v>6.70522985565911E-4</v>
      </c>
    </row>
    <row r="246" spans="1:36">
      <c r="A246" s="2" t="s">
        <v>26</v>
      </c>
      <c r="B246" s="2">
        <v>9936</v>
      </c>
      <c r="C246" s="2" t="s">
        <v>2146</v>
      </c>
      <c r="D246" s="2" t="s">
        <v>2147</v>
      </c>
      <c r="E246" s="4" t="s">
        <v>1345</v>
      </c>
      <c r="F246" s="2" t="s">
        <v>2148</v>
      </c>
      <c r="G246" s="2" t="s">
        <v>2149</v>
      </c>
      <c r="H246" s="2" t="s">
        <v>343</v>
      </c>
      <c r="I246" s="2" t="s">
        <v>777</v>
      </c>
      <c r="J246" s="2" t="s">
        <v>31</v>
      </c>
      <c r="K246" s="2" t="s">
        <v>31</v>
      </c>
      <c r="L246" s="2" t="s">
        <v>349</v>
      </c>
      <c r="M246" s="2" t="s">
        <v>49</v>
      </c>
      <c r="N246" s="2" t="s">
        <v>498</v>
      </c>
      <c r="O246" s="2" t="s">
        <v>159</v>
      </c>
      <c r="P246" s="2" t="s">
        <v>1795</v>
      </c>
      <c r="Q246" s="2" t="s">
        <v>435</v>
      </c>
      <c r="R246" s="2" t="s">
        <v>428</v>
      </c>
      <c r="S246" s="2" t="s">
        <v>45</v>
      </c>
      <c r="T246" s="153">
        <v>2.9870000000000001</v>
      </c>
      <c r="U246" s="2" t="s">
        <v>2150</v>
      </c>
      <c r="V246" s="165">
        <v>3.2300000000000002E-2</v>
      </c>
      <c r="W246" s="167">
        <v>2.8750000000000001E-2</v>
      </c>
      <c r="X246" s="4" t="s">
        <v>434</v>
      </c>
      <c r="Y246" s="4" t="s">
        <v>159</v>
      </c>
      <c r="Z246" s="153">
        <v>11520</v>
      </c>
      <c r="AA246" s="153">
        <v>1</v>
      </c>
      <c r="AB246" s="153">
        <v>104.51</v>
      </c>
      <c r="AD246" s="153">
        <v>12.04</v>
      </c>
      <c r="AG246" s="2" t="s">
        <v>37</v>
      </c>
      <c r="AH246" s="153">
        <v>2.5000000000000001E-5</v>
      </c>
      <c r="AI246" s="167">
        <v>4.06085845529181E-3</v>
      </c>
      <c r="AJ246" s="167">
        <v>7.9089699484047803E-4</v>
      </c>
    </row>
    <row r="247" spans="1:36">
      <c r="A247" s="2" t="s">
        <v>26</v>
      </c>
      <c r="B247" s="2">
        <v>9936</v>
      </c>
      <c r="C247" s="2" t="s">
        <v>1947</v>
      </c>
      <c r="D247" s="2" t="s">
        <v>1948</v>
      </c>
      <c r="E247" s="4" t="s">
        <v>1345</v>
      </c>
      <c r="F247" s="2" t="s">
        <v>1949</v>
      </c>
      <c r="G247" s="2" t="s">
        <v>1950</v>
      </c>
      <c r="H247" s="2" t="s">
        <v>343</v>
      </c>
      <c r="I247" s="2" t="s">
        <v>990</v>
      </c>
      <c r="J247" s="2" t="s">
        <v>31</v>
      </c>
      <c r="K247" s="2" t="s">
        <v>31</v>
      </c>
      <c r="L247" s="2" t="s">
        <v>349</v>
      </c>
      <c r="M247" s="2" t="s">
        <v>49</v>
      </c>
      <c r="N247" s="2" t="s">
        <v>461</v>
      </c>
      <c r="O247" s="2" t="s">
        <v>159</v>
      </c>
      <c r="P247" s="2" t="s">
        <v>1951</v>
      </c>
      <c r="Q247" s="2" t="s">
        <v>128</v>
      </c>
      <c r="R247" s="2" t="s">
        <v>430</v>
      </c>
      <c r="S247" s="2" t="s">
        <v>45</v>
      </c>
      <c r="T247" s="153">
        <v>3.82</v>
      </c>
      <c r="U247" s="2" t="s">
        <v>93</v>
      </c>
      <c r="V247" s="165">
        <v>5.5E-2</v>
      </c>
      <c r="W247" s="167">
        <v>6.694E-2</v>
      </c>
      <c r="X247" s="4" t="s">
        <v>434</v>
      </c>
      <c r="Y247" s="4" t="s">
        <v>159</v>
      </c>
      <c r="Z247" s="153">
        <v>14000</v>
      </c>
      <c r="AA247" s="153">
        <v>1</v>
      </c>
      <c r="AB247" s="153">
        <v>96.08</v>
      </c>
      <c r="AD247" s="153">
        <v>13.451000000000001</v>
      </c>
      <c r="AG247" s="2" t="s">
        <v>37</v>
      </c>
      <c r="AH247" s="153">
        <v>0</v>
      </c>
      <c r="AI247" s="167">
        <v>4.5369976601970898E-3</v>
      </c>
      <c r="AJ247" s="167">
        <v>8.8363035908630501E-4</v>
      </c>
    </row>
    <row r="248" spans="1:36">
      <c r="A248" s="2" t="s">
        <v>26</v>
      </c>
      <c r="B248" s="2">
        <v>9936</v>
      </c>
      <c r="C248" s="2" t="s">
        <v>1520</v>
      </c>
      <c r="D248" s="2" t="s">
        <v>1521</v>
      </c>
      <c r="E248" s="4" t="s">
        <v>1345</v>
      </c>
      <c r="F248" s="2" t="s">
        <v>1783</v>
      </c>
      <c r="G248" s="2" t="s">
        <v>1784</v>
      </c>
      <c r="H248" s="2" t="s">
        <v>343</v>
      </c>
      <c r="I248" s="2" t="s">
        <v>990</v>
      </c>
      <c r="J248" s="2" t="s">
        <v>31</v>
      </c>
      <c r="K248" s="2" t="s">
        <v>31</v>
      </c>
      <c r="L248" s="2" t="s">
        <v>349</v>
      </c>
      <c r="M248" s="2" t="s">
        <v>49</v>
      </c>
      <c r="N248" s="2" t="s">
        <v>484</v>
      </c>
      <c r="O248" s="2" t="s">
        <v>159</v>
      </c>
      <c r="P248" s="2" t="s">
        <v>1785</v>
      </c>
      <c r="Q248" s="2" t="s">
        <v>435</v>
      </c>
      <c r="R248" s="2" t="s">
        <v>428</v>
      </c>
      <c r="S248" s="2" t="s">
        <v>45</v>
      </c>
      <c r="T248" s="153">
        <v>1.8580000000000001</v>
      </c>
      <c r="U248" s="2" t="s">
        <v>1786</v>
      </c>
      <c r="V248" s="165">
        <v>3.85E-2</v>
      </c>
      <c r="W248" s="167">
        <v>4.768E-2</v>
      </c>
      <c r="X248" s="4" t="s">
        <v>434</v>
      </c>
      <c r="Y248" s="4" t="s">
        <v>159</v>
      </c>
      <c r="Z248" s="153">
        <v>45000</v>
      </c>
      <c r="AA248" s="153">
        <v>1</v>
      </c>
      <c r="AB248" s="153">
        <v>98.71</v>
      </c>
      <c r="AD248" s="153">
        <v>44.418999999999997</v>
      </c>
      <c r="AG248" s="2" t="s">
        <v>37</v>
      </c>
      <c r="AH248" s="153">
        <v>4.6999999999999997E-5</v>
      </c>
      <c r="AI248" s="167">
        <v>1.49823932115443E-2</v>
      </c>
      <c r="AJ248" s="167">
        <v>2.9179864053344002E-3</v>
      </c>
    </row>
    <row r="249" spans="1:36">
      <c r="A249" s="2" t="s">
        <v>26</v>
      </c>
      <c r="B249" s="2">
        <v>9936</v>
      </c>
      <c r="C249" s="2" t="s">
        <v>2385</v>
      </c>
      <c r="D249" s="2" t="s">
        <v>2386</v>
      </c>
      <c r="E249" s="4" t="s">
        <v>1345</v>
      </c>
      <c r="F249" s="2" t="s">
        <v>2387</v>
      </c>
      <c r="G249" s="2" t="s">
        <v>2388</v>
      </c>
      <c r="H249" s="2" t="s">
        <v>343</v>
      </c>
      <c r="I249" s="2" t="s">
        <v>990</v>
      </c>
      <c r="J249" s="2" t="s">
        <v>31</v>
      </c>
      <c r="K249" s="2" t="s">
        <v>31</v>
      </c>
      <c r="L249" s="2" t="s">
        <v>349</v>
      </c>
      <c r="M249" s="2" t="s">
        <v>49</v>
      </c>
      <c r="N249" s="2" t="s">
        <v>471</v>
      </c>
      <c r="O249" s="2" t="s">
        <v>159</v>
      </c>
      <c r="P249" s="2" t="s">
        <v>1785</v>
      </c>
      <c r="Q249" s="2" t="s">
        <v>435</v>
      </c>
      <c r="R249" s="2" t="s">
        <v>428</v>
      </c>
      <c r="S249" s="2" t="s">
        <v>45</v>
      </c>
      <c r="T249" s="153">
        <v>2.7770000000000001</v>
      </c>
      <c r="U249" s="2" t="s">
        <v>2389</v>
      </c>
      <c r="V249" s="165">
        <v>2.0400000000000001E-2</v>
      </c>
      <c r="W249" s="167">
        <v>4.8500000000000001E-2</v>
      </c>
      <c r="X249" s="4" t="s">
        <v>434</v>
      </c>
      <c r="Y249" s="4" t="s">
        <v>159</v>
      </c>
      <c r="Z249" s="153">
        <v>22500</v>
      </c>
      <c r="AA249" s="153">
        <v>1</v>
      </c>
      <c r="AB249" s="153">
        <v>92.75</v>
      </c>
      <c r="AD249" s="153">
        <v>20.869</v>
      </c>
      <c r="AG249" s="2" t="s">
        <v>37</v>
      </c>
      <c r="AH249" s="153">
        <v>7.1000000000000005E-5</v>
      </c>
      <c r="AI249" s="167">
        <v>7.0388864875429698E-3</v>
      </c>
      <c r="AJ249" s="167">
        <v>1.37090081600023E-3</v>
      </c>
    </row>
    <row r="250" spans="1:36">
      <c r="A250" s="2" t="s">
        <v>26</v>
      </c>
      <c r="B250" s="2">
        <v>9936</v>
      </c>
      <c r="C250" s="2" t="s">
        <v>1791</v>
      </c>
      <c r="D250" s="2" t="s">
        <v>1792</v>
      </c>
      <c r="E250" s="4" t="s">
        <v>1345</v>
      </c>
      <c r="F250" s="2" t="s">
        <v>1793</v>
      </c>
      <c r="G250" s="2" t="s">
        <v>1794</v>
      </c>
      <c r="H250" s="2" t="s">
        <v>343</v>
      </c>
      <c r="I250" s="2" t="s">
        <v>990</v>
      </c>
      <c r="J250" s="2" t="s">
        <v>31</v>
      </c>
      <c r="K250" s="2" t="s">
        <v>31</v>
      </c>
      <c r="L250" s="2" t="s">
        <v>349</v>
      </c>
      <c r="M250" s="2" t="s">
        <v>49</v>
      </c>
      <c r="N250" s="2" t="s">
        <v>471</v>
      </c>
      <c r="O250" s="2" t="s">
        <v>159</v>
      </c>
      <c r="P250" s="2" t="s">
        <v>1795</v>
      </c>
      <c r="Q250" s="2" t="s">
        <v>435</v>
      </c>
      <c r="R250" s="2" t="s">
        <v>428</v>
      </c>
      <c r="S250" s="2" t="s">
        <v>45</v>
      </c>
      <c r="T250" s="153">
        <v>3.41</v>
      </c>
      <c r="U250" s="2" t="s">
        <v>1796</v>
      </c>
      <c r="V250" s="165">
        <v>0.04</v>
      </c>
      <c r="W250" s="167">
        <v>5.0200000000000002E-2</v>
      </c>
      <c r="X250" s="4" t="s">
        <v>434</v>
      </c>
      <c r="Y250" s="4" t="s">
        <v>159</v>
      </c>
      <c r="Z250" s="153">
        <v>51375</v>
      </c>
      <c r="AA250" s="153">
        <v>1</v>
      </c>
      <c r="AB250" s="153">
        <v>97.7</v>
      </c>
      <c r="AD250" s="153">
        <v>50.192999999999998</v>
      </c>
      <c r="AG250" s="2" t="s">
        <v>37</v>
      </c>
      <c r="AH250" s="153">
        <v>6.6000000000000005E-5</v>
      </c>
      <c r="AI250" s="167">
        <v>1.6929881715564001E-2</v>
      </c>
      <c r="AJ250" s="167">
        <v>3.2972812815959601E-3</v>
      </c>
    </row>
    <row r="251" spans="1:36">
      <c r="A251" s="2" t="s">
        <v>26</v>
      </c>
      <c r="B251" s="2">
        <v>9936</v>
      </c>
      <c r="C251" s="2" t="s">
        <v>2151</v>
      </c>
      <c r="D251" s="2" t="s">
        <v>2152</v>
      </c>
      <c r="E251" s="4" t="s">
        <v>44</v>
      </c>
      <c r="F251" s="2" t="s">
        <v>2153</v>
      </c>
      <c r="G251" s="2" t="s">
        <v>2154</v>
      </c>
      <c r="H251" s="2" t="s">
        <v>343</v>
      </c>
      <c r="I251" s="2" t="s">
        <v>990</v>
      </c>
      <c r="J251" s="2" t="s">
        <v>31</v>
      </c>
      <c r="K251" s="2" t="s">
        <v>125</v>
      </c>
      <c r="L251" s="2" t="s">
        <v>349</v>
      </c>
      <c r="M251" s="2" t="s">
        <v>49</v>
      </c>
      <c r="N251" s="2" t="s">
        <v>463</v>
      </c>
      <c r="O251" s="2" t="s">
        <v>159</v>
      </c>
      <c r="P251" s="2" t="s">
        <v>1795</v>
      </c>
      <c r="Q251" s="2" t="s">
        <v>435</v>
      </c>
      <c r="R251" s="2" t="s">
        <v>428</v>
      </c>
      <c r="S251" s="2" t="s">
        <v>45</v>
      </c>
      <c r="T251" s="153">
        <v>1.206</v>
      </c>
      <c r="U251" s="2" t="s">
        <v>2155</v>
      </c>
      <c r="V251" s="165">
        <v>4.7500000000000001E-2</v>
      </c>
      <c r="W251" s="167">
        <v>6.3960000000000003E-2</v>
      </c>
      <c r="X251" s="4" t="s">
        <v>434</v>
      </c>
      <c r="Y251" s="4" t="s">
        <v>159</v>
      </c>
      <c r="Z251" s="153">
        <v>0.33</v>
      </c>
      <c r="AA251" s="153">
        <v>1</v>
      </c>
      <c r="AB251" s="153">
        <v>98.34</v>
      </c>
      <c r="AD251" s="153">
        <v>0</v>
      </c>
      <c r="AG251" s="2" t="s">
        <v>37</v>
      </c>
      <c r="AH251" s="153">
        <v>0</v>
      </c>
      <c r="AI251" s="167">
        <v>1.09459048611461E-7</v>
      </c>
      <c r="AJ251" s="167">
        <v>2.1318357573406502E-8</v>
      </c>
    </row>
    <row r="252" spans="1:36">
      <c r="A252" s="2" t="s">
        <v>26</v>
      </c>
      <c r="B252" s="2">
        <v>9936</v>
      </c>
      <c r="C252" s="2" t="s">
        <v>1528</v>
      </c>
      <c r="D252" s="2" t="s">
        <v>1529</v>
      </c>
      <c r="E252" s="4" t="s">
        <v>1345</v>
      </c>
      <c r="F252" s="2" t="s">
        <v>2038</v>
      </c>
      <c r="G252" s="2" t="s">
        <v>2039</v>
      </c>
      <c r="H252" s="2" t="s">
        <v>343</v>
      </c>
      <c r="I252" s="2" t="s">
        <v>990</v>
      </c>
      <c r="J252" s="2" t="s">
        <v>31</v>
      </c>
      <c r="K252" s="2" t="s">
        <v>31</v>
      </c>
      <c r="L252" s="2" t="s">
        <v>349</v>
      </c>
      <c r="M252" s="2" t="s">
        <v>49</v>
      </c>
      <c r="N252" s="2" t="s">
        <v>461</v>
      </c>
      <c r="O252" s="2" t="s">
        <v>159</v>
      </c>
      <c r="P252" s="2" t="s">
        <v>2040</v>
      </c>
      <c r="Q252" s="2" t="s">
        <v>128</v>
      </c>
      <c r="R252" s="2" t="s">
        <v>428</v>
      </c>
      <c r="S252" s="2" t="s">
        <v>45</v>
      </c>
      <c r="T252" s="153">
        <v>1.9910000000000001</v>
      </c>
      <c r="U252" s="2" t="s">
        <v>2041</v>
      </c>
      <c r="V252" s="165">
        <v>3.4500000000000003E-2</v>
      </c>
      <c r="W252" s="167">
        <v>5.0560000000000001E-2</v>
      </c>
      <c r="X252" s="4" t="s">
        <v>434</v>
      </c>
      <c r="Y252" s="4" t="s">
        <v>159</v>
      </c>
      <c r="Z252" s="153">
        <v>34000</v>
      </c>
      <c r="AA252" s="153">
        <v>1</v>
      </c>
      <c r="AB252" s="153">
        <v>97.31</v>
      </c>
      <c r="AD252" s="153">
        <v>33.085000000000001</v>
      </c>
      <c r="AG252" s="2" t="s">
        <v>37</v>
      </c>
      <c r="AH252" s="153">
        <v>7.7000000000000001E-5</v>
      </c>
      <c r="AI252" s="167">
        <v>1.11594788856522E-2</v>
      </c>
      <c r="AJ252" s="167">
        <v>2.1734316553552102E-3</v>
      </c>
    </row>
    <row r="253" spans="1:36">
      <c r="A253" s="2" t="s">
        <v>26</v>
      </c>
      <c r="B253" s="2">
        <v>9936</v>
      </c>
      <c r="C253" s="2" t="s">
        <v>1528</v>
      </c>
      <c r="D253" s="2" t="s">
        <v>1529</v>
      </c>
      <c r="E253" s="4" t="s">
        <v>1345</v>
      </c>
      <c r="F253" s="2" t="s">
        <v>2156</v>
      </c>
      <c r="G253" s="2" t="s">
        <v>2157</v>
      </c>
      <c r="H253" s="2" t="s">
        <v>343</v>
      </c>
      <c r="I253" s="2" t="s">
        <v>990</v>
      </c>
      <c r="J253" s="2" t="s">
        <v>31</v>
      </c>
      <c r="K253" s="2" t="s">
        <v>31</v>
      </c>
      <c r="L253" s="2" t="s">
        <v>349</v>
      </c>
      <c r="M253" s="2" t="s">
        <v>49</v>
      </c>
      <c r="N253" s="2" t="s">
        <v>461</v>
      </c>
      <c r="O253" s="2" t="s">
        <v>159</v>
      </c>
      <c r="P253" s="2" t="s">
        <v>2040</v>
      </c>
      <c r="Q253" s="2" t="s">
        <v>128</v>
      </c>
      <c r="R253" s="2" t="s">
        <v>428</v>
      </c>
      <c r="S253" s="2" t="s">
        <v>45</v>
      </c>
      <c r="T253" s="153">
        <v>4.2329999999999997</v>
      </c>
      <c r="U253" s="2" t="s">
        <v>2158</v>
      </c>
      <c r="V253" s="165">
        <v>1.4999999999999999E-2</v>
      </c>
      <c r="W253" s="167">
        <v>5.4089999999999999E-2</v>
      </c>
      <c r="X253" s="4" t="s">
        <v>434</v>
      </c>
      <c r="Y253" s="4" t="s">
        <v>159</v>
      </c>
      <c r="Z253" s="153">
        <v>16000</v>
      </c>
      <c r="AA253" s="153">
        <v>1</v>
      </c>
      <c r="AB253" s="153">
        <v>85.27</v>
      </c>
      <c r="AD253" s="153">
        <v>13.643000000000001</v>
      </c>
      <c r="AG253" s="2" t="s">
        <v>37</v>
      </c>
      <c r="AH253" s="153">
        <v>4.1E-5</v>
      </c>
      <c r="AI253" s="167">
        <v>4.6017579455811296E-3</v>
      </c>
      <c r="AJ253" s="167">
        <v>8.9624313928023298E-4</v>
      </c>
    </row>
    <row r="254" spans="1:36">
      <c r="A254" s="2" t="s">
        <v>26</v>
      </c>
      <c r="B254" s="2">
        <v>9936</v>
      </c>
      <c r="C254" s="2" t="s">
        <v>1532</v>
      </c>
      <c r="D254" s="2" t="s">
        <v>1533</v>
      </c>
      <c r="E254" s="4" t="s">
        <v>1345</v>
      </c>
      <c r="F254" s="2" t="s">
        <v>2042</v>
      </c>
      <c r="G254" s="2" t="s">
        <v>2043</v>
      </c>
      <c r="H254" s="2" t="s">
        <v>343</v>
      </c>
      <c r="I254" s="2" t="s">
        <v>990</v>
      </c>
      <c r="J254" s="2" t="s">
        <v>31</v>
      </c>
      <c r="K254" s="2" t="s">
        <v>31</v>
      </c>
      <c r="L254" s="2" t="s">
        <v>349</v>
      </c>
      <c r="M254" s="2" t="s">
        <v>49</v>
      </c>
      <c r="N254" s="2" t="s">
        <v>461</v>
      </c>
      <c r="O254" s="2" t="s">
        <v>159</v>
      </c>
      <c r="P254" s="2" t="s">
        <v>2040</v>
      </c>
      <c r="Q254" s="2" t="s">
        <v>128</v>
      </c>
      <c r="R254" s="2" t="s">
        <v>428</v>
      </c>
      <c r="S254" s="2" t="s">
        <v>45</v>
      </c>
      <c r="T254" s="153">
        <v>3.1</v>
      </c>
      <c r="U254" s="2" t="s">
        <v>2044</v>
      </c>
      <c r="V254" s="165">
        <v>2.0500000000000001E-2</v>
      </c>
      <c r="W254" s="167">
        <v>5.0770000000000003E-2</v>
      </c>
      <c r="X254" s="4" t="s">
        <v>434</v>
      </c>
      <c r="Y254" s="4" t="s">
        <v>159</v>
      </c>
      <c r="Z254" s="153">
        <v>30000</v>
      </c>
      <c r="AA254" s="153">
        <v>1</v>
      </c>
      <c r="AB254" s="153">
        <v>91.55</v>
      </c>
      <c r="AD254" s="153">
        <v>27.465</v>
      </c>
      <c r="AG254" s="2" t="s">
        <v>37</v>
      </c>
      <c r="AH254" s="153">
        <v>5.3999999999999998E-5</v>
      </c>
      <c r="AI254" s="167">
        <v>9.2637564482955393E-3</v>
      </c>
      <c r="AJ254" s="167">
        <v>1.8042187918033601E-3</v>
      </c>
    </row>
    <row r="255" spans="1:36">
      <c r="A255" s="2" t="s">
        <v>26</v>
      </c>
      <c r="B255" s="2">
        <v>9936</v>
      </c>
      <c r="C255" s="2" t="s">
        <v>1952</v>
      </c>
      <c r="D255" s="2" t="s">
        <v>1953</v>
      </c>
      <c r="E255" s="4" t="s">
        <v>1345</v>
      </c>
      <c r="F255" s="2" t="s">
        <v>1954</v>
      </c>
      <c r="G255" s="2" t="s">
        <v>1955</v>
      </c>
      <c r="H255" s="2" t="s">
        <v>343</v>
      </c>
      <c r="I255" s="2" t="s">
        <v>990</v>
      </c>
      <c r="J255" s="2" t="s">
        <v>31</v>
      </c>
      <c r="K255" s="2" t="s">
        <v>31</v>
      </c>
      <c r="L255" s="2" t="s">
        <v>349</v>
      </c>
      <c r="M255" s="2" t="s">
        <v>49</v>
      </c>
      <c r="N255" s="2" t="s">
        <v>463</v>
      </c>
      <c r="O255" s="2" t="s">
        <v>159</v>
      </c>
      <c r="P255" s="2" t="s">
        <v>1810</v>
      </c>
      <c r="Q255" s="2" t="s">
        <v>128</v>
      </c>
      <c r="R255" s="2" t="s">
        <v>428</v>
      </c>
      <c r="S255" s="2" t="s">
        <v>45</v>
      </c>
      <c r="T255" s="153">
        <v>0.37</v>
      </c>
      <c r="U255" s="2" t="s">
        <v>1956</v>
      </c>
      <c r="V255" s="165">
        <v>3.2399999999999998E-2</v>
      </c>
      <c r="W255" s="167">
        <v>8.9459999999999998E-2</v>
      </c>
      <c r="X255" s="4" t="s">
        <v>434</v>
      </c>
      <c r="Y255" s="4" t="s">
        <v>159</v>
      </c>
      <c r="Z255" s="153">
        <v>6909.34</v>
      </c>
      <c r="AA255" s="153">
        <v>1</v>
      </c>
      <c r="AB255" s="153">
        <v>98.07</v>
      </c>
      <c r="AD255" s="153">
        <v>6.7759999999999998</v>
      </c>
      <c r="AG255" s="2" t="s">
        <v>37</v>
      </c>
      <c r="AH255" s="153">
        <v>2.5999999999999998E-5</v>
      </c>
      <c r="AI255" s="167">
        <v>2.2854949437095201E-3</v>
      </c>
      <c r="AJ255" s="167">
        <v>4.4512536021723402E-4</v>
      </c>
    </row>
    <row r="256" spans="1:36">
      <c r="A256" s="2" t="s">
        <v>26</v>
      </c>
      <c r="B256" s="2">
        <v>9936</v>
      </c>
      <c r="C256" s="2" t="s">
        <v>1952</v>
      </c>
      <c r="D256" s="2" t="s">
        <v>1953</v>
      </c>
      <c r="E256" s="4" t="s">
        <v>1345</v>
      </c>
      <c r="F256" s="2" t="s">
        <v>1957</v>
      </c>
      <c r="G256" s="2" t="s">
        <v>1958</v>
      </c>
      <c r="H256" s="2" t="s">
        <v>343</v>
      </c>
      <c r="I256" s="2" t="s">
        <v>777</v>
      </c>
      <c r="J256" s="2" t="s">
        <v>31</v>
      </c>
      <c r="K256" s="2" t="s">
        <v>31</v>
      </c>
      <c r="L256" s="2" t="s">
        <v>349</v>
      </c>
      <c r="M256" s="2" t="s">
        <v>49</v>
      </c>
      <c r="N256" s="2" t="s">
        <v>463</v>
      </c>
      <c r="O256" s="2" t="s">
        <v>159</v>
      </c>
      <c r="P256" s="2" t="s">
        <v>1810</v>
      </c>
      <c r="Q256" s="2" t="s">
        <v>128</v>
      </c>
      <c r="R256" s="2" t="s">
        <v>428</v>
      </c>
      <c r="S256" s="2" t="s">
        <v>45</v>
      </c>
      <c r="T256" s="153">
        <v>1.694</v>
      </c>
      <c r="U256" s="2" t="s">
        <v>1959</v>
      </c>
      <c r="V256" s="165">
        <v>1.2500000000000001E-2</v>
      </c>
      <c r="W256" s="167">
        <v>4.546E-2</v>
      </c>
      <c r="X256" s="4" t="s">
        <v>434</v>
      </c>
      <c r="Y256" s="4" t="s">
        <v>159</v>
      </c>
      <c r="Z256" s="153">
        <v>10111.11</v>
      </c>
      <c r="AA256" s="153">
        <v>1</v>
      </c>
      <c r="AB256" s="153">
        <v>100.5</v>
      </c>
      <c r="AD256" s="153">
        <v>10.162000000000001</v>
      </c>
      <c r="AG256" s="2" t="s">
        <v>37</v>
      </c>
      <c r="AH256" s="153">
        <v>6.0999999999999999E-5</v>
      </c>
      <c r="AI256" s="167">
        <v>3.4274602135166599E-3</v>
      </c>
      <c r="AJ256" s="167">
        <v>6.6753569784565195E-4</v>
      </c>
    </row>
    <row r="257" spans="1:36">
      <c r="A257" s="2" t="s">
        <v>26</v>
      </c>
      <c r="B257" s="2">
        <v>9936</v>
      </c>
      <c r="C257" s="2" t="s">
        <v>2390</v>
      </c>
      <c r="D257" s="2" t="s">
        <v>2391</v>
      </c>
      <c r="E257" s="4" t="s">
        <v>1345</v>
      </c>
      <c r="F257" s="2" t="s">
        <v>2392</v>
      </c>
      <c r="G257" s="2" t="s">
        <v>2393</v>
      </c>
      <c r="H257" s="2" t="s">
        <v>343</v>
      </c>
      <c r="I257" s="2" t="s">
        <v>777</v>
      </c>
      <c r="J257" s="2" t="s">
        <v>31</v>
      </c>
      <c r="K257" s="2" t="s">
        <v>31</v>
      </c>
      <c r="L257" s="2" t="s">
        <v>349</v>
      </c>
      <c r="M257" s="2" t="s">
        <v>49</v>
      </c>
      <c r="N257" s="2" t="s">
        <v>485</v>
      </c>
      <c r="O257" s="2" t="s">
        <v>159</v>
      </c>
      <c r="P257" s="2" t="s">
        <v>2040</v>
      </c>
      <c r="Q257" s="2" t="s">
        <v>128</v>
      </c>
      <c r="R257" s="2" t="s">
        <v>428</v>
      </c>
      <c r="S257" s="2" t="s">
        <v>45</v>
      </c>
      <c r="T257" s="153">
        <v>1.9430000000000001</v>
      </c>
      <c r="U257" s="2" t="s">
        <v>2394</v>
      </c>
      <c r="V257" s="165">
        <v>2.5700000000000001E-2</v>
      </c>
      <c r="W257" s="167">
        <v>2.477E-2</v>
      </c>
      <c r="X257" s="4" t="s">
        <v>434</v>
      </c>
      <c r="Y257" s="4" t="s">
        <v>159</v>
      </c>
      <c r="Z257" s="153">
        <v>25000</v>
      </c>
      <c r="AA257" s="153">
        <v>1</v>
      </c>
      <c r="AB257" s="153">
        <v>113.66</v>
      </c>
      <c r="AD257" s="153">
        <v>28.414999999999999</v>
      </c>
      <c r="AG257" s="2" t="s">
        <v>37</v>
      </c>
      <c r="AH257" s="153">
        <v>1.9000000000000001E-5</v>
      </c>
      <c r="AI257" s="167">
        <v>9.5841849436853407E-3</v>
      </c>
      <c r="AJ257" s="167">
        <v>1.8666257771379001E-3</v>
      </c>
    </row>
    <row r="258" spans="1:36">
      <c r="A258" s="2" t="s">
        <v>26</v>
      </c>
      <c r="B258" s="2">
        <v>9936</v>
      </c>
      <c r="C258" s="2" t="s">
        <v>2390</v>
      </c>
      <c r="D258" s="2" t="s">
        <v>2391</v>
      </c>
      <c r="E258" s="4" t="s">
        <v>1345</v>
      </c>
      <c r="F258" s="2" t="s">
        <v>2395</v>
      </c>
      <c r="G258" s="2" t="s">
        <v>2396</v>
      </c>
      <c r="H258" s="2" t="s">
        <v>343</v>
      </c>
      <c r="I258" s="2" t="s">
        <v>777</v>
      </c>
      <c r="J258" s="2" t="s">
        <v>31</v>
      </c>
      <c r="K258" s="2" t="s">
        <v>31</v>
      </c>
      <c r="L258" s="2" t="s">
        <v>349</v>
      </c>
      <c r="M258" s="2" t="s">
        <v>49</v>
      </c>
      <c r="N258" s="2" t="s">
        <v>485</v>
      </c>
      <c r="O258" s="2" t="s">
        <v>159</v>
      </c>
      <c r="P258" s="2" t="s">
        <v>2040</v>
      </c>
      <c r="Q258" s="2" t="s">
        <v>128</v>
      </c>
      <c r="R258" s="2" t="s">
        <v>428</v>
      </c>
      <c r="S258" s="2" t="s">
        <v>45</v>
      </c>
      <c r="T258" s="153">
        <v>0.73899999999999999</v>
      </c>
      <c r="U258" s="2" t="s">
        <v>1940</v>
      </c>
      <c r="V258" s="165">
        <v>1.2200000000000001E-2</v>
      </c>
      <c r="W258" s="167">
        <v>2.298E-2</v>
      </c>
      <c r="X258" s="4" t="s">
        <v>434</v>
      </c>
      <c r="Y258" s="4" t="s">
        <v>159</v>
      </c>
      <c r="Z258" s="153">
        <v>20000</v>
      </c>
      <c r="AA258" s="153">
        <v>1</v>
      </c>
      <c r="AB258" s="153">
        <v>110.94</v>
      </c>
      <c r="AD258" s="153">
        <v>22.187999999999999</v>
      </c>
      <c r="AG258" s="2" t="s">
        <v>37</v>
      </c>
      <c r="AH258" s="153">
        <v>4.3000000000000002E-5</v>
      </c>
      <c r="AI258" s="167">
        <v>7.4838604796934804E-3</v>
      </c>
      <c r="AJ258" s="167">
        <v>1.4575644111608601E-3</v>
      </c>
    </row>
    <row r="259" spans="1:36">
      <c r="A259" s="2" t="s">
        <v>26</v>
      </c>
      <c r="B259" s="2">
        <v>9936</v>
      </c>
      <c r="C259" s="2" t="s">
        <v>2390</v>
      </c>
      <c r="D259" s="2" t="s">
        <v>2391</v>
      </c>
      <c r="E259" s="4" t="s">
        <v>1345</v>
      </c>
      <c r="F259" s="2" t="s">
        <v>2397</v>
      </c>
      <c r="G259" s="2" t="s">
        <v>2398</v>
      </c>
      <c r="H259" s="2" t="s">
        <v>343</v>
      </c>
      <c r="I259" s="2" t="s">
        <v>990</v>
      </c>
      <c r="J259" s="2" t="s">
        <v>31</v>
      </c>
      <c r="K259" s="2" t="s">
        <v>31</v>
      </c>
      <c r="L259" s="2" t="s">
        <v>349</v>
      </c>
      <c r="M259" s="2" t="s">
        <v>49</v>
      </c>
      <c r="N259" s="2" t="s">
        <v>485</v>
      </c>
      <c r="O259" s="2" t="s">
        <v>159</v>
      </c>
      <c r="P259" s="2" t="s">
        <v>2040</v>
      </c>
      <c r="Q259" s="2" t="s">
        <v>128</v>
      </c>
      <c r="R259" s="2" t="s">
        <v>428</v>
      </c>
      <c r="S259" s="2" t="s">
        <v>45</v>
      </c>
      <c r="T259" s="153">
        <v>3.0419999999999998</v>
      </c>
      <c r="U259" s="2" t="s">
        <v>2399</v>
      </c>
      <c r="V259" s="165">
        <v>2.3E-2</v>
      </c>
      <c r="W259" s="167">
        <v>5.1999999999999998E-2</v>
      </c>
      <c r="X259" s="4" t="s">
        <v>434</v>
      </c>
      <c r="Y259" s="4" t="s">
        <v>159</v>
      </c>
      <c r="Z259" s="153">
        <v>41400</v>
      </c>
      <c r="AA259" s="153">
        <v>1</v>
      </c>
      <c r="AB259" s="153">
        <v>91.96</v>
      </c>
      <c r="AD259" s="153">
        <v>38.070999999999998</v>
      </c>
      <c r="AG259" s="2" t="s">
        <v>37</v>
      </c>
      <c r="AH259" s="153">
        <v>7.2000000000000002E-5</v>
      </c>
      <c r="AI259" s="167">
        <v>1.2841236038445201E-2</v>
      </c>
      <c r="AJ259" s="167">
        <v>2.5009724186788301E-3</v>
      </c>
    </row>
    <row r="260" spans="1:36">
      <c r="A260" s="2" t="s">
        <v>26</v>
      </c>
      <c r="B260" s="2">
        <v>9936</v>
      </c>
      <c r="C260" s="2" t="s">
        <v>2159</v>
      </c>
      <c r="D260" s="2" t="s">
        <v>2160</v>
      </c>
      <c r="E260" s="4" t="s">
        <v>1345</v>
      </c>
      <c r="F260" s="2" t="s">
        <v>2161</v>
      </c>
      <c r="G260" s="2" t="s">
        <v>2162</v>
      </c>
      <c r="H260" s="2" t="s">
        <v>343</v>
      </c>
      <c r="I260" s="2" t="s">
        <v>777</v>
      </c>
      <c r="J260" s="2" t="s">
        <v>31</v>
      </c>
      <c r="K260" s="2" t="s">
        <v>31</v>
      </c>
      <c r="L260" s="2" t="s">
        <v>349</v>
      </c>
      <c r="M260" s="2" t="s">
        <v>49</v>
      </c>
      <c r="N260" s="2" t="s">
        <v>471</v>
      </c>
      <c r="O260" s="2" t="s">
        <v>159</v>
      </c>
      <c r="P260" s="2" t="s">
        <v>1945</v>
      </c>
      <c r="Q260" s="2" t="s">
        <v>453</v>
      </c>
      <c r="R260" s="2" t="s">
        <v>428</v>
      </c>
      <c r="S260" s="2" t="s">
        <v>45</v>
      </c>
      <c r="T260" s="153">
        <v>3.17</v>
      </c>
      <c r="U260" s="2" t="s">
        <v>2163</v>
      </c>
      <c r="V260" s="165">
        <v>2.8799999999999999E-2</v>
      </c>
      <c r="W260" s="167">
        <v>3.6900000000000002E-2</v>
      </c>
      <c r="X260" s="4" t="s">
        <v>434</v>
      </c>
      <c r="Y260" s="4" t="s">
        <v>159</v>
      </c>
      <c r="Z260" s="153">
        <v>25000</v>
      </c>
      <c r="AA260" s="153">
        <v>1</v>
      </c>
      <c r="AB260" s="153">
        <v>111.527</v>
      </c>
      <c r="AD260" s="153">
        <v>27.882000000000001</v>
      </c>
      <c r="AG260" s="2" t="s">
        <v>37</v>
      </c>
      <c r="AH260" s="153">
        <v>0</v>
      </c>
      <c r="AI260" s="167">
        <v>9.4043233698257508E-3</v>
      </c>
      <c r="AJ260" s="167">
        <v>1.83159575089617E-3</v>
      </c>
    </row>
    <row r="261" spans="1:36">
      <c r="A261" s="2" t="s">
        <v>26</v>
      </c>
      <c r="B261" s="2">
        <v>9936</v>
      </c>
      <c r="C261" s="2" t="s">
        <v>2159</v>
      </c>
      <c r="D261" s="2" t="s">
        <v>2160</v>
      </c>
      <c r="E261" s="4" t="s">
        <v>1345</v>
      </c>
      <c r="F261" s="2" t="s">
        <v>2164</v>
      </c>
      <c r="G261" s="2" t="s">
        <v>2162</v>
      </c>
      <c r="H261" s="2" t="s">
        <v>343</v>
      </c>
      <c r="I261" s="2" t="s">
        <v>777</v>
      </c>
      <c r="J261" s="2" t="s">
        <v>31</v>
      </c>
      <c r="K261" s="2" t="s">
        <v>31</v>
      </c>
      <c r="L261" s="2" t="s">
        <v>349</v>
      </c>
      <c r="M261" s="2" t="s">
        <v>49</v>
      </c>
      <c r="N261" s="2" t="s">
        <v>471</v>
      </c>
      <c r="O261" s="2" t="s">
        <v>159</v>
      </c>
      <c r="P261" s="2" t="s">
        <v>1945</v>
      </c>
      <c r="Q261" s="2" t="s">
        <v>453</v>
      </c>
      <c r="R261" s="2" t="s">
        <v>428</v>
      </c>
      <c r="S261" s="2" t="s">
        <v>45</v>
      </c>
      <c r="T261" s="153">
        <v>3.0790000000000002</v>
      </c>
      <c r="U261" s="2" t="s">
        <v>2165</v>
      </c>
      <c r="V261" s="165">
        <v>2.8799999999999999E-2</v>
      </c>
      <c r="W261" s="167">
        <v>3.0550000000000001E-2</v>
      </c>
      <c r="X261" s="4" t="s">
        <v>434</v>
      </c>
      <c r="Y261" s="4" t="s">
        <v>159</v>
      </c>
      <c r="Z261" s="153">
        <v>-2777.78</v>
      </c>
      <c r="AA261" s="153">
        <v>1</v>
      </c>
      <c r="AB261" s="153">
        <v>111.23</v>
      </c>
      <c r="AD261" s="153">
        <v>-3.09</v>
      </c>
      <c r="AG261" s="2" t="s">
        <v>37</v>
      </c>
      <c r="AH261" s="153">
        <v>-1.4E-5</v>
      </c>
      <c r="AI261" s="167">
        <v>-1.0421429840706501E-3</v>
      </c>
      <c r="AJ261" s="167">
        <v>-2.0296884596445299E-4</v>
      </c>
    </row>
    <row r="262" spans="1:36">
      <c r="A262" s="2" t="s">
        <v>26</v>
      </c>
      <c r="B262" s="2">
        <v>9936</v>
      </c>
      <c r="C262" s="2" t="s">
        <v>1960</v>
      </c>
      <c r="D262" s="2" t="s">
        <v>1961</v>
      </c>
      <c r="E262" s="4" t="s">
        <v>44</v>
      </c>
      <c r="F262" s="2" t="s">
        <v>1962</v>
      </c>
      <c r="G262" s="2" t="s">
        <v>1963</v>
      </c>
      <c r="H262" s="2" t="s">
        <v>343</v>
      </c>
      <c r="I262" s="2" t="s">
        <v>990</v>
      </c>
      <c r="J262" s="2" t="s">
        <v>31</v>
      </c>
      <c r="K262" s="2" t="s">
        <v>31</v>
      </c>
      <c r="L262" s="2" t="s">
        <v>349</v>
      </c>
      <c r="M262" s="2" t="s">
        <v>49</v>
      </c>
      <c r="N262" s="2" t="s">
        <v>485</v>
      </c>
      <c r="O262" s="2" t="s">
        <v>159</v>
      </c>
      <c r="P262" s="2" t="s">
        <v>1810</v>
      </c>
      <c r="Q262" s="2" t="s">
        <v>128</v>
      </c>
      <c r="R262" s="2" t="s">
        <v>428</v>
      </c>
      <c r="S262" s="2" t="s">
        <v>45</v>
      </c>
      <c r="T262" s="153">
        <v>1.44</v>
      </c>
      <c r="U262" s="2" t="s">
        <v>1964</v>
      </c>
      <c r="V262" s="165">
        <v>7.0000000000000007E-2</v>
      </c>
      <c r="W262" s="167">
        <v>6.7129999999999995E-2</v>
      </c>
      <c r="X262" s="4" t="s">
        <v>434</v>
      </c>
      <c r="Y262" s="4" t="s">
        <v>159</v>
      </c>
      <c r="Z262" s="153">
        <v>42091.44</v>
      </c>
      <c r="AA262" s="153">
        <v>1</v>
      </c>
      <c r="AB262" s="153">
        <v>100.59</v>
      </c>
      <c r="AD262" s="153">
        <v>42.34</v>
      </c>
      <c r="AG262" s="2" t="s">
        <v>37</v>
      </c>
      <c r="AH262" s="153">
        <v>6.9999999999999994E-5</v>
      </c>
      <c r="AI262" s="167">
        <v>1.42809177253043E-2</v>
      </c>
      <c r="AJ262" s="167">
        <v>2.7813663137627501E-3</v>
      </c>
    </row>
    <row r="263" spans="1:36">
      <c r="A263" s="2" t="s">
        <v>26</v>
      </c>
      <c r="B263" s="2">
        <v>9936</v>
      </c>
      <c r="C263" s="2" t="s">
        <v>1960</v>
      </c>
      <c r="D263" s="2" t="s">
        <v>1961</v>
      </c>
      <c r="E263" s="4" t="s">
        <v>44</v>
      </c>
      <c r="F263" s="2" t="s">
        <v>1965</v>
      </c>
      <c r="G263" s="2" t="s">
        <v>1966</v>
      </c>
      <c r="H263" s="2" t="s">
        <v>343</v>
      </c>
      <c r="I263" s="2" t="s">
        <v>990</v>
      </c>
      <c r="J263" s="2" t="s">
        <v>31</v>
      </c>
      <c r="K263" s="2" t="s">
        <v>31</v>
      </c>
      <c r="L263" s="2" t="s">
        <v>351</v>
      </c>
      <c r="M263" s="2" t="s">
        <v>49</v>
      </c>
      <c r="N263" s="2" t="s">
        <v>467</v>
      </c>
      <c r="O263" s="2" t="s">
        <v>159</v>
      </c>
      <c r="P263" s="2" t="s">
        <v>1810</v>
      </c>
      <c r="Q263" s="2" t="s">
        <v>128</v>
      </c>
      <c r="R263" s="2" t="s">
        <v>428</v>
      </c>
      <c r="S263" s="2" t="s">
        <v>45</v>
      </c>
      <c r="T263" s="153">
        <v>3.15</v>
      </c>
      <c r="U263" s="2" t="s">
        <v>1967</v>
      </c>
      <c r="V263" s="165">
        <v>6.5000000000000002E-2</v>
      </c>
      <c r="W263" s="167">
        <v>8.9200000000000002E-2</v>
      </c>
      <c r="X263" s="4" t="s">
        <v>434</v>
      </c>
      <c r="Y263" s="4" t="s">
        <v>159</v>
      </c>
      <c r="Z263" s="153">
        <v>45000</v>
      </c>
      <c r="AA263" s="153">
        <v>1</v>
      </c>
      <c r="AB263" s="153">
        <v>98.662999999999997</v>
      </c>
      <c r="AD263" s="153">
        <v>44.398000000000003</v>
      </c>
      <c r="AG263" s="2" t="s">
        <v>37</v>
      </c>
      <c r="AH263" s="153">
        <v>0</v>
      </c>
      <c r="AI263" s="167">
        <v>1.49752594613575E-2</v>
      </c>
      <c r="AJ263" s="167">
        <v>2.9165970287661699E-3</v>
      </c>
    </row>
    <row r="264" spans="1:36">
      <c r="A264" s="2" t="s">
        <v>26</v>
      </c>
      <c r="B264" s="2">
        <v>9936</v>
      </c>
      <c r="C264" s="2" t="s">
        <v>1775</v>
      </c>
      <c r="D264" s="2" t="s">
        <v>1776</v>
      </c>
      <c r="E264" s="4" t="s">
        <v>1345</v>
      </c>
      <c r="F264" s="2" t="s">
        <v>2166</v>
      </c>
      <c r="G264" s="2" t="s">
        <v>2167</v>
      </c>
      <c r="H264" s="2" t="s">
        <v>343</v>
      </c>
      <c r="I264" s="2" t="s">
        <v>777</v>
      </c>
      <c r="J264" s="2" t="s">
        <v>31</v>
      </c>
      <c r="K264" s="2" t="s">
        <v>31</v>
      </c>
      <c r="L264" s="2" t="s">
        <v>349</v>
      </c>
      <c r="M264" s="2" t="s">
        <v>49</v>
      </c>
      <c r="N264" s="2" t="s">
        <v>484</v>
      </c>
      <c r="O264" s="2" t="s">
        <v>159</v>
      </c>
      <c r="P264" s="2" t="s">
        <v>1779</v>
      </c>
      <c r="Q264" s="2" t="s">
        <v>435</v>
      </c>
      <c r="R264" s="2" t="s">
        <v>428</v>
      </c>
      <c r="S264" s="2" t="s">
        <v>45</v>
      </c>
      <c r="T264" s="153">
        <v>5.4580000000000002</v>
      </c>
      <c r="U264" s="2" t="s">
        <v>2168</v>
      </c>
      <c r="V264" s="165">
        <v>6.4999999999999997E-3</v>
      </c>
      <c r="W264" s="167">
        <v>2.6950000000000002E-2</v>
      </c>
      <c r="X264" s="4" t="s">
        <v>434</v>
      </c>
      <c r="Y264" s="4" t="s">
        <v>159</v>
      </c>
      <c r="Z264" s="153">
        <v>15000</v>
      </c>
      <c r="AA264" s="153">
        <v>1</v>
      </c>
      <c r="AB264" s="153">
        <v>99.03</v>
      </c>
      <c r="AD264" s="153">
        <v>14.853999999999999</v>
      </c>
      <c r="AG264" s="2" t="s">
        <v>37</v>
      </c>
      <c r="AH264" s="153">
        <v>6.9999999999999999E-6</v>
      </c>
      <c r="AI264" s="167">
        <v>5.0103211418607704E-3</v>
      </c>
      <c r="AJ264" s="167">
        <v>9.7581533015995005E-4</v>
      </c>
    </row>
    <row r="265" spans="1:36">
      <c r="A265" s="2" t="s">
        <v>26</v>
      </c>
      <c r="B265" s="2">
        <v>9936</v>
      </c>
      <c r="C265" s="2" t="s">
        <v>1968</v>
      </c>
      <c r="D265" s="2" t="s">
        <v>1969</v>
      </c>
      <c r="E265" s="4" t="s">
        <v>1345</v>
      </c>
      <c r="F265" s="2" t="s">
        <v>1970</v>
      </c>
      <c r="G265" s="2" t="s">
        <v>1971</v>
      </c>
      <c r="H265" s="2" t="s">
        <v>343</v>
      </c>
      <c r="I265" s="2" t="s">
        <v>990</v>
      </c>
      <c r="J265" s="2" t="s">
        <v>31</v>
      </c>
      <c r="K265" s="2" t="s">
        <v>31</v>
      </c>
      <c r="L265" s="2" t="s">
        <v>349</v>
      </c>
      <c r="M265" s="2" t="s">
        <v>49</v>
      </c>
      <c r="N265" s="2" t="s">
        <v>460</v>
      </c>
      <c r="O265" s="2" t="s">
        <v>159</v>
      </c>
      <c r="P265" s="2" t="s">
        <v>1795</v>
      </c>
      <c r="Q265" s="2" t="s">
        <v>435</v>
      </c>
      <c r="R265" s="2" t="s">
        <v>428</v>
      </c>
      <c r="S265" s="2" t="s">
        <v>45</v>
      </c>
      <c r="T265" s="153">
        <v>3.6160000000000001</v>
      </c>
      <c r="U265" s="2" t="s">
        <v>1972</v>
      </c>
      <c r="V265" s="165">
        <v>0.05</v>
      </c>
      <c r="W265" s="167">
        <v>5.287E-2</v>
      </c>
      <c r="X265" s="4" t="s">
        <v>434</v>
      </c>
      <c r="Y265" s="4" t="s">
        <v>159</v>
      </c>
      <c r="Z265" s="153">
        <v>17634.919999999998</v>
      </c>
      <c r="AA265" s="153">
        <v>1</v>
      </c>
      <c r="AB265" s="153">
        <v>99.32</v>
      </c>
      <c r="AD265" s="153">
        <v>17.515000000000001</v>
      </c>
      <c r="AG265" s="2" t="s">
        <v>37</v>
      </c>
      <c r="AH265" s="153">
        <v>1.7E-5</v>
      </c>
      <c r="AI265" s="167">
        <v>5.9076904336025004E-3</v>
      </c>
      <c r="AJ265" s="167">
        <v>1.1505879019977599E-3</v>
      </c>
    </row>
    <row r="266" spans="1:36">
      <c r="A266" s="2" t="s">
        <v>26</v>
      </c>
      <c r="B266" s="2">
        <v>9936</v>
      </c>
      <c r="C266" s="2" t="s">
        <v>2400</v>
      </c>
      <c r="D266" s="2" t="s">
        <v>2401</v>
      </c>
      <c r="E266" s="4" t="s">
        <v>1345</v>
      </c>
      <c r="F266" s="2" t="s">
        <v>2402</v>
      </c>
      <c r="G266" s="2" t="s">
        <v>2403</v>
      </c>
      <c r="H266" s="2" t="s">
        <v>343</v>
      </c>
      <c r="I266" s="2" t="s">
        <v>777</v>
      </c>
      <c r="J266" s="2" t="s">
        <v>31</v>
      </c>
      <c r="K266" s="2" t="s">
        <v>31</v>
      </c>
      <c r="L266" s="2" t="s">
        <v>349</v>
      </c>
      <c r="M266" s="2" t="s">
        <v>49</v>
      </c>
      <c r="N266" s="2" t="s">
        <v>468</v>
      </c>
      <c r="O266" s="2" t="s">
        <v>159</v>
      </c>
      <c r="P266" s="2" t="s">
        <v>127</v>
      </c>
      <c r="Q266" s="2" t="s">
        <v>128</v>
      </c>
      <c r="R266" s="2" t="s">
        <v>428</v>
      </c>
      <c r="S266" s="2" t="s">
        <v>45</v>
      </c>
      <c r="T266" s="153">
        <v>0.22700000000000001</v>
      </c>
      <c r="U266" s="2" t="s">
        <v>2404</v>
      </c>
      <c r="V266" s="165">
        <v>5.0000000000000001E-3</v>
      </c>
      <c r="W266" s="167">
        <v>7.1900000000000002E-3</v>
      </c>
      <c r="X266" s="4" t="s">
        <v>434</v>
      </c>
      <c r="Y266" s="4" t="s">
        <v>159</v>
      </c>
      <c r="Z266" s="153">
        <v>12921.92</v>
      </c>
      <c r="AA266" s="153">
        <v>1</v>
      </c>
      <c r="AB266" s="153">
        <v>112.22</v>
      </c>
      <c r="AD266" s="153">
        <v>14.500999999999999</v>
      </c>
      <c r="AG266" s="2" t="s">
        <v>37</v>
      </c>
      <c r="AH266" s="153">
        <v>5.7000000000000003E-5</v>
      </c>
      <c r="AI266" s="167">
        <v>4.8910808022820298E-3</v>
      </c>
      <c r="AJ266" s="167">
        <v>9.5259195823628798E-4</v>
      </c>
    </row>
    <row r="267" spans="1:36">
      <c r="A267" s="2" t="s">
        <v>26</v>
      </c>
      <c r="B267" s="2">
        <v>9936</v>
      </c>
      <c r="C267" s="2" t="s">
        <v>1806</v>
      </c>
      <c r="D267" s="2" t="s">
        <v>1807</v>
      </c>
      <c r="E267" s="4" t="s">
        <v>1345</v>
      </c>
      <c r="F267" s="2" t="s">
        <v>1808</v>
      </c>
      <c r="G267" s="2" t="s">
        <v>1809</v>
      </c>
      <c r="H267" s="2" t="s">
        <v>343</v>
      </c>
      <c r="I267" s="2" t="s">
        <v>990</v>
      </c>
      <c r="J267" s="2" t="s">
        <v>31</v>
      </c>
      <c r="K267" s="2" t="s">
        <v>31</v>
      </c>
      <c r="L267" s="2" t="s">
        <v>349</v>
      </c>
      <c r="M267" s="2" t="s">
        <v>49</v>
      </c>
      <c r="N267" s="2" t="s">
        <v>460</v>
      </c>
      <c r="O267" s="2" t="s">
        <v>159</v>
      </c>
      <c r="P267" s="2" t="s">
        <v>1810</v>
      </c>
      <c r="Q267" s="2" t="s">
        <v>128</v>
      </c>
      <c r="R267" s="2" t="s">
        <v>428</v>
      </c>
      <c r="S267" s="2" t="s">
        <v>45</v>
      </c>
      <c r="T267" s="153">
        <v>3.07</v>
      </c>
      <c r="U267" s="2" t="s">
        <v>1811</v>
      </c>
      <c r="V267" s="165">
        <v>7.2499999999999995E-2</v>
      </c>
      <c r="W267" s="167">
        <v>6.232E-2</v>
      </c>
      <c r="X267" s="4" t="s">
        <v>434</v>
      </c>
      <c r="Y267" s="4" t="s">
        <v>159</v>
      </c>
      <c r="Z267" s="153">
        <v>60000</v>
      </c>
      <c r="AA267" s="153">
        <v>1</v>
      </c>
      <c r="AB267" s="153">
        <v>108.29</v>
      </c>
      <c r="AD267" s="153">
        <v>64.974000000000004</v>
      </c>
      <c r="AG267" s="2" t="s">
        <v>37</v>
      </c>
      <c r="AH267" s="153">
        <v>1.03E-4</v>
      </c>
      <c r="AI267" s="167">
        <v>2.19152853257438E-2</v>
      </c>
      <c r="AJ267" s="167">
        <v>4.2682436475015998E-3</v>
      </c>
    </row>
    <row r="268" spans="1:36">
      <c r="A268" s="2" t="s">
        <v>26</v>
      </c>
      <c r="B268" s="2">
        <v>9936</v>
      </c>
      <c r="C268" s="2" t="s">
        <v>2054</v>
      </c>
      <c r="D268" s="2" t="s">
        <v>2055</v>
      </c>
      <c r="E268" s="4" t="s">
        <v>1345</v>
      </c>
      <c r="F268" s="2" t="s">
        <v>2056</v>
      </c>
      <c r="G268" s="2" t="s">
        <v>2057</v>
      </c>
      <c r="H268" s="2" t="s">
        <v>343</v>
      </c>
      <c r="I268" s="2" t="s">
        <v>777</v>
      </c>
      <c r="J268" s="2" t="s">
        <v>31</v>
      </c>
      <c r="K268" s="2" t="s">
        <v>31</v>
      </c>
      <c r="L268" s="2" t="s">
        <v>349</v>
      </c>
      <c r="M268" s="2" t="s">
        <v>49</v>
      </c>
      <c r="N268" s="2" t="s">
        <v>484</v>
      </c>
      <c r="O268" s="2" t="s">
        <v>159</v>
      </c>
      <c r="P268" s="2" t="s">
        <v>1779</v>
      </c>
      <c r="Q268" s="2" t="s">
        <v>435</v>
      </c>
      <c r="R268" s="2" t="s">
        <v>428</v>
      </c>
      <c r="S268" s="2" t="s">
        <v>45</v>
      </c>
      <c r="T268" s="153">
        <v>3.839</v>
      </c>
      <c r="U268" s="2" t="s">
        <v>2058</v>
      </c>
      <c r="V268" s="165">
        <v>5.0000000000000001E-3</v>
      </c>
      <c r="W268" s="167">
        <v>2.52E-2</v>
      </c>
      <c r="X268" s="4" t="s">
        <v>434</v>
      </c>
      <c r="Y268" s="4" t="s">
        <v>159</v>
      </c>
      <c r="Z268" s="153">
        <v>37281.39</v>
      </c>
      <c r="AA268" s="153">
        <v>1</v>
      </c>
      <c r="AB268" s="153">
        <v>103.12</v>
      </c>
      <c r="AD268" s="153">
        <v>38.445</v>
      </c>
      <c r="AG268" s="2" t="s">
        <v>37</v>
      </c>
      <c r="AH268" s="153">
        <v>2.0999999999999999E-5</v>
      </c>
      <c r="AI268" s="167">
        <v>1.29670900194704E-2</v>
      </c>
      <c r="AJ268" s="167">
        <v>2.5254838702542699E-3</v>
      </c>
    </row>
    <row r="269" spans="1:36">
      <c r="A269" s="2" t="s">
        <v>26</v>
      </c>
      <c r="B269" s="2">
        <v>9936</v>
      </c>
      <c r="C269" s="2" t="s">
        <v>2054</v>
      </c>
      <c r="D269" s="2" t="s">
        <v>2055</v>
      </c>
      <c r="E269" s="4" t="s">
        <v>1345</v>
      </c>
      <c r="F269" s="2" t="s">
        <v>2178</v>
      </c>
      <c r="G269" s="2" t="s">
        <v>2179</v>
      </c>
      <c r="H269" s="2" t="s">
        <v>343</v>
      </c>
      <c r="I269" s="2" t="s">
        <v>777</v>
      </c>
      <c r="J269" s="2" t="s">
        <v>31</v>
      </c>
      <c r="K269" s="2" t="s">
        <v>31</v>
      </c>
      <c r="L269" s="2" t="s">
        <v>349</v>
      </c>
      <c r="M269" s="2" t="s">
        <v>49</v>
      </c>
      <c r="N269" s="2" t="s">
        <v>484</v>
      </c>
      <c r="O269" s="2" t="s">
        <v>159</v>
      </c>
      <c r="P269" s="2" t="s">
        <v>1779</v>
      </c>
      <c r="Q269" s="2" t="s">
        <v>435</v>
      </c>
      <c r="R269" s="2" t="s">
        <v>428</v>
      </c>
      <c r="S269" s="2" t="s">
        <v>45</v>
      </c>
      <c r="T269" s="153">
        <v>1.466</v>
      </c>
      <c r="U269" s="2" t="s">
        <v>1964</v>
      </c>
      <c r="V269" s="165">
        <v>4.7500000000000001E-2</v>
      </c>
      <c r="W269" s="167">
        <v>1.567E-2</v>
      </c>
      <c r="X269" s="4" t="s">
        <v>434</v>
      </c>
      <c r="Y269" s="4" t="s">
        <v>159</v>
      </c>
      <c r="Z269" s="153">
        <v>36666.68</v>
      </c>
      <c r="AA269" s="153">
        <v>1</v>
      </c>
      <c r="AB269" s="153">
        <v>141.47999999999999</v>
      </c>
      <c r="AD269" s="153">
        <v>51.875999999999998</v>
      </c>
      <c r="AG269" s="2" t="s">
        <v>37</v>
      </c>
      <c r="AH269" s="153">
        <v>2.8E-5</v>
      </c>
      <c r="AI269" s="167">
        <v>1.74974259698992E-2</v>
      </c>
      <c r="AJ269" s="167">
        <v>3.4078167878526999E-3</v>
      </c>
    </row>
    <row r="270" spans="1:36">
      <c r="A270" s="2" t="s">
        <v>26</v>
      </c>
      <c r="B270" s="2">
        <v>9936</v>
      </c>
      <c r="C270" s="2" t="s">
        <v>1973</v>
      </c>
      <c r="D270" s="2" t="s">
        <v>1974</v>
      </c>
      <c r="E270" s="4" t="s">
        <v>1345</v>
      </c>
      <c r="F270" s="2" t="s">
        <v>2180</v>
      </c>
      <c r="G270" s="2" t="s">
        <v>1976</v>
      </c>
      <c r="H270" s="2" t="s">
        <v>343</v>
      </c>
      <c r="I270" s="2" t="s">
        <v>990</v>
      </c>
      <c r="J270" s="2" t="s">
        <v>31</v>
      </c>
      <c r="K270" s="2" t="s">
        <v>31</v>
      </c>
      <c r="L270" s="2" t="s">
        <v>349</v>
      </c>
      <c r="M270" s="2" t="s">
        <v>49</v>
      </c>
      <c r="N270" s="2" t="s">
        <v>467</v>
      </c>
      <c r="O270" s="2" t="s">
        <v>159</v>
      </c>
      <c r="P270" s="2" t="s">
        <v>1350</v>
      </c>
      <c r="Q270" s="2" t="s">
        <v>336</v>
      </c>
      <c r="R270" s="2" t="s">
        <v>430</v>
      </c>
      <c r="S270" s="2" t="s">
        <v>45</v>
      </c>
      <c r="T270" s="153">
        <v>2.0339999999999998</v>
      </c>
      <c r="U270" s="2" t="s">
        <v>1824</v>
      </c>
      <c r="V270" s="165">
        <v>3.8699999999999998E-2</v>
      </c>
      <c r="W270" s="167">
        <v>5.9580000000000001E-2</v>
      </c>
      <c r="X270" s="4" t="s">
        <v>434</v>
      </c>
      <c r="Y270" s="4" t="s">
        <v>159</v>
      </c>
      <c r="Z270" s="153">
        <v>3846.15</v>
      </c>
      <c r="AA270" s="153">
        <v>1</v>
      </c>
      <c r="AB270" s="153">
        <v>97.05</v>
      </c>
      <c r="AD270" s="153">
        <v>3.7330000000000001</v>
      </c>
      <c r="AG270" s="2" t="s">
        <v>37</v>
      </c>
      <c r="AH270" s="153">
        <v>1.2E-5</v>
      </c>
      <c r="AI270" s="167">
        <v>1.25901029878519E-3</v>
      </c>
      <c r="AJ270" s="167">
        <v>2.4520614858782801E-4</v>
      </c>
    </row>
    <row r="271" spans="1:36">
      <c r="A271" s="2" t="s">
        <v>26</v>
      </c>
      <c r="B271" s="2">
        <v>9936</v>
      </c>
      <c r="C271" s="2" t="s">
        <v>1973</v>
      </c>
      <c r="D271" s="2" t="s">
        <v>1974</v>
      </c>
      <c r="E271" s="4" t="s">
        <v>1345</v>
      </c>
      <c r="F271" s="2" t="s">
        <v>1975</v>
      </c>
      <c r="G271" s="2" t="s">
        <v>1976</v>
      </c>
      <c r="H271" s="2" t="s">
        <v>343</v>
      </c>
      <c r="I271" s="2" t="s">
        <v>990</v>
      </c>
      <c r="J271" s="2" t="s">
        <v>31</v>
      </c>
      <c r="K271" s="2" t="s">
        <v>31</v>
      </c>
      <c r="L271" s="2" t="s">
        <v>351</v>
      </c>
      <c r="M271" s="2" t="s">
        <v>49</v>
      </c>
      <c r="N271" s="2" t="s">
        <v>467</v>
      </c>
      <c r="O271" s="2" t="s">
        <v>159</v>
      </c>
      <c r="P271" s="2" t="s">
        <v>1350</v>
      </c>
      <c r="Q271" s="2" t="s">
        <v>336</v>
      </c>
      <c r="R271" s="2" t="s">
        <v>430</v>
      </c>
      <c r="S271" s="2" t="s">
        <v>45</v>
      </c>
      <c r="T271" s="153">
        <v>2.2799999999999998</v>
      </c>
      <c r="U271" s="2" t="s">
        <v>1824</v>
      </c>
      <c r="V271" s="165">
        <v>3.8699999999999998E-2</v>
      </c>
      <c r="W271" s="167">
        <v>5.8299999999999998E-2</v>
      </c>
      <c r="X271" s="4" t="s">
        <v>434</v>
      </c>
      <c r="Y271" s="4" t="s">
        <v>159</v>
      </c>
      <c r="Z271" s="153">
        <v>9000</v>
      </c>
      <c r="AA271" s="153">
        <v>1</v>
      </c>
      <c r="AB271" s="153">
        <v>96.995000000000005</v>
      </c>
      <c r="AD271" s="153">
        <v>8.73</v>
      </c>
      <c r="AG271" s="2" t="s">
        <v>37</v>
      </c>
      <c r="AH271" s="153">
        <v>2.8E-5</v>
      </c>
      <c r="AI271" s="167">
        <v>2.9444295866903501E-3</v>
      </c>
      <c r="AJ271" s="167">
        <v>5.7346015313539198E-4</v>
      </c>
    </row>
    <row r="272" spans="1:36">
      <c r="A272" s="2" t="s">
        <v>26</v>
      </c>
      <c r="B272" s="2">
        <v>9936</v>
      </c>
      <c r="C272" s="2" t="s">
        <v>2405</v>
      </c>
      <c r="D272" s="2" t="s">
        <v>2406</v>
      </c>
      <c r="E272" s="4" t="s">
        <v>44</v>
      </c>
      <c r="F272" s="2" t="s">
        <v>2407</v>
      </c>
      <c r="G272" s="2" t="s">
        <v>2408</v>
      </c>
      <c r="H272" s="2" t="s">
        <v>343</v>
      </c>
      <c r="I272" s="2" t="s">
        <v>990</v>
      </c>
      <c r="J272" s="2" t="s">
        <v>31</v>
      </c>
      <c r="K272" s="2" t="s">
        <v>125</v>
      </c>
      <c r="L272" s="2" t="s">
        <v>349</v>
      </c>
      <c r="M272" s="2" t="s">
        <v>49</v>
      </c>
      <c r="N272" s="2" t="s">
        <v>485</v>
      </c>
      <c r="O272" s="2" t="s">
        <v>159</v>
      </c>
      <c r="P272" s="2" t="s">
        <v>1945</v>
      </c>
      <c r="Q272" s="2" t="s">
        <v>435</v>
      </c>
      <c r="R272" s="2" t="s">
        <v>428</v>
      </c>
      <c r="S272" s="2" t="s">
        <v>45</v>
      </c>
      <c r="T272" s="153">
        <v>1.0529999999999999</v>
      </c>
      <c r="U272" s="2" t="s">
        <v>2409</v>
      </c>
      <c r="V272" s="165">
        <v>7.3999999999999996E-2</v>
      </c>
      <c r="W272" s="167">
        <v>6.1710000000000001E-2</v>
      </c>
      <c r="X272" s="4" t="s">
        <v>434</v>
      </c>
      <c r="Y272" s="4" t="s">
        <v>159</v>
      </c>
      <c r="Z272" s="153">
        <v>25000</v>
      </c>
      <c r="AA272" s="153">
        <v>1</v>
      </c>
      <c r="AB272" s="153">
        <v>104.2</v>
      </c>
      <c r="AD272" s="153">
        <v>26.05</v>
      </c>
      <c r="AG272" s="2" t="s">
        <v>37</v>
      </c>
      <c r="AH272" s="153">
        <v>5.3999999999999998E-5</v>
      </c>
      <c r="AI272" s="167">
        <v>8.7864866367412704E-3</v>
      </c>
      <c r="AJ272" s="167">
        <v>1.71126522943665E-3</v>
      </c>
    </row>
    <row r="273" spans="1:36">
      <c r="A273" s="2" t="s">
        <v>26</v>
      </c>
      <c r="B273" s="2">
        <v>9936</v>
      </c>
      <c r="C273" s="2" t="s">
        <v>1812</v>
      </c>
      <c r="D273" s="2" t="s">
        <v>1813</v>
      </c>
      <c r="E273" s="4" t="s">
        <v>1345</v>
      </c>
      <c r="F273" s="2" t="s">
        <v>1814</v>
      </c>
      <c r="G273" s="2" t="s">
        <v>1815</v>
      </c>
      <c r="H273" s="2" t="s">
        <v>343</v>
      </c>
      <c r="I273" s="2" t="s">
        <v>777</v>
      </c>
      <c r="J273" s="2" t="s">
        <v>31</v>
      </c>
      <c r="K273" s="2" t="s">
        <v>31</v>
      </c>
      <c r="L273" s="2" t="s">
        <v>349</v>
      </c>
      <c r="M273" s="2" t="s">
        <v>49</v>
      </c>
      <c r="N273" s="2" t="s">
        <v>468</v>
      </c>
      <c r="O273" s="2" t="s">
        <v>159</v>
      </c>
      <c r="P273" s="2" t="s">
        <v>127</v>
      </c>
      <c r="Q273" s="2" t="s">
        <v>128</v>
      </c>
      <c r="R273" s="2" t="s">
        <v>428</v>
      </c>
      <c r="S273" s="2" t="s">
        <v>45</v>
      </c>
      <c r="T273" s="153">
        <v>4.2549999999999999</v>
      </c>
      <c r="U273" s="2" t="s">
        <v>1816</v>
      </c>
      <c r="V273" s="165">
        <v>2E-3</v>
      </c>
      <c r="W273" s="167">
        <v>1.9359999999999999E-2</v>
      </c>
      <c r="X273" s="4" t="s">
        <v>434</v>
      </c>
      <c r="Y273" s="4" t="s">
        <v>159</v>
      </c>
      <c r="Z273" s="153">
        <v>79929.83</v>
      </c>
      <c r="AA273" s="153">
        <v>1</v>
      </c>
      <c r="AB273" s="153">
        <v>101.27</v>
      </c>
      <c r="AD273" s="153">
        <v>80.944999999999993</v>
      </c>
      <c r="AG273" s="2" t="s">
        <v>37</v>
      </c>
      <c r="AH273" s="153">
        <v>1.9000000000000001E-5</v>
      </c>
      <c r="AI273" s="167">
        <v>2.7302173644463901E-2</v>
      </c>
      <c r="AJ273" s="167">
        <v>5.3173995906901899E-3</v>
      </c>
    </row>
    <row r="274" spans="1:36">
      <c r="A274" s="2" t="s">
        <v>26</v>
      </c>
      <c r="B274" s="2">
        <v>9936</v>
      </c>
      <c r="C274" s="2" t="s">
        <v>2186</v>
      </c>
      <c r="D274" s="2" t="s">
        <v>2187</v>
      </c>
      <c r="E274" s="4" t="s">
        <v>1345</v>
      </c>
      <c r="F274" s="2" t="s">
        <v>2188</v>
      </c>
      <c r="G274" s="2" t="s">
        <v>2189</v>
      </c>
      <c r="H274" s="2" t="s">
        <v>343</v>
      </c>
      <c r="I274" s="2" t="s">
        <v>777</v>
      </c>
      <c r="J274" s="2" t="s">
        <v>31</v>
      </c>
      <c r="K274" s="2" t="s">
        <v>31</v>
      </c>
      <c r="L274" s="2" t="s">
        <v>349</v>
      </c>
      <c r="M274" s="2" t="s">
        <v>49</v>
      </c>
      <c r="N274" s="2" t="s">
        <v>484</v>
      </c>
      <c r="O274" s="2" t="s">
        <v>159</v>
      </c>
      <c r="P274" s="2" t="s">
        <v>1994</v>
      </c>
      <c r="Q274" s="2" t="s">
        <v>435</v>
      </c>
      <c r="R274" s="2" t="s">
        <v>428</v>
      </c>
      <c r="S274" s="2" t="s">
        <v>45</v>
      </c>
      <c r="T274" s="153">
        <v>3.665</v>
      </c>
      <c r="U274" s="2" t="s">
        <v>1830</v>
      </c>
      <c r="V274" s="165">
        <v>2.7E-2</v>
      </c>
      <c r="W274" s="167">
        <v>2.8670000000000001E-2</v>
      </c>
      <c r="X274" s="4" t="s">
        <v>434</v>
      </c>
      <c r="Y274" s="4" t="s">
        <v>159</v>
      </c>
      <c r="Z274" s="153">
        <v>10000</v>
      </c>
      <c r="AA274" s="153">
        <v>1</v>
      </c>
      <c r="AB274" s="153">
        <v>103.46</v>
      </c>
      <c r="AD274" s="153">
        <v>10.346</v>
      </c>
      <c r="AG274" s="2" t="s">
        <v>37</v>
      </c>
      <c r="AH274" s="153">
        <v>2.6999999999999999E-5</v>
      </c>
      <c r="AI274" s="167">
        <v>3.4896349613714101E-3</v>
      </c>
      <c r="AJ274" s="167">
        <v>6.7964491607491598E-4</v>
      </c>
    </row>
    <row r="275" spans="1:36">
      <c r="A275" s="2" t="s">
        <v>26</v>
      </c>
      <c r="B275" s="2">
        <v>9936</v>
      </c>
      <c r="C275" s="2" t="s">
        <v>2186</v>
      </c>
      <c r="D275" s="2" t="s">
        <v>2187</v>
      </c>
      <c r="E275" s="4" t="s">
        <v>1345</v>
      </c>
      <c r="F275" s="2" t="s">
        <v>2410</v>
      </c>
      <c r="G275" s="2" t="s">
        <v>2411</v>
      </c>
      <c r="H275" s="2" t="s">
        <v>343</v>
      </c>
      <c r="I275" s="2" t="s">
        <v>777</v>
      </c>
      <c r="J275" s="2" t="s">
        <v>31</v>
      </c>
      <c r="K275" s="2" t="s">
        <v>31</v>
      </c>
      <c r="L275" s="2" t="s">
        <v>349</v>
      </c>
      <c r="M275" s="2" t="s">
        <v>49</v>
      </c>
      <c r="N275" s="2" t="s">
        <v>484</v>
      </c>
      <c r="O275" s="2" t="s">
        <v>159</v>
      </c>
      <c r="P275" s="2" t="s">
        <v>1994</v>
      </c>
      <c r="Q275" s="2" t="s">
        <v>435</v>
      </c>
      <c r="R275" s="2" t="s">
        <v>428</v>
      </c>
      <c r="S275" s="2" t="s">
        <v>45</v>
      </c>
      <c r="T275" s="153">
        <v>3.2709999999999999</v>
      </c>
      <c r="U275" s="2" t="s">
        <v>1967</v>
      </c>
      <c r="V275" s="165">
        <v>1.7999999999999999E-2</v>
      </c>
      <c r="W275" s="167">
        <v>2.4129999999999999E-2</v>
      </c>
      <c r="X275" s="4" t="s">
        <v>434</v>
      </c>
      <c r="Y275" s="4" t="s">
        <v>159</v>
      </c>
      <c r="Z275" s="153">
        <v>22222.22</v>
      </c>
      <c r="AA275" s="153">
        <v>1</v>
      </c>
      <c r="AB275" s="153">
        <v>110.59</v>
      </c>
      <c r="AD275" s="153">
        <v>24.576000000000001</v>
      </c>
      <c r="AG275" s="2" t="s">
        <v>37</v>
      </c>
      <c r="AH275" s="153">
        <v>2.6999999999999999E-5</v>
      </c>
      <c r="AI275" s="167">
        <v>8.2891657921728406E-3</v>
      </c>
      <c r="AJ275" s="167">
        <v>1.6144065071317299E-3</v>
      </c>
    </row>
    <row r="276" spans="1:36">
      <c r="A276" s="2" t="s">
        <v>26</v>
      </c>
      <c r="B276" s="2">
        <v>9936</v>
      </c>
      <c r="C276" s="2" t="s">
        <v>1831</v>
      </c>
      <c r="D276" s="2" t="s">
        <v>1832</v>
      </c>
      <c r="E276" s="4" t="s">
        <v>1345</v>
      </c>
      <c r="F276" s="2" t="s">
        <v>1833</v>
      </c>
      <c r="G276" s="2" t="s">
        <v>1834</v>
      </c>
      <c r="H276" s="2" t="s">
        <v>343</v>
      </c>
      <c r="I276" s="2" t="s">
        <v>990</v>
      </c>
      <c r="J276" s="2" t="s">
        <v>31</v>
      </c>
      <c r="K276" s="2" t="s">
        <v>31</v>
      </c>
      <c r="L276" s="2" t="s">
        <v>349</v>
      </c>
      <c r="M276" s="2" t="s">
        <v>49</v>
      </c>
      <c r="N276" s="2" t="s">
        <v>465</v>
      </c>
      <c r="O276" s="2" t="s">
        <v>159</v>
      </c>
      <c r="P276" s="2" t="s">
        <v>1799</v>
      </c>
      <c r="Q276" s="2" t="s">
        <v>128</v>
      </c>
      <c r="R276" s="2" t="s">
        <v>428</v>
      </c>
      <c r="S276" s="2" t="s">
        <v>45</v>
      </c>
      <c r="T276" s="153">
        <v>5.2210000000000001</v>
      </c>
      <c r="U276" s="2" t="s">
        <v>1835</v>
      </c>
      <c r="V276" s="165">
        <v>1.95E-2</v>
      </c>
      <c r="W276" s="167">
        <v>5.008E-2</v>
      </c>
      <c r="X276" s="4" t="s">
        <v>434</v>
      </c>
      <c r="Y276" s="4" t="s">
        <v>159</v>
      </c>
      <c r="Z276" s="153">
        <v>65000</v>
      </c>
      <c r="AA276" s="153">
        <v>1</v>
      </c>
      <c r="AB276" s="153">
        <v>85.74</v>
      </c>
      <c r="AD276" s="153">
        <v>55.731000000000002</v>
      </c>
      <c r="AG276" s="2" t="s">
        <v>37</v>
      </c>
      <c r="AH276" s="153">
        <v>5.7000000000000003E-5</v>
      </c>
      <c r="AI276" s="167">
        <v>1.87976847121776E-2</v>
      </c>
      <c r="AJ276" s="167">
        <v>3.6610565259782698E-3</v>
      </c>
    </row>
    <row r="277" spans="1:36">
      <c r="A277" s="2" t="s">
        <v>26</v>
      </c>
      <c r="B277" s="2">
        <v>9936</v>
      </c>
      <c r="C277" s="2" t="s">
        <v>1977</v>
      </c>
      <c r="D277" s="2" t="s">
        <v>1978</v>
      </c>
      <c r="E277" s="4" t="s">
        <v>1345</v>
      </c>
      <c r="F277" s="2" t="s">
        <v>2412</v>
      </c>
      <c r="G277" s="2" t="s">
        <v>2413</v>
      </c>
      <c r="H277" s="2" t="s">
        <v>343</v>
      </c>
      <c r="I277" s="2" t="s">
        <v>990</v>
      </c>
      <c r="J277" s="2" t="s">
        <v>31</v>
      </c>
      <c r="K277" s="2" t="s">
        <v>31</v>
      </c>
      <c r="L277" s="2" t="s">
        <v>349</v>
      </c>
      <c r="M277" s="2" t="s">
        <v>49</v>
      </c>
      <c r="N277" s="2" t="s">
        <v>467</v>
      </c>
      <c r="O277" s="2" t="s">
        <v>159</v>
      </c>
      <c r="P277" s="2" t="s">
        <v>1350</v>
      </c>
      <c r="Q277" s="2" t="s">
        <v>336</v>
      </c>
      <c r="R277" s="2" t="s">
        <v>430</v>
      </c>
      <c r="S277" s="2" t="s">
        <v>45</v>
      </c>
      <c r="T277" s="153">
        <v>0.373</v>
      </c>
      <c r="U277" s="2" t="s">
        <v>2414</v>
      </c>
      <c r="V277" s="165">
        <v>9.4E-2</v>
      </c>
      <c r="W277" s="167">
        <v>5.6750000000000002E-2</v>
      </c>
      <c r="X277" s="4" t="s">
        <v>434</v>
      </c>
      <c r="Y277" s="4" t="s">
        <v>159</v>
      </c>
      <c r="Z277" s="153">
        <v>13230</v>
      </c>
      <c r="AA277" s="153">
        <v>1</v>
      </c>
      <c r="AB277" s="153">
        <v>103.79</v>
      </c>
      <c r="AD277" s="153">
        <v>13.731</v>
      </c>
      <c r="AG277" s="2" t="s">
        <v>37</v>
      </c>
      <c r="AH277" s="153">
        <v>6.4999999999999994E-5</v>
      </c>
      <c r="AI277" s="167">
        <v>4.6315129356630296E-3</v>
      </c>
      <c r="AJ277" s="167">
        <v>9.0203825193839904E-4</v>
      </c>
    </row>
    <row r="278" spans="1:36">
      <c r="A278" s="2" t="s">
        <v>26</v>
      </c>
      <c r="B278" s="2">
        <v>9936</v>
      </c>
      <c r="C278" s="2" t="s">
        <v>1982</v>
      </c>
      <c r="D278" s="2" t="s">
        <v>1983</v>
      </c>
      <c r="E278" s="4" t="s">
        <v>1345</v>
      </c>
      <c r="F278" s="2" t="s">
        <v>1984</v>
      </c>
      <c r="G278" s="2" t="s">
        <v>1985</v>
      </c>
      <c r="H278" s="2" t="s">
        <v>343</v>
      </c>
      <c r="I278" s="2" t="s">
        <v>991</v>
      </c>
      <c r="J278" s="2" t="s">
        <v>31</v>
      </c>
      <c r="K278" s="2" t="s">
        <v>31</v>
      </c>
      <c r="L278" s="2" t="s">
        <v>349</v>
      </c>
      <c r="M278" s="2" t="s">
        <v>49</v>
      </c>
      <c r="N278" s="2" t="s">
        <v>467</v>
      </c>
      <c r="O278" s="2" t="s">
        <v>159</v>
      </c>
      <c r="P278" s="2" t="s">
        <v>1986</v>
      </c>
      <c r="Q278" s="2" t="s">
        <v>435</v>
      </c>
      <c r="R278" s="2" t="s">
        <v>428</v>
      </c>
      <c r="S278" s="2" t="s">
        <v>45</v>
      </c>
      <c r="T278" s="153">
        <v>0.747</v>
      </c>
      <c r="U278" s="2" t="s">
        <v>1987</v>
      </c>
      <c r="V278" s="165">
        <v>1.4999999999999999E-2</v>
      </c>
      <c r="W278" s="167">
        <v>4.972E-2</v>
      </c>
      <c r="X278" s="4" t="s">
        <v>434</v>
      </c>
      <c r="Y278" s="4" t="s">
        <v>159</v>
      </c>
      <c r="Z278" s="153">
        <v>1.75</v>
      </c>
      <c r="AA278" s="153">
        <v>1</v>
      </c>
      <c r="AB278" s="153">
        <v>97.9</v>
      </c>
      <c r="AD278" s="153">
        <v>2E-3</v>
      </c>
      <c r="AG278" s="2" t="s">
        <v>37</v>
      </c>
      <c r="AH278" s="153">
        <v>0</v>
      </c>
      <c r="AI278" s="167">
        <v>5.7786749444902004E-7</v>
      </c>
      <c r="AJ278" s="167">
        <v>1.12546071183583E-7</v>
      </c>
    </row>
    <row r="279" spans="1:36">
      <c r="A279" s="2" t="s">
        <v>26</v>
      </c>
      <c r="B279" s="2">
        <v>9936</v>
      </c>
      <c r="C279" s="2" t="s">
        <v>1836</v>
      </c>
      <c r="D279" s="2" t="s">
        <v>1837</v>
      </c>
      <c r="E279" s="4" t="s">
        <v>1345</v>
      </c>
      <c r="F279" s="2" t="s">
        <v>1842</v>
      </c>
      <c r="G279" s="2" t="s">
        <v>1843</v>
      </c>
      <c r="H279" s="2" t="s">
        <v>343</v>
      </c>
      <c r="I279" s="2" t="s">
        <v>777</v>
      </c>
      <c r="J279" s="2" t="s">
        <v>31</v>
      </c>
      <c r="K279" s="2" t="s">
        <v>31</v>
      </c>
      <c r="L279" s="2" t="s">
        <v>349</v>
      </c>
      <c r="M279" s="2" t="s">
        <v>49</v>
      </c>
      <c r="N279" s="2" t="s">
        <v>460</v>
      </c>
      <c r="O279" s="2" t="s">
        <v>159</v>
      </c>
      <c r="P279" s="2" t="s">
        <v>1840</v>
      </c>
      <c r="Q279" s="2" t="s">
        <v>128</v>
      </c>
      <c r="R279" s="2" t="s">
        <v>428</v>
      </c>
      <c r="S279" s="2" t="s">
        <v>45</v>
      </c>
      <c r="T279" s="153">
        <v>6.24</v>
      </c>
      <c r="U279" s="2" t="s">
        <v>1844</v>
      </c>
      <c r="V279" s="165">
        <v>2.3900000000000001E-2</v>
      </c>
      <c r="W279" s="167">
        <v>2.4760000000000001E-2</v>
      </c>
      <c r="X279" s="4" t="s">
        <v>434</v>
      </c>
      <c r="Y279" s="4" t="s">
        <v>159</v>
      </c>
      <c r="Z279" s="153">
        <v>40000</v>
      </c>
      <c r="AA279" s="153">
        <v>1</v>
      </c>
      <c r="AB279" s="153">
        <v>110.76</v>
      </c>
      <c r="AD279" s="153">
        <v>44.304000000000002</v>
      </c>
      <c r="AG279" s="2" t="s">
        <v>37</v>
      </c>
      <c r="AH279" s="153">
        <v>1.0000000000000001E-5</v>
      </c>
      <c r="AI279" s="167">
        <v>1.4943435852368001E-2</v>
      </c>
      <c r="AJ279" s="167">
        <v>2.9103990297489899E-3</v>
      </c>
    </row>
    <row r="280" spans="1:36">
      <c r="A280" s="2" t="s">
        <v>26</v>
      </c>
      <c r="B280" s="2">
        <v>9936</v>
      </c>
      <c r="C280" s="2" t="s">
        <v>2190</v>
      </c>
      <c r="D280" s="2" t="s">
        <v>2191</v>
      </c>
      <c r="E280" s="4" t="s">
        <v>1345</v>
      </c>
      <c r="F280" s="2" t="s">
        <v>2192</v>
      </c>
      <c r="G280" s="2" t="s">
        <v>2193</v>
      </c>
      <c r="H280" s="2" t="s">
        <v>343</v>
      </c>
      <c r="I280" s="2" t="s">
        <v>777</v>
      </c>
      <c r="J280" s="2" t="s">
        <v>31</v>
      </c>
      <c r="K280" s="2" t="s">
        <v>31</v>
      </c>
      <c r="L280" s="2" t="s">
        <v>349</v>
      </c>
      <c r="M280" s="2" t="s">
        <v>49</v>
      </c>
      <c r="N280" s="2" t="s">
        <v>482</v>
      </c>
      <c r="O280" s="2" t="s">
        <v>159</v>
      </c>
      <c r="P280" s="2" t="s">
        <v>1785</v>
      </c>
      <c r="Q280" s="2" t="s">
        <v>435</v>
      </c>
      <c r="R280" s="2" t="s">
        <v>428</v>
      </c>
      <c r="S280" s="2" t="s">
        <v>45</v>
      </c>
      <c r="T280" s="153">
        <v>3.3039999999999998</v>
      </c>
      <c r="U280" s="2" t="s">
        <v>2194</v>
      </c>
      <c r="V280" s="165">
        <v>2.1999999999999999E-2</v>
      </c>
      <c r="W280" s="167">
        <v>2.6200000000000001E-2</v>
      </c>
      <c r="X280" s="4" t="s">
        <v>434</v>
      </c>
      <c r="Y280" s="4" t="s">
        <v>159</v>
      </c>
      <c r="Z280" s="153">
        <v>26068.97</v>
      </c>
      <c r="AA280" s="153">
        <v>1</v>
      </c>
      <c r="AB280" s="153">
        <v>102.62</v>
      </c>
      <c r="AD280" s="153">
        <v>26.751999999999999</v>
      </c>
      <c r="AG280" s="2" t="s">
        <v>37</v>
      </c>
      <c r="AH280" s="153">
        <v>1.2999999999999999E-4</v>
      </c>
      <c r="AI280" s="167">
        <v>9.0232586771562592E-3</v>
      </c>
      <c r="AJ280" s="167">
        <v>1.7573791970344199E-3</v>
      </c>
    </row>
    <row r="281" spans="1:36">
      <c r="A281" s="2" t="s">
        <v>26</v>
      </c>
      <c r="B281" s="2">
        <v>9936</v>
      </c>
      <c r="C281" s="2" t="s">
        <v>2195</v>
      </c>
      <c r="D281" s="2" t="s">
        <v>2196</v>
      </c>
      <c r="E281" s="4" t="s">
        <v>1345</v>
      </c>
      <c r="F281" s="2" t="s">
        <v>2197</v>
      </c>
      <c r="G281" s="2" t="s">
        <v>2198</v>
      </c>
      <c r="H281" s="2" t="s">
        <v>343</v>
      </c>
      <c r="I281" s="2" t="s">
        <v>777</v>
      </c>
      <c r="J281" s="2" t="s">
        <v>31</v>
      </c>
      <c r="K281" s="2" t="s">
        <v>31</v>
      </c>
      <c r="L281" s="2" t="s">
        <v>349</v>
      </c>
      <c r="M281" s="2" t="s">
        <v>49</v>
      </c>
      <c r="N281" s="2" t="s">
        <v>468</v>
      </c>
      <c r="O281" s="2" t="s">
        <v>159</v>
      </c>
      <c r="P281" s="2" t="s">
        <v>1785</v>
      </c>
      <c r="Q281" s="2" t="s">
        <v>128</v>
      </c>
      <c r="R281" s="2" t="s">
        <v>428</v>
      </c>
      <c r="S281" s="2" t="s">
        <v>45</v>
      </c>
      <c r="T281" s="153">
        <v>0.16400000000000001</v>
      </c>
      <c r="U281" s="2" t="s">
        <v>1827</v>
      </c>
      <c r="V281" s="165">
        <v>6.7999999999999996E-3</v>
      </c>
      <c r="W281" s="167">
        <v>1.25E-3</v>
      </c>
      <c r="X281" s="4" t="s">
        <v>434</v>
      </c>
      <c r="Y281" s="4" t="s">
        <v>159</v>
      </c>
      <c r="Z281" s="153">
        <v>6948.34</v>
      </c>
      <c r="AA281" s="153">
        <v>1</v>
      </c>
      <c r="AB281" s="153">
        <v>113.14</v>
      </c>
      <c r="AD281" s="153">
        <v>7.8609999999999998</v>
      </c>
      <c r="AG281" s="2" t="s">
        <v>37</v>
      </c>
      <c r="AH281" s="153">
        <v>3.1000000000000001E-5</v>
      </c>
      <c r="AI281" s="167">
        <v>2.65158016142783E-3</v>
      </c>
      <c r="AJ281" s="167">
        <v>5.1642449603705803E-4</v>
      </c>
    </row>
    <row r="282" spans="1:36">
      <c r="A282" s="2" t="s">
        <v>26</v>
      </c>
      <c r="B282" s="2">
        <v>9936</v>
      </c>
      <c r="C282" s="2" t="s">
        <v>2199</v>
      </c>
      <c r="D282" s="2" t="s">
        <v>2200</v>
      </c>
      <c r="E282" s="4" t="s">
        <v>1345</v>
      </c>
      <c r="F282" s="2" t="s">
        <v>2201</v>
      </c>
      <c r="G282" s="2" t="s">
        <v>2202</v>
      </c>
      <c r="H282" s="2" t="s">
        <v>343</v>
      </c>
      <c r="I282" s="2" t="s">
        <v>778</v>
      </c>
      <c r="J282" s="2" t="s">
        <v>31</v>
      </c>
      <c r="K282" s="2" t="s">
        <v>31</v>
      </c>
      <c r="L282" s="2" t="s">
        <v>349</v>
      </c>
      <c r="M282" s="2" t="s">
        <v>49</v>
      </c>
      <c r="N282" s="2" t="s">
        <v>474</v>
      </c>
      <c r="O282" s="2" t="s">
        <v>159</v>
      </c>
      <c r="P282" s="2" t="s">
        <v>1779</v>
      </c>
      <c r="Q282" s="2" t="s">
        <v>435</v>
      </c>
      <c r="R282" s="2" t="s">
        <v>428</v>
      </c>
      <c r="S282" s="2" t="s">
        <v>45</v>
      </c>
      <c r="T282" s="153">
        <v>0.76</v>
      </c>
      <c r="U282" s="2" t="s">
        <v>2203</v>
      </c>
      <c r="V282" s="165">
        <v>3.49E-2</v>
      </c>
      <c r="W282" s="167">
        <v>6.6479999999999997E-2</v>
      </c>
      <c r="X282" s="4" t="s">
        <v>434</v>
      </c>
      <c r="Y282" s="4" t="s">
        <v>159</v>
      </c>
      <c r="Z282" s="153">
        <v>15368.38</v>
      </c>
      <c r="AA282" s="153">
        <v>1</v>
      </c>
      <c r="AB282" s="153">
        <v>101.56</v>
      </c>
      <c r="AD282" s="153">
        <v>15.608000000000001</v>
      </c>
      <c r="AG282" s="2" t="s">
        <v>37</v>
      </c>
      <c r="AH282" s="153">
        <v>1.8E-5</v>
      </c>
      <c r="AI282" s="167">
        <v>5.2645142771645401E-3</v>
      </c>
      <c r="AJ282" s="167">
        <v>1.02532224822523E-3</v>
      </c>
    </row>
    <row r="283" spans="1:36">
      <c r="A283" s="2" t="s">
        <v>26</v>
      </c>
      <c r="B283" s="2">
        <v>9936</v>
      </c>
      <c r="C283" s="2" t="s">
        <v>1845</v>
      </c>
      <c r="D283" s="2" t="s">
        <v>1846</v>
      </c>
      <c r="E283" s="4" t="s">
        <v>1345</v>
      </c>
      <c r="F283" s="2" t="s">
        <v>2207</v>
      </c>
      <c r="G283" s="2" t="s">
        <v>2208</v>
      </c>
      <c r="H283" s="2" t="s">
        <v>343</v>
      </c>
      <c r="I283" s="2" t="s">
        <v>777</v>
      </c>
      <c r="J283" s="2" t="s">
        <v>31</v>
      </c>
      <c r="K283" s="2" t="s">
        <v>31</v>
      </c>
      <c r="L283" s="2" t="s">
        <v>349</v>
      </c>
      <c r="M283" s="2" t="s">
        <v>49</v>
      </c>
      <c r="N283" s="2" t="s">
        <v>484</v>
      </c>
      <c r="O283" s="2" t="s">
        <v>159</v>
      </c>
      <c r="P283" s="2" t="s">
        <v>1799</v>
      </c>
      <c r="Q283" s="2" t="s">
        <v>128</v>
      </c>
      <c r="R283" s="2" t="s">
        <v>428</v>
      </c>
      <c r="S283" s="2" t="s">
        <v>45</v>
      </c>
      <c r="T283" s="153">
        <v>5.2309999999999999</v>
      </c>
      <c r="U283" s="2" t="s">
        <v>2209</v>
      </c>
      <c r="V283" s="165">
        <v>8.3999999999999995E-3</v>
      </c>
      <c r="W283" s="167">
        <v>2.6040000000000001E-2</v>
      </c>
      <c r="X283" s="4" t="s">
        <v>434</v>
      </c>
      <c r="Y283" s="4" t="s">
        <v>159</v>
      </c>
      <c r="Z283" s="153">
        <v>26109.89</v>
      </c>
      <c r="AA283" s="153">
        <v>1</v>
      </c>
      <c r="AB283" s="153">
        <v>101.26</v>
      </c>
      <c r="AD283" s="153">
        <v>26.439</v>
      </c>
      <c r="AG283" s="2" t="s">
        <v>37</v>
      </c>
      <c r="AH283" s="153">
        <v>5.8999999999999998E-5</v>
      </c>
      <c r="AI283" s="167">
        <v>8.9176513814352796E-3</v>
      </c>
      <c r="AJ283" s="167">
        <v>1.7368110108396701E-3</v>
      </c>
    </row>
    <row r="284" spans="1:36">
      <c r="A284" s="2" t="s">
        <v>26</v>
      </c>
      <c r="B284" s="2">
        <v>9936</v>
      </c>
      <c r="C284" s="2" t="s">
        <v>1558</v>
      </c>
      <c r="D284" s="2" t="s">
        <v>1559</v>
      </c>
      <c r="E284" s="4" t="s">
        <v>1345</v>
      </c>
      <c r="F284" s="2" t="s">
        <v>2210</v>
      </c>
      <c r="G284" s="2" t="s">
        <v>2211</v>
      </c>
      <c r="H284" s="2" t="s">
        <v>343</v>
      </c>
      <c r="I284" s="2" t="s">
        <v>990</v>
      </c>
      <c r="J284" s="2" t="s">
        <v>31</v>
      </c>
      <c r="K284" s="2" t="s">
        <v>31</v>
      </c>
      <c r="L284" s="2" t="s">
        <v>349</v>
      </c>
      <c r="M284" s="2" t="s">
        <v>49</v>
      </c>
      <c r="N284" s="2" t="s">
        <v>465</v>
      </c>
      <c r="O284" s="2" t="s">
        <v>159</v>
      </c>
      <c r="P284" s="2" t="s">
        <v>1785</v>
      </c>
      <c r="Q284" s="2" t="s">
        <v>435</v>
      </c>
      <c r="R284" s="2" t="s">
        <v>428</v>
      </c>
      <c r="S284" s="2" t="s">
        <v>45</v>
      </c>
      <c r="T284" s="153">
        <v>5.5650000000000004</v>
      </c>
      <c r="U284" s="2" t="s">
        <v>2212</v>
      </c>
      <c r="V284" s="165">
        <v>5.2499999999999998E-2</v>
      </c>
      <c r="W284" s="167">
        <v>5.144E-2</v>
      </c>
      <c r="X284" s="4" t="s">
        <v>434</v>
      </c>
      <c r="Y284" s="4" t="s">
        <v>159</v>
      </c>
      <c r="Z284" s="153">
        <v>35000</v>
      </c>
      <c r="AA284" s="153">
        <v>1</v>
      </c>
      <c r="AB284" s="153">
        <v>102.59</v>
      </c>
      <c r="AD284" s="153">
        <v>35.906999999999996</v>
      </c>
      <c r="AG284" s="2" t="s">
        <v>37</v>
      </c>
      <c r="AH284" s="153">
        <v>0</v>
      </c>
      <c r="AI284" s="167">
        <v>1.2111016599698699E-2</v>
      </c>
      <c r="AJ284" s="167">
        <v>2.3587541251734001E-3</v>
      </c>
    </row>
    <row r="285" spans="1:36">
      <c r="A285" s="2" t="s">
        <v>26</v>
      </c>
      <c r="B285" s="2">
        <v>9936</v>
      </c>
      <c r="C285" s="2" t="s">
        <v>1850</v>
      </c>
      <c r="D285" s="2" t="s">
        <v>1851</v>
      </c>
      <c r="E285" s="4" t="s">
        <v>1345</v>
      </c>
      <c r="F285" s="2" t="s">
        <v>2213</v>
      </c>
      <c r="G285" s="2" t="s">
        <v>2214</v>
      </c>
      <c r="H285" s="2" t="s">
        <v>343</v>
      </c>
      <c r="I285" s="2" t="s">
        <v>990</v>
      </c>
      <c r="J285" s="2" t="s">
        <v>31</v>
      </c>
      <c r="K285" s="2" t="s">
        <v>31</v>
      </c>
      <c r="L285" s="2" t="s">
        <v>349</v>
      </c>
      <c r="M285" s="2" t="s">
        <v>49</v>
      </c>
      <c r="N285" s="2" t="s">
        <v>465</v>
      </c>
      <c r="O285" s="2" t="s">
        <v>159</v>
      </c>
      <c r="P285" s="2" t="s">
        <v>1789</v>
      </c>
      <c r="Q285" s="2" t="s">
        <v>128</v>
      </c>
      <c r="R285" s="2" t="s">
        <v>428</v>
      </c>
      <c r="S285" s="2" t="s">
        <v>45</v>
      </c>
      <c r="T285" s="153">
        <v>7.2050000000000001</v>
      </c>
      <c r="U285" s="2" t="s">
        <v>2215</v>
      </c>
      <c r="V285" s="165">
        <v>2.5000000000000001E-2</v>
      </c>
      <c r="W285" s="167">
        <v>5.4949999999999999E-2</v>
      </c>
      <c r="X285" s="4" t="s">
        <v>434</v>
      </c>
      <c r="Y285" s="4" t="s">
        <v>159</v>
      </c>
      <c r="Z285" s="153">
        <v>25000</v>
      </c>
      <c r="AA285" s="153">
        <v>1</v>
      </c>
      <c r="AB285" s="153">
        <v>81.239999999999995</v>
      </c>
      <c r="AD285" s="153">
        <v>20.309999999999999</v>
      </c>
      <c r="AG285" s="2" t="s">
        <v>37</v>
      </c>
      <c r="AH285" s="153">
        <v>1.9000000000000001E-5</v>
      </c>
      <c r="AI285" s="167">
        <v>6.8504239382808103E-3</v>
      </c>
      <c r="AJ285" s="167">
        <v>1.3341956548890001E-3</v>
      </c>
    </row>
    <row r="286" spans="1:36">
      <c r="A286" s="2" t="s">
        <v>26</v>
      </c>
      <c r="B286" s="2">
        <v>9936</v>
      </c>
      <c r="C286" s="2" t="s">
        <v>1850</v>
      </c>
      <c r="D286" s="2" t="s">
        <v>1851</v>
      </c>
      <c r="E286" s="4" t="s">
        <v>1345</v>
      </c>
      <c r="F286" s="2" t="s">
        <v>2216</v>
      </c>
      <c r="G286" s="2" t="s">
        <v>2217</v>
      </c>
      <c r="H286" s="2" t="s">
        <v>343</v>
      </c>
      <c r="I286" s="2" t="s">
        <v>777</v>
      </c>
      <c r="J286" s="2" t="s">
        <v>31</v>
      </c>
      <c r="K286" s="2" t="s">
        <v>31</v>
      </c>
      <c r="L286" s="2" t="s">
        <v>349</v>
      </c>
      <c r="M286" s="2" t="s">
        <v>49</v>
      </c>
      <c r="N286" s="2" t="s">
        <v>465</v>
      </c>
      <c r="O286" s="2" t="s">
        <v>159</v>
      </c>
      <c r="P286" s="2" t="s">
        <v>1789</v>
      </c>
      <c r="Q286" s="2" t="s">
        <v>128</v>
      </c>
      <c r="R286" s="2" t="s">
        <v>428</v>
      </c>
      <c r="S286" s="2" t="s">
        <v>45</v>
      </c>
      <c r="T286" s="153">
        <v>1.3129999999999999</v>
      </c>
      <c r="U286" s="2" t="s">
        <v>2218</v>
      </c>
      <c r="V286" s="165">
        <v>2.4799999999999999E-2</v>
      </c>
      <c r="W286" s="167">
        <v>1.8380000000000001E-2</v>
      </c>
      <c r="X286" s="4" t="s">
        <v>434</v>
      </c>
      <c r="Y286" s="4" t="s">
        <v>159</v>
      </c>
      <c r="Z286" s="153">
        <v>25000</v>
      </c>
      <c r="AA286" s="153">
        <v>1</v>
      </c>
      <c r="AB286" s="153">
        <v>112.96</v>
      </c>
      <c r="AD286" s="153">
        <v>28.24</v>
      </c>
      <c r="AG286" s="2" t="s">
        <v>37</v>
      </c>
      <c r="AH286" s="153">
        <v>5.8999999999999998E-5</v>
      </c>
      <c r="AI286" s="167">
        <v>9.5251586419030105E-3</v>
      </c>
      <c r="AJ286" s="167">
        <v>1.85512975352364E-3</v>
      </c>
    </row>
    <row r="287" spans="1:36">
      <c r="A287" s="2" t="s">
        <v>26</v>
      </c>
      <c r="B287" s="2">
        <v>9936</v>
      </c>
      <c r="C287" s="2" t="s">
        <v>1850</v>
      </c>
      <c r="D287" s="2" t="s">
        <v>1851</v>
      </c>
      <c r="E287" s="4" t="s">
        <v>1345</v>
      </c>
      <c r="F287" s="2" t="s">
        <v>2415</v>
      </c>
      <c r="G287" s="2" t="s">
        <v>2416</v>
      </c>
      <c r="H287" s="2" t="s">
        <v>343</v>
      </c>
      <c r="I287" s="2" t="s">
        <v>990</v>
      </c>
      <c r="J287" s="2" t="s">
        <v>31</v>
      </c>
      <c r="K287" s="2" t="s">
        <v>31</v>
      </c>
      <c r="L287" s="2" t="s">
        <v>349</v>
      </c>
      <c r="M287" s="2" t="s">
        <v>49</v>
      </c>
      <c r="N287" s="2" t="s">
        <v>465</v>
      </c>
      <c r="O287" s="2" t="s">
        <v>159</v>
      </c>
      <c r="P287" s="2" t="s">
        <v>1789</v>
      </c>
      <c r="Q287" s="2" t="s">
        <v>128</v>
      </c>
      <c r="R287" s="2" t="s">
        <v>428</v>
      </c>
      <c r="S287" s="2" t="s">
        <v>45</v>
      </c>
      <c r="T287" s="153">
        <v>0.33200000000000002</v>
      </c>
      <c r="U287" s="2" t="s">
        <v>2417</v>
      </c>
      <c r="V287" s="165">
        <v>3.9199999999999999E-2</v>
      </c>
      <c r="W287" s="167">
        <v>5.1200000000000002E-2</v>
      </c>
      <c r="X287" s="4" t="s">
        <v>434</v>
      </c>
      <c r="Y287" s="4" t="s">
        <v>159</v>
      </c>
      <c r="Z287" s="153">
        <v>35000</v>
      </c>
      <c r="AA287" s="153">
        <v>1</v>
      </c>
      <c r="AB287" s="153">
        <v>100.3</v>
      </c>
      <c r="AD287" s="153">
        <v>35.104999999999997</v>
      </c>
      <c r="AG287" s="2" t="s">
        <v>37</v>
      </c>
      <c r="AH287" s="153">
        <v>3.6000000000000001E-5</v>
      </c>
      <c r="AI287" s="167">
        <v>1.1840676137535601E-2</v>
      </c>
      <c r="AJ287" s="167">
        <v>2.3061023370201002E-3</v>
      </c>
    </row>
    <row r="288" spans="1:36">
      <c r="A288" s="2" t="s">
        <v>26</v>
      </c>
      <c r="B288" s="2">
        <v>9936</v>
      </c>
      <c r="C288" s="2" t="s">
        <v>1202</v>
      </c>
      <c r="D288" s="2" t="s">
        <v>1562</v>
      </c>
      <c r="E288" s="4" t="s">
        <v>1345</v>
      </c>
      <c r="F288" s="2" t="s">
        <v>1854</v>
      </c>
      <c r="G288" s="2" t="s">
        <v>1855</v>
      </c>
      <c r="H288" s="2" t="s">
        <v>343</v>
      </c>
      <c r="I288" s="2" t="s">
        <v>777</v>
      </c>
      <c r="J288" s="2" t="s">
        <v>31</v>
      </c>
      <c r="K288" s="2" t="s">
        <v>31</v>
      </c>
      <c r="L288" s="2" t="s">
        <v>349</v>
      </c>
      <c r="M288" s="2" t="s">
        <v>49</v>
      </c>
      <c r="N288" s="2" t="s">
        <v>468</v>
      </c>
      <c r="O288" s="2" t="s">
        <v>159</v>
      </c>
      <c r="P288" s="2" t="s">
        <v>127</v>
      </c>
      <c r="Q288" s="2" t="s">
        <v>128</v>
      </c>
      <c r="R288" s="2" t="s">
        <v>428</v>
      </c>
      <c r="S288" s="2" t="s">
        <v>45</v>
      </c>
      <c r="T288" s="153">
        <v>1.23</v>
      </c>
      <c r="U288" s="2" t="s">
        <v>1824</v>
      </c>
      <c r="V288" s="165">
        <v>8.3000000000000001E-3</v>
      </c>
      <c r="W288" s="167">
        <v>1.3979999999999999E-2</v>
      </c>
      <c r="X288" s="4" t="s">
        <v>434</v>
      </c>
      <c r="Y288" s="4" t="s">
        <v>159</v>
      </c>
      <c r="Z288" s="153">
        <v>40000</v>
      </c>
      <c r="AA288" s="153">
        <v>1</v>
      </c>
      <c r="AB288" s="153">
        <v>111.66</v>
      </c>
      <c r="AD288" s="153">
        <v>44.664000000000001</v>
      </c>
      <c r="AG288" s="2" t="s">
        <v>37</v>
      </c>
      <c r="AH288" s="153">
        <v>1.2999999999999999E-5</v>
      </c>
      <c r="AI288" s="167">
        <v>1.5064861387463E-2</v>
      </c>
      <c r="AJ288" s="167">
        <v>2.9340479926126101E-3</v>
      </c>
    </row>
    <row r="289" spans="1:36">
      <c r="A289" s="2" t="s">
        <v>26</v>
      </c>
      <c r="B289" s="2">
        <v>9936</v>
      </c>
      <c r="C289" s="2" t="s">
        <v>1202</v>
      </c>
      <c r="D289" s="2" t="s">
        <v>1562</v>
      </c>
      <c r="E289" s="4" t="s">
        <v>1345</v>
      </c>
      <c r="F289" s="2" t="s">
        <v>2219</v>
      </c>
      <c r="G289" s="2" t="s">
        <v>2220</v>
      </c>
      <c r="H289" s="2" t="s">
        <v>343</v>
      </c>
      <c r="I289" s="2" t="s">
        <v>777</v>
      </c>
      <c r="J289" s="2" t="s">
        <v>31</v>
      </c>
      <c r="K289" s="2" t="s">
        <v>31</v>
      </c>
      <c r="L289" s="2" t="s">
        <v>349</v>
      </c>
      <c r="M289" s="2" t="s">
        <v>49</v>
      </c>
      <c r="N289" s="2" t="s">
        <v>468</v>
      </c>
      <c r="O289" s="2" t="s">
        <v>159</v>
      </c>
      <c r="P289" s="2" t="s">
        <v>1201</v>
      </c>
      <c r="Q289" s="2" t="s">
        <v>435</v>
      </c>
      <c r="R289" s="2" t="s">
        <v>428</v>
      </c>
      <c r="S289" s="2" t="s">
        <v>45</v>
      </c>
      <c r="T289" s="153">
        <v>3.07</v>
      </c>
      <c r="U289" s="2" t="s">
        <v>2221</v>
      </c>
      <c r="V289" s="165">
        <v>1.8599999999999998E-2</v>
      </c>
      <c r="W289" s="167">
        <v>1.8350000000000002E-2</v>
      </c>
      <c r="X289" s="4" t="s">
        <v>434</v>
      </c>
      <c r="Y289" s="4" t="s">
        <v>159</v>
      </c>
      <c r="Z289" s="153">
        <v>71000</v>
      </c>
      <c r="AA289" s="153">
        <v>1</v>
      </c>
      <c r="AB289" s="153">
        <v>100.55</v>
      </c>
      <c r="AD289" s="153">
        <v>71.391000000000005</v>
      </c>
      <c r="AG289" s="2" t="s">
        <v>37</v>
      </c>
      <c r="AH289" s="153">
        <v>5.8E-5</v>
      </c>
      <c r="AI289" s="167">
        <v>2.40795268422371E-2</v>
      </c>
      <c r="AJ289" s="167">
        <v>4.6897535647637996E-3</v>
      </c>
    </row>
    <row r="290" spans="1:36">
      <c r="A290" s="2" t="s">
        <v>26</v>
      </c>
      <c r="B290" s="2">
        <v>9936</v>
      </c>
      <c r="C290" s="2" t="s">
        <v>1202</v>
      </c>
      <c r="D290" s="2" t="s">
        <v>1562</v>
      </c>
      <c r="E290" s="4" t="s">
        <v>1345</v>
      </c>
      <c r="F290" s="2" t="s">
        <v>2418</v>
      </c>
      <c r="G290" s="2" t="s">
        <v>2419</v>
      </c>
      <c r="H290" s="2" t="s">
        <v>343</v>
      </c>
      <c r="I290" s="2" t="s">
        <v>777</v>
      </c>
      <c r="J290" s="2" t="s">
        <v>31</v>
      </c>
      <c r="K290" s="2" t="s">
        <v>31</v>
      </c>
      <c r="L290" s="2" t="s">
        <v>349</v>
      </c>
      <c r="M290" s="2" t="s">
        <v>49</v>
      </c>
      <c r="N290" s="2" t="s">
        <v>468</v>
      </c>
      <c r="O290" s="2" t="s">
        <v>159</v>
      </c>
      <c r="P290" s="2" t="s">
        <v>1201</v>
      </c>
      <c r="Q290" s="2" t="s">
        <v>435</v>
      </c>
      <c r="R290" s="2" t="s">
        <v>428</v>
      </c>
      <c r="S290" s="2" t="s">
        <v>45</v>
      </c>
      <c r="T290" s="153">
        <v>3.6459999999999999</v>
      </c>
      <c r="U290" s="2" t="s">
        <v>2420</v>
      </c>
      <c r="V290" s="165">
        <v>1E-3</v>
      </c>
      <c r="W290" s="167">
        <v>1.8010000000000002E-2</v>
      </c>
      <c r="X290" s="4" t="s">
        <v>434</v>
      </c>
      <c r="Y290" s="4" t="s">
        <v>159</v>
      </c>
      <c r="Z290" s="153">
        <v>17000</v>
      </c>
      <c r="AA290" s="153">
        <v>1</v>
      </c>
      <c r="AB290" s="153">
        <v>102.55</v>
      </c>
      <c r="AD290" s="153">
        <v>17.433</v>
      </c>
      <c r="AG290" s="2" t="s">
        <v>37</v>
      </c>
      <c r="AH290" s="153">
        <v>5.0000000000000004E-6</v>
      </c>
      <c r="AI290" s="167">
        <v>5.8802001835558098E-3</v>
      </c>
      <c r="AJ290" s="167">
        <v>1.14523387245235E-3</v>
      </c>
    </row>
    <row r="291" spans="1:36">
      <c r="A291" s="2" t="s">
        <v>26</v>
      </c>
      <c r="B291" s="2">
        <v>9936</v>
      </c>
      <c r="C291" s="2" t="s">
        <v>1202</v>
      </c>
      <c r="D291" s="2" t="s">
        <v>1562</v>
      </c>
      <c r="E291" s="4" t="s">
        <v>1345</v>
      </c>
      <c r="F291" s="2" t="s">
        <v>2222</v>
      </c>
      <c r="G291" s="2" t="s">
        <v>2223</v>
      </c>
      <c r="H291" s="2" t="s">
        <v>343</v>
      </c>
      <c r="I291" s="2" t="s">
        <v>990</v>
      </c>
      <c r="J291" s="2" t="s">
        <v>31</v>
      </c>
      <c r="K291" s="2" t="s">
        <v>31</v>
      </c>
      <c r="L291" s="2" t="s">
        <v>349</v>
      </c>
      <c r="M291" s="2" t="s">
        <v>49</v>
      </c>
      <c r="N291" s="2" t="s">
        <v>468</v>
      </c>
      <c r="O291" s="2" t="s">
        <v>159</v>
      </c>
      <c r="P291" s="2" t="s">
        <v>127</v>
      </c>
      <c r="Q291" s="2" t="s">
        <v>128</v>
      </c>
      <c r="R291" s="2" t="s">
        <v>428</v>
      </c>
      <c r="S291" s="2" t="s">
        <v>45</v>
      </c>
      <c r="T291" s="153">
        <v>3.5720000000000001</v>
      </c>
      <c r="U291" s="2" t="s">
        <v>2224</v>
      </c>
      <c r="V291" s="165">
        <v>2.76E-2</v>
      </c>
      <c r="W291" s="167">
        <v>4.4479999999999999E-2</v>
      </c>
      <c r="X291" s="4" t="s">
        <v>434</v>
      </c>
      <c r="Y291" s="4" t="s">
        <v>159</v>
      </c>
      <c r="Z291" s="153">
        <v>45000</v>
      </c>
      <c r="AA291" s="153">
        <v>1</v>
      </c>
      <c r="AB291" s="153">
        <v>95.44</v>
      </c>
      <c r="AD291" s="153">
        <v>42.948</v>
      </c>
      <c r="AG291" s="2" t="s">
        <v>37</v>
      </c>
      <c r="AH291" s="153">
        <v>3.4E-5</v>
      </c>
      <c r="AI291" s="167">
        <v>1.4486066336843101E-2</v>
      </c>
      <c r="AJ291" s="167">
        <v>2.8213212696293699E-3</v>
      </c>
    </row>
    <row r="292" spans="1:36">
      <c r="A292" s="2" t="s">
        <v>26</v>
      </c>
      <c r="B292" s="2">
        <v>9936</v>
      </c>
      <c r="C292" s="2" t="s">
        <v>1202</v>
      </c>
      <c r="D292" s="2" t="s">
        <v>1562</v>
      </c>
      <c r="E292" s="4" t="s">
        <v>1345</v>
      </c>
      <c r="F292" s="2" t="s">
        <v>1856</v>
      </c>
      <c r="G292" s="2" t="s">
        <v>1857</v>
      </c>
      <c r="H292" s="2" t="s">
        <v>343</v>
      </c>
      <c r="I292" s="2" t="s">
        <v>777</v>
      </c>
      <c r="J292" s="2" t="s">
        <v>31</v>
      </c>
      <c r="K292" s="2" t="s">
        <v>31</v>
      </c>
      <c r="L292" s="2" t="s">
        <v>349</v>
      </c>
      <c r="M292" s="2" t="s">
        <v>49</v>
      </c>
      <c r="N292" s="2" t="s">
        <v>468</v>
      </c>
      <c r="O292" s="2" t="s">
        <v>159</v>
      </c>
      <c r="P292" s="2" t="s">
        <v>1201</v>
      </c>
      <c r="Q292" s="2" t="s">
        <v>435</v>
      </c>
      <c r="R292" s="2" t="s">
        <v>428</v>
      </c>
      <c r="S292" s="2" t="s">
        <v>45</v>
      </c>
      <c r="T292" s="153">
        <v>5.54</v>
      </c>
      <c r="U292" s="2" t="s">
        <v>1858</v>
      </c>
      <c r="V292" s="165">
        <v>2.0199999999999999E-2</v>
      </c>
      <c r="W292" s="167">
        <v>2.0369999999999999E-2</v>
      </c>
      <c r="X292" s="4" t="s">
        <v>434</v>
      </c>
      <c r="Y292" s="4" t="s">
        <v>159</v>
      </c>
      <c r="Z292" s="153">
        <v>116000</v>
      </c>
      <c r="AA292" s="153">
        <v>1</v>
      </c>
      <c r="AB292" s="153">
        <v>100.75</v>
      </c>
      <c r="AD292" s="153">
        <v>116.87</v>
      </c>
      <c r="AG292" s="2" t="s">
        <v>37</v>
      </c>
      <c r="AH292" s="153">
        <v>5.5000000000000002E-5</v>
      </c>
      <c r="AI292" s="167">
        <v>3.9419450796005798E-2</v>
      </c>
      <c r="AJ292" s="167">
        <v>7.6773730274188497E-3</v>
      </c>
    </row>
    <row r="293" spans="1:36">
      <c r="A293" s="2" t="s">
        <v>26</v>
      </c>
      <c r="B293" s="2">
        <v>9936</v>
      </c>
      <c r="C293" s="2" t="s">
        <v>1202</v>
      </c>
      <c r="D293" s="2" t="s">
        <v>1562</v>
      </c>
      <c r="E293" s="4" t="s">
        <v>1345</v>
      </c>
      <c r="F293" s="2" t="s">
        <v>2421</v>
      </c>
      <c r="G293" s="2" t="s">
        <v>2422</v>
      </c>
      <c r="H293" s="2" t="s">
        <v>343</v>
      </c>
      <c r="I293" s="2" t="s">
        <v>777</v>
      </c>
      <c r="J293" s="2" t="s">
        <v>31</v>
      </c>
      <c r="K293" s="2" t="s">
        <v>31</v>
      </c>
      <c r="L293" s="2" t="s">
        <v>349</v>
      </c>
      <c r="M293" s="2" t="s">
        <v>49</v>
      </c>
      <c r="N293" s="2" t="s">
        <v>468</v>
      </c>
      <c r="O293" s="2" t="s">
        <v>159</v>
      </c>
      <c r="P293" s="2" t="s">
        <v>1201</v>
      </c>
      <c r="Q293" s="2" t="s">
        <v>435</v>
      </c>
      <c r="R293" s="2" t="s">
        <v>428</v>
      </c>
      <c r="S293" s="2" t="s">
        <v>45</v>
      </c>
      <c r="T293" s="153">
        <v>5.6390000000000002</v>
      </c>
      <c r="U293" s="2" t="s">
        <v>2423</v>
      </c>
      <c r="V293" s="165">
        <v>1E-3</v>
      </c>
      <c r="W293" s="167">
        <v>2.069E-2</v>
      </c>
      <c r="X293" s="4" t="s">
        <v>434</v>
      </c>
      <c r="Y293" s="4" t="s">
        <v>159</v>
      </c>
      <c r="Z293" s="153">
        <v>78000</v>
      </c>
      <c r="AA293" s="153">
        <v>1</v>
      </c>
      <c r="AB293" s="153">
        <v>97.7</v>
      </c>
      <c r="AD293" s="153">
        <v>76.206000000000003</v>
      </c>
      <c r="AG293" s="2" t="s">
        <v>37</v>
      </c>
      <c r="AH293" s="153">
        <v>7.7999999999999999E-5</v>
      </c>
      <c r="AI293" s="167">
        <v>2.57037620207104E-2</v>
      </c>
      <c r="AJ293" s="167">
        <v>5.0060912888464197E-3</v>
      </c>
    </row>
    <row r="294" spans="1:36">
      <c r="A294" s="2" t="s">
        <v>26</v>
      </c>
      <c r="B294" s="2">
        <v>9936</v>
      </c>
      <c r="C294" s="2" t="s">
        <v>2225</v>
      </c>
      <c r="D294" s="2" t="s">
        <v>2226</v>
      </c>
      <c r="E294" s="4" t="s">
        <v>1345</v>
      </c>
      <c r="F294" s="2" t="s">
        <v>2227</v>
      </c>
      <c r="G294" s="2" t="s">
        <v>2228</v>
      </c>
      <c r="H294" s="2" t="s">
        <v>343</v>
      </c>
      <c r="I294" s="2" t="s">
        <v>990</v>
      </c>
      <c r="J294" s="2" t="s">
        <v>124</v>
      </c>
      <c r="K294" s="2" t="s">
        <v>31</v>
      </c>
      <c r="L294" s="2" t="s">
        <v>349</v>
      </c>
      <c r="M294" s="2" t="s">
        <v>49</v>
      </c>
      <c r="N294" s="2" t="s">
        <v>467</v>
      </c>
      <c r="O294" s="2" t="s">
        <v>159</v>
      </c>
      <c r="P294" s="2" t="s">
        <v>1350</v>
      </c>
      <c r="Q294" s="2" t="s">
        <v>336</v>
      </c>
      <c r="R294" s="2" t="s">
        <v>430</v>
      </c>
      <c r="S294" s="2" t="s">
        <v>45</v>
      </c>
      <c r="T294" s="153">
        <v>3.8239999999999998</v>
      </c>
      <c r="U294" s="2" t="s">
        <v>2229</v>
      </c>
      <c r="V294" s="165">
        <v>8.1500000000000003E-2</v>
      </c>
      <c r="W294" s="167">
        <v>6.8169999999999994E-2</v>
      </c>
      <c r="X294" s="4" t="s">
        <v>434</v>
      </c>
      <c r="Y294" s="4" t="s">
        <v>159</v>
      </c>
      <c r="Z294" s="153">
        <v>14000</v>
      </c>
      <c r="AA294" s="153">
        <v>1</v>
      </c>
      <c r="AB294" s="153">
        <v>105.58</v>
      </c>
      <c r="AD294" s="153">
        <v>14.781000000000001</v>
      </c>
      <c r="AG294" s="2" t="s">
        <v>37</v>
      </c>
      <c r="AH294" s="153">
        <v>0</v>
      </c>
      <c r="AI294" s="167">
        <v>4.9855975537428003E-3</v>
      </c>
      <c r="AJ294" s="167">
        <v>9.7100013855466402E-4</v>
      </c>
    </row>
    <row r="295" spans="1:36">
      <c r="A295" s="2" t="s">
        <v>26</v>
      </c>
      <c r="B295" s="2">
        <v>9936</v>
      </c>
      <c r="C295" s="2" t="s">
        <v>1695</v>
      </c>
      <c r="D295" s="2" t="s">
        <v>1696</v>
      </c>
      <c r="E295" s="4" t="s">
        <v>1345</v>
      </c>
      <c r="F295" s="2" t="s">
        <v>2076</v>
      </c>
      <c r="G295" s="2" t="s">
        <v>2077</v>
      </c>
      <c r="H295" s="2" t="s">
        <v>343</v>
      </c>
      <c r="I295" s="2" t="s">
        <v>777</v>
      </c>
      <c r="J295" s="2" t="s">
        <v>31</v>
      </c>
      <c r="K295" s="2" t="s">
        <v>31</v>
      </c>
      <c r="L295" s="2" t="s">
        <v>349</v>
      </c>
      <c r="M295" s="2" t="s">
        <v>49</v>
      </c>
      <c r="N295" s="2" t="s">
        <v>484</v>
      </c>
      <c r="O295" s="2" t="s">
        <v>159</v>
      </c>
      <c r="P295" s="2" t="s">
        <v>1779</v>
      </c>
      <c r="Q295" s="2" t="s">
        <v>128</v>
      </c>
      <c r="R295" s="2" t="s">
        <v>428</v>
      </c>
      <c r="S295" s="2" t="s">
        <v>45</v>
      </c>
      <c r="T295" s="153">
        <v>2.242</v>
      </c>
      <c r="U295" s="2" t="s">
        <v>1995</v>
      </c>
      <c r="V295" s="165">
        <v>2.4E-2</v>
      </c>
      <c r="W295" s="167">
        <v>2.069E-2</v>
      </c>
      <c r="X295" s="4" t="s">
        <v>434</v>
      </c>
      <c r="Y295" s="4" t="s">
        <v>159</v>
      </c>
      <c r="Z295" s="153">
        <v>20201.36</v>
      </c>
      <c r="AA295" s="153">
        <v>1</v>
      </c>
      <c r="AB295" s="153">
        <v>112.83</v>
      </c>
      <c r="AD295" s="153">
        <v>22.792999999999999</v>
      </c>
      <c r="AG295" s="2" t="s">
        <v>37</v>
      </c>
      <c r="AH295" s="153">
        <v>3.3000000000000003E-5</v>
      </c>
      <c r="AI295" s="167">
        <v>7.6879884367545802E-3</v>
      </c>
      <c r="AJ295" s="167">
        <v>1.4973205833052399E-3</v>
      </c>
    </row>
    <row r="296" spans="1:36">
      <c r="A296" s="2" t="s">
        <v>26</v>
      </c>
      <c r="B296" s="2">
        <v>9936</v>
      </c>
      <c r="C296" s="2" t="s">
        <v>1695</v>
      </c>
      <c r="D296" s="2" t="s">
        <v>1696</v>
      </c>
      <c r="E296" s="4" t="s">
        <v>1345</v>
      </c>
      <c r="F296" s="2" t="s">
        <v>2230</v>
      </c>
      <c r="G296" s="2" t="s">
        <v>2231</v>
      </c>
      <c r="H296" s="2" t="s">
        <v>343</v>
      </c>
      <c r="I296" s="2" t="s">
        <v>777</v>
      </c>
      <c r="J296" s="2" t="s">
        <v>31</v>
      </c>
      <c r="K296" s="2" t="s">
        <v>31</v>
      </c>
      <c r="L296" s="2" t="s">
        <v>349</v>
      </c>
      <c r="M296" s="2" t="s">
        <v>49</v>
      </c>
      <c r="N296" s="2" t="s">
        <v>484</v>
      </c>
      <c r="O296" s="2" t="s">
        <v>159</v>
      </c>
      <c r="P296" s="2" t="s">
        <v>1799</v>
      </c>
      <c r="Q296" s="2" t="s">
        <v>128</v>
      </c>
      <c r="R296" s="2" t="s">
        <v>428</v>
      </c>
      <c r="S296" s="2" t="s">
        <v>45</v>
      </c>
      <c r="T296" s="153">
        <v>3.903</v>
      </c>
      <c r="U296" s="2" t="s">
        <v>1830</v>
      </c>
      <c r="V296" s="165">
        <v>2.81E-2</v>
      </c>
      <c r="W296" s="167">
        <v>2.4490000000000001E-2</v>
      </c>
      <c r="X296" s="4" t="s">
        <v>434</v>
      </c>
      <c r="Y296" s="4" t="s">
        <v>159</v>
      </c>
      <c r="Z296" s="153">
        <v>14062.5</v>
      </c>
      <c r="AA296" s="153">
        <v>1</v>
      </c>
      <c r="AB296" s="153">
        <v>115.32</v>
      </c>
      <c r="AD296" s="153">
        <v>16.216999999999999</v>
      </c>
      <c r="AG296" s="2" t="s">
        <v>37</v>
      </c>
      <c r="AH296" s="153">
        <v>1.1E-5</v>
      </c>
      <c r="AI296" s="167">
        <v>5.4698409012362203E-3</v>
      </c>
      <c r="AJ296" s="167">
        <v>1.0653118739969499E-3</v>
      </c>
    </row>
    <row r="297" spans="1:36">
      <c r="A297" s="2" t="s">
        <v>26</v>
      </c>
      <c r="B297" s="2">
        <v>9936</v>
      </c>
      <c r="C297" s="2" t="s">
        <v>1695</v>
      </c>
      <c r="D297" s="2" t="s">
        <v>1696</v>
      </c>
      <c r="E297" s="4" t="s">
        <v>1345</v>
      </c>
      <c r="F297" s="2" t="s">
        <v>1862</v>
      </c>
      <c r="G297" s="2" t="s">
        <v>1863</v>
      </c>
      <c r="H297" s="2" t="s">
        <v>343</v>
      </c>
      <c r="I297" s="2" t="s">
        <v>777</v>
      </c>
      <c r="J297" s="2" t="s">
        <v>31</v>
      </c>
      <c r="K297" s="2" t="s">
        <v>31</v>
      </c>
      <c r="L297" s="2" t="s">
        <v>349</v>
      </c>
      <c r="M297" s="2" t="s">
        <v>49</v>
      </c>
      <c r="N297" s="2" t="s">
        <v>484</v>
      </c>
      <c r="O297" s="2" t="s">
        <v>159</v>
      </c>
      <c r="P297" s="2" t="s">
        <v>1799</v>
      </c>
      <c r="Q297" s="2" t="s">
        <v>128</v>
      </c>
      <c r="R297" s="2" t="s">
        <v>428</v>
      </c>
      <c r="S297" s="2" t="s">
        <v>45</v>
      </c>
      <c r="T297" s="153">
        <v>2.1539999999999999</v>
      </c>
      <c r="U297" s="2" t="s">
        <v>1861</v>
      </c>
      <c r="V297" s="165">
        <v>3.6999999999999998E-2</v>
      </c>
      <c r="W297" s="167">
        <v>2.189E-2</v>
      </c>
      <c r="X297" s="4" t="s">
        <v>434</v>
      </c>
      <c r="Y297" s="4" t="s">
        <v>159</v>
      </c>
      <c r="Z297" s="153">
        <v>25000</v>
      </c>
      <c r="AA297" s="153">
        <v>1</v>
      </c>
      <c r="AB297" s="153">
        <v>116.15</v>
      </c>
      <c r="AD297" s="153">
        <v>29.038</v>
      </c>
      <c r="AG297" s="2" t="s">
        <v>37</v>
      </c>
      <c r="AH297" s="153">
        <v>6.7000000000000002E-5</v>
      </c>
      <c r="AI297" s="167">
        <v>9.7941499314539195E-3</v>
      </c>
      <c r="AJ297" s="167">
        <v>1.9075187754229101E-3</v>
      </c>
    </row>
    <row r="298" spans="1:36">
      <c r="A298" s="2" t="s">
        <v>26</v>
      </c>
      <c r="B298" s="2">
        <v>9936</v>
      </c>
      <c r="C298" s="2" t="s">
        <v>1864</v>
      </c>
      <c r="D298" s="2" t="s">
        <v>1865</v>
      </c>
      <c r="E298" s="4" t="s">
        <v>1345</v>
      </c>
      <c r="F298" s="2" t="s">
        <v>1866</v>
      </c>
      <c r="G298" s="2" t="s">
        <v>1867</v>
      </c>
      <c r="H298" s="2" t="s">
        <v>343</v>
      </c>
      <c r="I298" s="2" t="s">
        <v>777</v>
      </c>
      <c r="J298" s="2" t="s">
        <v>31</v>
      </c>
      <c r="K298" s="2" t="s">
        <v>31</v>
      </c>
      <c r="L298" s="2" t="s">
        <v>349</v>
      </c>
      <c r="M298" s="2" t="s">
        <v>49</v>
      </c>
      <c r="N298" s="2" t="s">
        <v>484</v>
      </c>
      <c r="O298" s="2" t="s">
        <v>159</v>
      </c>
      <c r="P298" s="2" t="s">
        <v>1795</v>
      </c>
      <c r="Q298" s="2" t="s">
        <v>435</v>
      </c>
      <c r="R298" s="2" t="s">
        <v>428</v>
      </c>
      <c r="S298" s="2" t="s">
        <v>45</v>
      </c>
      <c r="T298" s="153">
        <v>2.077</v>
      </c>
      <c r="U298" s="2" t="s">
        <v>1868</v>
      </c>
      <c r="V298" s="165">
        <v>2.0500000000000001E-2</v>
      </c>
      <c r="W298" s="167">
        <v>2.3279999999999999E-2</v>
      </c>
      <c r="X298" s="4" t="s">
        <v>434</v>
      </c>
      <c r="Y298" s="4" t="s">
        <v>159</v>
      </c>
      <c r="Z298" s="153">
        <v>25180.44</v>
      </c>
      <c r="AA298" s="153">
        <v>1</v>
      </c>
      <c r="AB298" s="153">
        <v>112.41</v>
      </c>
      <c r="AD298" s="153">
        <v>28.305</v>
      </c>
      <c r="AG298" s="2" t="s">
        <v>37</v>
      </c>
      <c r="AH298" s="153">
        <v>3.3000000000000003E-5</v>
      </c>
      <c r="AI298" s="167">
        <v>9.5471948819025997E-3</v>
      </c>
      <c r="AJ298" s="167">
        <v>1.8594215544285901E-3</v>
      </c>
    </row>
    <row r="299" spans="1:36">
      <c r="A299" s="2" t="s">
        <v>26</v>
      </c>
      <c r="B299" s="2">
        <v>9936</v>
      </c>
      <c r="C299" s="2" t="s">
        <v>1869</v>
      </c>
      <c r="D299" s="2" t="s">
        <v>1870</v>
      </c>
      <c r="E299" s="4" t="s">
        <v>1345</v>
      </c>
      <c r="F299" s="2" t="s">
        <v>1871</v>
      </c>
      <c r="G299" s="2" t="s">
        <v>1872</v>
      </c>
      <c r="H299" s="2" t="s">
        <v>343</v>
      </c>
      <c r="I299" s="2" t="s">
        <v>777</v>
      </c>
      <c r="J299" s="2" t="s">
        <v>31</v>
      </c>
      <c r="K299" s="2" t="s">
        <v>31</v>
      </c>
      <c r="L299" s="2" t="s">
        <v>349</v>
      </c>
      <c r="M299" s="2" t="s">
        <v>49</v>
      </c>
      <c r="N299" s="2" t="s">
        <v>468</v>
      </c>
      <c r="O299" s="2" t="s">
        <v>159</v>
      </c>
      <c r="P299" s="2" t="s">
        <v>127</v>
      </c>
      <c r="Q299" s="2" t="s">
        <v>128</v>
      </c>
      <c r="R299" s="2" t="s">
        <v>428</v>
      </c>
      <c r="S299" s="2" t="s">
        <v>45</v>
      </c>
      <c r="T299" s="153">
        <v>3.4209999999999998</v>
      </c>
      <c r="U299" s="2" t="s">
        <v>1873</v>
      </c>
      <c r="V299" s="165">
        <v>1.2200000000000001E-2</v>
      </c>
      <c r="W299" s="167">
        <v>1.7999999999999999E-2</v>
      </c>
      <c r="X299" s="4" t="s">
        <v>434</v>
      </c>
      <c r="Y299" s="4" t="s">
        <v>159</v>
      </c>
      <c r="Z299" s="153">
        <v>14854</v>
      </c>
      <c r="AA299" s="153">
        <v>1</v>
      </c>
      <c r="AB299" s="153">
        <v>111.35</v>
      </c>
      <c r="AD299" s="153">
        <v>16.54</v>
      </c>
      <c r="AG299" s="2" t="s">
        <v>37</v>
      </c>
      <c r="AH299" s="153">
        <v>5.0000000000000004E-6</v>
      </c>
      <c r="AI299" s="167">
        <v>5.5788048034990196E-3</v>
      </c>
      <c r="AJ299" s="167">
        <v>1.0865337963551201E-3</v>
      </c>
    </row>
    <row r="300" spans="1:36">
      <c r="A300" s="2" t="s">
        <v>26</v>
      </c>
      <c r="B300" s="2">
        <v>9936</v>
      </c>
      <c r="C300" s="2" t="s">
        <v>1869</v>
      </c>
      <c r="D300" s="2" t="s">
        <v>1870</v>
      </c>
      <c r="E300" s="4" t="s">
        <v>1345</v>
      </c>
      <c r="F300" s="2" t="s">
        <v>2078</v>
      </c>
      <c r="G300" s="2" t="s">
        <v>2079</v>
      </c>
      <c r="H300" s="2" t="s">
        <v>343</v>
      </c>
      <c r="I300" s="2" t="s">
        <v>777</v>
      </c>
      <c r="J300" s="2" t="s">
        <v>31</v>
      </c>
      <c r="K300" s="2" t="s">
        <v>31</v>
      </c>
      <c r="L300" s="2" t="s">
        <v>349</v>
      </c>
      <c r="M300" s="2" t="s">
        <v>49</v>
      </c>
      <c r="N300" s="2" t="s">
        <v>468</v>
      </c>
      <c r="O300" s="2" t="s">
        <v>159</v>
      </c>
      <c r="P300" s="2" t="s">
        <v>127</v>
      </c>
      <c r="Q300" s="2" t="s">
        <v>128</v>
      </c>
      <c r="R300" s="2" t="s">
        <v>428</v>
      </c>
      <c r="S300" s="2" t="s">
        <v>45</v>
      </c>
      <c r="T300" s="153">
        <v>4.5510000000000002</v>
      </c>
      <c r="U300" s="2" t="s">
        <v>2080</v>
      </c>
      <c r="V300" s="165">
        <v>1E-3</v>
      </c>
      <c r="W300" s="167">
        <v>1.9689999999999999E-2</v>
      </c>
      <c r="X300" s="4" t="s">
        <v>434</v>
      </c>
      <c r="Y300" s="4" t="s">
        <v>159</v>
      </c>
      <c r="Z300" s="153">
        <v>46000</v>
      </c>
      <c r="AA300" s="153">
        <v>1</v>
      </c>
      <c r="AB300" s="153">
        <v>100.35</v>
      </c>
      <c r="AD300" s="153">
        <v>46.161000000000001</v>
      </c>
      <c r="AG300" s="2" t="s">
        <v>37</v>
      </c>
      <c r="AH300" s="153">
        <v>1.4E-5</v>
      </c>
      <c r="AI300" s="167">
        <v>1.5569789237566699E-2</v>
      </c>
      <c r="AJ300" s="167">
        <v>3.0323882631871401E-3</v>
      </c>
    </row>
    <row r="301" spans="1:36">
      <c r="A301" s="2" t="s">
        <v>26</v>
      </c>
      <c r="B301" s="2">
        <v>9936</v>
      </c>
      <c r="C301" s="2" t="s">
        <v>1869</v>
      </c>
      <c r="D301" s="2" t="s">
        <v>1870</v>
      </c>
      <c r="E301" s="4" t="s">
        <v>1345</v>
      </c>
      <c r="F301" s="2" t="s">
        <v>1877</v>
      </c>
      <c r="G301" s="2" t="s">
        <v>1878</v>
      </c>
      <c r="H301" s="2" t="s">
        <v>343</v>
      </c>
      <c r="I301" s="2" t="s">
        <v>777</v>
      </c>
      <c r="J301" s="2" t="s">
        <v>31</v>
      </c>
      <c r="K301" s="2" t="s">
        <v>31</v>
      </c>
      <c r="L301" s="2" t="s">
        <v>349</v>
      </c>
      <c r="M301" s="2" t="s">
        <v>49</v>
      </c>
      <c r="N301" s="2" t="s">
        <v>468</v>
      </c>
      <c r="O301" s="2" t="s">
        <v>159</v>
      </c>
      <c r="P301" s="2" t="s">
        <v>1201</v>
      </c>
      <c r="Q301" s="2" t="s">
        <v>435</v>
      </c>
      <c r="R301" s="2" t="s">
        <v>428</v>
      </c>
      <c r="S301" s="2" t="s">
        <v>45</v>
      </c>
      <c r="T301" s="153">
        <v>4.93</v>
      </c>
      <c r="U301" s="2" t="s">
        <v>1879</v>
      </c>
      <c r="V301" s="165">
        <v>1.9900000000000001E-2</v>
      </c>
      <c r="W301" s="167">
        <v>1.9460000000000002E-2</v>
      </c>
      <c r="X301" s="4" t="s">
        <v>434</v>
      </c>
      <c r="Y301" s="4" t="s">
        <v>159</v>
      </c>
      <c r="Z301" s="153">
        <v>70000</v>
      </c>
      <c r="AA301" s="153">
        <v>1</v>
      </c>
      <c r="AB301" s="153">
        <v>100.72</v>
      </c>
      <c r="AD301" s="153">
        <v>70.504000000000005</v>
      </c>
      <c r="AG301" s="2" t="s">
        <v>37</v>
      </c>
      <c r="AH301" s="153">
        <v>2.5999999999999998E-5</v>
      </c>
      <c r="AI301" s="167">
        <v>2.3780516462065499E-2</v>
      </c>
      <c r="AJ301" s="167">
        <v>4.6315179937121498E-3</v>
      </c>
    </row>
    <row r="302" spans="1:36">
      <c r="A302" s="2" t="s">
        <v>26</v>
      </c>
      <c r="B302" s="2">
        <v>9936</v>
      </c>
      <c r="C302" s="2" t="s">
        <v>1880</v>
      </c>
      <c r="D302" s="2" t="s">
        <v>1881</v>
      </c>
      <c r="E302" s="4" t="s">
        <v>1345</v>
      </c>
      <c r="F302" s="2" t="s">
        <v>2424</v>
      </c>
      <c r="G302" s="2" t="s">
        <v>2425</v>
      </c>
      <c r="H302" s="2" t="s">
        <v>343</v>
      </c>
      <c r="I302" s="2" t="s">
        <v>777</v>
      </c>
      <c r="J302" s="2" t="s">
        <v>31</v>
      </c>
      <c r="K302" s="2" t="s">
        <v>31</v>
      </c>
      <c r="L302" s="2" t="s">
        <v>349</v>
      </c>
      <c r="M302" s="2" t="s">
        <v>49</v>
      </c>
      <c r="N302" s="2" t="s">
        <v>463</v>
      </c>
      <c r="O302" s="2" t="s">
        <v>159</v>
      </c>
      <c r="P302" s="2" t="s">
        <v>33</v>
      </c>
      <c r="Q302" s="2" t="s">
        <v>128</v>
      </c>
      <c r="R302" s="2" t="s">
        <v>428</v>
      </c>
      <c r="S302" s="2" t="s">
        <v>45</v>
      </c>
      <c r="T302" s="153">
        <v>1.044</v>
      </c>
      <c r="U302" s="2" t="s">
        <v>1981</v>
      </c>
      <c r="V302" s="165">
        <v>1.8499999999999999E-2</v>
      </c>
      <c r="W302" s="167">
        <v>1.9130000000000001E-2</v>
      </c>
      <c r="X302" s="4" t="s">
        <v>434</v>
      </c>
      <c r="Y302" s="4" t="s">
        <v>159</v>
      </c>
      <c r="Z302" s="153">
        <v>22063.360000000001</v>
      </c>
      <c r="AA302" s="153">
        <v>1</v>
      </c>
      <c r="AB302" s="153">
        <v>111.87</v>
      </c>
      <c r="AD302" s="153">
        <v>24.681999999999999</v>
      </c>
      <c r="AG302" s="2" t="s">
        <v>37</v>
      </c>
      <c r="AH302" s="153">
        <v>3.6999999999999998E-5</v>
      </c>
      <c r="AI302" s="167">
        <v>8.3251643260907095E-3</v>
      </c>
      <c r="AJ302" s="167">
        <v>1.62141761884807E-3</v>
      </c>
    </row>
    <row r="303" spans="1:36">
      <c r="A303" s="2" t="s">
        <v>26</v>
      </c>
      <c r="B303" s="2">
        <v>9936</v>
      </c>
      <c r="C303" s="2" t="s">
        <v>1880</v>
      </c>
      <c r="D303" s="2" t="s">
        <v>1881</v>
      </c>
      <c r="E303" s="4" t="s">
        <v>1345</v>
      </c>
      <c r="F303" s="2" t="s">
        <v>2241</v>
      </c>
      <c r="G303" s="2" t="s">
        <v>2242</v>
      </c>
      <c r="H303" s="2" t="s">
        <v>343</v>
      </c>
      <c r="I303" s="2" t="s">
        <v>777</v>
      </c>
      <c r="J303" s="2" t="s">
        <v>31</v>
      </c>
      <c r="K303" s="2" t="s">
        <v>31</v>
      </c>
      <c r="L303" s="2" t="s">
        <v>349</v>
      </c>
      <c r="M303" s="2" t="s">
        <v>49</v>
      </c>
      <c r="N303" s="2" t="s">
        <v>463</v>
      </c>
      <c r="O303" s="2" t="s">
        <v>159</v>
      </c>
      <c r="P303" s="2" t="s">
        <v>33</v>
      </c>
      <c r="Q303" s="2" t="s">
        <v>128</v>
      </c>
      <c r="R303" s="2" t="s">
        <v>428</v>
      </c>
      <c r="S303" s="2" t="s">
        <v>45</v>
      </c>
      <c r="T303" s="153">
        <v>3.4689999999999999</v>
      </c>
      <c r="U303" s="2" t="s">
        <v>2243</v>
      </c>
      <c r="V303" s="165">
        <v>0.01</v>
      </c>
      <c r="W303" s="167">
        <v>3.6119999999999999E-2</v>
      </c>
      <c r="X303" s="4" t="s">
        <v>434</v>
      </c>
      <c r="Y303" s="4" t="s">
        <v>159</v>
      </c>
      <c r="Z303" s="153">
        <v>19792</v>
      </c>
      <c r="AA303" s="153">
        <v>1</v>
      </c>
      <c r="AB303" s="153">
        <v>99.91</v>
      </c>
      <c r="AD303" s="153">
        <v>19.774000000000001</v>
      </c>
      <c r="AG303" s="2" t="s">
        <v>37</v>
      </c>
      <c r="AH303" s="153">
        <v>1.7E-5</v>
      </c>
      <c r="AI303" s="167">
        <v>6.6696979495286099E-3</v>
      </c>
      <c r="AJ303" s="167">
        <v>1.2989972743082999E-3</v>
      </c>
    </row>
    <row r="304" spans="1:36">
      <c r="A304" s="2" t="s">
        <v>26</v>
      </c>
      <c r="B304" s="2">
        <v>9936</v>
      </c>
      <c r="C304" s="2" t="s">
        <v>1880</v>
      </c>
      <c r="D304" s="2" t="s">
        <v>1881</v>
      </c>
      <c r="E304" s="4" t="s">
        <v>1345</v>
      </c>
      <c r="F304" s="2" t="s">
        <v>1882</v>
      </c>
      <c r="G304" s="2" t="s">
        <v>1883</v>
      </c>
      <c r="H304" s="2" t="s">
        <v>343</v>
      </c>
      <c r="I304" s="2" t="s">
        <v>777</v>
      </c>
      <c r="J304" s="2" t="s">
        <v>31</v>
      </c>
      <c r="K304" s="2" t="s">
        <v>31</v>
      </c>
      <c r="L304" s="2" t="s">
        <v>349</v>
      </c>
      <c r="M304" s="2" t="s">
        <v>49</v>
      </c>
      <c r="N304" s="2" t="s">
        <v>463</v>
      </c>
      <c r="O304" s="2" t="s">
        <v>159</v>
      </c>
      <c r="P304" s="2" t="s">
        <v>33</v>
      </c>
      <c r="Q304" s="2" t="s">
        <v>128</v>
      </c>
      <c r="R304" s="2" t="s">
        <v>428</v>
      </c>
      <c r="S304" s="2" t="s">
        <v>45</v>
      </c>
      <c r="T304" s="153">
        <v>2.129</v>
      </c>
      <c r="U304" s="2" t="s">
        <v>111</v>
      </c>
      <c r="V304" s="165">
        <v>3.5400000000000001E-2</v>
      </c>
      <c r="W304" s="167">
        <v>3.2099999999999997E-2</v>
      </c>
      <c r="X304" s="4" t="s">
        <v>434</v>
      </c>
      <c r="Y304" s="4" t="s">
        <v>159</v>
      </c>
      <c r="Z304" s="153">
        <v>22000</v>
      </c>
      <c r="AA304" s="153">
        <v>1</v>
      </c>
      <c r="AB304" s="153">
        <v>104.17</v>
      </c>
      <c r="AD304" s="153">
        <v>22.917000000000002</v>
      </c>
      <c r="AG304" s="2" t="s">
        <v>37</v>
      </c>
      <c r="AH304" s="153">
        <v>3.1999999999999999E-5</v>
      </c>
      <c r="AI304" s="167">
        <v>7.7298821055222398E-3</v>
      </c>
      <c r="AJ304" s="167">
        <v>1.50547983758508E-3</v>
      </c>
    </row>
    <row r="305" spans="1:36">
      <c r="A305" s="2" t="s">
        <v>26</v>
      </c>
      <c r="B305" s="2">
        <v>9936</v>
      </c>
      <c r="C305" s="2" t="s">
        <v>1880</v>
      </c>
      <c r="D305" s="2" t="s">
        <v>1881</v>
      </c>
      <c r="E305" s="4" t="s">
        <v>1345</v>
      </c>
      <c r="F305" s="2" t="s">
        <v>2244</v>
      </c>
      <c r="G305" s="2" t="s">
        <v>2245</v>
      </c>
      <c r="H305" s="2" t="s">
        <v>343</v>
      </c>
      <c r="I305" s="2" t="s">
        <v>777</v>
      </c>
      <c r="J305" s="2" t="s">
        <v>31</v>
      </c>
      <c r="K305" s="2" t="s">
        <v>31</v>
      </c>
      <c r="L305" s="2" t="s">
        <v>349</v>
      </c>
      <c r="M305" s="2" t="s">
        <v>49</v>
      </c>
      <c r="N305" s="2" t="s">
        <v>463</v>
      </c>
      <c r="O305" s="2" t="s">
        <v>159</v>
      </c>
      <c r="P305" s="2" t="s">
        <v>33</v>
      </c>
      <c r="Q305" s="2" t="s">
        <v>128</v>
      </c>
      <c r="R305" s="2" t="s">
        <v>428</v>
      </c>
      <c r="S305" s="2" t="s">
        <v>45</v>
      </c>
      <c r="T305" s="153">
        <v>0.90300000000000002</v>
      </c>
      <c r="U305" s="2" t="s">
        <v>2246</v>
      </c>
      <c r="V305" s="165">
        <v>0.01</v>
      </c>
      <c r="W305" s="167">
        <v>2.2270000000000002E-2</v>
      </c>
      <c r="X305" s="4" t="s">
        <v>434</v>
      </c>
      <c r="Y305" s="4" t="s">
        <v>159</v>
      </c>
      <c r="Z305" s="153">
        <v>24070.799999999999</v>
      </c>
      <c r="AA305" s="153">
        <v>1</v>
      </c>
      <c r="AB305" s="153">
        <v>109.27</v>
      </c>
      <c r="AD305" s="153">
        <v>26.302</v>
      </c>
      <c r="AG305" s="2" t="s">
        <v>37</v>
      </c>
      <c r="AH305" s="153">
        <v>2.5000000000000001E-5</v>
      </c>
      <c r="AI305" s="167">
        <v>8.8715395440586708E-3</v>
      </c>
      <c r="AJ305" s="167">
        <v>1.7278302216766799E-3</v>
      </c>
    </row>
    <row r="306" spans="1:36">
      <c r="A306" s="2" t="s">
        <v>26</v>
      </c>
      <c r="B306" s="2">
        <v>9936</v>
      </c>
      <c r="C306" s="2" t="s">
        <v>1577</v>
      </c>
      <c r="D306" s="2" t="s">
        <v>1578</v>
      </c>
      <c r="E306" s="4" t="s">
        <v>1345</v>
      </c>
      <c r="F306" s="2" t="s">
        <v>1886</v>
      </c>
      <c r="G306" s="2" t="s">
        <v>1887</v>
      </c>
      <c r="H306" s="2" t="s">
        <v>343</v>
      </c>
      <c r="I306" s="2" t="s">
        <v>777</v>
      </c>
      <c r="J306" s="2" t="s">
        <v>31</v>
      </c>
      <c r="K306" s="2" t="s">
        <v>31</v>
      </c>
      <c r="L306" s="2" t="s">
        <v>349</v>
      </c>
      <c r="M306" s="2" t="s">
        <v>49</v>
      </c>
      <c r="N306" s="2" t="s">
        <v>484</v>
      </c>
      <c r="O306" s="2" t="s">
        <v>159</v>
      </c>
      <c r="P306" s="2" t="s">
        <v>1779</v>
      </c>
      <c r="Q306" s="2" t="s">
        <v>435</v>
      </c>
      <c r="R306" s="2" t="s">
        <v>428</v>
      </c>
      <c r="S306" s="2" t="s">
        <v>45</v>
      </c>
      <c r="T306" s="153">
        <v>6.45</v>
      </c>
      <c r="U306" s="2" t="s">
        <v>1888</v>
      </c>
      <c r="V306" s="165">
        <v>3.61E-2</v>
      </c>
      <c r="W306" s="167">
        <v>2.9960000000000001E-2</v>
      </c>
      <c r="X306" s="4" t="s">
        <v>434</v>
      </c>
      <c r="Y306" s="4" t="s">
        <v>159</v>
      </c>
      <c r="Z306" s="153">
        <v>35000</v>
      </c>
      <c r="AA306" s="153">
        <v>1</v>
      </c>
      <c r="AB306" s="153">
        <v>107.22</v>
      </c>
      <c r="AD306" s="153">
        <v>37.527000000000001</v>
      </c>
      <c r="AG306" s="2" t="s">
        <v>37</v>
      </c>
      <c r="AH306" s="153">
        <v>7.6000000000000004E-5</v>
      </c>
      <c r="AI306" s="167">
        <v>1.26576001542031E-2</v>
      </c>
      <c r="AJ306" s="167">
        <v>2.46520730384142E-3</v>
      </c>
    </row>
    <row r="307" spans="1:36">
      <c r="A307" s="2" t="s">
        <v>26</v>
      </c>
      <c r="B307" s="2">
        <v>9936</v>
      </c>
      <c r="C307" s="2" t="s">
        <v>1577</v>
      </c>
      <c r="D307" s="2" t="s">
        <v>1578</v>
      </c>
      <c r="E307" s="4" t="s">
        <v>1345</v>
      </c>
      <c r="F307" s="2" t="s">
        <v>2087</v>
      </c>
      <c r="G307" s="2" t="s">
        <v>2088</v>
      </c>
      <c r="H307" s="2" t="s">
        <v>343</v>
      </c>
      <c r="I307" s="2" t="s">
        <v>777</v>
      </c>
      <c r="J307" s="2" t="s">
        <v>31</v>
      </c>
      <c r="K307" s="2" t="s">
        <v>31</v>
      </c>
      <c r="L307" s="2" t="s">
        <v>349</v>
      </c>
      <c r="M307" s="2" t="s">
        <v>49</v>
      </c>
      <c r="N307" s="2" t="s">
        <v>484</v>
      </c>
      <c r="O307" s="2" t="s">
        <v>159</v>
      </c>
      <c r="P307" s="2" t="s">
        <v>1779</v>
      </c>
      <c r="Q307" s="2" t="s">
        <v>435</v>
      </c>
      <c r="R307" s="2" t="s">
        <v>428</v>
      </c>
      <c r="S307" s="2" t="s">
        <v>45</v>
      </c>
      <c r="T307" s="153">
        <v>1.2430000000000001</v>
      </c>
      <c r="U307" s="2" t="s">
        <v>1891</v>
      </c>
      <c r="V307" s="165">
        <v>1.7600000000000001E-2</v>
      </c>
      <c r="W307" s="167">
        <v>1.3939999999999999E-2</v>
      </c>
      <c r="X307" s="4" t="s">
        <v>434</v>
      </c>
      <c r="Y307" s="4" t="s">
        <v>159</v>
      </c>
      <c r="Z307" s="153">
        <v>8367.7099999999991</v>
      </c>
      <c r="AA307" s="153">
        <v>1</v>
      </c>
      <c r="AB307" s="153">
        <v>114.03</v>
      </c>
      <c r="AC307" s="153">
        <v>6.6829999999999998</v>
      </c>
      <c r="AD307" s="153">
        <v>16.224</v>
      </c>
      <c r="AG307" s="2" t="s">
        <v>37</v>
      </c>
      <c r="AH307" s="153">
        <v>6.0000000000000002E-6</v>
      </c>
      <c r="AI307" s="167">
        <v>5.4723317143683002E-3</v>
      </c>
      <c r="AJ307" s="167">
        <v>1.0657969873399901E-3</v>
      </c>
    </row>
    <row r="308" spans="1:36">
      <c r="A308" s="2" t="s">
        <v>26</v>
      </c>
      <c r="B308" s="2">
        <v>9936</v>
      </c>
      <c r="C308" s="2" t="s">
        <v>1577</v>
      </c>
      <c r="D308" s="2" t="s">
        <v>1578</v>
      </c>
      <c r="E308" s="4" t="s">
        <v>1345</v>
      </c>
      <c r="F308" s="2" t="s">
        <v>1892</v>
      </c>
      <c r="G308" s="2" t="s">
        <v>1893</v>
      </c>
      <c r="H308" s="2" t="s">
        <v>343</v>
      </c>
      <c r="I308" s="2" t="s">
        <v>777</v>
      </c>
      <c r="J308" s="2" t="s">
        <v>31</v>
      </c>
      <c r="K308" s="2" t="s">
        <v>31</v>
      </c>
      <c r="L308" s="2" t="s">
        <v>349</v>
      </c>
      <c r="M308" s="2" t="s">
        <v>49</v>
      </c>
      <c r="N308" s="2" t="s">
        <v>484</v>
      </c>
      <c r="O308" s="2" t="s">
        <v>159</v>
      </c>
      <c r="P308" s="2" t="s">
        <v>1779</v>
      </c>
      <c r="Q308" s="2" t="s">
        <v>435</v>
      </c>
      <c r="R308" s="2" t="s">
        <v>428</v>
      </c>
      <c r="S308" s="2" t="s">
        <v>45</v>
      </c>
      <c r="T308" s="153">
        <v>5.657</v>
      </c>
      <c r="U308" s="2" t="s">
        <v>1894</v>
      </c>
      <c r="V308" s="165">
        <v>2.5000000000000001E-3</v>
      </c>
      <c r="W308" s="167">
        <v>2.648E-2</v>
      </c>
      <c r="X308" s="4" t="s">
        <v>434</v>
      </c>
      <c r="Y308" s="4" t="s">
        <v>159</v>
      </c>
      <c r="Z308" s="153">
        <v>18900</v>
      </c>
      <c r="AA308" s="153">
        <v>1</v>
      </c>
      <c r="AB308" s="153">
        <v>95.66</v>
      </c>
      <c r="AD308" s="153">
        <v>18.079999999999998</v>
      </c>
      <c r="AG308" s="2" t="s">
        <v>37</v>
      </c>
      <c r="AH308" s="153">
        <v>1.5E-5</v>
      </c>
      <c r="AI308" s="167">
        <v>6.0981725107775997E-3</v>
      </c>
      <c r="AJ308" s="167">
        <v>1.18768638845508E-3</v>
      </c>
    </row>
    <row r="309" spans="1:36">
      <c r="A309" s="2" t="s">
        <v>26</v>
      </c>
      <c r="B309" s="2">
        <v>9936</v>
      </c>
      <c r="C309" s="2" t="s">
        <v>1361</v>
      </c>
      <c r="D309" s="2" t="s">
        <v>1362</v>
      </c>
      <c r="E309" s="4" t="s">
        <v>1345</v>
      </c>
      <c r="F309" s="2" t="s">
        <v>2263</v>
      </c>
      <c r="G309" s="2" t="s">
        <v>2264</v>
      </c>
      <c r="H309" s="2" t="s">
        <v>343</v>
      </c>
      <c r="I309" s="2" t="s">
        <v>777</v>
      </c>
      <c r="J309" s="2" t="s">
        <v>31</v>
      </c>
      <c r="K309" s="2" t="s">
        <v>31</v>
      </c>
      <c r="L309" s="2" t="s">
        <v>349</v>
      </c>
      <c r="M309" s="2" t="s">
        <v>49</v>
      </c>
      <c r="N309" s="2" t="s">
        <v>461</v>
      </c>
      <c r="O309" s="2" t="s">
        <v>159</v>
      </c>
      <c r="P309" s="2" t="s">
        <v>1350</v>
      </c>
      <c r="Q309" s="2" t="s">
        <v>336</v>
      </c>
      <c r="R309" s="2" t="s">
        <v>430</v>
      </c>
      <c r="S309" s="2" t="s">
        <v>45</v>
      </c>
      <c r="T309" s="153">
        <v>2.7650000000000001</v>
      </c>
      <c r="U309" s="2" t="s">
        <v>1967</v>
      </c>
      <c r="V309" s="165">
        <v>1.4800000000000001E-2</v>
      </c>
      <c r="W309" s="167">
        <v>3.6080000000000001E-2</v>
      </c>
      <c r="X309" s="4" t="s">
        <v>434</v>
      </c>
      <c r="Y309" s="4" t="s">
        <v>159</v>
      </c>
      <c r="Z309" s="153">
        <v>25200</v>
      </c>
      <c r="AA309" s="153">
        <v>1</v>
      </c>
      <c r="AB309" s="153">
        <v>103.65</v>
      </c>
      <c r="AD309" s="153">
        <v>26.12</v>
      </c>
      <c r="AG309" s="2" t="s">
        <v>37</v>
      </c>
      <c r="AH309" s="153">
        <v>2.9E-5</v>
      </c>
      <c r="AI309" s="167">
        <v>8.8100296988235897E-3</v>
      </c>
      <c r="AJ309" s="167">
        <v>1.7158505005696501E-3</v>
      </c>
    </row>
    <row r="310" spans="1:36">
      <c r="A310" s="2" t="s">
        <v>26</v>
      </c>
      <c r="B310" s="2">
        <v>9936</v>
      </c>
      <c r="C310" s="2" t="s">
        <v>2265</v>
      </c>
      <c r="D310" s="2" t="s">
        <v>2266</v>
      </c>
      <c r="E310" s="4" t="s">
        <v>1345</v>
      </c>
      <c r="F310" s="2" t="s">
        <v>2267</v>
      </c>
      <c r="G310" s="2" t="s">
        <v>2268</v>
      </c>
      <c r="H310" s="2" t="s">
        <v>343</v>
      </c>
      <c r="I310" s="2" t="s">
        <v>777</v>
      </c>
      <c r="J310" s="2" t="s">
        <v>31</v>
      </c>
      <c r="K310" s="2" t="s">
        <v>31</v>
      </c>
      <c r="L310" s="2" t="s">
        <v>349</v>
      </c>
      <c r="M310" s="2" t="s">
        <v>49</v>
      </c>
      <c r="N310" s="2" t="s">
        <v>484</v>
      </c>
      <c r="O310" s="2" t="s">
        <v>159</v>
      </c>
      <c r="P310" s="2" t="s">
        <v>1994</v>
      </c>
      <c r="Q310" s="2" t="s">
        <v>435</v>
      </c>
      <c r="R310" s="2" t="s">
        <v>428</v>
      </c>
      <c r="S310" s="2" t="s">
        <v>45</v>
      </c>
      <c r="T310" s="153">
        <v>4.4139999999999997</v>
      </c>
      <c r="U310" s="2" t="s">
        <v>1782</v>
      </c>
      <c r="V310" s="165">
        <v>3.6200000000000003E-2</v>
      </c>
      <c r="W310" s="167">
        <v>3.5619999999999999E-2</v>
      </c>
      <c r="X310" s="4" t="s">
        <v>434</v>
      </c>
      <c r="Y310" s="4" t="s">
        <v>159</v>
      </c>
      <c r="Z310" s="153">
        <v>11640</v>
      </c>
      <c r="AA310" s="153">
        <v>1</v>
      </c>
      <c r="AB310" s="153">
        <v>103.98</v>
      </c>
      <c r="AD310" s="153">
        <v>12.103</v>
      </c>
      <c r="AG310" s="2" t="s">
        <v>37</v>
      </c>
      <c r="AH310" s="153">
        <v>6.9999999999999999E-6</v>
      </c>
      <c r="AI310" s="167">
        <v>4.0823507750036396E-3</v>
      </c>
      <c r="AJ310" s="167">
        <v>7.9508286126733795E-4</v>
      </c>
    </row>
    <row r="311" spans="1:36">
      <c r="A311" s="2" t="s">
        <v>26</v>
      </c>
      <c r="B311" s="2">
        <v>9936</v>
      </c>
      <c r="C311" s="2" t="s">
        <v>2265</v>
      </c>
      <c r="D311" s="2" t="s">
        <v>2266</v>
      </c>
      <c r="E311" s="4" t="s">
        <v>1345</v>
      </c>
      <c r="F311" s="2" t="s">
        <v>2426</v>
      </c>
      <c r="G311" s="2" t="s">
        <v>2427</v>
      </c>
      <c r="H311" s="2" t="s">
        <v>343</v>
      </c>
      <c r="I311" s="2" t="s">
        <v>777</v>
      </c>
      <c r="J311" s="2" t="s">
        <v>31</v>
      </c>
      <c r="K311" s="2" t="s">
        <v>31</v>
      </c>
      <c r="L311" s="2" t="s">
        <v>349</v>
      </c>
      <c r="M311" s="2" t="s">
        <v>49</v>
      </c>
      <c r="N311" s="2" t="s">
        <v>484</v>
      </c>
      <c r="O311" s="2" t="s">
        <v>159</v>
      </c>
      <c r="P311" s="2" t="s">
        <v>1994</v>
      </c>
      <c r="Q311" s="2" t="s">
        <v>435</v>
      </c>
      <c r="R311" s="2" t="s">
        <v>428</v>
      </c>
      <c r="S311" s="2" t="s">
        <v>45</v>
      </c>
      <c r="T311" s="153">
        <v>1.212</v>
      </c>
      <c r="U311" s="2" t="s">
        <v>1981</v>
      </c>
      <c r="V311" s="165">
        <v>4.9500000000000002E-2</v>
      </c>
      <c r="W311" s="167">
        <v>3.8949999999999999E-2</v>
      </c>
      <c r="X311" s="4" t="s">
        <v>434</v>
      </c>
      <c r="Y311" s="4" t="s">
        <v>159</v>
      </c>
      <c r="Z311" s="153">
        <v>6666.67</v>
      </c>
      <c r="AA311" s="153">
        <v>1</v>
      </c>
      <c r="AB311" s="153">
        <v>138.43</v>
      </c>
      <c r="AD311" s="153">
        <v>9.2289999999999992</v>
      </c>
      <c r="AG311" s="2" t="s">
        <v>37</v>
      </c>
      <c r="AH311" s="153">
        <v>3.9999999999999998E-6</v>
      </c>
      <c r="AI311" s="167">
        <v>3.1127676347556402E-3</v>
      </c>
      <c r="AJ311" s="167">
        <v>6.0624584556913201E-4</v>
      </c>
    </row>
    <row r="312" spans="1:36">
      <c r="A312" s="2" t="s">
        <v>26</v>
      </c>
      <c r="B312" s="2">
        <v>9936</v>
      </c>
      <c r="C312" s="2" t="s">
        <v>2269</v>
      </c>
      <c r="D312" s="2" t="s">
        <v>2270</v>
      </c>
      <c r="E312" s="4" t="s">
        <v>334</v>
      </c>
      <c r="F312" s="2" t="s">
        <v>2271</v>
      </c>
      <c r="G312" s="2" t="s">
        <v>2272</v>
      </c>
      <c r="H312" s="2" t="s">
        <v>343</v>
      </c>
      <c r="I312" s="2" t="s">
        <v>990</v>
      </c>
      <c r="J312" s="2" t="s">
        <v>31</v>
      </c>
      <c r="K312" s="2" t="s">
        <v>31</v>
      </c>
      <c r="L312" s="2" t="s">
        <v>349</v>
      </c>
      <c r="M312" s="2" t="s">
        <v>49</v>
      </c>
      <c r="N312" s="2" t="s">
        <v>485</v>
      </c>
      <c r="O312" s="2" t="s">
        <v>159</v>
      </c>
      <c r="P312" s="2" t="s">
        <v>1779</v>
      </c>
      <c r="Q312" s="2" t="s">
        <v>435</v>
      </c>
      <c r="R312" s="2" t="s">
        <v>428</v>
      </c>
      <c r="S312" s="2" t="s">
        <v>45</v>
      </c>
      <c r="T312" s="153">
        <v>2.8650000000000002</v>
      </c>
      <c r="U312" s="2" t="s">
        <v>1959</v>
      </c>
      <c r="V312" s="165">
        <v>6.3500000000000001E-2</v>
      </c>
      <c r="W312" s="167">
        <v>5.8930000000000003E-2</v>
      </c>
      <c r="X312" s="4" t="s">
        <v>434</v>
      </c>
      <c r="Y312" s="4" t="s">
        <v>159</v>
      </c>
      <c r="Z312" s="153">
        <v>14000</v>
      </c>
      <c r="AA312" s="153">
        <v>1</v>
      </c>
      <c r="AB312" s="153">
        <v>103.15</v>
      </c>
      <c r="AD312" s="153">
        <v>14.441000000000001</v>
      </c>
      <c r="AG312" s="2" t="s">
        <v>37</v>
      </c>
      <c r="AH312" s="153">
        <v>3.4E-5</v>
      </c>
      <c r="AI312" s="167">
        <v>4.8708504230779498E-3</v>
      </c>
      <c r="AJ312" s="167">
        <v>9.4865186864854698E-4</v>
      </c>
    </row>
    <row r="313" spans="1:36">
      <c r="A313" s="2" t="s">
        <v>26</v>
      </c>
      <c r="B313" s="2">
        <v>9936</v>
      </c>
      <c r="C313" s="2" t="s">
        <v>1990</v>
      </c>
      <c r="D313" s="2" t="s">
        <v>1991</v>
      </c>
      <c r="E313" s="4" t="s">
        <v>44</v>
      </c>
      <c r="F313" s="2" t="s">
        <v>1992</v>
      </c>
      <c r="G313" s="2" t="s">
        <v>1993</v>
      </c>
      <c r="H313" s="2" t="s">
        <v>44</v>
      </c>
      <c r="I313" s="2" t="s">
        <v>990</v>
      </c>
      <c r="J313" s="2" t="s">
        <v>31</v>
      </c>
      <c r="K313" s="2" t="s">
        <v>125</v>
      </c>
      <c r="L313" s="2" t="s">
        <v>349</v>
      </c>
      <c r="M313" s="2" t="s">
        <v>49</v>
      </c>
      <c r="N313" s="2" t="s">
        <v>485</v>
      </c>
      <c r="O313" s="2" t="s">
        <v>159</v>
      </c>
      <c r="P313" s="2" t="s">
        <v>1994</v>
      </c>
      <c r="Q313" s="2" t="s">
        <v>435</v>
      </c>
      <c r="R313" s="2" t="s">
        <v>428</v>
      </c>
      <c r="S313" s="2" t="s">
        <v>45</v>
      </c>
      <c r="T313" s="153">
        <v>2.62</v>
      </c>
      <c r="U313" s="2" t="s">
        <v>1995</v>
      </c>
      <c r="V313" s="165">
        <v>9.0999999999999998E-2</v>
      </c>
      <c r="W313" s="167">
        <v>8.7900000000000006E-2</v>
      </c>
      <c r="X313" s="4" t="s">
        <v>434</v>
      </c>
      <c r="Y313" s="4" t="s">
        <v>159</v>
      </c>
      <c r="Z313" s="153">
        <v>14000</v>
      </c>
      <c r="AA313" s="153">
        <v>1</v>
      </c>
      <c r="AB313" s="153">
        <v>107.07599999999999</v>
      </c>
      <c r="AD313" s="153">
        <v>14.991</v>
      </c>
      <c r="AG313" s="2" t="s">
        <v>37</v>
      </c>
      <c r="AH313" s="153">
        <v>9.2E-5</v>
      </c>
      <c r="AI313" s="167">
        <v>5.0562402317159E-3</v>
      </c>
      <c r="AJ313" s="167">
        <v>9.847585796162071E-4</v>
      </c>
    </row>
    <row r="314" spans="1:36">
      <c r="A314" s="2" t="s">
        <v>26</v>
      </c>
      <c r="B314" s="2">
        <v>9936</v>
      </c>
      <c r="C314" s="2" t="s">
        <v>1996</v>
      </c>
      <c r="D314" s="2" t="s">
        <v>1997</v>
      </c>
      <c r="E314" s="4" t="s">
        <v>44</v>
      </c>
      <c r="F314" s="2" t="s">
        <v>1998</v>
      </c>
      <c r="G314" s="2" t="s">
        <v>1999</v>
      </c>
      <c r="H314" s="2" t="s">
        <v>343</v>
      </c>
      <c r="I314" s="2" t="s">
        <v>778</v>
      </c>
      <c r="J314" s="2" t="s">
        <v>31</v>
      </c>
      <c r="K314" s="2" t="s">
        <v>125</v>
      </c>
      <c r="L314" s="2" t="s">
        <v>349</v>
      </c>
      <c r="M314" s="2" t="s">
        <v>49</v>
      </c>
      <c r="N314" s="2" t="s">
        <v>463</v>
      </c>
      <c r="O314" s="2" t="s">
        <v>159</v>
      </c>
      <c r="P314" s="2" t="s">
        <v>33</v>
      </c>
      <c r="Q314" s="2" t="s">
        <v>128</v>
      </c>
      <c r="R314" s="2" t="s">
        <v>428</v>
      </c>
      <c r="S314" s="2" t="s">
        <v>45</v>
      </c>
      <c r="T314" s="153">
        <v>2.2000000000000002</v>
      </c>
      <c r="U314" s="2" t="s">
        <v>2000</v>
      </c>
      <c r="V314" s="165">
        <v>8.9126999999999998E-2</v>
      </c>
      <c r="W314" s="167">
        <v>7.6850000000000002E-2</v>
      </c>
      <c r="X314" s="4" t="s">
        <v>434</v>
      </c>
      <c r="Y314" s="4" t="s">
        <v>159</v>
      </c>
      <c r="Z314" s="153">
        <v>18000</v>
      </c>
      <c r="AA314" s="153">
        <v>1</v>
      </c>
      <c r="AB314" s="153">
        <v>105</v>
      </c>
      <c r="AD314" s="153">
        <v>18.899999999999999</v>
      </c>
      <c r="AG314" s="2" t="s">
        <v>37</v>
      </c>
      <c r="AH314" s="153">
        <v>6.0999999999999999E-5</v>
      </c>
      <c r="AI314" s="167">
        <v>6.3748405924917402E-3</v>
      </c>
      <c r="AJ314" s="167">
        <v>1.2415705503398299E-3</v>
      </c>
    </row>
    <row r="315" spans="1:36">
      <c r="A315" s="2" t="s">
        <v>26</v>
      </c>
      <c r="B315" s="2">
        <v>9936</v>
      </c>
      <c r="C315" s="2" t="s">
        <v>1996</v>
      </c>
      <c r="D315" s="2" t="s">
        <v>1997</v>
      </c>
      <c r="E315" s="4" t="s">
        <v>44</v>
      </c>
      <c r="F315" s="2" t="s">
        <v>2001</v>
      </c>
      <c r="G315" s="2" t="s">
        <v>1999</v>
      </c>
      <c r="H315" s="2" t="s">
        <v>343</v>
      </c>
      <c r="I315" s="2" t="s">
        <v>778</v>
      </c>
      <c r="J315" s="2" t="s">
        <v>31</v>
      </c>
      <c r="K315" s="2" t="s">
        <v>125</v>
      </c>
      <c r="L315" s="2" t="s">
        <v>349</v>
      </c>
      <c r="M315" s="2" t="s">
        <v>49</v>
      </c>
      <c r="N315" s="2" t="s">
        <v>463</v>
      </c>
      <c r="O315" s="2" t="s">
        <v>159</v>
      </c>
      <c r="P315" s="2" t="s">
        <v>33</v>
      </c>
      <c r="Q315" s="2" t="s">
        <v>128</v>
      </c>
      <c r="R315" s="2" t="s">
        <v>428</v>
      </c>
      <c r="S315" s="2" t="s">
        <v>45</v>
      </c>
      <c r="T315" s="153">
        <v>2.4</v>
      </c>
      <c r="U315" s="2" t="s">
        <v>2000</v>
      </c>
      <c r="V315" s="165">
        <v>8.9126999999999998E-2</v>
      </c>
      <c r="W315" s="167">
        <v>6.5500000000000003E-2</v>
      </c>
      <c r="X315" s="4" t="s">
        <v>434</v>
      </c>
      <c r="Y315" s="4" t="s">
        <v>159</v>
      </c>
      <c r="Z315" s="153">
        <v>18000</v>
      </c>
      <c r="AA315" s="153">
        <v>1</v>
      </c>
      <c r="AB315" s="153">
        <v>104.923</v>
      </c>
      <c r="AD315" s="153">
        <v>18.885999999999999</v>
      </c>
      <c r="AG315" s="2" t="s">
        <v>37</v>
      </c>
      <c r="AH315" s="153">
        <v>0</v>
      </c>
      <c r="AI315" s="167">
        <v>6.3701657093905798E-3</v>
      </c>
      <c r="AJ315" s="167">
        <v>1.2406600652695801E-3</v>
      </c>
    </row>
    <row r="316" spans="1:36">
      <c r="A316" s="2" t="s">
        <v>26</v>
      </c>
      <c r="B316" s="2">
        <v>9936</v>
      </c>
      <c r="C316" s="2" t="s">
        <v>2277</v>
      </c>
      <c r="D316" s="2" t="s">
        <v>2278</v>
      </c>
      <c r="E316" s="4" t="s">
        <v>1345</v>
      </c>
      <c r="F316" s="2" t="s">
        <v>2279</v>
      </c>
      <c r="G316" s="2" t="s">
        <v>2280</v>
      </c>
      <c r="H316" s="2" t="s">
        <v>343</v>
      </c>
      <c r="I316" s="2" t="s">
        <v>777</v>
      </c>
      <c r="J316" s="2" t="s">
        <v>31</v>
      </c>
      <c r="K316" s="2" t="s">
        <v>31</v>
      </c>
      <c r="L316" s="2" t="s">
        <v>349</v>
      </c>
      <c r="M316" s="2" t="s">
        <v>49</v>
      </c>
      <c r="N316" s="2" t="s">
        <v>484</v>
      </c>
      <c r="O316" s="2" t="s">
        <v>159</v>
      </c>
      <c r="P316" s="2" t="s">
        <v>1789</v>
      </c>
      <c r="Q316" s="2" t="s">
        <v>128</v>
      </c>
      <c r="R316" s="2" t="s">
        <v>428</v>
      </c>
      <c r="S316" s="2" t="s">
        <v>45</v>
      </c>
      <c r="T316" s="153">
        <v>3.3839999999999999</v>
      </c>
      <c r="U316" s="2" t="s">
        <v>2281</v>
      </c>
      <c r="V316" s="165">
        <v>1.9599999999999999E-2</v>
      </c>
      <c r="W316" s="167">
        <v>2.3910000000000001E-2</v>
      </c>
      <c r="X316" s="4" t="s">
        <v>434</v>
      </c>
      <c r="Y316" s="4" t="s">
        <v>159</v>
      </c>
      <c r="Z316" s="153">
        <v>30000</v>
      </c>
      <c r="AA316" s="153">
        <v>1</v>
      </c>
      <c r="AB316" s="153">
        <v>111.5</v>
      </c>
      <c r="AD316" s="153">
        <v>33.450000000000003</v>
      </c>
      <c r="AG316" s="2" t="s">
        <v>37</v>
      </c>
      <c r="AH316" s="153">
        <v>2.9E-5</v>
      </c>
      <c r="AI316" s="167">
        <v>1.1282455969251299E-2</v>
      </c>
      <c r="AJ316" s="167">
        <v>2.19738279941098E-3</v>
      </c>
    </row>
    <row r="317" spans="1:36">
      <c r="A317" s="2" t="s">
        <v>26</v>
      </c>
      <c r="B317" s="2">
        <v>9936</v>
      </c>
      <c r="C317" s="2" t="s">
        <v>1594</v>
      </c>
      <c r="D317" s="2" t="s">
        <v>1595</v>
      </c>
      <c r="E317" s="4" t="s">
        <v>1345</v>
      </c>
      <c r="F317" s="2" t="s">
        <v>2287</v>
      </c>
      <c r="G317" s="2" t="s">
        <v>2288</v>
      </c>
      <c r="H317" s="2" t="s">
        <v>343</v>
      </c>
      <c r="I317" s="2" t="s">
        <v>777</v>
      </c>
      <c r="J317" s="2" t="s">
        <v>31</v>
      </c>
      <c r="K317" s="2" t="s">
        <v>31</v>
      </c>
      <c r="L317" s="2" t="s">
        <v>349</v>
      </c>
      <c r="M317" s="2" t="s">
        <v>49</v>
      </c>
      <c r="N317" s="2" t="s">
        <v>484</v>
      </c>
      <c r="O317" s="2" t="s">
        <v>159</v>
      </c>
      <c r="P317" s="2" t="s">
        <v>1840</v>
      </c>
      <c r="Q317" s="2" t="s">
        <v>128</v>
      </c>
      <c r="R317" s="2" t="s">
        <v>428</v>
      </c>
      <c r="S317" s="2" t="s">
        <v>45</v>
      </c>
      <c r="T317" s="153">
        <v>3.1419999999999999</v>
      </c>
      <c r="U317" s="2" t="s">
        <v>2289</v>
      </c>
      <c r="V317" s="165">
        <v>1.34E-2</v>
      </c>
      <c r="W317" s="167">
        <v>2.206E-2</v>
      </c>
      <c r="X317" s="4" t="s">
        <v>434</v>
      </c>
      <c r="Y317" s="4" t="s">
        <v>159</v>
      </c>
      <c r="Z317" s="153">
        <v>69107.69</v>
      </c>
      <c r="AA317" s="153">
        <v>1</v>
      </c>
      <c r="AB317" s="153">
        <v>110.26</v>
      </c>
      <c r="AD317" s="153">
        <v>76.197999999999993</v>
      </c>
      <c r="AG317" s="2" t="s">
        <v>37</v>
      </c>
      <c r="AH317" s="153">
        <v>2.1999999999999999E-5</v>
      </c>
      <c r="AI317" s="167">
        <v>2.5701110557210499E-2</v>
      </c>
      <c r="AJ317" s="167">
        <v>5.00557488707152E-3</v>
      </c>
    </row>
    <row r="318" spans="1:36">
      <c r="A318" s="2" t="s">
        <v>26</v>
      </c>
      <c r="B318" s="2">
        <v>9936</v>
      </c>
      <c r="C318" s="2" t="s">
        <v>1594</v>
      </c>
      <c r="D318" s="2" t="s">
        <v>1595</v>
      </c>
      <c r="E318" s="4" t="s">
        <v>1345</v>
      </c>
      <c r="F318" s="2" t="s">
        <v>1895</v>
      </c>
      <c r="G318" s="2" t="s">
        <v>1896</v>
      </c>
      <c r="H318" s="2" t="s">
        <v>343</v>
      </c>
      <c r="I318" s="2" t="s">
        <v>777</v>
      </c>
      <c r="J318" s="2" t="s">
        <v>31</v>
      </c>
      <c r="K318" s="2" t="s">
        <v>31</v>
      </c>
      <c r="L318" s="2" t="s">
        <v>349</v>
      </c>
      <c r="M318" s="2" t="s">
        <v>49</v>
      </c>
      <c r="N318" s="2" t="s">
        <v>484</v>
      </c>
      <c r="O318" s="2" t="s">
        <v>159</v>
      </c>
      <c r="P318" s="2" t="s">
        <v>1840</v>
      </c>
      <c r="Q318" s="2" t="s">
        <v>128</v>
      </c>
      <c r="R318" s="2" t="s">
        <v>428</v>
      </c>
      <c r="S318" s="2" t="s">
        <v>45</v>
      </c>
      <c r="T318" s="153">
        <v>2.8639999999999999</v>
      </c>
      <c r="U318" s="2" t="s">
        <v>1861</v>
      </c>
      <c r="V318" s="165">
        <v>1.77E-2</v>
      </c>
      <c r="W318" s="167">
        <v>2.0539999999999999E-2</v>
      </c>
      <c r="X318" s="4" t="s">
        <v>434</v>
      </c>
      <c r="Y318" s="4" t="s">
        <v>159</v>
      </c>
      <c r="Z318" s="153">
        <v>44222.97</v>
      </c>
      <c r="AA318" s="153">
        <v>1</v>
      </c>
      <c r="AB318" s="153">
        <v>111.11</v>
      </c>
      <c r="AD318" s="153">
        <v>49.136000000000003</v>
      </c>
      <c r="AG318" s="2" t="s">
        <v>37</v>
      </c>
      <c r="AH318" s="153">
        <v>1.5999999999999999E-5</v>
      </c>
      <c r="AI318" s="167">
        <v>1.6573284252363402E-2</v>
      </c>
      <c r="AJ318" s="167">
        <v>3.2278299906637201E-3</v>
      </c>
    </row>
    <row r="319" spans="1:36">
      <c r="A319" s="2" t="s">
        <v>26</v>
      </c>
      <c r="B319" s="2">
        <v>9936</v>
      </c>
      <c r="C319" s="2" t="s">
        <v>1594</v>
      </c>
      <c r="D319" s="2" t="s">
        <v>1595</v>
      </c>
      <c r="E319" s="4" t="s">
        <v>1345</v>
      </c>
      <c r="F319" s="2" t="s">
        <v>2094</v>
      </c>
      <c r="G319" s="2" t="s">
        <v>2095</v>
      </c>
      <c r="H319" s="2" t="s">
        <v>343</v>
      </c>
      <c r="I319" s="2" t="s">
        <v>777</v>
      </c>
      <c r="J319" s="2" t="s">
        <v>31</v>
      </c>
      <c r="K319" s="2" t="s">
        <v>31</v>
      </c>
      <c r="L319" s="2" t="s">
        <v>349</v>
      </c>
      <c r="M319" s="2" t="s">
        <v>49</v>
      </c>
      <c r="N319" s="2" t="s">
        <v>484</v>
      </c>
      <c r="O319" s="2" t="s">
        <v>159</v>
      </c>
      <c r="P319" s="2" t="s">
        <v>2004</v>
      </c>
      <c r="Q319" s="2" t="s">
        <v>435</v>
      </c>
      <c r="R319" s="2" t="s">
        <v>428</v>
      </c>
      <c r="S319" s="2" t="s">
        <v>45</v>
      </c>
      <c r="T319" s="153">
        <v>7.2489999999999997</v>
      </c>
      <c r="U319" s="2" t="s">
        <v>2096</v>
      </c>
      <c r="V319" s="165">
        <v>8.9999999999999993E-3</v>
      </c>
      <c r="W319" s="167">
        <v>2.8979999999999999E-2</v>
      </c>
      <c r="X319" s="4" t="s">
        <v>434</v>
      </c>
      <c r="Y319" s="4" t="s">
        <v>159</v>
      </c>
      <c r="Z319" s="153">
        <v>15000</v>
      </c>
      <c r="AA319" s="153">
        <v>1</v>
      </c>
      <c r="AB319" s="153">
        <v>95.37</v>
      </c>
      <c r="AD319" s="153">
        <v>14.305999999999999</v>
      </c>
      <c r="AG319" s="2" t="s">
        <v>37</v>
      </c>
      <c r="AH319" s="153">
        <v>7.9999999999999996E-6</v>
      </c>
      <c r="AI319" s="167">
        <v>4.8251472008407703E-3</v>
      </c>
      <c r="AJ319" s="167">
        <v>9.3975066179293604E-4</v>
      </c>
    </row>
    <row r="320" spans="1:36">
      <c r="A320" s="2" t="s">
        <v>26</v>
      </c>
      <c r="B320" s="2">
        <v>9936</v>
      </c>
      <c r="C320" s="2" t="s">
        <v>1594</v>
      </c>
      <c r="D320" s="2" t="s">
        <v>1595</v>
      </c>
      <c r="E320" s="4" t="s">
        <v>1345</v>
      </c>
      <c r="F320" s="2" t="s">
        <v>2002</v>
      </c>
      <c r="G320" s="2" t="s">
        <v>2003</v>
      </c>
      <c r="H320" s="2" t="s">
        <v>343</v>
      </c>
      <c r="I320" s="2" t="s">
        <v>777</v>
      </c>
      <c r="J320" s="2" t="s">
        <v>31</v>
      </c>
      <c r="K320" s="2" t="s">
        <v>31</v>
      </c>
      <c r="L320" s="2" t="s">
        <v>349</v>
      </c>
      <c r="M320" s="2" t="s">
        <v>49</v>
      </c>
      <c r="N320" s="2" t="s">
        <v>484</v>
      </c>
      <c r="O320" s="2" t="s">
        <v>159</v>
      </c>
      <c r="P320" s="2" t="s">
        <v>2004</v>
      </c>
      <c r="Q320" s="2" t="s">
        <v>435</v>
      </c>
      <c r="R320" s="2" t="s">
        <v>428</v>
      </c>
      <c r="S320" s="2" t="s">
        <v>45</v>
      </c>
      <c r="T320" s="153">
        <v>0.998</v>
      </c>
      <c r="U320" s="2" t="s">
        <v>2005</v>
      </c>
      <c r="V320" s="165">
        <v>6.4999999999999997E-3</v>
      </c>
      <c r="W320" s="167">
        <v>1.6490000000000001E-2</v>
      </c>
      <c r="X320" s="4" t="s">
        <v>434</v>
      </c>
      <c r="Y320" s="4" t="s">
        <v>159</v>
      </c>
      <c r="Z320" s="153">
        <v>10000</v>
      </c>
      <c r="AA320" s="153">
        <v>1</v>
      </c>
      <c r="AB320" s="153">
        <v>110.63</v>
      </c>
      <c r="AC320" s="153">
        <v>11.244999999999999</v>
      </c>
      <c r="AD320" s="153">
        <v>22.308</v>
      </c>
      <c r="AG320" s="2" t="s">
        <v>37</v>
      </c>
      <c r="AH320" s="153">
        <v>3.3000000000000003E-5</v>
      </c>
      <c r="AI320" s="167">
        <v>7.5241973678657603E-3</v>
      </c>
      <c r="AJ320" s="167">
        <v>1.46542046524102E-3</v>
      </c>
    </row>
    <row r="321" spans="1:36">
      <c r="A321" s="2" t="s">
        <v>26</v>
      </c>
      <c r="B321" s="2">
        <v>9936</v>
      </c>
      <c r="C321" s="2" t="s">
        <v>2006</v>
      </c>
      <c r="D321" s="2" t="s">
        <v>2007</v>
      </c>
      <c r="E321" s="4" t="s">
        <v>1345</v>
      </c>
      <c r="F321" s="2" t="s">
        <v>2008</v>
      </c>
      <c r="G321" s="2" t="s">
        <v>2009</v>
      </c>
      <c r="H321" s="2" t="s">
        <v>343</v>
      </c>
      <c r="I321" s="2" t="s">
        <v>990</v>
      </c>
      <c r="J321" s="2" t="s">
        <v>31</v>
      </c>
      <c r="K321" s="2" t="s">
        <v>31</v>
      </c>
      <c r="L321" s="2" t="s">
        <v>349</v>
      </c>
      <c r="M321" s="2" t="s">
        <v>49</v>
      </c>
      <c r="N321" s="2" t="s">
        <v>467</v>
      </c>
      <c r="O321" s="2" t="s">
        <v>159</v>
      </c>
      <c r="P321" s="2" t="s">
        <v>1350</v>
      </c>
      <c r="Q321" s="2" t="s">
        <v>336</v>
      </c>
      <c r="R321" s="2" t="s">
        <v>430</v>
      </c>
      <c r="S321" s="2" t="s">
        <v>45</v>
      </c>
      <c r="T321" s="153">
        <v>1.5680000000000001</v>
      </c>
      <c r="U321" s="2" t="s">
        <v>61</v>
      </c>
      <c r="V321" s="165">
        <v>0.06</v>
      </c>
      <c r="W321" s="167">
        <v>6.1800000000000001E-2</v>
      </c>
      <c r="X321" s="4" t="s">
        <v>434</v>
      </c>
      <c r="Y321" s="4" t="s">
        <v>159</v>
      </c>
      <c r="Z321" s="153">
        <v>19900</v>
      </c>
      <c r="AA321" s="153">
        <v>1</v>
      </c>
      <c r="AB321" s="153">
        <v>101.88</v>
      </c>
      <c r="AD321" s="153">
        <v>20.274000000000001</v>
      </c>
      <c r="AG321" s="2" t="s">
        <v>37</v>
      </c>
      <c r="AH321" s="153">
        <v>8.0000000000000007E-5</v>
      </c>
      <c r="AI321" s="167">
        <v>6.8383218599496701E-3</v>
      </c>
      <c r="AJ321" s="167">
        <v>1.33183864159026E-3</v>
      </c>
    </row>
    <row r="322" spans="1:36">
      <c r="A322" s="2" t="s">
        <v>26</v>
      </c>
      <c r="B322" s="2">
        <v>9936</v>
      </c>
      <c r="C322" s="2" t="s">
        <v>1598</v>
      </c>
      <c r="D322" s="2" t="s">
        <v>1599</v>
      </c>
      <c r="E322" s="4" t="s">
        <v>1345</v>
      </c>
      <c r="F322" s="2" t="s">
        <v>2097</v>
      </c>
      <c r="G322" s="2" t="s">
        <v>2098</v>
      </c>
      <c r="H322" s="2" t="s">
        <v>343</v>
      </c>
      <c r="I322" s="2" t="s">
        <v>990</v>
      </c>
      <c r="J322" s="2" t="s">
        <v>31</v>
      </c>
      <c r="K322" s="2" t="s">
        <v>31</v>
      </c>
      <c r="L322" s="2" t="s">
        <v>349</v>
      </c>
      <c r="M322" s="2" t="s">
        <v>49</v>
      </c>
      <c r="N322" s="2" t="s">
        <v>468</v>
      </c>
      <c r="O322" s="2" t="s">
        <v>159</v>
      </c>
      <c r="P322" s="2" t="s">
        <v>127</v>
      </c>
      <c r="Q322" s="2" t="s">
        <v>128</v>
      </c>
      <c r="R322" s="2" t="s">
        <v>428</v>
      </c>
      <c r="S322" s="2" t="s">
        <v>45</v>
      </c>
      <c r="T322" s="153">
        <v>3.8450000000000002</v>
      </c>
      <c r="U322" s="2" t="s">
        <v>1899</v>
      </c>
      <c r="V322" s="165">
        <v>2.5000000000000001E-2</v>
      </c>
      <c r="W322" s="167">
        <v>4.514E-2</v>
      </c>
      <c r="X322" s="4" t="s">
        <v>434</v>
      </c>
      <c r="Y322" s="4" t="s">
        <v>159</v>
      </c>
      <c r="Z322" s="153">
        <v>60000</v>
      </c>
      <c r="AA322" s="153">
        <v>1</v>
      </c>
      <c r="AB322" s="153">
        <v>93.42</v>
      </c>
      <c r="AD322" s="153">
        <v>56.052</v>
      </c>
      <c r="AG322" s="2" t="s">
        <v>37</v>
      </c>
      <c r="AH322" s="153">
        <v>2.0000000000000002E-5</v>
      </c>
      <c r="AI322" s="167">
        <v>1.8905955814304098E-2</v>
      </c>
      <c r="AJ322" s="167">
        <v>3.6821435178649902E-3</v>
      </c>
    </row>
    <row r="323" spans="1:36">
      <c r="A323" s="2" t="s">
        <v>26</v>
      </c>
      <c r="B323" s="2">
        <v>9936</v>
      </c>
      <c r="C323" s="2" t="s">
        <v>1598</v>
      </c>
      <c r="D323" s="2" t="s">
        <v>1599</v>
      </c>
      <c r="E323" s="4" t="s">
        <v>1345</v>
      </c>
      <c r="F323" s="2" t="s">
        <v>1897</v>
      </c>
      <c r="G323" s="2" t="s">
        <v>1898</v>
      </c>
      <c r="H323" s="2" t="s">
        <v>343</v>
      </c>
      <c r="I323" s="2" t="s">
        <v>777</v>
      </c>
      <c r="J323" s="2" t="s">
        <v>31</v>
      </c>
      <c r="K323" s="2" t="s">
        <v>31</v>
      </c>
      <c r="L323" s="2" t="s">
        <v>349</v>
      </c>
      <c r="M323" s="2" t="s">
        <v>49</v>
      </c>
      <c r="N323" s="2" t="s">
        <v>468</v>
      </c>
      <c r="O323" s="2" t="s">
        <v>159</v>
      </c>
      <c r="P323" s="2" t="s">
        <v>127</v>
      </c>
      <c r="Q323" s="2" t="s">
        <v>128</v>
      </c>
      <c r="R323" s="2" t="s">
        <v>428</v>
      </c>
      <c r="S323" s="2" t="s">
        <v>45</v>
      </c>
      <c r="T323" s="153">
        <v>4.0890000000000004</v>
      </c>
      <c r="U323" s="2" t="s">
        <v>1899</v>
      </c>
      <c r="V323" s="165">
        <v>1E-3</v>
      </c>
      <c r="W323" s="167">
        <v>1.9650000000000001E-2</v>
      </c>
      <c r="X323" s="4" t="s">
        <v>434</v>
      </c>
      <c r="Y323" s="4" t="s">
        <v>159</v>
      </c>
      <c r="Z323" s="153">
        <v>44644</v>
      </c>
      <c r="AA323" s="153">
        <v>1</v>
      </c>
      <c r="AB323" s="153">
        <v>101.03</v>
      </c>
      <c r="AD323" s="153">
        <v>45.103999999999999</v>
      </c>
      <c r="AG323" s="2" t="s">
        <v>37</v>
      </c>
      <c r="AH323" s="153">
        <v>1.7E-5</v>
      </c>
      <c r="AI323" s="167">
        <v>1.52132141143035E-2</v>
      </c>
      <c r="AJ323" s="167">
        <v>2.96294132320424E-3</v>
      </c>
    </row>
    <row r="324" spans="1:36">
      <c r="A324" s="2" t="s">
        <v>26</v>
      </c>
      <c r="B324" s="2">
        <v>9936</v>
      </c>
      <c r="C324" s="2" t="s">
        <v>1598</v>
      </c>
      <c r="D324" s="2" t="s">
        <v>1599</v>
      </c>
      <c r="E324" s="4" t="s">
        <v>1345</v>
      </c>
      <c r="F324" s="2" t="s">
        <v>1900</v>
      </c>
      <c r="G324" s="2" t="s">
        <v>1901</v>
      </c>
      <c r="H324" s="2" t="s">
        <v>343</v>
      </c>
      <c r="I324" s="2" t="s">
        <v>777</v>
      </c>
      <c r="J324" s="2" t="s">
        <v>31</v>
      </c>
      <c r="K324" s="2" t="s">
        <v>31</v>
      </c>
      <c r="L324" s="2" t="s">
        <v>349</v>
      </c>
      <c r="M324" s="2" t="s">
        <v>49</v>
      </c>
      <c r="N324" s="2" t="s">
        <v>468</v>
      </c>
      <c r="O324" s="2" t="s">
        <v>159</v>
      </c>
      <c r="P324" s="2" t="s">
        <v>127</v>
      </c>
      <c r="Q324" s="2" t="s">
        <v>128</v>
      </c>
      <c r="R324" s="2" t="s">
        <v>428</v>
      </c>
      <c r="S324" s="2" t="s">
        <v>45</v>
      </c>
      <c r="T324" s="153">
        <v>4.4530000000000003</v>
      </c>
      <c r="U324" s="2" t="s">
        <v>1902</v>
      </c>
      <c r="V324" s="165">
        <v>1.3899999999999999E-2</v>
      </c>
      <c r="W324" s="167">
        <v>1.992E-2</v>
      </c>
      <c r="X324" s="4" t="s">
        <v>434</v>
      </c>
      <c r="Y324" s="4" t="s">
        <v>159</v>
      </c>
      <c r="Z324" s="153">
        <v>56600</v>
      </c>
      <c r="AA324" s="153">
        <v>1</v>
      </c>
      <c r="AB324" s="153">
        <v>101.5</v>
      </c>
      <c r="AD324" s="153">
        <v>57.448999999999998</v>
      </c>
      <c r="AG324" s="2" t="s">
        <v>37</v>
      </c>
      <c r="AH324" s="153">
        <v>3.1000000000000001E-5</v>
      </c>
      <c r="AI324" s="167">
        <v>1.9377154349103601E-2</v>
      </c>
      <c r="AJ324" s="167">
        <v>3.7739146320885202E-3</v>
      </c>
    </row>
    <row r="325" spans="1:36">
      <c r="A325" s="2" t="s">
        <v>26</v>
      </c>
      <c r="B325" s="2">
        <v>9936</v>
      </c>
      <c r="C325" s="2" t="s">
        <v>1598</v>
      </c>
      <c r="D325" s="2" t="s">
        <v>1599</v>
      </c>
      <c r="E325" s="4" t="s">
        <v>1345</v>
      </c>
      <c r="F325" s="2" t="s">
        <v>1903</v>
      </c>
      <c r="G325" s="2" t="s">
        <v>1904</v>
      </c>
      <c r="H325" s="2" t="s">
        <v>343</v>
      </c>
      <c r="I325" s="2" t="s">
        <v>777</v>
      </c>
      <c r="J325" s="2" t="s">
        <v>31</v>
      </c>
      <c r="K325" s="2" t="s">
        <v>31</v>
      </c>
      <c r="L325" s="2" t="s">
        <v>349</v>
      </c>
      <c r="M325" s="2" t="s">
        <v>49</v>
      </c>
      <c r="N325" s="2" t="s">
        <v>468</v>
      </c>
      <c r="O325" s="2" t="s">
        <v>159</v>
      </c>
      <c r="P325" s="2" t="s">
        <v>127</v>
      </c>
      <c r="Q325" s="2" t="s">
        <v>128</v>
      </c>
      <c r="R325" s="2" t="s">
        <v>428</v>
      </c>
      <c r="S325" s="2" t="s">
        <v>45</v>
      </c>
      <c r="T325" s="153">
        <v>2.04</v>
      </c>
      <c r="U325" s="2" t="s">
        <v>1905</v>
      </c>
      <c r="V325" s="165">
        <v>6.0000000000000001E-3</v>
      </c>
      <c r="W325" s="167">
        <v>1.7319999999999999E-2</v>
      </c>
      <c r="X325" s="4" t="s">
        <v>434</v>
      </c>
      <c r="Y325" s="4" t="s">
        <v>159</v>
      </c>
      <c r="Z325" s="153">
        <v>39894.18</v>
      </c>
      <c r="AA325" s="153">
        <v>1</v>
      </c>
      <c r="AB325" s="153">
        <v>110.8</v>
      </c>
      <c r="AD325" s="153">
        <v>44.203000000000003</v>
      </c>
      <c r="AG325" s="2" t="s">
        <v>37</v>
      </c>
      <c r="AH325" s="153">
        <v>3.6000000000000001E-5</v>
      </c>
      <c r="AI325" s="167">
        <v>1.49092854063246E-2</v>
      </c>
      <c r="AJ325" s="167">
        <v>2.90374785353945E-3</v>
      </c>
    </row>
    <row r="326" spans="1:36">
      <c r="A326" s="2" t="s">
        <v>26</v>
      </c>
      <c r="B326" s="2">
        <v>9936</v>
      </c>
      <c r="C326" s="2" t="s">
        <v>1606</v>
      </c>
      <c r="D326" s="2" t="s">
        <v>1607</v>
      </c>
      <c r="E326" s="4" t="s">
        <v>1345</v>
      </c>
      <c r="F326" s="2" t="s">
        <v>2428</v>
      </c>
      <c r="G326" s="2" t="s">
        <v>2429</v>
      </c>
      <c r="H326" s="2" t="s">
        <v>343</v>
      </c>
      <c r="I326" s="2" t="s">
        <v>990</v>
      </c>
      <c r="J326" s="2" t="s">
        <v>31</v>
      </c>
      <c r="K326" s="2" t="s">
        <v>31</v>
      </c>
      <c r="L326" s="2" t="s">
        <v>349</v>
      </c>
      <c r="M326" s="2" t="s">
        <v>49</v>
      </c>
      <c r="N326" s="2" t="s">
        <v>497</v>
      </c>
      <c r="O326" s="2" t="s">
        <v>159</v>
      </c>
      <c r="P326" s="2" t="s">
        <v>1789</v>
      </c>
      <c r="Q326" s="2" t="s">
        <v>128</v>
      </c>
      <c r="R326" s="2" t="s">
        <v>428</v>
      </c>
      <c r="S326" s="2" t="s">
        <v>45</v>
      </c>
      <c r="T326" s="153">
        <v>1.8129999999999999</v>
      </c>
      <c r="U326" s="2" t="s">
        <v>2430</v>
      </c>
      <c r="V326" s="165">
        <v>2.29E-2</v>
      </c>
      <c r="W326" s="167">
        <v>4.5350000000000001E-2</v>
      </c>
      <c r="X326" s="4" t="s">
        <v>434</v>
      </c>
      <c r="Y326" s="4" t="s">
        <v>159</v>
      </c>
      <c r="Z326" s="153">
        <v>14358.98</v>
      </c>
      <c r="AA326" s="153">
        <v>1</v>
      </c>
      <c r="AB326" s="153">
        <v>96.89</v>
      </c>
      <c r="AD326" s="153">
        <v>13.912000000000001</v>
      </c>
      <c r="AG326" s="2" t="s">
        <v>37</v>
      </c>
      <c r="AH326" s="153">
        <v>2.9E-5</v>
      </c>
      <c r="AI326" s="167">
        <v>4.6925625653029598E-3</v>
      </c>
      <c r="AJ326" s="167">
        <v>9.1392834097989899E-4</v>
      </c>
    </row>
    <row r="327" spans="1:36">
      <c r="A327" s="2" t="s">
        <v>26</v>
      </c>
      <c r="B327" s="2">
        <v>9936</v>
      </c>
      <c r="C327" s="2" t="s">
        <v>2010</v>
      </c>
      <c r="D327" s="2" t="s">
        <v>2011</v>
      </c>
      <c r="E327" s="4" t="s">
        <v>1345</v>
      </c>
      <c r="F327" s="2" t="s">
        <v>2012</v>
      </c>
      <c r="G327" s="2" t="s">
        <v>2013</v>
      </c>
      <c r="H327" s="2" t="s">
        <v>343</v>
      </c>
      <c r="I327" s="2" t="s">
        <v>990</v>
      </c>
      <c r="J327" s="2" t="s">
        <v>31</v>
      </c>
      <c r="K327" s="2" t="s">
        <v>125</v>
      </c>
      <c r="L327" s="2" t="s">
        <v>349</v>
      </c>
      <c r="M327" s="2" t="s">
        <v>49</v>
      </c>
      <c r="N327" s="2" t="s">
        <v>485</v>
      </c>
      <c r="O327" s="2" t="s">
        <v>159</v>
      </c>
      <c r="P327" s="2" t="s">
        <v>1779</v>
      </c>
      <c r="Q327" s="2" t="s">
        <v>435</v>
      </c>
      <c r="R327" s="2" t="s">
        <v>428</v>
      </c>
      <c r="S327" s="2" t="s">
        <v>45</v>
      </c>
      <c r="T327" s="153">
        <v>2.048</v>
      </c>
      <c r="U327" s="2" t="s">
        <v>1824</v>
      </c>
      <c r="V327" s="165">
        <v>0.09</v>
      </c>
      <c r="W327" s="167">
        <v>6.2280000000000002E-2</v>
      </c>
      <c r="X327" s="4" t="s">
        <v>434</v>
      </c>
      <c r="Y327" s="4" t="s">
        <v>159</v>
      </c>
      <c r="Z327" s="153">
        <v>15000</v>
      </c>
      <c r="AA327" s="153">
        <v>1</v>
      </c>
      <c r="AB327" s="153">
        <v>108.21</v>
      </c>
      <c r="AD327" s="153">
        <v>16.231000000000002</v>
      </c>
      <c r="AG327" s="2" t="s">
        <v>37</v>
      </c>
      <c r="AH327" s="153">
        <v>4.6999999999999997E-5</v>
      </c>
      <c r="AI327" s="167">
        <v>5.47477381359946E-3</v>
      </c>
      <c r="AJ327" s="167">
        <v>1.06627261311328E-3</v>
      </c>
    </row>
    <row r="328" spans="1:36">
      <c r="A328" s="2" t="s">
        <v>26</v>
      </c>
      <c r="B328" s="2">
        <v>9936</v>
      </c>
      <c r="C328" s="2" t="s">
        <v>2304</v>
      </c>
      <c r="D328" s="2" t="s">
        <v>2305</v>
      </c>
      <c r="E328" s="4" t="s">
        <v>1345</v>
      </c>
      <c r="F328" s="2" t="s">
        <v>2306</v>
      </c>
      <c r="G328" s="2" t="s">
        <v>2307</v>
      </c>
      <c r="H328" s="2" t="s">
        <v>343</v>
      </c>
      <c r="I328" s="2" t="s">
        <v>990</v>
      </c>
      <c r="J328" s="2" t="s">
        <v>31</v>
      </c>
      <c r="K328" s="2" t="s">
        <v>31</v>
      </c>
      <c r="L328" s="2" t="s">
        <v>349</v>
      </c>
      <c r="M328" s="2" t="s">
        <v>49</v>
      </c>
      <c r="N328" s="2" t="s">
        <v>485</v>
      </c>
      <c r="O328" s="2" t="s">
        <v>159</v>
      </c>
      <c r="P328" s="2" t="s">
        <v>2040</v>
      </c>
      <c r="Q328" s="2" t="s">
        <v>128</v>
      </c>
      <c r="R328" s="2" t="s">
        <v>428</v>
      </c>
      <c r="S328" s="2" t="s">
        <v>45</v>
      </c>
      <c r="T328" s="153">
        <v>2.15</v>
      </c>
      <c r="U328" s="2" t="s">
        <v>1868</v>
      </c>
      <c r="V328" s="165">
        <v>2.6499999999999999E-2</v>
      </c>
      <c r="W328" s="167">
        <v>5.4269999999999999E-2</v>
      </c>
      <c r="X328" s="4" t="s">
        <v>434</v>
      </c>
      <c r="Y328" s="4" t="s">
        <v>159</v>
      </c>
      <c r="Z328" s="153">
        <v>1283.68</v>
      </c>
      <c r="AA328" s="153">
        <v>1</v>
      </c>
      <c r="AB328" s="153">
        <v>94.87</v>
      </c>
      <c r="AD328" s="153">
        <v>1.218</v>
      </c>
      <c r="AG328" s="2" t="s">
        <v>37</v>
      </c>
      <c r="AH328" s="153">
        <v>1.9999999999999999E-6</v>
      </c>
      <c r="AI328" s="167">
        <v>4.1076478154486798E-4</v>
      </c>
      <c r="AJ328" s="167">
        <v>8.0000973904124196E-5</v>
      </c>
    </row>
    <row r="329" spans="1:36">
      <c r="A329" s="2" t="s">
        <v>26</v>
      </c>
      <c r="B329" s="2">
        <v>9936</v>
      </c>
      <c r="C329" s="2" t="s">
        <v>2431</v>
      </c>
      <c r="D329" s="2" t="s">
        <v>2432</v>
      </c>
      <c r="E329" s="4" t="s">
        <v>1345</v>
      </c>
      <c r="F329" s="2" t="s">
        <v>2433</v>
      </c>
      <c r="G329" s="2" t="s">
        <v>2434</v>
      </c>
      <c r="H329" s="2" t="s">
        <v>343</v>
      </c>
      <c r="I329" s="2" t="s">
        <v>990</v>
      </c>
      <c r="J329" s="2" t="s">
        <v>31</v>
      </c>
      <c r="K329" s="2" t="s">
        <v>31</v>
      </c>
      <c r="L329" s="2" t="s">
        <v>349</v>
      </c>
      <c r="M329" s="2" t="s">
        <v>49</v>
      </c>
      <c r="N329" s="2" t="s">
        <v>467</v>
      </c>
      <c r="O329" s="2" t="s">
        <v>159</v>
      </c>
      <c r="P329" s="2" t="s">
        <v>1350</v>
      </c>
      <c r="Q329" s="2" t="s">
        <v>336</v>
      </c>
      <c r="R329" s="2" t="s">
        <v>430</v>
      </c>
      <c r="S329" s="2" t="s">
        <v>45</v>
      </c>
      <c r="T329" s="153">
        <v>0.76500000000000001</v>
      </c>
      <c r="U329" s="2" t="s">
        <v>2435</v>
      </c>
      <c r="V329" s="165">
        <v>3.56E-2</v>
      </c>
      <c r="W329" s="167">
        <v>6.7089999999999997E-2</v>
      </c>
      <c r="X329" s="4" t="s">
        <v>434</v>
      </c>
      <c r="Y329" s="4" t="s">
        <v>159</v>
      </c>
      <c r="Z329" s="153">
        <v>1</v>
      </c>
      <c r="AA329" s="153">
        <v>1</v>
      </c>
      <c r="AB329" s="153">
        <v>98.51</v>
      </c>
      <c r="AD329" s="153">
        <v>1E-3</v>
      </c>
      <c r="AG329" s="2" t="s">
        <v>37</v>
      </c>
      <c r="AH329" s="153">
        <v>0</v>
      </c>
      <c r="AI329" s="167">
        <v>3.3226748506156699E-7</v>
      </c>
      <c r="AJ329" s="167">
        <v>6.4712759213744401E-8</v>
      </c>
    </row>
    <row r="330" spans="1:36">
      <c r="A330" s="2" t="s">
        <v>26</v>
      </c>
      <c r="B330" s="2">
        <v>9936</v>
      </c>
      <c r="C330" s="2" t="s">
        <v>1614</v>
      </c>
      <c r="D330" s="2" t="s">
        <v>1615</v>
      </c>
      <c r="E330" s="4" t="s">
        <v>1345</v>
      </c>
      <c r="F330" s="2" t="s">
        <v>2316</v>
      </c>
      <c r="G330" s="2" t="s">
        <v>2317</v>
      </c>
      <c r="H330" s="2" t="s">
        <v>343</v>
      </c>
      <c r="I330" s="2" t="s">
        <v>777</v>
      </c>
      <c r="J330" s="2" t="s">
        <v>31</v>
      </c>
      <c r="K330" s="2" t="s">
        <v>31</v>
      </c>
      <c r="L330" s="2" t="s">
        <v>349</v>
      </c>
      <c r="M330" s="2" t="s">
        <v>49</v>
      </c>
      <c r="N330" s="2" t="s">
        <v>484</v>
      </c>
      <c r="O330" s="2" t="s">
        <v>159</v>
      </c>
      <c r="P330" s="2" t="s">
        <v>1779</v>
      </c>
      <c r="Q330" s="2" t="s">
        <v>435</v>
      </c>
      <c r="R330" s="2" t="s">
        <v>428</v>
      </c>
      <c r="S330" s="2" t="s">
        <v>45</v>
      </c>
      <c r="T330" s="153">
        <v>3.9</v>
      </c>
      <c r="U330" s="2" t="s">
        <v>1844</v>
      </c>
      <c r="V330" s="165">
        <v>3.5000000000000003E-2</v>
      </c>
      <c r="W330" s="167">
        <v>2.4580000000000001E-2</v>
      </c>
      <c r="X330" s="4" t="s">
        <v>434</v>
      </c>
      <c r="Y330" s="4" t="s">
        <v>159</v>
      </c>
      <c r="Z330" s="153">
        <v>24709.3</v>
      </c>
      <c r="AA330" s="153">
        <v>1</v>
      </c>
      <c r="AB330" s="153">
        <v>117.88</v>
      </c>
      <c r="AD330" s="153">
        <v>29.126999999999999</v>
      </c>
      <c r="AG330" s="2" t="s">
        <v>37</v>
      </c>
      <c r="AH330" s="153">
        <v>2.8E-5</v>
      </c>
      <c r="AI330" s="167">
        <v>9.8244465603726898E-3</v>
      </c>
      <c r="AJ330" s="167">
        <v>1.9134193782214201E-3</v>
      </c>
    </row>
    <row r="331" spans="1:36">
      <c r="A331" s="2" t="s">
        <v>26</v>
      </c>
      <c r="B331" s="2">
        <v>9936</v>
      </c>
      <c r="C331" s="2" t="s">
        <v>1614</v>
      </c>
      <c r="D331" s="2" t="s">
        <v>1615</v>
      </c>
      <c r="E331" s="4" t="s">
        <v>1345</v>
      </c>
      <c r="F331" s="2" t="s">
        <v>2436</v>
      </c>
      <c r="G331" s="2" t="s">
        <v>2437</v>
      </c>
      <c r="H331" s="2" t="s">
        <v>343</v>
      </c>
      <c r="I331" s="2" t="s">
        <v>777</v>
      </c>
      <c r="J331" s="2" t="s">
        <v>31</v>
      </c>
      <c r="K331" s="2" t="s">
        <v>31</v>
      </c>
      <c r="L331" s="2" t="s">
        <v>349</v>
      </c>
      <c r="M331" s="2" t="s">
        <v>49</v>
      </c>
      <c r="N331" s="2" t="s">
        <v>484</v>
      </c>
      <c r="O331" s="2" t="s">
        <v>159</v>
      </c>
      <c r="P331" s="2" t="s">
        <v>1779</v>
      </c>
      <c r="Q331" s="2" t="s">
        <v>435</v>
      </c>
      <c r="R331" s="2" t="s">
        <v>428</v>
      </c>
      <c r="S331" s="2" t="s">
        <v>45</v>
      </c>
      <c r="T331" s="153">
        <v>2.5449999999999999</v>
      </c>
      <c r="U331" s="2" t="s">
        <v>2438</v>
      </c>
      <c r="V331" s="165">
        <v>0.04</v>
      </c>
      <c r="W331" s="167">
        <v>2.18E-2</v>
      </c>
      <c r="X331" s="4" t="s">
        <v>434</v>
      </c>
      <c r="Y331" s="4" t="s">
        <v>159</v>
      </c>
      <c r="Z331" s="153">
        <v>13107.5</v>
      </c>
      <c r="AA331" s="153">
        <v>1</v>
      </c>
      <c r="AB331" s="153">
        <v>117.41</v>
      </c>
      <c r="AD331" s="153">
        <v>15.39</v>
      </c>
      <c r="AG331" s="2" t="s">
        <v>37</v>
      </c>
      <c r="AH331" s="153">
        <v>1.4E-5</v>
      </c>
      <c r="AI331" s="167">
        <v>5.1907782911053404E-3</v>
      </c>
      <c r="AJ331" s="167">
        <v>1.0109613512799499E-3</v>
      </c>
    </row>
    <row r="332" spans="1:36">
      <c r="A332" s="2" t="s">
        <v>26</v>
      </c>
      <c r="B332" s="2">
        <v>9936</v>
      </c>
      <c r="C332" s="2" t="s">
        <v>2318</v>
      </c>
      <c r="D332" s="2" t="s">
        <v>2319</v>
      </c>
      <c r="E332" s="4" t="s">
        <v>1345</v>
      </c>
      <c r="F332" s="2" t="s">
        <v>2320</v>
      </c>
      <c r="G332" s="2" t="s">
        <v>2321</v>
      </c>
      <c r="H332" s="2" t="s">
        <v>343</v>
      </c>
      <c r="I332" s="2" t="s">
        <v>777</v>
      </c>
      <c r="J332" s="2" t="s">
        <v>31</v>
      </c>
      <c r="K332" s="2" t="s">
        <v>31</v>
      </c>
      <c r="L332" s="2" t="s">
        <v>349</v>
      </c>
      <c r="M332" s="2" t="s">
        <v>49</v>
      </c>
      <c r="N332" s="2" t="s">
        <v>484</v>
      </c>
      <c r="O332" s="2" t="s">
        <v>159</v>
      </c>
      <c r="P332" s="2" t="s">
        <v>1986</v>
      </c>
      <c r="Q332" s="2" t="s">
        <v>435</v>
      </c>
      <c r="R332" s="2" t="s">
        <v>428</v>
      </c>
      <c r="S332" s="2" t="s">
        <v>45</v>
      </c>
      <c r="T332" s="153">
        <v>3.899</v>
      </c>
      <c r="U332" s="2" t="s">
        <v>1782</v>
      </c>
      <c r="V332" s="165">
        <v>9.4000000000000004E-3</v>
      </c>
      <c r="W332" s="167">
        <v>4.641E-2</v>
      </c>
      <c r="X332" s="4" t="s">
        <v>434</v>
      </c>
      <c r="Y332" s="4" t="s">
        <v>159</v>
      </c>
      <c r="Z332" s="153">
        <v>40420</v>
      </c>
      <c r="AA332" s="153">
        <v>1</v>
      </c>
      <c r="AB332" s="153">
        <v>94.91</v>
      </c>
      <c r="AD332" s="153">
        <v>38.363</v>
      </c>
      <c r="AG332" s="2" t="s">
        <v>37</v>
      </c>
      <c r="AH332" s="153">
        <v>1.02E-4</v>
      </c>
      <c r="AI332" s="167">
        <v>1.2939449733334199E-2</v>
      </c>
      <c r="AJ332" s="167">
        <v>2.5201006195248099E-3</v>
      </c>
    </row>
    <row r="333" spans="1:36">
      <c r="A333" s="2" t="s">
        <v>26</v>
      </c>
      <c r="B333" s="2">
        <v>9936</v>
      </c>
      <c r="C333" s="2" t="s">
        <v>2322</v>
      </c>
      <c r="D333" s="2" t="s">
        <v>2323</v>
      </c>
      <c r="E333" s="4" t="s">
        <v>1345</v>
      </c>
      <c r="F333" s="2" t="s">
        <v>2324</v>
      </c>
      <c r="G333" s="2" t="s">
        <v>2325</v>
      </c>
      <c r="H333" s="2" t="s">
        <v>343</v>
      </c>
      <c r="I333" s="2" t="s">
        <v>990</v>
      </c>
      <c r="J333" s="2" t="s">
        <v>31</v>
      </c>
      <c r="K333" s="2" t="s">
        <v>31</v>
      </c>
      <c r="L333" s="2" t="s">
        <v>349</v>
      </c>
      <c r="M333" s="2" t="s">
        <v>49</v>
      </c>
      <c r="N333" s="2" t="s">
        <v>463</v>
      </c>
      <c r="O333" s="2" t="s">
        <v>159</v>
      </c>
      <c r="P333" s="2" t="s">
        <v>2326</v>
      </c>
      <c r="Q333" s="2" t="s">
        <v>128</v>
      </c>
      <c r="R333" s="2" t="s">
        <v>428</v>
      </c>
      <c r="S333" s="2" t="s">
        <v>45</v>
      </c>
      <c r="T333" s="153">
        <v>0.95599999999999996</v>
      </c>
      <c r="U333" s="2" t="s">
        <v>1981</v>
      </c>
      <c r="V333" s="165">
        <v>3.15E-2</v>
      </c>
      <c r="W333" s="167">
        <v>0.10729</v>
      </c>
      <c r="X333" s="4" t="s">
        <v>434</v>
      </c>
      <c r="Y333" s="4" t="s">
        <v>159</v>
      </c>
      <c r="Z333" s="153">
        <v>8778.66</v>
      </c>
      <c r="AA333" s="153">
        <v>1</v>
      </c>
      <c r="AB333" s="153">
        <v>94.15</v>
      </c>
      <c r="AD333" s="153">
        <v>8.2650000000000006</v>
      </c>
      <c r="AG333" s="2" t="s">
        <v>37</v>
      </c>
      <c r="AH333" s="153">
        <v>4.3999999999999999E-5</v>
      </c>
      <c r="AI333" s="167">
        <v>2.78776446909609E-3</v>
      </c>
      <c r="AJ333" s="167">
        <v>5.4294789271908301E-4</v>
      </c>
    </row>
    <row r="334" spans="1:36">
      <c r="A334" s="2" t="s">
        <v>26</v>
      </c>
      <c r="B334" s="2">
        <v>9936</v>
      </c>
      <c r="C334" s="2" t="s">
        <v>2439</v>
      </c>
      <c r="D334" s="2" t="s">
        <v>2440</v>
      </c>
      <c r="E334" s="4" t="s">
        <v>1345</v>
      </c>
      <c r="F334" s="2" t="s">
        <v>2441</v>
      </c>
      <c r="G334" s="2" t="s">
        <v>2442</v>
      </c>
      <c r="H334" s="2" t="s">
        <v>343</v>
      </c>
      <c r="I334" s="2" t="s">
        <v>990</v>
      </c>
      <c r="J334" s="2" t="s">
        <v>31</v>
      </c>
      <c r="K334" s="2" t="s">
        <v>31</v>
      </c>
      <c r="L334" s="2" t="s">
        <v>349</v>
      </c>
      <c r="M334" s="2" t="s">
        <v>49</v>
      </c>
      <c r="N334" s="2" t="s">
        <v>484</v>
      </c>
      <c r="O334" s="2" t="s">
        <v>159</v>
      </c>
      <c r="P334" s="2" t="s">
        <v>1810</v>
      </c>
      <c r="Q334" s="2" t="s">
        <v>128</v>
      </c>
      <c r="R334" s="2" t="s">
        <v>428</v>
      </c>
      <c r="S334" s="2" t="s">
        <v>45</v>
      </c>
      <c r="T334" s="153">
        <v>3.18</v>
      </c>
      <c r="U334" s="2" t="s">
        <v>2443</v>
      </c>
      <c r="V334" s="165">
        <v>4.1000000000000002E-2</v>
      </c>
      <c r="W334" s="167">
        <v>5.849E-2</v>
      </c>
      <c r="X334" s="4" t="s">
        <v>434</v>
      </c>
      <c r="Y334" s="4" t="s">
        <v>159</v>
      </c>
      <c r="Z334" s="153">
        <v>9333.34</v>
      </c>
      <c r="AA334" s="153">
        <v>1</v>
      </c>
      <c r="AB334" s="153">
        <v>96.54</v>
      </c>
      <c r="AD334" s="153">
        <v>9.01</v>
      </c>
      <c r="AG334" s="2" t="s">
        <v>37</v>
      </c>
      <c r="AH334" s="153">
        <v>1.9000000000000001E-5</v>
      </c>
      <c r="AI334" s="167">
        <v>3.0391483969873902E-3</v>
      </c>
      <c r="AJ334" s="167">
        <v>5.9190768664180399E-4</v>
      </c>
    </row>
    <row r="335" spans="1:36">
      <c r="A335" s="2" t="s">
        <v>26</v>
      </c>
      <c r="B335" s="2">
        <v>9936</v>
      </c>
      <c r="C335" s="2" t="s">
        <v>2124</v>
      </c>
      <c r="D335" s="2" t="s">
        <v>2125</v>
      </c>
      <c r="E335" s="4" t="s">
        <v>1345</v>
      </c>
      <c r="F335" s="2" t="s">
        <v>2330</v>
      </c>
      <c r="G335" s="2" t="s">
        <v>2331</v>
      </c>
      <c r="H335" s="2" t="s">
        <v>343</v>
      </c>
      <c r="I335" s="2" t="s">
        <v>778</v>
      </c>
      <c r="J335" s="2" t="s">
        <v>31</v>
      </c>
      <c r="K335" s="2" t="s">
        <v>31</v>
      </c>
      <c r="L335" s="2" t="s">
        <v>349</v>
      </c>
      <c r="M335" s="2" t="s">
        <v>49</v>
      </c>
      <c r="N335" s="2" t="s">
        <v>474</v>
      </c>
      <c r="O335" s="2" t="s">
        <v>159</v>
      </c>
      <c r="P335" s="2" t="s">
        <v>33</v>
      </c>
      <c r="Q335" s="2" t="s">
        <v>128</v>
      </c>
      <c r="R335" s="2" t="s">
        <v>428</v>
      </c>
      <c r="S335" s="2" t="s">
        <v>45</v>
      </c>
      <c r="T335" s="153">
        <v>3.44</v>
      </c>
      <c r="U335" s="2" t="s">
        <v>2128</v>
      </c>
      <c r="V335" s="165">
        <v>4.6899999999999997E-2</v>
      </c>
      <c r="W335" s="167">
        <v>7.0639999999999994E-2</v>
      </c>
      <c r="X335" s="4" t="s">
        <v>434</v>
      </c>
      <c r="Y335" s="4" t="s">
        <v>159</v>
      </c>
      <c r="Z335" s="153">
        <v>29001.06</v>
      </c>
      <c r="AA335" s="153">
        <v>1</v>
      </c>
      <c r="AB335" s="153">
        <v>99.26</v>
      </c>
      <c r="AD335" s="153">
        <v>28.786000000000001</v>
      </c>
      <c r="AG335" s="2" t="s">
        <v>37</v>
      </c>
      <c r="AH335" s="153">
        <v>2.3E-5</v>
      </c>
      <c r="AI335" s="167">
        <v>9.7094732125867899E-3</v>
      </c>
      <c r="AJ335" s="167">
        <v>1.8910270500347201E-3</v>
      </c>
    </row>
    <row r="336" spans="1:36">
      <c r="A336" s="2" t="s">
        <v>26</v>
      </c>
      <c r="B336" s="2">
        <v>9936</v>
      </c>
      <c r="C336" s="2" t="s">
        <v>2124</v>
      </c>
      <c r="D336" s="2" t="s">
        <v>2125</v>
      </c>
      <c r="E336" s="4" t="s">
        <v>1345</v>
      </c>
      <c r="F336" s="2" t="s">
        <v>2126</v>
      </c>
      <c r="G336" s="2" t="s">
        <v>2127</v>
      </c>
      <c r="H336" s="2" t="s">
        <v>343</v>
      </c>
      <c r="I336" s="2" t="s">
        <v>778</v>
      </c>
      <c r="J336" s="2" t="s">
        <v>31</v>
      </c>
      <c r="K336" s="2" t="s">
        <v>31</v>
      </c>
      <c r="L336" s="2" t="s">
        <v>349</v>
      </c>
      <c r="M336" s="2" t="s">
        <v>49</v>
      </c>
      <c r="N336" s="2" t="s">
        <v>474</v>
      </c>
      <c r="O336" s="2" t="s">
        <v>159</v>
      </c>
      <c r="P336" s="2" t="s">
        <v>33</v>
      </c>
      <c r="Q336" s="2" t="s">
        <v>128</v>
      </c>
      <c r="R336" s="2" t="s">
        <v>428</v>
      </c>
      <c r="S336" s="2" t="s">
        <v>45</v>
      </c>
      <c r="T336" s="153">
        <v>3.3</v>
      </c>
      <c r="U336" s="2" t="s">
        <v>2128</v>
      </c>
      <c r="V336" s="165">
        <v>4.6899999999999997E-2</v>
      </c>
      <c r="W336" s="167">
        <v>6.9029999999999994E-2</v>
      </c>
      <c r="X336" s="4" t="s">
        <v>434</v>
      </c>
      <c r="Y336" s="4" t="s">
        <v>159</v>
      </c>
      <c r="Z336" s="153">
        <v>32830.85</v>
      </c>
      <c r="AA336" s="153">
        <v>1</v>
      </c>
      <c r="AB336" s="153">
        <v>98.27</v>
      </c>
      <c r="AD336" s="153">
        <v>32.262999999999998</v>
      </c>
      <c r="AG336" s="2" t="s">
        <v>37</v>
      </c>
      <c r="AH336" s="153">
        <v>2.1999999999999999E-5</v>
      </c>
      <c r="AI336" s="167">
        <v>1.0882047271741E-2</v>
      </c>
      <c r="AJ336" s="167">
        <v>2.1193987871496898E-3</v>
      </c>
    </row>
    <row r="337" spans="1:36">
      <c r="A337" s="2" t="s">
        <v>26</v>
      </c>
      <c r="B337" s="2">
        <v>9936</v>
      </c>
      <c r="C337" s="2" t="s">
        <v>2347</v>
      </c>
      <c r="D337" s="2" t="s">
        <v>2348</v>
      </c>
      <c r="E337" s="4" t="s">
        <v>335</v>
      </c>
      <c r="F337" s="2" t="s">
        <v>2349</v>
      </c>
      <c r="G337" s="2" t="s">
        <v>2350</v>
      </c>
      <c r="H337" s="2" t="s">
        <v>343</v>
      </c>
      <c r="I337" s="2" t="s">
        <v>778</v>
      </c>
      <c r="J337" s="2" t="s">
        <v>124</v>
      </c>
      <c r="K337" s="2" t="s">
        <v>319</v>
      </c>
      <c r="L337" s="2" t="s">
        <v>349</v>
      </c>
      <c r="M337" s="2" t="s">
        <v>336</v>
      </c>
      <c r="N337" s="2" t="s">
        <v>474</v>
      </c>
      <c r="O337" s="2" t="s">
        <v>159</v>
      </c>
      <c r="P337" s="2" t="s">
        <v>1939</v>
      </c>
      <c r="Q337" s="2" t="s">
        <v>34</v>
      </c>
      <c r="R337" s="2" t="s">
        <v>428</v>
      </c>
      <c r="S337" s="2" t="s">
        <v>35</v>
      </c>
      <c r="T337" s="153">
        <v>3.63</v>
      </c>
      <c r="U337" s="2" t="s">
        <v>2351</v>
      </c>
      <c r="V337" s="165">
        <v>5.3749999999999999E-2</v>
      </c>
      <c r="W337" s="167">
        <v>8.9200000000000002E-2</v>
      </c>
      <c r="X337" s="4" t="s">
        <v>434</v>
      </c>
      <c r="Y337" s="4" t="s">
        <v>159</v>
      </c>
      <c r="Z337" s="153">
        <v>6000</v>
      </c>
      <c r="AA337" s="153">
        <v>3.681</v>
      </c>
      <c r="AB337" s="153">
        <v>91.602000000000004</v>
      </c>
      <c r="AC337" s="153">
        <v>0.161</v>
      </c>
      <c r="AD337" s="153">
        <v>20.824999999999999</v>
      </c>
      <c r="AG337" s="2" t="s">
        <v>37</v>
      </c>
      <c r="AH337" s="153">
        <v>1.0000000000000001E-5</v>
      </c>
      <c r="AI337" s="167">
        <v>7.02405536019177E-3</v>
      </c>
      <c r="AJ337" s="167">
        <v>1.3680122902903901E-3</v>
      </c>
    </row>
    <row r="338" spans="1:36">
      <c r="A338" s="2" t="s">
        <v>26</v>
      </c>
      <c r="B338" s="2">
        <v>9936</v>
      </c>
      <c r="C338" s="2" t="s">
        <v>2347</v>
      </c>
      <c r="D338" s="2" t="s">
        <v>2348</v>
      </c>
      <c r="E338" s="4" t="s">
        <v>335</v>
      </c>
      <c r="F338" s="2" t="s">
        <v>2352</v>
      </c>
      <c r="G338" s="2" t="s">
        <v>2353</v>
      </c>
      <c r="H338" s="2" t="s">
        <v>343</v>
      </c>
      <c r="I338" s="2" t="s">
        <v>778</v>
      </c>
      <c r="J338" s="2" t="s">
        <v>124</v>
      </c>
      <c r="K338" s="2" t="s">
        <v>319</v>
      </c>
      <c r="L338" s="2" t="s">
        <v>349</v>
      </c>
      <c r="M338" s="2" t="s">
        <v>336</v>
      </c>
      <c r="N338" s="2" t="s">
        <v>474</v>
      </c>
      <c r="O338" s="2" t="s">
        <v>159</v>
      </c>
      <c r="P338" s="2" t="s">
        <v>1939</v>
      </c>
      <c r="Q338" s="2" t="s">
        <v>34</v>
      </c>
      <c r="R338" s="2" t="s">
        <v>428</v>
      </c>
      <c r="S338" s="2" t="s">
        <v>35</v>
      </c>
      <c r="T338" s="153">
        <v>5.72</v>
      </c>
      <c r="U338" s="2" t="s">
        <v>2354</v>
      </c>
      <c r="V338" s="165">
        <v>5.8749999999999997E-2</v>
      </c>
      <c r="W338" s="167">
        <v>9.0700000000000003E-2</v>
      </c>
      <c r="X338" s="4" t="s">
        <v>434</v>
      </c>
      <c r="Y338" s="4" t="s">
        <v>159</v>
      </c>
      <c r="Z338" s="153">
        <v>4000</v>
      </c>
      <c r="AA338" s="153">
        <v>3.681</v>
      </c>
      <c r="AB338" s="153">
        <v>87.728999999999999</v>
      </c>
      <c r="AC338" s="153">
        <v>0.11700000000000001</v>
      </c>
      <c r="AD338" s="153">
        <v>13.35</v>
      </c>
      <c r="AG338" s="2" t="s">
        <v>37</v>
      </c>
      <c r="AH338" s="153">
        <v>6.0000000000000002E-6</v>
      </c>
      <c r="AI338" s="167">
        <v>4.5027743655785398E-3</v>
      </c>
      <c r="AJ338" s="167">
        <v>8.7696499481287795E-4</v>
      </c>
    </row>
    <row r="339" spans="1:36">
      <c r="A339" s="2" t="s">
        <v>26</v>
      </c>
      <c r="B339" s="2">
        <v>9936</v>
      </c>
      <c r="C339" s="2" t="s">
        <v>2355</v>
      </c>
      <c r="D339" s="2" t="s">
        <v>2356</v>
      </c>
      <c r="E339" s="4" t="s">
        <v>335</v>
      </c>
      <c r="F339" s="2" t="s">
        <v>2357</v>
      </c>
      <c r="G339" s="2" t="s">
        <v>2358</v>
      </c>
      <c r="H339" s="2" t="s">
        <v>343</v>
      </c>
      <c r="I339" s="2" t="s">
        <v>778</v>
      </c>
      <c r="J339" s="2" t="s">
        <v>124</v>
      </c>
      <c r="K339" s="2" t="s">
        <v>125</v>
      </c>
      <c r="L339" s="2" t="s">
        <v>349</v>
      </c>
      <c r="M339" s="2" t="s">
        <v>336</v>
      </c>
      <c r="N339" s="2" t="s">
        <v>557</v>
      </c>
      <c r="O339" s="2" t="s">
        <v>159</v>
      </c>
      <c r="P339" s="2" t="s">
        <v>1945</v>
      </c>
      <c r="Q339" s="2" t="s">
        <v>34</v>
      </c>
      <c r="R339" s="2" t="s">
        <v>428</v>
      </c>
      <c r="S339" s="2" t="s">
        <v>35</v>
      </c>
      <c r="T339" s="153">
        <v>6.63</v>
      </c>
      <c r="U339" s="2" t="s">
        <v>2359</v>
      </c>
      <c r="V339" s="165">
        <v>4.9119999999999997E-2</v>
      </c>
      <c r="W339" s="167">
        <v>5.5989999999999998E-2</v>
      </c>
      <c r="X339" s="4" t="s">
        <v>434</v>
      </c>
      <c r="Y339" s="4" t="s">
        <v>159</v>
      </c>
      <c r="Z339" s="153">
        <v>3000</v>
      </c>
      <c r="AA339" s="153">
        <v>3.681</v>
      </c>
      <c r="AB339" s="153">
        <v>97.835999999999999</v>
      </c>
      <c r="AD339" s="153">
        <v>10.901999999999999</v>
      </c>
      <c r="AG339" s="2" t="s">
        <v>37</v>
      </c>
      <c r="AH339" s="153">
        <v>9.9999999999999995E-7</v>
      </c>
      <c r="AI339" s="167">
        <v>3.6771594115894298E-3</v>
      </c>
      <c r="AJ339" s="167">
        <v>7.1616737204559201E-4</v>
      </c>
    </row>
    <row r="340" spans="1:36">
      <c r="A340" s="2" t="s">
        <v>26</v>
      </c>
      <c r="B340" s="2">
        <v>9936</v>
      </c>
      <c r="C340" s="2" t="s">
        <v>1202</v>
      </c>
      <c r="D340" s="2" t="s">
        <v>1562</v>
      </c>
      <c r="E340" s="4" t="s">
        <v>1345</v>
      </c>
      <c r="F340" s="2" t="s">
        <v>2014</v>
      </c>
      <c r="G340" s="2" t="s">
        <v>2015</v>
      </c>
      <c r="H340" s="2" t="s">
        <v>343</v>
      </c>
      <c r="I340" s="2" t="s">
        <v>778</v>
      </c>
      <c r="J340" s="2" t="s">
        <v>31</v>
      </c>
      <c r="K340" s="2" t="s">
        <v>31</v>
      </c>
      <c r="L340" s="2" t="s">
        <v>349</v>
      </c>
      <c r="M340" s="2" t="s">
        <v>336</v>
      </c>
      <c r="N340" s="2" t="s">
        <v>557</v>
      </c>
      <c r="O340" s="2" t="s">
        <v>159</v>
      </c>
      <c r="P340" s="2" t="s">
        <v>2016</v>
      </c>
      <c r="Q340" s="2" t="s">
        <v>453</v>
      </c>
      <c r="R340" s="2" t="s">
        <v>428</v>
      </c>
      <c r="S340" s="2" t="s">
        <v>35</v>
      </c>
      <c r="T340" s="153">
        <v>1.69</v>
      </c>
      <c r="U340" s="2" t="s">
        <v>2017</v>
      </c>
      <c r="V340" s="165">
        <v>3.2750000000000001E-2</v>
      </c>
      <c r="W340" s="167">
        <v>6.5809999999999994E-2</v>
      </c>
      <c r="X340" s="4" t="s">
        <v>434</v>
      </c>
      <c r="Y340" s="4" t="s">
        <v>159</v>
      </c>
      <c r="Z340" s="153">
        <v>4000</v>
      </c>
      <c r="AA340" s="153">
        <v>3.681</v>
      </c>
      <c r="AB340" s="153">
        <v>92.834000000000003</v>
      </c>
      <c r="AD340" s="153">
        <v>13.750999999999999</v>
      </c>
      <c r="AG340" s="2" t="s">
        <v>37</v>
      </c>
      <c r="AH340" s="153">
        <v>5.0000000000000004E-6</v>
      </c>
      <c r="AI340" s="167">
        <v>4.6379712007587103E-3</v>
      </c>
      <c r="AJ340" s="167">
        <v>9.0329607033130701E-4</v>
      </c>
    </row>
    <row r="341" spans="1:36">
      <c r="A341" s="2" t="s">
        <v>26</v>
      </c>
      <c r="B341" s="2">
        <v>9936</v>
      </c>
      <c r="C341" s="2" t="s">
        <v>1935</v>
      </c>
      <c r="D341" s="2" t="s">
        <v>1936</v>
      </c>
      <c r="E341" s="4" t="s">
        <v>1345</v>
      </c>
      <c r="F341" s="2" t="s">
        <v>2018</v>
      </c>
      <c r="G341" s="2" t="s">
        <v>2019</v>
      </c>
      <c r="H341" s="2" t="s">
        <v>343</v>
      </c>
      <c r="I341" s="2" t="s">
        <v>778</v>
      </c>
      <c r="J341" s="2" t="s">
        <v>31</v>
      </c>
      <c r="K341" s="2" t="s">
        <v>31</v>
      </c>
      <c r="L341" s="2" t="s">
        <v>349</v>
      </c>
      <c r="M341" s="2" t="s">
        <v>336</v>
      </c>
      <c r="N341" s="2" t="s">
        <v>507</v>
      </c>
      <c r="O341" s="2" t="s">
        <v>159</v>
      </c>
      <c r="P341" s="2" t="s">
        <v>2020</v>
      </c>
      <c r="Q341" s="2" t="s">
        <v>453</v>
      </c>
      <c r="R341" s="2" t="s">
        <v>428</v>
      </c>
      <c r="S341" s="2" t="s">
        <v>35</v>
      </c>
      <c r="T341" s="153">
        <v>2.79</v>
      </c>
      <c r="U341" s="2" t="s">
        <v>1959</v>
      </c>
      <c r="V341" s="165">
        <v>6.5000000000000002E-2</v>
      </c>
      <c r="W341" s="167">
        <v>7.7990000000000004E-2</v>
      </c>
      <c r="X341" s="4" t="s">
        <v>434</v>
      </c>
      <c r="Y341" s="4" t="s">
        <v>159</v>
      </c>
      <c r="Z341" s="153">
        <v>2000</v>
      </c>
      <c r="AA341" s="153">
        <v>3.681</v>
      </c>
      <c r="AB341" s="153">
        <v>96.843000000000004</v>
      </c>
      <c r="AD341" s="153">
        <v>7.2489999999999997</v>
      </c>
      <c r="AG341" s="2" t="s">
        <v>37</v>
      </c>
      <c r="AH341" s="153">
        <v>3.0000000000000001E-6</v>
      </c>
      <c r="AI341" s="167">
        <v>2.4451103011023201E-3</v>
      </c>
      <c r="AJ341" s="167">
        <v>4.7621221238955099E-4</v>
      </c>
    </row>
    <row r="342" spans="1:36">
      <c r="A342" s="2" t="s">
        <v>26</v>
      </c>
      <c r="B342" s="2">
        <v>9936</v>
      </c>
      <c r="C342" s="2" t="s">
        <v>1565</v>
      </c>
      <c r="D342" s="2" t="s">
        <v>1566</v>
      </c>
      <c r="E342" s="4" t="s">
        <v>1345</v>
      </c>
      <c r="F342" s="2" t="s">
        <v>2021</v>
      </c>
      <c r="G342" s="2" t="s">
        <v>2022</v>
      </c>
      <c r="H342" s="2" t="s">
        <v>343</v>
      </c>
      <c r="I342" s="2" t="s">
        <v>778</v>
      </c>
      <c r="J342" s="2" t="s">
        <v>31</v>
      </c>
      <c r="K342" s="2" t="s">
        <v>31</v>
      </c>
      <c r="L342" s="2" t="s">
        <v>349</v>
      </c>
      <c r="M342" s="2" t="s">
        <v>336</v>
      </c>
      <c r="N342" s="2" t="s">
        <v>557</v>
      </c>
      <c r="O342" s="2" t="s">
        <v>159</v>
      </c>
      <c r="P342" s="2" t="s">
        <v>2023</v>
      </c>
      <c r="Q342" s="2" t="s">
        <v>453</v>
      </c>
      <c r="R342" s="2" t="s">
        <v>428</v>
      </c>
      <c r="S342" s="2" t="s">
        <v>35</v>
      </c>
      <c r="T342" s="153">
        <v>1.87</v>
      </c>
      <c r="U342" s="2" t="s">
        <v>2024</v>
      </c>
      <c r="V342" s="165">
        <v>3.0769999999999999E-2</v>
      </c>
      <c r="W342" s="167">
        <v>7.1179999999999993E-2</v>
      </c>
      <c r="X342" s="4" t="s">
        <v>434</v>
      </c>
      <c r="Y342" s="4" t="s">
        <v>159</v>
      </c>
      <c r="Z342" s="153">
        <v>4000</v>
      </c>
      <c r="AA342" s="153">
        <v>3.681</v>
      </c>
      <c r="AB342" s="153">
        <v>91.664000000000001</v>
      </c>
      <c r="AD342" s="153">
        <v>13.714</v>
      </c>
      <c r="AG342" s="2" t="s">
        <v>37</v>
      </c>
      <c r="AH342" s="153">
        <v>6.9999999999999999E-6</v>
      </c>
      <c r="AI342" s="167">
        <v>4.6257485048782198E-3</v>
      </c>
      <c r="AJ342" s="167">
        <v>9.0091556543384402E-4</v>
      </c>
    </row>
    <row r="343" spans="1:36">
      <c r="A343" s="2" t="s">
        <v>26</v>
      </c>
      <c r="B343" s="2">
        <v>9936</v>
      </c>
      <c r="C343" s="2" t="s">
        <v>2025</v>
      </c>
      <c r="D343" s="2" t="s">
        <v>2026</v>
      </c>
      <c r="E343" s="4" t="s">
        <v>335</v>
      </c>
      <c r="F343" s="2" t="s">
        <v>2027</v>
      </c>
      <c r="G343" s="2" t="s">
        <v>2028</v>
      </c>
      <c r="H343" s="2" t="s">
        <v>343</v>
      </c>
      <c r="I343" s="2" t="s">
        <v>778</v>
      </c>
      <c r="J343" s="2" t="s">
        <v>124</v>
      </c>
      <c r="K343" s="2" t="s">
        <v>261</v>
      </c>
      <c r="L343" s="2" t="s">
        <v>349</v>
      </c>
      <c r="M343" s="2" t="s">
        <v>336</v>
      </c>
      <c r="N343" s="2" t="s">
        <v>589</v>
      </c>
      <c r="O343" s="2" t="s">
        <v>159</v>
      </c>
      <c r="P343" s="2" t="s">
        <v>2029</v>
      </c>
      <c r="Q343" s="2" t="s">
        <v>453</v>
      </c>
      <c r="R343" s="2" t="s">
        <v>428</v>
      </c>
      <c r="S343" s="2" t="s">
        <v>1206</v>
      </c>
      <c r="T343" s="153">
        <v>0.77</v>
      </c>
      <c r="U343" s="2" t="s">
        <v>2030</v>
      </c>
      <c r="V343" s="165">
        <v>0.02</v>
      </c>
      <c r="W343" s="167">
        <v>7.6300000000000007E-2</v>
      </c>
      <c r="X343" s="4" t="s">
        <v>434</v>
      </c>
      <c r="Y343" s="4" t="s">
        <v>159</v>
      </c>
      <c r="Z343" s="153">
        <v>2000</v>
      </c>
      <c r="AA343" s="153">
        <v>3.9790000000000001</v>
      </c>
      <c r="AB343" s="153">
        <v>95.575999999999993</v>
      </c>
      <c r="AD343" s="153">
        <v>7.633</v>
      </c>
      <c r="AG343" s="2" t="s">
        <v>37</v>
      </c>
      <c r="AH343" s="153">
        <v>6.9999999999999999E-6</v>
      </c>
      <c r="AI343" s="167">
        <v>2.5744428437446099E-3</v>
      </c>
      <c r="AJ343" s="167">
        <v>5.0140115222505998E-4</v>
      </c>
    </row>
    <row r="344" spans="1:36">
      <c r="A344" s="2" t="s">
        <v>26</v>
      </c>
      <c r="B344" s="2">
        <v>9936</v>
      </c>
      <c r="C344" s="2" t="s">
        <v>2360</v>
      </c>
      <c r="D344" s="2" t="s">
        <v>2361</v>
      </c>
      <c r="E344" s="4" t="s">
        <v>335</v>
      </c>
      <c r="F344" s="2" t="s">
        <v>2362</v>
      </c>
      <c r="G344" s="2" t="s">
        <v>2363</v>
      </c>
      <c r="H344" s="2" t="s">
        <v>343</v>
      </c>
      <c r="I344" s="2" t="s">
        <v>778</v>
      </c>
      <c r="J344" s="2" t="s">
        <v>124</v>
      </c>
      <c r="K344" s="2" t="s">
        <v>125</v>
      </c>
      <c r="L344" s="2" t="s">
        <v>349</v>
      </c>
      <c r="M344" s="2" t="s">
        <v>336</v>
      </c>
      <c r="N344" s="2" t="s">
        <v>551</v>
      </c>
      <c r="O344" s="2" t="s">
        <v>159</v>
      </c>
      <c r="P344" s="2" t="s">
        <v>2040</v>
      </c>
      <c r="Q344" s="2" t="s">
        <v>34</v>
      </c>
      <c r="R344" s="2" t="s">
        <v>428</v>
      </c>
      <c r="S344" s="2" t="s">
        <v>35</v>
      </c>
      <c r="T344" s="153">
        <v>4.83</v>
      </c>
      <c r="U344" s="2" t="s">
        <v>2364</v>
      </c>
      <c r="V344" s="165">
        <v>5.2999999999999999E-2</v>
      </c>
      <c r="W344" s="167">
        <v>4.9860000000000002E-2</v>
      </c>
      <c r="X344" s="4" t="s">
        <v>434</v>
      </c>
      <c r="Y344" s="4" t="s">
        <v>159</v>
      </c>
      <c r="Z344" s="153">
        <v>4000</v>
      </c>
      <c r="AA344" s="153">
        <v>3.681</v>
      </c>
      <c r="AB344" s="153">
        <v>102.42100000000001</v>
      </c>
      <c r="AD344" s="153">
        <v>15.178000000000001</v>
      </c>
      <c r="AG344" s="2" t="s">
        <v>37</v>
      </c>
      <c r="AH344" s="153">
        <v>3.0000000000000001E-6</v>
      </c>
      <c r="AI344" s="167">
        <v>5.1194403811122696E-3</v>
      </c>
      <c r="AJ344" s="167">
        <v>9.9706750611078298E-4</v>
      </c>
    </row>
    <row r="345" spans="1:36">
      <c r="A345" s="2" t="s">
        <v>26</v>
      </c>
      <c r="B345" s="2">
        <v>9936</v>
      </c>
      <c r="C345" s="2" t="s">
        <v>1581</v>
      </c>
      <c r="D345" s="2" t="s">
        <v>1582</v>
      </c>
      <c r="E345" s="4" t="s">
        <v>1345</v>
      </c>
      <c r="F345" s="2" t="s">
        <v>2365</v>
      </c>
      <c r="G345" s="2" t="s">
        <v>2366</v>
      </c>
      <c r="H345" s="2" t="s">
        <v>343</v>
      </c>
      <c r="I345" s="2" t="s">
        <v>990</v>
      </c>
      <c r="J345" s="2" t="s">
        <v>124</v>
      </c>
      <c r="K345" s="2" t="s">
        <v>125</v>
      </c>
      <c r="L345" s="2" t="s">
        <v>351</v>
      </c>
      <c r="M345" s="2" t="s">
        <v>49</v>
      </c>
      <c r="N345" s="2" t="s">
        <v>474</v>
      </c>
      <c r="O345" s="2" t="s">
        <v>159</v>
      </c>
      <c r="P345" s="2" t="s">
        <v>1945</v>
      </c>
      <c r="Q345" s="2" t="s">
        <v>435</v>
      </c>
      <c r="R345" s="2" t="s">
        <v>428</v>
      </c>
      <c r="S345" s="2" t="s">
        <v>45</v>
      </c>
      <c r="T345" s="153">
        <v>0</v>
      </c>
      <c r="U345" s="2" t="s">
        <v>2367</v>
      </c>
      <c r="V345" s="165">
        <v>6.5000000000000002E-2</v>
      </c>
      <c r="W345" s="167">
        <v>0</v>
      </c>
      <c r="X345" s="4" t="s">
        <v>434</v>
      </c>
      <c r="Y345" s="4" t="s">
        <v>159</v>
      </c>
      <c r="Z345" s="153">
        <v>29000</v>
      </c>
      <c r="AA345" s="153">
        <v>1</v>
      </c>
      <c r="AB345" s="153">
        <v>101.78</v>
      </c>
      <c r="AD345" s="153">
        <v>29.515999999999998</v>
      </c>
      <c r="AG345" s="2" t="s">
        <v>37</v>
      </c>
      <c r="AH345" s="153">
        <v>0</v>
      </c>
      <c r="AI345" s="167">
        <v>9.9556219453165104E-3</v>
      </c>
      <c r="AJ345" s="167">
        <v>1.9389672319305099E-3</v>
      </c>
    </row>
    <row r="346" spans="1:36">
      <c r="A346" s="2" t="s">
        <v>26</v>
      </c>
      <c r="B346" s="2">
        <v>9936</v>
      </c>
      <c r="C346" s="2" t="s">
        <v>2010</v>
      </c>
      <c r="D346" s="2" t="s">
        <v>2011</v>
      </c>
      <c r="E346" s="4" t="s">
        <v>1345</v>
      </c>
      <c r="F346" s="2" t="s">
        <v>2376</v>
      </c>
      <c r="G346" s="2" t="s">
        <v>2377</v>
      </c>
      <c r="H346" s="2" t="s">
        <v>343</v>
      </c>
      <c r="I346" s="2" t="s">
        <v>990</v>
      </c>
      <c r="J346" s="2" t="s">
        <v>124</v>
      </c>
      <c r="K346" s="2" t="s">
        <v>125</v>
      </c>
      <c r="L346" s="2" t="s">
        <v>349</v>
      </c>
      <c r="M346" s="2" t="s">
        <v>49</v>
      </c>
      <c r="N346" s="2" t="s">
        <v>485</v>
      </c>
      <c r="O346" s="2" t="s">
        <v>159</v>
      </c>
      <c r="P346" s="2" t="s">
        <v>1785</v>
      </c>
      <c r="Q346" s="2" t="s">
        <v>435</v>
      </c>
      <c r="R346" s="2" t="s">
        <v>428</v>
      </c>
      <c r="S346" s="2" t="s">
        <v>45</v>
      </c>
      <c r="T346" s="153">
        <v>1.2949999999999999</v>
      </c>
      <c r="U346" s="2" t="s">
        <v>2246</v>
      </c>
      <c r="V346" s="165">
        <v>3.9300000000000002E-2</v>
      </c>
      <c r="W346" s="167">
        <v>7.3649999999999993E-2</v>
      </c>
      <c r="X346" s="4" t="s">
        <v>434</v>
      </c>
      <c r="Y346" s="4" t="s">
        <v>159</v>
      </c>
      <c r="Z346" s="153">
        <v>28668.1</v>
      </c>
      <c r="AA346" s="153">
        <v>1</v>
      </c>
      <c r="AB346" s="153">
        <v>96.54</v>
      </c>
      <c r="AD346" s="153">
        <v>27.675999999999998</v>
      </c>
      <c r="AG346" s="2" t="s">
        <v>37</v>
      </c>
      <c r="AH346" s="153">
        <v>2.5000000000000001E-5</v>
      </c>
      <c r="AI346" s="167">
        <v>9.3349872778313199E-3</v>
      </c>
      <c r="AJ346" s="167">
        <v>1.81809178187186E-3</v>
      </c>
    </row>
    <row r="347" spans="1:36">
      <c r="A347" s="2" t="s">
        <v>26</v>
      </c>
      <c r="B347" s="2">
        <v>9937</v>
      </c>
      <c r="C347" s="2" t="s">
        <v>2031</v>
      </c>
      <c r="D347" s="2" t="s">
        <v>2032</v>
      </c>
      <c r="E347" s="4" t="s">
        <v>335</v>
      </c>
      <c r="F347" s="2" t="s">
        <v>2033</v>
      </c>
      <c r="G347" s="2" t="s">
        <v>2034</v>
      </c>
      <c r="H347" s="2" t="s">
        <v>343</v>
      </c>
      <c r="I347" s="2" t="s">
        <v>778</v>
      </c>
      <c r="J347" s="2" t="s">
        <v>124</v>
      </c>
      <c r="K347" s="2" t="s">
        <v>125</v>
      </c>
      <c r="L347" s="2" t="s">
        <v>349</v>
      </c>
      <c r="M347" s="2" t="s">
        <v>366</v>
      </c>
      <c r="N347" s="2" t="s">
        <v>501</v>
      </c>
      <c r="O347" s="2" t="s">
        <v>159</v>
      </c>
      <c r="P347" s="2" t="s">
        <v>2016</v>
      </c>
      <c r="Q347" s="2" t="s">
        <v>453</v>
      </c>
      <c r="R347" s="2" t="s">
        <v>428</v>
      </c>
      <c r="S347" s="2" t="s">
        <v>35</v>
      </c>
      <c r="T347" s="153">
        <v>3.32</v>
      </c>
      <c r="U347" s="2" t="s">
        <v>2035</v>
      </c>
      <c r="V347" s="165">
        <v>5.2499999999999998E-2</v>
      </c>
      <c r="W347" s="167">
        <v>5.0319999999999997E-2</v>
      </c>
      <c r="X347" s="4" t="s">
        <v>434</v>
      </c>
      <c r="Y347" s="4" t="s">
        <v>159</v>
      </c>
      <c r="Z347" s="153">
        <v>12000</v>
      </c>
      <c r="AA347" s="153">
        <v>3.681</v>
      </c>
      <c r="AB347" s="153">
        <v>101.288</v>
      </c>
      <c r="AD347" s="153">
        <v>45.121000000000002</v>
      </c>
      <c r="AG347" s="2" t="s">
        <v>37</v>
      </c>
      <c r="AH347" s="153">
        <v>1.2E-5</v>
      </c>
      <c r="AI347" s="167">
        <v>6.1772048651047703E-3</v>
      </c>
      <c r="AJ347" s="167">
        <v>1.4351783048508701E-3</v>
      </c>
    </row>
    <row r="348" spans="1:36">
      <c r="A348" s="2" t="s">
        <v>26</v>
      </c>
      <c r="B348" s="2">
        <v>9937</v>
      </c>
      <c r="C348" s="2" t="s">
        <v>2133</v>
      </c>
      <c r="D348" s="2" t="s">
        <v>2134</v>
      </c>
      <c r="E348" s="4" t="s">
        <v>1345</v>
      </c>
      <c r="F348" s="2" t="s">
        <v>2135</v>
      </c>
      <c r="G348" s="2" t="s">
        <v>2136</v>
      </c>
      <c r="H348" s="2" t="s">
        <v>343</v>
      </c>
      <c r="I348" s="2" t="s">
        <v>777</v>
      </c>
      <c r="J348" s="2" t="s">
        <v>31</v>
      </c>
      <c r="K348" s="2" t="s">
        <v>31</v>
      </c>
      <c r="L348" s="2" t="s">
        <v>349</v>
      </c>
      <c r="M348" s="2" t="s">
        <v>49</v>
      </c>
      <c r="N348" s="2" t="s">
        <v>476</v>
      </c>
      <c r="O348" s="2" t="s">
        <v>159</v>
      </c>
      <c r="P348" s="2" t="s">
        <v>1785</v>
      </c>
      <c r="Q348" s="2" t="s">
        <v>435</v>
      </c>
      <c r="R348" s="2" t="s">
        <v>428</v>
      </c>
      <c r="S348" s="2" t="s">
        <v>45</v>
      </c>
      <c r="T348" s="153">
        <v>5.6740000000000004</v>
      </c>
      <c r="U348" s="2" t="s">
        <v>2137</v>
      </c>
      <c r="V348" s="165">
        <v>5.1499999999999997E-2</v>
      </c>
      <c r="W348" s="167">
        <v>2.9309999999999999E-2</v>
      </c>
      <c r="X348" s="4" t="s">
        <v>434</v>
      </c>
      <c r="Y348" s="4" t="s">
        <v>159</v>
      </c>
      <c r="Z348" s="153">
        <v>77857.14</v>
      </c>
      <c r="AA348" s="153">
        <v>1</v>
      </c>
      <c r="AB348" s="153">
        <v>154.27000000000001</v>
      </c>
      <c r="AD348" s="153">
        <v>120.11</v>
      </c>
      <c r="AG348" s="2" t="s">
        <v>37</v>
      </c>
      <c r="AH348" s="153">
        <v>2.5000000000000001E-5</v>
      </c>
      <c r="AI348" s="167">
        <v>1.6443460820095901E-2</v>
      </c>
      <c r="AJ348" s="167">
        <v>3.8203845818648601E-3</v>
      </c>
    </row>
    <row r="349" spans="1:36">
      <c r="A349" s="2" t="s">
        <v>26</v>
      </c>
      <c r="B349" s="2">
        <v>9937</v>
      </c>
      <c r="C349" s="2" t="s">
        <v>1775</v>
      </c>
      <c r="D349" s="2" t="s">
        <v>1776</v>
      </c>
      <c r="E349" s="4" t="s">
        <v>1345</v>
      </c>
      <c r="F349" s="2" t="s">
        <v>1777</v>
      </c>
      <c r="G349" s="2" t="s">
        <v>1778</v>
      </c>
      <c r="H349" s="2" t="s">
        <v>343</v>
      </c>
      <c r="I349" s="2" t="s">
        <v>777</v>
      </c>
      <c r="J349" s="2" t="s">
        <v>31</v>
      </c>
      <c r="K349" s="2" t="s">
        <v>31</v>
      </c>
      <c r="L349" s="2" t="s">
        <v>349</v>
      </c>
      <c r="M349" s="2" t="s">
        <v>49</v>
      </c>
      <c r="N349" s="2" t="s">
        <v>484</v>
      </c>
      <c r="O349" s="2" t="s">
        <v>159</v>
      </c>
      <c r="P349" s="2" t="s">
        <v>1779</v>
      </c>
      <c r="Q349" s="2" t="s">
        <v>435</v>
      </c>
      <c r="R349" s="2" t="s">
        <v>428</v>
      </c>
      <c r="S349" s="2" t="s">
        <v>45</v>
      </c>
      <c r="T349" s="153">
        <v>2.698</v>
      </c>
      <c r="U349" s="2" t="s">
        <v>108</v>
      </c>
      <c r="V349" s="165">
        <v>2.3400000000000001E-2</v>
      </c>
      <c r="W349" s="167">
        <v>2.1569999999999999E-2</v>
      </c>
      <c r="X349" s="4" t="s">
        <v>434</v>
      </c>
      <c r="Y349" s="4" t="s">
        <v>159</v>
      </c>
      <c r="Z349" s="153">
        <v>8800</v>
      </c>
      <c r="AA349" s="153">
        <v>1</v>
      </c>
      <c r="AB349" s="153">
        <v>111.84</v>
      </c>
      <c r="AD349" s="153">
        <v>9.8420000000000005</v>
      </c>
      <c r="AG349" s="2" t="s">
        <v>37</v>
      </c>
      <c r="AH349" s="153">
        <v>3.0000000000000001E-6</v>
      </c>
      <c r="AI349" s="167">
        <v>1.34738941909185E-3</v>
      </c>
      <c r="AJ349" s="167">
        <v>3.1304515629552998E-4</v>
      </c>
    </row>
    <row r="350" spans="1:36">
      <c r="A350" s="2" t="s">
        <v>26</v>
      </c>
      <c r="B350" s="2">
        <v>9937</v>
      </c>
      <c r="C350" s="2" t="s">
        <v>1516</v>
      </c>
      <c r="D350" s="2" t="s">
        <v>1517</v>
      </c>
      <c r="E350" s="4" t="s">
        <v>1345</v>
      </c>
      <c r="F350" s="2" t="s">
        <v>1780</v>
      </c>
      <c r="G350" s="2" t="s">
        <v>1781</v>
      </c>
      <c r="H350" s="2" t="s">
        <v>343</v>
      </c>
      <c r="I350" s="2" t="s">
        <v>990</v>
      </c>
      <c r="J350" s="2" t="s">
        <v>31</v>
      </c>
      <c r="K350" s="2" t="s">
        <v>31</v>
      </c>
      <c r="L350" s="2" t="s">
        <v>349</v>
      </c>
      <c r="M350" s="2" t="s">
        <v>49</v>
      </c>
      <c r="N350" s="2" t="s">
        <v>466</v>
      </c>
      <c r="O350" s="2" t="s">
        <v>159</v>
      </c>
      <c r="P350" s="2" t="s">
        <v>1779</v>
      </c>
      <c r="Q350" s="2" t="s">
        <v>435</v>
      </c>
      <c r="R350" s="2" t="s">
        <v>428</v>
      </c>
      <c r="S350" s="2" t="s">
        <v>45</v>
      </c>
      <c r="T350" s="153">
        <v>2.597</v>
      </c>
      <c r="U350" s="2" t="s">
        <v>1782</v>
      </c>
      <c r="V350" s="165">
        <v>1.0800000000000001E-2</v>
      </c>
      <c r="W350" s="167">
        <v>4.4749999999999998E-2</v>
      </c>
      <c r="X350" s="4" t="s">
        <v>434</v>
      </c>
      <c r="Y350" s="4" t="s">
        <v>159</v>
      </c>
      <c r="Z350" s="153">
        <v>55608</v>
      </c>
      <c r="AA350" s="153">
        <v>1</v>
      </c>
      <c r="AB350" s="153">
        <v>92.04</v>
      </c>
      <c r="AD350" s="153">
        <v>51.182000000000002</v>
      </c>
      <c r="AG350" s="2" t="s">
        <v>37</v>
      </c>
      <c r="AH350" s="153">
        <v>4.1999999999999998E-5</v>
      </c>
      <c r="AI350" s="167">
        <v>7.0069204589996098E-3</v>
      </c>
      <c r="AJ350" s="167">
        <v>1.6279499298104199E-3</v>
      </c>
    </row>
    <row r="351" spans="1:36">
      <c r="A351" s="2" t="s">
        <v>26</v>
      </c>
      <c r="B351" s="2">
        <v>9937</v>
      </c>
      <c r="C351" s="2" t="s">
        <v>1520</v>
      </c>
      <c r="D351" s="2" t="s">
        <v>1521</v>
      </c>
      <c r="E351" s="4" t="s">
        <v>1345</v>
      </c>
      <c r="F351" s="2" t="s">
        <v>1783</v>
      </c>
      <c r="G351" s="2" t="s">
        <v>1784</v>
      </c>
      <c r="H351" s="2" t="s">
        <v>343</v>
      </c>
      <c r="I351" s="2" t="s">
        <v>990</v>
      </c>
      <c r="J351" s="2" t="s">
        <v>31</v>
      </c>
      <c r="K351" s="2" t="s">
        <v>31</v>
      </c>
      <c r="L351" s="2" t="s">
        <v>349</v>
      </c>
      <c r="M351" s="2" t="s">
        <v>49</v>
      </c>
      <c r="N351" s="2" t="s">
        <v>484</v>
      </c>
      <c r="O351" s="2" t="s">
        <v>159</v>
      </c>
      <c r="P351" s="2" t="s">
        <v>1785</v>
      </c>
      <c r="Q351" s="2" t="s">
        <v>435</v>
      </c>
      <c r="R351" s="2" t="s">
        <v>428</v>
      </c>
      <c r="S351" s="2" t="s">
        <v>45</v>
      </c>
      <c r="T351" s="153">
        <v>1.8580000000000001</v>
      </c>
      <c r="U351" s="2" t="s">
        <v>1786</v>
      </c>
      <c r="V351" s="165">
        <v>3.85E-2</v>
      </c>
      <c r="W351" s="167">
        <v>4.768E-2</v>
      </c>
      <c r="X351" s="4" t="s">
        <v>434</v>
      </c>
      <c r="Y351" s="4" t="s">
        <v>159</v>
      </c>
      <c r="Z351" s="153">
        <v>90313.72</v>
      </c>
      <c r="AA351" s="153">
        <v>1</v>
      </c>
      <c r="AB351" s="153">
        <v>98.71</v>
      </c>
      <c r="AD351" s="153">
        <v>89.149000000000001</v>
      </c>
      <c r="AG351" s="2" t="s">
        <v>37</v>
      </c>
      <c r="AH351" s="153">
        <v>9.3999999999999994E-5</v>
      </c>
      <c r="AI351" s="167">
        <v>1.2204730250037399E-2</v>
      </c>
      <c r="AJ351" s="167">
        <v>2.8355808903730798E-3</v>
      </c>
    </row>
    <row r="352" spans="1:36">
      <c r="A352" s="2" t="s">
        <v>26</v>
      </c>
      <c r="B352" s="2">
        <v>9937</v>
      </c>
      <c r="C352" s="2" t="s">
        <v>1520</v>
      </c>
      <c r="D352" s="2" t="s">
        <v>1521</v>
      </c>
      <c r="E352" s="4" t="s">
        <v>1345</v>
      </c>
      <c r="F352" s="2" t="s">
        <v>1787</v>
      </c>
      <c r="G352" s="2" t="s">
        <v>1788</v>
      </c>
      <c r="H352" s="2" t="s">
        <v>343</v>
      </c>
      <c r="I352" s="2" t="s">
        <v>777</v>
      </c>
      <c r="J352" s="2" t="s">
        <v>31</v>
      </c>
      <c r="K352" s="2" t="s">
        <v>31</v>
      </c>
      <c r="L352" s="2" t="s">
        <v>349</v>
      </c>
      <c r="M352" s="2" t="s">
        <v>49</v>
      </c>
      <c r="N352" s="2" t="s">
        <v>484</v>
      </c>
      <c r="O352" s="2" t="s">
        <v>159</v>
      </c>
      <c r="P352" s="2" t="s">
        <v>1789</v>
      </c>
      <c r="Q352" s="2" t="s">
        <v>128</v>
      </c>
      <c r="R352" s="2" t="s">
        <v>428</v>
      </c>
      <c r="S352" s="2" t="s">
        <v>45</v>
      </c>
      <c r="T352" s="153">
        <v>7.4429999999999996</v>
      </c>
      <c r="U352" s="2" t="s">
        <v>1790</v>
      </c>
      <c r="V352" s="165">
        <v>2.5600000000000001E-2</v>
      </c>
      <c r="W352" s="167">
        <v>3.9620000000000002E-2</v>
      </c>
      <c r="X352" s="4" t="s">
        <v>434</v>
      </c>
      <c r="Y352" s="4" t="s">
        <v>159</v>
      </c>
      <c r="Z352" s="153">
        <v>25000</v>
      </c>
      <c r="AA352" s="153">
        <v>1</v>
      </c>
      <c r="AB352" s="153">
        <v>94.33</v>
      </c>
      <c r="AD352" s="153">
        <v>23.582000000000001</v>
      </c>
      <c r="AG352" s="2" t="s">
        <v>37</v>
      </c>
      <c r="AH352" s="153">
        <v>3.6999999999999998E-5</v>
      </c>
      <c r="AI352" s="167">
        <v>3.2285175022489002E-3</v>
      </c>
      <c r="AJ352" s="167">
        <v>7.500962615363E-4</v>
      </c>
    </row>
    <row r="353" spans="1:36">
      <c r="A353" s="2" t="s">
        <v>26</v>
      </c>
      <c r="B353" s="2">
        <v>9937</v>
      </c>
      <c r="C353" s="2" t="s">
        <v>1520</v>
      </c>
      <c r="D353" s="2" t="s">
        <v>1521</v>
      </c>
      <c r="E353" s="4" t="s">
        <v>1345</v>
      </c>
      <c r="F353" s="2" t="s">
        <v>2444</v>
      </c>
      <c r="G353" s="2" t="s">
        <v>2445</v>
      </c>
      <c r="H353" s="2" t="s">
        <v>343</v>
      </c>
      <c r="I353" s="2" t="s">
        <v>990</v>
      </c>
      <c r="J353" s="2" t="s">
        <v>31</v>
      </c>
      <c r="K353" s="2" t="s">
        <v>31</v>
      </c>
      <c r="L353" s="2" t="s">
        <v>349</v>
      </c>
      <c r="M353" s="2" t="s">
        <v>49</v>
      </c>
      <c r="N353" s="2" t="s">
        <v>484</v>
      </c>
      <c r="O353" s="2" t="s">
        <v>159</v>
      </c>
      <c r="P353" s="2" t="s">
        <v>1785</v>
      </c>
      <c r="Q353" s="2" t="s">
        <v>435</v>
      </c>
      <c r="R353" s="2" t="s">
        <v>428</v>
      </c>
      <c r="S353" s="2" t="s">
        <v>45</v>
      </c>
      <c r="T353" s="153">
        <v>4.8369999999999997</v>
      </c>
      <c r="U353" s="2" t="s">
        <v>2446</v>
      </c>
      <c r="V353" s="165">
        <v>2.41E-2</v>
      </c>
      <c r="W353" s="167">
        <v>5.7450000000000001E-2</v>
      </c>
      <c r="X353" s="4" t="s">
        <v>434</v>
      </c>
      <c r="Y353" s="4" t="s">
        <v>159</v>
      </c>
      <c r="Z353" s="153">
        <v>110000</v>
      </c>
      <c r="AA353" s="153">
        <v>1</v>
      </c>
      <c r="AB353" s="153">
        <v>85.75</v>
      </c>
      <c r="AD353" s="153">
        <v>94.325000000000003</v>
      </c>
      <c r="AG353" s="2" t="s">
        <v>37</v>
      </c>
      <c r="AH353" s="153">
        <v>7.1000000000000005E-5</v>
      </c>
      <c r="AI353" s="167">
        <v>1.29133854934645E-2</v>
      </c>
      <c r="AJ353" s="167">
        <v>3.0002260095160199E-3</v>
      </c>
    </row>
    <row r="354" spans="1:36">
      <c r="A354" s="2" t="s">
        <v>26</v>
      </c>
      <c r="B354" s="2">
        <v>9937</v>
      </c>
      <c r="C354" s="2" t="s">
        <v>1791</v>
      </c>
      <c r="D354" s="2" t="s">
        <v>1792</v>
      </c>
      <c r="E354" s="4" t="s">
        <v>1345</v>
      </c>
      <c r="F354" s="2" t="s">
        <v>2036</v>
      </c>
      <c r="G354" s="2" t="s">
        <v>2037</v>
      </c>
      <c r="H354" s="2" t="s">
        <v>343</v>
      </c>
      <c r="I354" s="2" t="s">
        <v>990</v>
      </c>
      <c r="J354" s="2" t="s">
        <v>31</v>
      </c>
      <c r="K354" s="2" t="s">
        <v>31</v>
      </c>
      <c r="L354" s="2" t="s">
        <v>349</v>
      </c>
      <c r="M354" s="2" t="s">
        <v>49</v>
      </c>
      <c r="N354" s="2" t="s">
        <v>471</v>
      </c>
      <c r="O354" s="2" t="s">
        <v>159</v>
      </c>
      <c r="P354" s="2" t="s">
        <v>33</v>
      </c>
      <c r="Q354" s="2" t="s">
        <v>128</v>
      </c>
      <c r="R354" s="2" t="s">
        <v>428</v>
      </c>
      <c r="S354" s="2" t="s">
        <v>45</v>
      </c>
      <c r="T354" s="153">
        <v>1.2</v>
      </c>
      <c r="U354" s="2" t="s">
        <v>1824</v>
      </c>
      <c r="V354" s="165">
        <v>0.04</v>
      </c>
      <c r="W354" s="167">
        <v>4.9059999999999999E-2</v>
      </c>
      <c r="X354" s="4" t="s">
        <v>434</v>
      </c>
      <c r="Y354" s="4" t="s">
        <v>159</v>
      </c>
      <c r="Z354" s="153">
        <v>900</v>
      </c>
      <c r="AA354" s="153">
        <v>1</v>
      </c>
      <c r="AB354" s="153">
        <v>100.02</v>
      </c>
      <c r="AD354" s="153">
        <v>0.9</v>
      </c>
      <c r="AG354" s="2" t="s">
        <v>37</v>
      </c>
      <c r="AH354" s="153">
        <v>5.0000000000000004E-6</v>
      </c>
      <c r="AI354" s="167">
        <v>1.2323743815008601E-4</v>
      </c>
      <c r="AJ354" s="167">
        <v>2.8632318571387501E-5</v>
      </c>
    </row>
    <row r="355" spans="1:36">
      <c r="A355" s="2" t="s">
        <v>26</v>
      </c>
      <c r="B355" s="2">
        <v>9937</v>
      </c>
      <c r="C355" s="2" t="s">
        <v>1791</v>
      </c>
      <c r="D355" s="2" t="s">
        <v>1792</v>
      </c>
      <c r="E355" s="4" t="s">
        <v>1345</v>
      </c>
      <c r="F355" s="2" t="s">
        <v>1793</v>
      </c>
      <c r="G355" s="2" t="s">
        <v>1794</v>
      </c>
      <c r="H355" s="2" t="s">
        <v>343</v>
      </c>
      <c r="I355" s="2" t="s">
        <v>990</v>
      </c>
      <c r="J355" s="2" t="s">
        <v>31</v>
      </c>
      <c r="K355" s="2" t="s">
        <v>31</v>
      </c>
      <c r="L355" s="2" t="s">
        <v>349</v>
      </c>
      <c r="M355" s="2" t="s">
        <v>49</v>
      </c>
      <c r="N355" s="2" t="s">
        <v>471</v>
      </c>
      <c r="O355" s="2" t="s">
        <v>159</v>
      </c>
      <c r="P355" s="2" t="s">
        <v>1795</v>
      </c>
      <c r="Q355" s="2" t="s">
        <v>435</v>
      </c>
      <c r="R355" s="2" t="s">
        <v>428</v>
      </c>
      <c r="S355" s="2" t="s">
        <v>45</v>
      </c>
      <c r="T355" s="153">
        <v>3.41</v>
      </c>
      <c r="U355" s="2" t="s">
        <v>1796</v>
      </c>
      <c r="V355" s="165">
        <v>0.04</v>
      </c>
      <c r="W355" s="167">
        <v>5.0200000000000002E-2</v>
      </c>
      <c r="X355" s="4" t="s">
        <v>434</v>
      </c>
      <c r="Y355" s="4" t="s">
        <v>159</v>
      </c>
      <c r="Z355" s="153">
        <v>130000.01</v>
      </c>
      <c r="AA355" s="153">
        <v>1</v>
      </c>
      <c r="AB355" s="153">
        <v>97.7</v>
      </c>
      <c r="AD355" s="153">
        <v>127.01</v>
      </c>
      <c r="AG355" s="2" t="s">
        <v>37</v>
      </c>
      <c r="AH355" s="153">
        <v>1.6799999999999999E-4</v>
      </c>
      <c r="AI355" s="167">
        <v>1.73880648575532E-2</v>
      </c>
      <c r="AJ355" s="167">
        <v>4.03984876523549E-3</v>
      </c>
    </row>
    <row r="356" spans="1:36">
      <c r="A356" s="2" t="s">
        <v>26</v>
      </c>
      <c r="B356" s="2">
        <v>9937</v>
      </c>
      <c r="C356" s="2" t="s">
        <v>1524</v>
      </c>
      <c r="D356" s="2" t="s">
        <v>1525</v>
      </c>
      <c r="E356" s="4" t="s">
        <v>1345</v>
      </c>
      <c r="F356" s="2" t="s">
        <v>1797</v>
      </c>
      <c r="G356" s="2" t="s">
        <v>1798</v>
      </c>
      <c r="H356" s="2" t="s">
        <v>343</v>
      </c>
      <c r="I356" s="2" t="s">
        <v>777</v>
      </c>
      <c r="J356" s="2" t="s">
        <v>31</v>
      </c>
      <c r="K356" s="2" t="s">
        <v>31</v>
      </c>
      <c r="L356" s="2" t="s">
        <v>349</v>
      </c>
      <c r="M356" s="2" t="s">
        <v>49</v>
      </c>
      <c r="N356" s="2" t="s">
        <v>484</v>
      </c>
      <c r="O356" s="2" t="s">
        <v>159</v>
      </c>
      <c r="P356" s="2" t="s">
        <v>1799</v>
      </c>
      <c r="Q356" s="2" t="s">
        <v>128</v>
      </c>
      <c r="R356" s="2" t="s">
        <v>428</v>
      </c>
      <c r="S356" s="2" t="s">
        <v>45</v>
      </c>
      <c r="T356" s="153">
        <v>2.036</v>
      </c>
      <c r="U356" s="2" t="s">
        <v>1800</v>
      </c>
      <c r="V356" s="165">
        <v>3.2000000000000001E-2</v>
      </c>
      <c r="W356" s="167">
        <v>2.1000000000000001E-2</v>
      </c>
      <c r="X356" s="4" t="s">
        <v>434</v>
      </c>
      <c r="Y356" s="4" t="s">
        <v>159</v>
      </c>
      <c r="Z356" s="153">
        <v>112000</v>
      </c>
      <c r="AA356" s="153">
        <v>1</v>
      </c>
      <c r="AB356" s="153">
        <v>116.39</v>
      </c>
      <c r="AD356" s="153">
        <v>130.357</v>
      </c>
      <c r="AG356" s="2" t="s">
        <v>37</v>
      </c>
      <c r="AH356" s="153">
        <v>8.0000000000000007E-5</v>
      </c>
      <c r="AI356" s="167">
        <v>1.78462508358808E-2</v>
      </c>
      <c r="AJ356" s="167">
        <v>4.1463012125870901E-3</v>
      </c>
    </row>
    <row r="357" spans="1:36">
      <c r="A357" s="2" t="s">
        <v>26</v>
      </c>
      <c r="B357" s="2">
        <v>9937</v>
      </c>
      <c r="C357" s="2" t="s">
        <v>1528</v>
      </c>
      <c r="D357" s="2" t="s">
        <v>1529</v>
      </c>
      <c r="E357" s="4" t="s">
        <v>1345</v>
      </c>
      <c r="F357" s="2" t="s">
        <v>2038</v>
      </c>
      <c r="G357" s="2" t="s">
        <v>2039</v>
      </c>
      <c r="H357" s="2" t="s">
        <v>343</v>
      </c>
      <c r="I357" s="2" t="s">
        <v>990</v>
      </c>
      <c r="J357" s="2" t="s">
        <v>31</v>
      </c>
      <c r="K357" s="2" t="s">
        <v>31</v>
      </c>
      <c r="L357" s="2" t="s">
        <v>349</v>
      </c>
      <c r="M357" s="2" t="s">
        <v>49</v>
      </c>
      <c r="N357" s="2" t="s">
        <v>461</v>
      </c>
      <c r="O357" s="2" t="s">
        <v>159</v>
      </c>
      <c r="P357" s="2" t="s">
        <v>2040</v>
      </c>
      <c r="Q357" s="2" t="s">
        <v>128</v>
      </c>
      <c r="R357" s="2" t="s">
        <v>428</v>
      </c>
      <c r="S357" s="2" t="s">
        <v>45</v>
      </c>
      <c r="T357" s="153">
        <v>1.9910000000000001</v>
      </c>
      <c r="U357" s="2" t="s">
        <v>2041</v>
      </c>
      <c r="V357" s="165">
        <v>3.4500000000000003E-2</v>
      </c>
      <c r="W357" s="167">
        <v>5.0560000000000001E-2</v>
      </c>
      <c r="X357" s="4" t="s">
        <v>434</v>
      </c>
      <c r="Y357" s="4" t="s">
        <v>159</v>
      </c>
      <c r="Z357" s="153">
        <v>157593.57999999999</v>
      </c>
      <c r="AA357" s="153">
        <v>1</v>
      </c>
      <c r="AB357" s="153">
        <v>97.31</v>
      </c>
      <c r="AD357" s="153">
        <v>153.35400000000001</v>
      </c>
      <c r="AG357" s="2" t="s">
        <v>37</v>
      </c>
      <c r="AH357" s="153">
        <v>3.59E-4</v>
      </c>
      <c r="AI357" s="167">
        <v>2.09946817593912E-2</v>
      </c>
      <c r="AJ357" s="167">
        <v>4.8777905923985398E-3</v>
      </c>
    </row>
    <row r="358" spans="1:36">
      <c r="A358" s="2" t="s">
        <v>26</v>
      </c>
      <c r="B358" s="2">
        <v>9937</v>
      </c>
      <c r="C358" s="2" t="s">
        <v>1532</v>
      </c>
      <c r="D358" s="2" t="s">
        <v>1533</v>
      </c>
      <c r="E358" s="4" t="s">
        <v>1345</v>
      </c>
      <c r="F358" s="2" t="s">
        <v>2042</v>
      </c>
      <c r="G358" s="2" t="s">
        <v>2043</v>
      </c>
      <c r="H358" s="2" t="s">
        <v>343</v>
      </c>
      <c r="I358" s="2" t="s">
        <v>990</v>
      </c>
      <c r="J358" s="2" t="s">
        <v>31</v>
      </c>
      <c r="K358" s="2" t="s">
        <v>31</v>
      </c>
      <c r="L358" s="2" t="s">
        <v>349</v>
      </c>
      <c r="M358" s="2" t="s">
        <v>49</v>
      </c>
      <c r="N358" s="2" t="s">
        <v>461</v>
      </c>
      <c r="O358" s="2" t="s">
        <v>159</v>
      </c>
      <c r="P358" s="2" t="s">
        <v>2040</v>
      </c>
      <c r="Q358" s="2" t="s">
        <v>128</v>
      </c>
      <c r="R358" s="2" t="s">
        <v>428</v>
      </c>
      <c r="S358" s="2" t="s">
        <v>45</v>
      </c>
      <c r="T358" s="153">
        <v>3.1</v>
      </c>
      <c r="U358" s="2" t="s">
        <v>2044</v>
      </c>
      <c r="V358" s="165">
        <v>2.0500000000000001E-2</v>
      </c>
      <c r="W358" s="167">
        <v>5.0770000000000003E-2</v>
      </c>
      <c r="X358" s="4" t="s">
        <v>434</v>
      </c>
      <c r="Y358" s="4" t="s">
        <v>159</v>
      </c>
      <c r="Z358" s="153">
        <v>120714.3</v>
      </c>
      <c r="AA358" s="153">
        <v>1</v>
      </c>
      <c r="AB358" s="153">
        <v>91.55</v>
      </c>
      <c r="AD358" s="153">
        <v>110.514</v>
      </c>
      <c r="AG358" s="2" t="s">
        <v>37</v>
      </c>
      <c r="AH358" s="153">
        <v>2.1599999999999999E-4</v>
      </c>
      <c r="AI358" s="167">
        <v>1.51297018916374E-2</v>
      </c>
      <c r="AJ358" s="167">
        <v>3.51515295152362E-3</v>
      </c>
    </row>
    <row r="359" spans="1:36">
      <c r="A359" s="2" t="s">
        <v>26</v>
      </c>
      <c r="B359" s="2">
        <v>9937</v>
      </c>
      <c r="C359" s="2" t="s">
        <v>2447</v>
      </c>
      <c r="D359" s="2" t="s">
        <v>2448</v>
      </c>
      <c r="E359" s="4" t="s">
        <v>1345</v>
      </c>
      <c r="F359" s="2" t="s">
        <v>2449</v>
      </c>
      <c r="G359" s="2" t="s">
        <v>2450</v>
      </c>
      <c r="H359" s="2" t="s">
        <v>343</v>
      </c>
      <c r="I359" s="2" t="s">
        <v>990</v>
      </c>
      <c r="J359" s="2" t="s">
        <v>31</v>
      </c>
      <c r="K359" s="2" t="s">
        <v>31</v>
      </c>
      <c r="L359" s="2" t="s">
        <v>349</v>
      </c>
      <c r="M359" s="2" t="s">
        <v>49</v>
      </c>
      <c r="N359" s="2" t="s">
        <v>467</v>
      </c>
      <c r="O359" s="2" t="s">
        <v>159</v>
      </c>
      <c r="P359" s="2" t="s">
        <v>1994</v>
      </c>
      <c r="Q359" s="2" t="s">
        <v>435</v>
      </c>
      <c r="R359" s="2" t="s">
        <v>428</v>
      </c>
      <c r="S359" s="2" t="s">
        <v>45</v>
      </c>
      <c r="T359" s="153">
        <v>2.355</v>
      </c>
      <c r="U359" s="2" t="s">
        <v>2451</v>
      </c>
      <c r="V359" s="165">
        <v>4.2999999999999997E-2</v>
      </c>
      <c r="W359" s="167">
        <v>5.3440000000000001E-2</v>
      </c>
      <c r="X359" s="4" t="s">
        <v>434</v>
      </c>
      <c r="Y359" s="4" t="s">
        <v>159</v>
      </c>
      <c r="Z359" s="153">
        <v>86204.160000000003</v>
      </c>
      <c r="AA359" s="153">
        <v>1</v>
      </c>
      <c r="AB359" s="153">
        <v>98.8</v>
      </c>
      <c r="AD359" s="153">
        <v>85.17</v>
      </c>
      <c r="AG359" s="2" t="s">
        <v>37</v>
      </c>
      <c r="AH359" s="153">
        <v>7.1000000000000005E-5</v>
      </c>
      <c r="AI359" s="167">
        <v>1.16599978651434E-2</v>
      </c>
      <c r="AJ359" s="167">
        <v>2.7090207199040998E-3</v>
      </c>
    </row>
    <row r="360" spans="1:36">
      <c r="A360" s="2" t="s">
        <v>26</v>
      </c>
      <c r="B360" s="2">
        <v>9937</v>
      </c>
      <c r="C360" s="2" t="s">
        <v>1968</v>
      </c>
      <c r="D360" s="2" t="s">
        <v>1969</v>
      </c>
      <c r="E360" s="4" t="s">
        <v>1345</v>
      </c>
      <c r="F360" s="2" t="s">
        <v>2045</v>
      </c>
      <c r="G360" s="2" t="s">
        <v>2046</v>
      </c>
      <c r="H360" s="2" t="s">
        <v>343</v>
      </c>
      <c r="I360" s="2" t="s">
        <v>990</v>
      </c>
      <c r="J360" s="2" t="s">
        <v>31</v>
      </c>
      <c r="K360" s="2" t="s">
        <v>31</v>
      </c>
      <c r="L360" s="2" t="s">
        <v>349</v>
      </c>
      <c r="M360" s="2" t="s">
        <v>49</v>
      </c>
      <c r="N360" s="2" t="s">
        <v>460</v>
      </c>
      <c r="O360" s="2" t="s">
        <v>159</v>
      </c>
      <c r="P360" s="2" t="s">
        <v>1795</v>
      </c>
      <c r="Q360" s="2" t="s">
        <v>435</v>
      </c>
      <c r="R360" s="2" t="s">
        <v>428</v>
      </c>
      <c r="S360" s="2" t="s">
        <v>45</v>
      </c>
      <c r="T360" s="153">
        <v>0.247</v>
      </c>
      <c r="U360" s="2" t="s">
        <v>2047</v>
      </c>
      <c r="V360" s="165">
        <v>5.8999999999999997E-2</v>
      </c>
      <c r="W360" s="167">
        <v>5.3499999999999999E-2</v>
      </c>
      <c r="X360" s="4" t="s">
        <v>434</v>
      </c>
      <c r="Y360" s="4" t="s">
        <v>159</v>
      </c>
      <c r="Z360" s="153">
        <v>22353</v>
      </c>
      <c r="AA360" s="153">
        <v>1</v>
      </c>
      <c r="AB360" s="153">
        <v>101.65</v>
      </c>
      <c r="AD360" s="153">
        <v>22.722000000000001</v>
      </c>
      <c r="AG360" s="2" t="s">
        <v>37</v>
      </c>
      <c r="AH360" s="153">
        <v>8.5000000000000006E-5</v>
      </c>
      <c r="AI360" s="167">
        <v>3.1106883528581701E-3</v>
      </c>
      <c r="AJ360" s="167">
        <v>7.2272047546841501E-4</v>
      </c>
    </row>
    <row r="361" spans="1:36">
      <c r="A361" s="2" t="s">
        <v>26</v>
      </c>
      <c r="B361" s="2">
        <v>9937</v>
      </c>
      <c r="C361" s="2" t="s">
        <v>1968</v>
      </c>
      <c r="D361" s="2" t="s">
        <v>1969</v>
      </c>
      <c r="E361" s="4" t="s">
        <v>1345</v>
      </c>
      <c r="F361" s="2" t="s">
        <v>2452</v>
      </c>
      <c r="G361" s="2" t="s">
        <v>2453</v>
      </c>
      <c r="H361" s="2" t="s">
        <v>343</v>
      </c>
      <c r="I361" s="2" t="s">
        <v>990</v>
      </c>
      <c r="J361" s="2" t="s">
        <v>31</v>
      </c>
      <c r="K361" s="2" t="s">
        <v>31</v>
      </c>
      <c r="L361" s="2" t="s">
        <v>349</v>
      </c>
      <c r="M361" s="2" t="s">
        <v>49</v>
      </c>
      <c r="N361" s="2" t="s">
        <v>460</v>
      </c>
      <c r="O361" s="2" t="s">
        <v>159</v>
      </c>
      <c r="P361" s="2" t="s">
        <v>1795</v>
      </c>
      <c r="Q361" s="2" t="s">
        <v>435</v>
      </c>
      <c r="R361" s="2" t="s">
        <v>428</v>
      </c>
      <c r="S361" s="2" t="s">
        <v>45</v>
      </c>
      <c r="T361" s="153">
        <v>2.7269999999999999</v>
      </c>
      <c r="U361" s="2" t="s">
        <v>2454</v>
      </c>
      <c r="V361" s="165">
        <v>2.7E-2</v>
      </c>
      <c r="W361" s="167">
        <v>5.2819999999999999E-2</v>
      </c>
      <c r="X361" s="4" t="s">
        <v>434</v>
      </c>
      <c r="Y361" s="4" t="s">
        <v>159</v>
      </c>
      <c r="Z361" s="153">
        <v>101424.8</v>
      </c>
      <c r="AA361" s="153">
        <v>1</v>
      </c>
      <c r="AB361" s="153">
        <v>93.45</v>
      </c>
      <c r="AD361" s="153">
        <v>94.781000000000006</v>
      </c>
      <c r="AG361" s="2" t="s">
        <v>37</v>
      </c>
      <c r="AH361" s="153">
        <v>1.36E-4</v>
      </c>
      <c r="AI361" s="167">
        <v>1.29758784210146E-2</v>
      </c>
      <c r="AJ361" s="167">
        <v>3.01474527766157E-3</v>
      </c>
    </row>
    <row r="362" spans="1:36">
      <c r="A362" s="2" t="s">
        <v>26</v>
      </c>
      <c r="B362" s="2">
        <v>9937</v>
      </c>
      <c r="C362" s="2" t="s">
        <v>1536</v>
      </c>
      <c r="D362" s="2" t="s">
        <v>1537</v>
      </c>
      <c r="E362" s="4" t="s">
        <v>1345</v>
      </c>
      <c r="F362" s="2" t="s">
        <v>2048</v>
      </c>
      <c r="G362" s="2" t="s">
        <v>2049</v>
      </c>
      <c r="H362" s="2" t="s">
        <v>343</v>
      </c>
      <c r="I362" s="2" t="s">
        <v>777</v>
      </c>
      <c r="J362" s="2" t="s">
        <v>31</v>
      </c>
      <c r="K362" s="2" t="s">
        <v>31</v>
      </c>
      <c r="L362" s="2" t="s">
        <v>349</v>
      </c>
      <c r="M362" s="2" t="s">
        <v>49</v>
      </c>
      <c r="N362" s="2" t="s">
        <v>505</v>
      </c>
      <c r="O362" s="2" t="s">
        <v>159</v>
      </c>
      <c r="P362" s="2" t="s">
        <v>1789</v>
      </c>
      <c r="Q362" s="2" t="s">
        <v>128</v>
      </c>
      <c r="R362" s="2" t="s">
        <v>428</v>
      </c>
      <c r="S362" s="2" t="s">
        <v>45</v>
      </c>
      <c r="T362" s="153">
        <v>1.151</v>
      </c>
      <c r="U362" s="2" t="s">
        <v>2050</v>
      </c>
      <c r="V362" s="165">
        <v>2.1999999999999999E-2</v>
      </c>
      <c r="W362" s="167">
        <v>1.504E-2</v>
      </c>
      <c r="X362" s="4" t="s">
        <v>434</v>
      </c>
      <c r="Y362" s="4" t="s">
        <v>159</v>
      </c>
      <c r="Z362" s="153">
        <v>60000</v>
      </c>
      <c r="AA362" s="153">
        <v>1</v>
      </c>
      <c r="AB362" s="153">
        <v>113.35</v>
      </c>
      <c r="AD362" s="153">
        <v>68.010000000000005</v>
      </c>
      <c r="AG362" s="2" t="s">
        <v>37</v>
      </c>
      <c r="AH362" s="153">
        <v>7.6000000000000004E-5</v>
      </c>
      <c r="AI362" s="167">
        <v>9.3107802534908406E-3</v>
      </c>
      <c r="AJ362" s="167">
        <v>2.1632162301318202E-3</v>
      </c>
    </row>
    <row r="363" spans="1:36">
      <c r="A363" s="2" t="s">
        <v>26</v>
      </c>
      <c r="B363" s="2">
        <v>9937</v>
      </c>
      <c r="C363" s="2" t="s">
        <v>1801</v>
      </c>
      <c r="D363" s="2" t="s">
        <v>1802</v>
      </c>
      <c r="E363" s="4" t="s">
        <v>1345</v>
      </c>
      <c r="F363" s="2" t="s">
        <v>1803</v>
      </c>
      <c r="G363" s="2" t="s">
        <v>1804</v>
      </c>
      <c r="H363" s="2" t="s">
        <v>343</v>
      </c>
      <c r="I363" s="2" t="s">
        <v>777</v>
      </c>
      <c r="J363" s="2" t="s">
        <v>31</v>
      </c>
      <c r="K363" s="2" t="s">
        <v>31</v>
      </c>
      <c r="L363" s="2" t="s">
        <v>349</v>
      </c>
      <c r="M363" s="2" t="s">
        <v>49</v>
      </c>
      <c r="N363" s="2" t="s">
        <v>484</v>
      </c>
      <c r="O363" s="2" t="s">
        <v>159</v>
      </c>
      <c r="P363" s="2" t="s">
        <v>1789</v>
      </c>
      <c r="Q363" s="2" t="s">
        <v>128</v>
      </c>
      <c r="R363" s="2" t="s">
        <v>428</v>
      </c>
      <c r="S363" s="2" t="s">
        <v>45</v>
      </c>
      <c r="T363" s="153">
        <v>0.60099999999999998</v>
      </c>
      <c r="U363" s="2" t="s">
        <v>1805</v>
      </c>
      <c r="V363" s="165">
        <v>2.5000000000000001E-2</v>
      </c>
      <c r="W363" s="167">
        <v>2.0219999999999998E-2</v>
      </c>
      <c r="X363" s="4" t="s">
        <v>434</v>
      </c>
      <c r="Y363" s="4" t="s">
        <v>159</v>
      </c>
      <c r="Z363" s="153">
        <v>40002.53</v>
      </c>
      <c r="AA363" s="153">
        <v>1</v>
      </c>
      <c r="AB363" s="153">
        <v>113.37</v>
      </c>
      <c r="AD363" s="153">
        <v>45.350999999999999</v>
      </c>
      <c r="AG363" s="2" t="s">
        <v>37</v>
      </c>
      <c r="AH363" s="153">
        <v>8.5000000000000006E-5</v>
      </c>
      <c r="AI363" s="167">
        <v>6.2086747343505803E-3</v>
      </c>
      <c r="AJ363" s="167">
        <v>1.44248984374012E-3</v>
      </c>
    </row>
    <row r="364" spans="1:36">
      <c r="A364" s="2" t="s">
        <v>26</v>
      </c>
      <c r="B364" s="2">
        <v>9937</v>
      </c>
      <c r="C364" s="2" t="s">
        <v>2400</v>
      </c>
      <c r="D364" s="2" t="s">
        <v>2401</v>
      </c>
      <c r="E364" s="4" t="s">
        <v>1345</v>
      </c>
      <c r="F364" s="2" t="s">
        <v>2455</v>
      </c>
      <c r="G364" s="2" t="s">
        <v>2456</v>
      </c>
      <c r="H364" s="2" t="s">
        <v>343</v>
      </c>
      <c r="I364" s="2" t="s">
        <v>777</v>
      </c>
      <c r="J364" s="2" t="s">
        <v>31</v>
      </c>
      <c r="K364" s="2" t="s">
        <v>31</v>
      </c>
      <c r="L364" s="2" t="s">
        <v>349</v>
      </c>
      <c r="M364" s="2" t="s">
        <v>49</v>
      </c>
      <c r="N364" s="2" t="s">
        <v>468</v>
      </c>
      <c r="O364" s="2" t="s">
        <v>159</v>
      </c>
      <c r="P364" s="2" t="s">
        <v>127</v>
      </c>
      <c r="Q364" s="2" t="s">
        <v>128</v>
      </c>
      <c r="R364" s="2" t="s">
        <v>428</v>
      </c>
      <c r="S364" s="2" t="s">
        <v>45</v>
      </c>
      <c r="T364" s="153">
        <v>2.6709999999999998</v>
      </c>
      <c r="U364" s="2" t="s">
        <v>2457</v>
      </c>
      <c r="V364" s="165">
        <v>1E-3</v>
      </c>
      <c r="W364" s="167">
        <v>1.7729999999999999E-2</v>
      </c>
      <c r="X364" s="4" t="s">
        <v>434</v>
      </c>
      <c r="Y364" s="4" t="s">
        <v>159</v>
      </c>
      <c r="Z364" s="153">
        <v>130000</v>
      </c>
      <c r="AA364" s="153">
        <v>1</v>
      </c>
      <c r="AB364" s="153">
        <v>104.31</v>
      </c>
      <c r="AD364" s="153">
        <v>135.60300000000001</v>
      </c>
      <c r="AG364" s="2" t="s">
        <v>37</v>
      </c>
      <c r="AH364" s="153">
        <v>2.7799999999999998E-4</v>
      </c>
      <c r="AI364" s="167">
        <v>1.8564471911691201E-2</v>
      </c>
      <c r="AJ364" s="167">
        <v>4.3131688053898798E-3</v>
      </c>
    </row>
    <row r="365" spans="1:36">
      <c r="A365" s="2" t="s">
        <v>26</v>
      </c>
      <c r="B365" s="2">
        <v>9937</v>
      </c>
      <c r="C365" s="2" t="s">
        <v>1806</v>
      </c>
      <c r="D365" s="2" t="s">
        <v>1807</v>
      </c>
      <c r="E365" s="4" t="s">
        <v>1345</v>
      </c>
      <c r="F365" s="2" t="s">
        <v>1808</v>
      </c>
      <c r="G365" s="2" t="s">
        <v>1809</v>
      </c>
      <c r="H365" s="2" t="s">
        <v>343</v>
      </c>
      <c r="I365" s="2" t="s">
        <v>990</v>
      </c>
      <c r="J365" s="2" t="s">
        <v>31</v>
      </c>
      <c r="K365" s="2" t="s">
        <v>31</v>
      </c>
      <c r="L365" s="2" t="s">
        <v>349</v>
      </c>
      <c r="M365" s="2" t="s">
        <v>49</v>
      </c>
      <c r="N365" s="2" t="s">
        <v>460</v>
      </c>
      <c r="O365" s="2" t="s">
        <v>159</v>
      </c>
      <c r="P365" s="2" t="s">
        <v>1810</v>
      </c>
      <c r="Q365" s="2" t="s">
        <v>128</v>
      </c>
      <c r="R365" s="2" t="s">
        <v>428</v>
      </c>
      <c r="S365" s="2" t="s">
        <v>45</v>
      </c>
      <c r="T365" s="153">
        <v>3.07</v>
      </c>
      <c r="U365" s="2" t="s">
        <v>1811</v>
      </c>
      <c r="V365" s="165">
        <v>7.2499999999999995E-2</v>
      </c>
      <c r="W365" s="167">
        <v>6.232E-2</v>
      </c>
      <c r="X365" s="4" t="s">
        <v>434</v>
      </c>
      <c r="Y365" s="4" t="s">
        <v>159</v>
      </c>
      <c r="Z365" s="153">
        <v>19907</v>
      </c>
      <c r="AA365" s="153">
        <v>1</v>
      </c>
      <c r="AB365" s="153">
        <v>108.29</v>
      </c>
      <c r="AD365" s="153">
        <v>21.556999999999999</v>
      </c>
      <c r="AG365" s="2" t="s">
        <v>37</v>
      </c>
      <c r="AH365" s="153">
        <v>3.4E-5</v>
      </c>
      <c r="AI365" s="167">
        <v>2.9512600035878499E-3</v>
      </c>
      <c r="AJ365" s="167">
        <v>6.8567975672141396E-4</v>
      </c>
    </row>
    <row r="366" spans="1:36">
      <c r="A366" s="2" t="s">
        <v>26</v>
      </c>
      <c r="B366" s="2">
        <v>9937</v>
      </c>
      <c r="C366" s="2" t="s">
        <v>2054</v>
      </c>
      <c r="D366" s="2" t="s">
        <v>2055</v>
      </c>
      <c r="E366" s="4" t="s">
        <v>1345</v>
      </c>
      <c r="F366" s="2" t="s">
        <v>2056</v>
      </c>
      <c r="G366" s="2" t="s">
        <v>2057</v>
      </c>
      <c r="H366" s="2" t="s">
        <v>343</v>
      </c>
      <c r="I366" s="2" t="s">
        <v>777</v>
      </c>
      <c r="J366" s="2" t="s">
        <v>31</v>
      </c>
      <c r="K366" s="2" t="s">
        <v>31</v>
      </c>
      <c r="L366" s="2" t="s">
        <v>349</v>
      </c>
      <c r="M366" s="2" t="s">
        <v>49</v>
      </c>
      <c r="N366" s="2" t="s">
        <v>484</v>
      </c>
      <c r="O366" s="2" t="s">
        <v>159</v>
      </c>
      <c r="P366" s="2" t="s">
        <v>1779</v>
      </c>
      <c r="Q366" s="2" t="s">
        <v>435</v>
      </c>
      <c r="R366" s="2" t="s">
        <v>428</v>
      </c>
      <c r="S366" s="2" t="s">
        <v>45</v>
      </c>
      <c r="T366" s="153">
        <v>3.839</v>
      </c>
      <c r="U366" s="2" t="s">
        <v>2058</v>
      </c>
      <c r="V366" s="165">
        <v>5.0000000000000001E-3</v>
      </c>
      <c r="W366" s="167">
        <v>2.52E-2</v>
      </c>
      <c r="X366" s="4" t="s">
        <v>434</v>
      </c>
      <c r="Y366" s="4" t="s">
        <v>159</v>
      </c>
      <c r="Z366" s="153">
        <v>66319.63</v>
      </c>
      <c r="AA366" s="153">
        <v>1</v>
      </c>
      <c r="AB366" s="153">
        <v>103.12</v>
      </c>
      <c r="AD366" s="153">
        <v>68.388999999999996</v>
      </c>
      <c r="AG366" s="2" t="s">
        <v>37</v>
      </c>
      <c r="AH366" s="153">
        <v>3.6999999999999998E-5</v>
      </c>
      <c r="AI366" s="167">
        <v>9.3626394863580396E-3</v>
      </c>
      <c r="AJ366" s="167">
        <v>2.1752649232774299E-3</v>
      </c>
    </row>
    <row r="367" spans="1:36">
      <c r="A367" s="2" t="s">
        <v>26</v>
      </c>
      <c r="B367" s="2">
        <v>9937</v>
      </c>
      <c r="C367" s="2" t="s">
        <v>2059</v>
      </c>
      <c r="D367" s="2" t="s">
        <v>2060</v>
      </c>
      <c r="E367" s="4" t="s">
        <v>1345</v>
      </c>
      <c r="F367" s="2" t="s">
        <v>2061</v>
      </c>
      <c r="G367" s="2" t="s">
        <v>2062</v>
      </c>
      <c r="H367" s="2" t="s">
        <v>343</v>
      </c>
      <c r="I367" s="2" t="s">
        <v>777</v>
      </c>
      <c r="J367" s="2" t="s">
        <v>31</v>
      </c>
      <c r="K367" s="2" t="s">
        <v>31</v>
      </c>
      <c r="L367" s="2" t="s">
        <v>349</v>
      </c>
      <c r="M367" s="2" t="s">
        <v>49</v>
      </c>
      <c r="N367" s="2" t="s">
        <v>484</v>
      </c>
      <c r="O367" s="2" t="s">
        <v>159</v>
      </c>
      <c r="P367" s="2" t="s">
        <v>33</v>
      </c>
      <c r="Q367" s="2" t="s">
        <v>128</v>
      </c>
      <c r="R367" s="2" t="s">
        <v>428</v>
      </c>
      <c r="S367" s="2" t="s">
        <v>45</v>
      </c>
      <c r="T367" s="153">
        <v>1.64</v>
      </c>
      <c r="U367" s="2" t="s">
        <v>1981</v>
      </c>
      <c r="V367" s="165">
        <v>2.5000000000000001E-2</v>
      </c>
      <c r="W367" s="167">
        <v>2.281E-2</v>
      </c>
      <c r="X367" s="4" t="s">
        <v>434</v>
      </c>
      <c r="Y367" s="4" t="s">
        <v>159</v>
      </c>
      <c r="Z367" s="153">
        <v>47394.29</v>
      </c>
      <c r="AA367" s="153">
        <v>1</v>
      </c>
      <c r="AB367" s="153">
        <v>113.86</v>
      </c>
      <c r="AD367" s="153">
        <v>53.963000000000001</v>
      </c>
      <c r="AG367" s="2" t="s">
        <v>37</v>
      </c>
      <c r="AH367" s="153">
        <v>1.3300000000000001E-4</v>
      </c>
      <c r="AI367" s="167">
        <v>7.38772129447734E-3</v>
      </c>
      <c r="AJ367" s="167">
        <v>1.7164231324127901E-3</v>
      </c>
    </row>
    <row r="368" spans="1:36">
      <c r="A368" s="2" t="s">
        <v>26</v>
      </c>
      <c r="B368" s="2">
        <v>9937</v>
      </c>
      <c r="C368" s="2" t="s">
        <v>1812</v>
      </c>
      <c r="D368" s="2" t="s">
        <v>1813</v>
      </c>
      <c r="E368" s="4" t="s">
        <v>1345</v>
      </c>
      <c r="F368" s="2" t="s">
        <v>1814</v>
      </c>
      <c r="G368" s="2" t="s">
        <v>1815</v>
      </c>
      <c r="H368" s="2" t="s">
        <v>343</v>
      </c>
      <c r="I368" s="2" t="s">
        <v>777</v>
      </c>
      <c r="J368" s="2" t="s">
        <v>31</v>
      </c>
      <c r="K368" s="2" t="s">
        <v>31</v>
      </c>
      <c r="L368" s="2" t="s">
        <v>349</v>
      </c>
      <c r="M368" s="2" t="s">
        <v>49</v>
      </c>
      <c r="N368" s="2" t="s">
        <v>468</v>
      </c>
      <c r="O368" s="2" t="s">
        <v>159</v>
      </c>
      <c r="P368" s="2" t="s">
        <v>127</v>
      </c>
      <c r="Q368" s="2" t="s">
        <v>128</v>
      </c>
      <c r="R368" s="2" t="s">
        <v>428</v>
      </c>
      <c r="S368" s="2" t="s">
        <v>45</v>
      </c>
      <c r="T368" s="153">
        <v>4.2549999999999999</v>
      </c>
      <c r="U368" s="2" t="s">
        <v>1816</v>
      </c>
      <c r="V368" s="165">
        <v>2E-3</v>
      </c>
      <c r="W368" s="167">
        <v>1.9359999999999999E-2</v>
      </c>
      <c r="X368" s="4" t="s">
        <v>434</v>
      </c>
      <c r="Y368" s="4" t="s">
        <v>159</v>
      </c>
      <c r="Z368" s="153">
        <v>138684.22</v>
      </c>
      <c r="AA368" s="153">
        <v>1</v>
      </c>
      <c r="AB368" s="153">
        <v>101.27</v>
      </c>
      <c r="AD368" s="153">
        <v>140.446</v>
      </c>
      <c r="AG368" s="2" t="s">
        <v>37</v>
      </c>
      <c r="AH368" s="153">
        <v>3.1999999999999999E-5</v>
      </c>
      <c r="AI368" s="167">
        <v>1.9227426516972099E-2</v>
      </c>
      <c r="AJ368" s="167">
        <v>4.4671960859120098E-3</v>
      </c>
    </row>
    <row r="369" spans="1:36">
      <c r="A369" s="2" t="s">
        <v>26</v>
      </c>
      <c r="B369" s="2">
        <v>9937</v>
      </c>
      <c r="C369" s="2" t="s">
        <v>1812</v>
      </c>
      <c r="D369" s="2" t="s">
        <v>1813</v>
      </c>
      <c r="E369" s="4" t="s">
        <v>1345</v>
      </c>
      <c r="F369" s="2" t="s">
        <v>1817</v>
      </c>
      <c r="G369" s="2" t="s">
        <v>1818</v>
      </c>
      <c r="H369" s="2" t="s">
        <v>343</v>
      </c>
      <c r="I369" s="2" t="s">
        <v>777</v>
      </c>
      <c r="J369" s="2" t="s">
        <v>31</v>
      </c>
      <c r="K369" s="2" t="s">
        <v>31</v>
      </c>
      <c r="L369" s="2" t="s">
        <v>349</v>
      </c>
      <c r="M369" s="2" t="s">
        <v>49</v>
      </c>
      <c r="N369" s="2" t="s">
        <v>468</v>
      </c>
      <c r="O369" s="2" t="s">
        <v>159</v>
      </c>
      <c r="P369" s="2" t="s">
        <v>127</v>
      </c>
      <c r="Q369" s="2" t="s">
        <v>128</v>
      </c>
      <c r="R369" s="2" t="s">
        <v>428</v>
      </c>
      <c r="S369" s="2" t="s">
        <v>45</v>
      </c>
      <c r="T369" s="153">
        <v>5.62</v>
      </c>
      <c r="U369" s="2" t="s">
        <v>1819</v>
      </c>
      <c r="V369" s="165">
        <v>2.47E-2</v>
      </c>
      <c r="W369" s="167">
        <v>2.0109999999999999E-2</v>
      </c>
      <c r="X369" s="4" t="s">
        <v>434</v>
      </c>
      <c r="Y369" s="4" t="s">
        <v>159</v>
      </c>
      <c r="Z369" s="153">
        <v>180000</v>
      </c>
      <c r="AA369" s="153">
        <v>1</v>
      </c>
      <c r="AB369" s="153">
        <v>101.35</v>
      </c>
      <c r="AD369" s="153">
        <v>182.43</v>
      </c>
      <c r="AG369" s="2" t="s">
        <v>37</v>
      </c>
      <c r="AH369" s="153">
        <v>1.15E-4</v>
      </c>
      <c r="AI369" s="167">
        <v>2.4975233666289301E-2</v>
      </c>
      <c r="AJ369" s="167">
        <v>5.8026104523297801E-3</v>
      </c>
    </row>
    <row r="370" spans="1:36">
      <c r="A370" s="2" t="s">
        <v>26</v>
      </c>
      <c r="B370" s="2">
        <v>9937</v>
      </c>
      <c r="C370" s="2" t="s">
        <v>2186</v>
      </c>
      <c r="D370" s="2" t="s">
        <v>2187</v>
      </c>
      <c r="E370" s="4" t="s">
        <v>1345</v>
      </c>
      <c r="F370" s="2" t="s">
        <v>2410</v>
      </c>
      <c r="G370" s="2" t="s">
        <v>2411</v>
      </c>
      <c r="H370" s="2" t="s">
        <v>343</v>
      </c>
      <c r="I370" s="2" t="s">
        <v>777</v>
      </c>
      <c r="J370" s="2" t="s">
        <v>31</v>
      </c>
      <c r="K370" s="2" t="s">
        <v>31</v>
      </c>
      <c r="L370" s="2" t="s">
        <v>349</v>
      </c>
      <c r="M370" s="2" t="s">
        <v>49</v>
      </c>
      <c r="N370" s="2" t="s">
        <v>484</v>
      </c>
      <c r="O370" s="2" t="s">
        <v>159</v>
      </c>
      <c r="P370" s="2" t="s">
        <v>1994</v>
      </c>
      <c r="Q370" s="2" t="s">
        <v>435</v>
      </c>
      <c r="R370" s="2" t="s">
        <v>428</v>
      </c>
      <c r="S370" s="2" t="s">
        <v>45</v>
      </c>
      <c r="T370" s="153">
        <v>3.2709999999999999</v>
      </c>
      <c r="U370" s="2" t="s">
        <v>1967</v>
      </c>
      <c r="V370" s="165">
        <v>1.7999999999999999E-2</v>
      </c>
      <c r="W370" s="167">
        <v>2.4129999999999999E-2</v>
      </c>
      <c r="X370" s="4" t="s">
        <v>434</v>
      </c>
      <c r="Y370" s="4" t="s">
        <v>159</v>
      </c>
      <c r="Z370" s="153">
        <v>8017.88</v>
      </c>
      <c r="AA370" s="153">
        <v>1</v>
      </c>
      <c r="AB370" s="153">
        <v>110.59</v>
      </c>
      <c r="AD370" s="153">
        <v>8.8670000000000009</v>
      </c>
      <c r="AG370" s="2" t="s">
        <v>37</v>
      </c>
      <c r="AH370" s="153">
        <v>1.0000000000000001E-5</v>
      </c>
      <c r="AI370" s="167">
        <v>1.2139162137559201E-3</v>
      </c>
      <c r="AJ370" s="167">
        <v>2.8203471504253898E-4</v>
      </c>
    </row>
    <row r="371" spans="1:36">
      <c r="A371" s="2" t="s">
        <v>26</v>
      </c>
      <c r="B371" s="2">
        <v>9937</v>
      </c>
      <c r="C371" s="2" t="s">
        <v>2186</v>
      </c>
      <c r="D371" s="2" t="s">
        <v>2187</v>
      </c>
      <c r="E371" s="4" t="s">
        <v>1345</v>
      </c>
      <c r="F371" s="2" t="s">
        <v>2458</v>
      </c>
      <c r="G371" s="2" t="s">
        <v>2459</v>
      </c>
      <c r="H371" s="2" t="s">
        <v>343</v>
      </c>
      <c r="I371" s="2" t="s">
        <v>777</v>
      </c>
      <c r="J371" s="2" t="s">
        <v>31</v>
      </c>
      <c r="K371" s="2" t="s">
        <v>31</v>
      </c>
      <c r="L371" s="2" t="s">
        <v>349</v>
      </c>
      <c r="M371" s="2" t="s">
        <v>49</v>
      </c>
      <c r="N371" s="2" t="s">
        <v>484</v>
      </c>
      <c r="O371" s="2" t="s">
        <v>159</v>
      </c>
      <c r="P371" s="2" t="s">
        <v>1945</v>
      </c>
      <c r="Q371" s="2" t="s">
        <v>435</v>
      </c>
      <c r="R371" s="2" t="s">
        <v>428</v>
      </c>
      <c r="S371" s="2" t="s">
        <v>45</v>
      </c>
      <c r="T371" s="153">
        <v>1.696</v>
      </c>
      <c r="U371" s="2" t="s">
        <v>1959</v>
      </c>
      <c r="V371" s="165">
        <v>2.2499999999999999E-2</v>
      </c>
      <c r="W371" s="167">
        <v>3.1060000000000001E-2</v>
      </c>
      <c r="X371" s="4" t="s">
        <v>434</v>
      </c>
      <c r="Y371" s="4" t="s">
        <v>159</v>
      </c>
      <c r="Z371" s="153">
        <v>76085.61</v>
      </c>
      <c r="AA371" s="153">
        <v>1</v>
      </c>
      <c r="AB371" s="153">
        <v>110.87</v>
      </c>
      <c r="AD371" s="153">
        <v>84.355999999999995</v>
      </c>
      <c r="AG371" s="2" t="s">
        <v>37</v>
      </c>
      <c r="AH371" s="153">
        <v>1.5899999999999999E-4</v>
      </c>
      <c r="AI371" s="167">
        <v>1.1548614281973299E-2</v>
      </c>
      <c r="AJ371" s="167">
        <v>2.6831424617641802E-3</v>
      </c>
    </row>
    <row r="372" spans="1:36">
      <c r="A372" s="2" t="s">
        <v>26</v>
      </c>
      <c r="B372" s="2">
        <v>9937</v>
      </c>
      <c r="C372" s="2" t="s">
        <v>1820</v>
      </c>
      <c r="D372" s="2" t="s">
        <v>1821</v>
      </c>
      <c r="E372" s="4" t="s">
        <v>1345</v>
      </c>
      <c r="F372" s="2" t="s">
        <v>1822</v>
      </c>
      <c r="G372" s="2" t="s">
        <v>1823</v>
      </c>
      <c r="H372" s="2" t="s">
        <v>343</v>
      </c>
      <c r="I372" s="2" t="s">
        <v>990</v>
      </c>
      <c r="J372" s="2" t="s">
        <v>31</v>
      </c>
      <c r="K372" s="2" t="s">
        <v>31</v>
      </c>
      <c r="L372" s="2" t="s">
        <v>349</v>
      </c>
      <c r="M372" s="2" t="s">
        <v>49</v>
      </c>
      <c r="N372" s="2" t="s">
        <v>465</v>
      </c>
      <c r="O372" s="2" t="s">
        <v>159</v>
      </c>
      <c r="P372" s="2" t="s">
        <v>1789</v>
      </c>
      <c r="Q372" s="2" t="s">
        <v>128</v>
      </c>
      <c r="R372" s="2" t="s">
        <v>428</v>
      </c>
      <c r="S372" s="2" t="s">
        <v>45</v>
      </c>
      <c r="T372" s="153">
        <v>2.1739999999999999</v>
      </c>
      <c r="U372" s="2" t="s">
        <v>1824</v>
      </c>
      <c r="V372" s="165">
        <v>2.9100000000000001E-2</v>
      </c>
      <c r="W372" s="167">
        <v>4.6019999999999998E-2</v>
      </c>
      <c r="X372" s="4" t="s">
        <v>434</v>
      </c>
      <c r="Y372" s="4" t="s">
        <v>159</v>
      </c>
      <c r="Z372" s="153">
        <v>10000</v>
      </c>
      <c r="AA372" s="153">
        <v>1</v>
      </c>
      <c r="AB372" s="153">
        <v>97.28</v>
      </c>
      <c r="AD372" s="153">
        <v>9.7279999999999998</v>
      </c>
      <c r="AG372" s="2" t="s">
        <v>37</v>
      </c>
      <c r="AH372" s="153">
        <v>1.7E-5</v>
      </c>
      <c r="AI372" s="167">
        <v>1.33179341723215E-3</v>
      </c>
      <c r="AJ372" s="167">
        <v>3.0942166573625003E-4</v>
      </c>
    </row>
    <row r="373" spans="1:36">
      <c r="A373" s="2" t="s">
        <v>26</v>
      </c>
      <c r="B373" s="2">
        <v>9937</v>
      </c>
      <c r="C373" s="2" t="s">
        <v>1820</v>
      </c>
      <c r="D373" s="2" t="s">
        <v>1821</v>
      </c>
      <c r="E373" s="4" t="s">
        <v>1345</v>
      </c>
      <c r="F373" s="2" t="s">
        <v>1828</v>
      </c>
      <c r="G373" s="2" t="s">
        <v>1829</v>
      </c>
      <c r="H373" s="2" t="s">
        <v>343</v>
      </c>
      <c r="I373" s="2" t="s">
        <v>990</v>
      </c>
      <c r="J373" s="2" t="s">
        <v>31</v>
      </c>
      <c r="K373" s="2" t="s">
        <v>31</v>
      </c>
      <c r="L373" s="2" t="s">
        <v>349</v>
      </c>
      <c r="M373" s="2" t="s">
        <v>49</v>
      </c>
      <c r="N373" s="2" t="s">
        <v>465</v>
      </c>
      <c r="O373" s="2" t="s">
        <v>159</v>
      </c>
      <c r="P373" s="2" t="s">
        <v>1785</v>
      </c>
      <c r="Q373" s="2" t="s">
        <v>453</v>
      </c>
      <c r="R373" s="2" t="s">
        <v>428</v>
      </c>
      <c r="S373" s="2" t="s">
        <v>45</v>
      </c>
      <c r="T373" s="153">
        <v>5.0819999999999999</v>
      </c>
      <c r="U373" s="2" t="s">
        <v>1830</v>
      </c>
      <c r="V373" s="165">
        <v>4.3799999999999999E-2</v>
      </c>
      <c r="W373" s="167">
        <v>4.9430000000000002E-2</v>
      </c>
      <c r="X373" s="4" t="s">
        <v>434</v>
      </c>
      <c r="Y373" s="4" t="s">
        <v>159</v>
      </c>
      <c r="Z373" s="153">
        <v>67500</v>
      </c>
      <c r="AA373" s="153">
        <v>1</v>
      </c>
      <c r="AB373" s="153">
        <v>98.59</v>
      </c>
      <c r="AD373" s="153">
        <v>66.548000000000002</v>
      </c>
      <c r="AG373" s="2" t="s">
        <v>37</v>
      </c>
      <c r="AH373" s="153">
        <v>1.35E-4</v>
      </c>
      <c r="AI373" s="167">
        <v>9.1106621379851704E-3</v>
      </c>
      <c r="AJ373" s="167">
        <v>2.1167218715905001E-3</v>
      </c>
    </row>
    <row r="374" spans="1:36">
      <c r="A374" s="2" t="s">
        <v>26</v>
      </c>
      <c r="B374" s="2">
        <v>9937</v>
      </c>
      <c r="C374" s="2" t="s">
        <v>1831</v>
      </c>
      <c r="D374" s="2" t="s">
        <v>1832</v>
      </c>
      <c r="E374" s="4" t="s">
        <v>1345</v>
      </c>
      <c r="F374" s="2" t="s">
        <v>1833</v>
      </c>
      <c r="G374" s="2" t="s">
        <v>1834</v>
      </c>
      <c r="H374" s="2" t="s">
        <v>343</v>
      </c>
      <c r="I374" s="2" t="s">
        <v>990</v>
      </c>
      <c r="J374" s="2" t="s">
        <v>31</v>
      </c>
      <c r="K374" s="2" t="s">
        <v>31</v>
      </c>
      <c r="L374" s="2" t="s">
        <v>349</v>
      </c>
      <c r="M374" s="2" t="s">
        <v>49</v>
      </c>
      <c r="N374" s="2" t="s">
        <v>465</v>
      </c>
      <c r="O374" s="2" t="s">
        <v>159</v>
      </c>
      <c r="P374" s="2" t="s">
        <v>1799</v>
      </c>
      <c r="Q374" s="2" t="s">
        <v>128</v>
      </c>
      <c r="R374" s="2" t="s">
        <v>428</v>
      </c>
      <c r="S374" s="2" t="s">
        <v>45</v>
      </c>
      <c r="T374" s="153">
        <v>5.2210000000000001</v>
      </c>
      <c r="U374" s="2" t="s">
        <v>1835</v>
      </c>
      <c r="V374" s="165">
        <v>1.95E-2</v>
      </c>
      <c r="W374" s="167">
        <v>5.008E-2</v>
      </c>
      <c r="X374" s="4" t="s">
        <v>434</v>
      </c>
      <c r="Y374" s="4" t="s">
        <v>159</v>
      </c>
      <c r="Z374" s="153">
        <v>164371.26999999999</v>
      </c>
      <c r="AA374" s="153">
        <v>1</v>
      </c>
      <c r="AB374" s="153">
        <v>85.74</v>
      </c>
      <c r="AD374" s="153">
        <v>140.93199999999999</v>
      </c>
      <c r="AG374" s="2" t="s">
        <v>37</v>
      </c>
      <c r="AH374" s="153">
        <v>1.44E-4</v>
      </c>
      <c r="AI374" s="167">
        <v>1.9294018556805102E-2</v>
      </c>
      <c r="AJ374" s="167">
        <v>4.4826677195927804E-3</v>
      </c>
    </row>
    <row r="375" spans="1:36">
      <c r="A375" s="2" t="s">
        <v>26</v>
      </c>
      <c r="B375" s="2">
        <v>9937</v>
      </c>
      <c r="C375" s="2" t="s">
        <v>2460</v>
      </c>
      <c r="D375" s="2" t="s">
        <v>2461</v>
      </c>
      <c r="E375" s="4" t="s">
        <v>1345</v>
      </c>
      <c r="F375" s="2" t="s">
        <v>2462</v>
      </c>
      <c r="G375" s="2" t="s">
        <v>2463</v>
      </c>
      <c r="H375" s="2" t="s">
        <v>343</v>
      </c>
      <c r="I375" s="2" t="s">
        <v>990</v>
      </c>
      <c r="J375" s="2" t="s">
        <v>31</v>
      </c>
      <c r="K375" s="2" t="s">
        <v>31</v>
      </c>
      <c r="L375" s="2" t="s">
        <v>349</v>
      </c>
      <c r="M375" s="2" t="s">
        <v>49</v>
      </c>
      <c r="N375" s="2" t="s">
        <v>484</v>
      </c>
      <c r="O375" s="2" t="s">
        <v>159</v>
      </c>
      <c r="P375" s="2" t="s">
        <v>1779</v>
      </c>
      <c r="Q375" s="2" t="s">
        <v>435</v>
      </c>
      <c r="R375" s="2" t="s">
        <v>428</v>
      </c>
      <c r="S375" s="2" t="s">
        <v>45</v>
      </c>
      <c r="T375" s="153">
        <v>0.56000000000000005</v>
      </c>
      <c r="U375" s="2" t="s">
        <v>2464</v>
      </c>
      <c r="V375" s="165">
        <v>2.5499999999999998E-2</v>
      </c>
      <c r="W375" s="167">
        <v>4.9910000000000003E-2</v>
      </c>
      <c r="X375" s="4" t="s">
        <v>434</v>
      </c>
      <c r="Y375" s="4" t="s">
        <v>159</v>
      </c>
      <c r="Z375" s="153">
        <v>8400</v>
      </c>
      <c r="AA375" s="153">
        <v>1</v>
      </c>
      <c r="AB375" s="153">
        <v>99.5</v>
      </c>
      <c r="AD375" s="153">
        <v>8.3580000000000005</v>
      </c>
      <c r="AG375" s="2" t="s">
        <v>37</v>
      </c>
      <c r="AH375" s="153">
        <v>4.1999999999999998E-5</v>
      </c>
      <c r="AI375" s="167">
        <v>1.1442361617214601E-3</v>
      </c>
      <c r="AJ375" s="167">
        <v>2.6584562934041698E-4</v>
      </c>
    </row>
    <row r="376" spans="1:36">
      <c r="A376" s="2" t="s">
        <v>26</v>
      </c>
      <c r="B376" s="2">
        <v>9937</v>
      </c>
      <c r="C376" s="2" t="s">
        <v>2063</v>
      </c>
      <c r="D376" s="2" t="s">
        <v>2064</v>
      </c>
      <c r="E376" s="4" t="s">
        <v>1345</v>
      </c>
      <c r="F376" s="2" t="s">
        <v>2065</v>
      </c>
      <c r="G376" s="2" t="s">
        <v>2066</v>
      </c>
      <c r="H376" s="2" t="s">
        <v>343</v>
      </c>
      <c r="I376" s="2" t="s">
        <v>990</v>
      </c>
      <c r="J376" s="2" t="s">
        <v>31</v>
      </c>
      <c r="K376" s="2" t="s">
        <v>31</v>
      </c>
      <c r="L376" s="2" t="s">
        <v>349</v>
      </c>
      <c r="M376" s="2" t="s">
        <v>49</v>
      </c>
      <c r="N376" s="2" t="s">
        <v>471</v>
      </c>
      <c r="O376" s="2" t="s">
        <v>159</v>
      </c>
      <c r="P376" s="2" t="s">
        <v>1795</v>
      </c>
      <c r="Q376" s="2" t="s">
        <v>435</v>
      </c>
      <c r="R376" s="2" t="s">
        <v>428</v>
      </c>
      <c r="S376" s="2" t="s">
        <v>45</v>
      </c>
      <c r="T376" s="153">
        <v>2.6389999999999998</v>
      </c>
      <c r="U376" s="2" t="s">
        <v>1861</v>
      </c>
      <c r="V376" s="165">
        <v>2.1999999999999999E-2</v>
      </c>
      <c r="W376" s="167">
        <v>4.777E-2</v>
      </c>
      <c r="X376" s="4" t="s">
        <v>434</v>
      </c>
      <c r="Y376" s="4" t="s">
        <v>159</v>
      </c>
      <c r="Z376" s="153">
        <v>88888.89</v>
      </c>
      <c r="AA376" s="153">
        <v>1</v>
      </c>
      <c r="AB376" s="153">
        <v>94.15</v>
      </c>
      <c r="AD376" s="153">
        <v>83.688999999999993</v>
      </c>
      <c r="AG376" s="2" t="s">
        <v>37</v>
      </c>
      <c r="AH376" s="153">
        <v>6.7999999999999999E-5</v>
      </c>
      <c r="AI376" s="167">
        <v>1.1457268987551301E-2</v>
      </c>
      <c r="AJ376" s="167">
        <v>2.66191979104702E-3</v>
      </c>
    </row>
    <row r="377" spans="1:36">
      <c r="A377" s="2" t="s">
        <v>26</v>
      </c>
      <c r="B377" s="2">
        <v>9937</v>
      </c>
      <c r="C377" s="2" t="s">
        <v>1836</v>
      </c>
      <c r="D377" s="2" t="s">
        <v>1837</v>
      </c>
      <c r="E377" s="4" t="s">
        <v>1345</v>
      </c>
      <c r="F377" s="2" t="s">
        <v>2067</v>
      </c>
      <c r="G377" s="2" t="s">
        <v>2068</v>
      </c>
      <c r="H377" s="2" t="s">
        <v>343</v>
      </c>
      <c r="I377" s="2" t="s">
        <v>777</v>
      </c>
      <c r="J377" s="2" t="s">
        <v>31</v>
      </c>
      <c r="K377" s="2" t="s">
        <v>31</v>
      </c>
      <c r="L377" s="2" t="s">
        <v>349</v>
      </c>
      <c r="M377" s="2" t="s">
        <v>49</v>
      </c>
      <c r="N377" s="2" t="s">
        <v>460</v>
      </c>
      <c r="O377" s="2" t="s">
        <v>159</v>
      </c>
      <c r="P377" s="2" t="s">
        <v>1840</v>
      </c>
      <c r="Q377" s="2" t="s">
        <v>128</v>
      </c>
      <c r="R377" s="2" t="s">
        <v>428</v>
      </c>
      <c r="S377" s="2" t="s">
        <v>45</v>
      </c>
      <c r="T377" s="153">
        <v>1.383</v>
      </c>
      <c r="U377" s="2" t="s">
        <v>2069</v>
      </c>
      <c r="V377" s="165">
        <v>4.4999999999999998E-2</v>
      </c>
      <c r="W377" s="167">
        <v>1.524E-2</v>
      </c>
      <c r="X377" s="4" t="s">
        <v>434</v>
      </c>
      <c r="Y377" s="4" t="s">
        <v>159</v>
      </c>
      <c r="Z377" s="153">
        <v>40000</v>
      </c>
      <c r="AA377" s="153">
        <v>1</v>
      </c>
      <c r="AB377" s="153">
        <v>118.26</v>
      </c>
      <c r="AD377" s="153">
        <v>47.304000000000002</v>
      </c>
      <c r="AG377" s="2" t="s">
        <v>37</v>
      </c>
      <c r="AH377" s="153">
        <v>1.4E-5</v>
      </c>
      <c r="AI377" s="167">
        <v>6.4760645362612898E-3</v>
      </c>
      <c r="AJ377" s="167">
        <v>1.50461374136386E-3</v>
      </c>
    </row>
    <row r="378" spans="1:36">
      <c r="A378" s="2" t="s">
        <v>26</v>
      </c>
      <c r="B378" s="2">
        <v>9937</v>
      </c>
      <c r="C378" s="2" t="s">
        <v>1836</v>
      </c>
      <c r="D378" s="2" t="s">
        <v>1837</v>
      </c>
      <c r="E378" s="4" t="s">
        <v>1345</v>
      </c>
      <c r="F378" s="2" t="s">
        <v>1842</v>
      </c>
      <c r="G378" s="2" t="s">
        <v>1843</v>
      </c>
      <c r="H378" s="2" t="s">
        <v>343</v>
      </c>
      <c r="I378" s="2" t="s">
        <v>777</v>
      </c>
      <c r="J378" s="2" t="s">
        <v>31</v>
      </c>
      <c r="K378" s="2" t="s">
        <v>31</v>
      </c>
      <c r="L378" s="2" t="s">
        <v>349</v>
      </c>
      <c r="M378" s="2" t="s">
        <v>49</v>
      </c>
      <c r="N378" s="2" t="s">
        <v>460</v>
      </c>
      <c r="O378" s="2" t="s">
        <v>159</v>
      </c>
      <c r="P378" s="2" t="s">
        <v>1840</v>
      </c>
      <c r="Q378" s="2" t="s">
        <v>128</v>
      </c>
      <c r="R378" s="2" t="s">
        <v>428</v>
      </c>
      <c r="S378" s="2" t="s">
        <v>45</v>
      </c>
      <c r="T378" s="153">
        <v>6.24</v>
      </c>
      <c r="U378" s="2" t="s">
        <v>1844</v>
      </c>
      <c r="V378" s="165">
        <v>2.3900000000000001E-2</v>
      </c>
      <c r="W378" s="167">
        <v>2.4760000000000001E-2</v>
      </c>
      <c r="X378" s="4" t="s">
        <v>434</v>
      </c>
      <c r="Y378" s="4" t="s">
        <v>159</v>
      </c>
      <c r="Z378" s="153">
        <v>90000</v>
      </c>
      <c r="AA378" s="153">
        <v>1</v>
      </c>
      <c r="AB378" s="153">
        <v>110.76</v>
      </c>
      <c r="AD378" s="153">
        <v>99.683999999999997</v>
      </c>
      <c r="AG378" s="2" t="s">
        <v>37</v>
      </c>
      <c r="AH378" s="153">
        <v>2.3E-5</v>
      </c>
      <c r="AI378" s="167">
        <v>1.3647049239655601E-2</v>
      </c>
      <c r="AJ378" s="167">
        <v>3.17068146867315E-3</v>
      </c>
    </row>
    <row r="379" spans="1:36">
      <c r="A379" s="2" t="s">
        <v>26</v>
      </c>
      <c r="B379" s="2">
        <v>9937</v>
      </c>
      <c r="C379" s="2" t="s">
        <v>1836</v>
      </c>
      <c r="D379" s="2" t="s">
        <v>1837</v>
      </c>
      <c r="E379" s="4" t="s">
        <v>1345</v>
      </c>
      <c r="F379" s="2" t="s">
        <v>2070</v>
      </c>
      <c r="G379" s="2" t="s">
        <v>2071</v>
      </c>
      <c r="H379" s="2" t="s">
        <v>343</v>
      </c>
      <c r="I379" s="2" t="s">
        <v>777</v>
      </c>
      <c r="J379" s="2" t="s">
        <v>31</v>
      </c>
      <c r="K379" s="2" t="s">
        <v>31</v>
      </c>
      <c r="L379" s="2" t="s">
        <v>349</v>
      </c>
      <c r="M379" s="2" t="s">
        <v>49</v>
      </c>
      <c r="N379" s="2" t="s">
        <v>460</v>
      </c>
      <c r="O379" s="2" t="s">
        <v>159</v>
      </c>
      <c r="P379" s="2" t="s">
        <v>1840</v>
      </c>
      <c r="Q379" s="2" t="s">
        <v>128</v>
      </c>
      <c r="R379" s="2" t="s">
        <v>428</v>
      </c>
      <c r="S379" s="2" t="s">
        <v>45</v>
      </c>
      <c r="T379" s="153">
        <v>11.125</v>
      </c>
      <c r="U379" s="2" t="s">
        <v>2072</v>
      </c>
      <c r="V379" s="165">
        <v>1.2500000000000001E-2</v>
      </c>
      <c r="W379" s="167">
        <v>2.955E-2</v>
      </c>
      <c r="X379" s="4" t="s">
        <v>434</v>
      </c>
      <c r="Y379" s="4" t="s">
        <v>159</v>
      </c>
      <c r="Z379" s="153">
        <v>70000</v>
      </c>
      <c r="AA379" s="153">
        <v>1</v>
      </c>
      <c r="AB379" s="153">
        <v>92.01</v>
      </c>
      <c r="AD379" s="153">
        <v>64.406999999999996</v>
      </c>
      <c r="AG379" s="2" t="s">
        <v>37</v>
      </c>
      <c r="AH379" s="153">
        <v>1.5999999999999999E-5</v>
      </c>
      <c r="AI379" s="167">
        <v>8.8175183618083193E-3</v>
      </c>
      <c r="AJ379" s="167">
        <v>2.0486144351433699E-3</v>
      </c>
    </row>
    <row r="380" spans="1:36">
      <c r="A380" s="2" t="s">
        <v>26</v>
      </c>
      <c r="B380" s="2">
        <v>9937</v>
      </c>
      <c r="C380" s="2" t="s">
        <v>2465</v>
      </c>
      <c r="D380" s="2" t="s">
        <v>2466</v>
      </c>
      <c r="E380" s="4" t="s">
        <v>1345</v>
      </c>
      <c r="F380" s="2" t="s">
        <v>2467</v>
      </c>
      <c r="G380" s="2" t="s">
        <v>2468</v>
      </c>
      <c r="H380" s="2" t="s">
        <v>343</v>
      </c>
      <c r="I380" s="2" t="s">
        <v>990</v>
      </c>
      <c r="J380" s="2" t="s">
        <v>31</v>
      </c>
      <c r="K380" s="2" t="s">
        <v>31</v>
      </c>
      <c r="L380" s="2" t="s">
        <v>349</v>
      </c>
      <c r="M380" s="2" t="s">
        <v>49</v>
      </c>
      <c r="N380" s="2" t="s">
        <v>499</v>
      </c>
      <c r="O380" s="2" t="s">
        <v>159</v>
      </c>
      <c r="P380" s="2" t="s">
        <v>1799</v>
      </c>
      <c r="Q380" s="2" t="s">
        <v>128</v>
      </c>
      <c r="R380" s="2" t="s">
        <v>428</v>
      </c>
      <c r="S380" s="2" t="s">
        <v>45</v>
      </c>
      <c r="T380" s="153">
        <v>0.16400000000000001</v>
      </c>
      <c r="U380" s="2" t="s">
        <v>1827</v>
      </c>
      <c r="V380" s="165">
        <v>1.49E-2</v>
      </c>
      <c r="W380" s="167">
        <v>5.0880000000000002E-2</v>
      </c>
      <c r="X380" s="4" t="s">
        <v>434</v>
      </c>
      <c r="Y380" s="4" t="s">
        <v>159</v>
      </c>
      <c r="Z380" s="153">
        <v>18027.14</v>
      </c>
      <c r="AA380" s="153">
        <v>1</v>
      </c>
      <c r="AB380" s="153">
        <v>99.94</v>
      </c>
      <c r="AD380" s="153">
        <v>18.015999999999998</v>
      </c>
      <c r="AG380" s="2" t="s">
        <v>37</v>
      </c>
      <c r="AH380" s="153">
        <v>5.0000000000000002E-5</v>
      </c>
      <c r="AI380" s="167">
        <v>2.46649067924469E-3</v>
      </c>
      <c r="AJ380" s="167">
        <v>5.7305107880841204E-4</v>
      </c>
    </row>
    <row r="381" spans="1:36">
      <c r="A381" s="2" t="s">
        <v>26</v>
      </c>
      <c r="B381" s="2">
        <v>9937</v>
      </c>
      <c r="C381" s="2" t="s">
        <v>2199</v>
      </c>
      <c r="D381" s="2" t="s">
        <v>2200</v>
      </c>
      <c r="E381" s="4" t="s">
        <v>1345</v>
      </c>
      <c r="F381" s="2" t="s">
        <v>2201</v>
      </c>
      <c r="G381" s="2" t="s">
        <v>2202</v>
      </c>
      <c r="H381" s="2" t="s">
        <v>343</v>
      </c>
      <c r="I381" s="2" t="s">
        <v>778</v>
      </c>
      <c r="J381" s="2" t="s">
        <v>31</v>
      </c>
      <c r="K381" s="2" t="s">
        <v>31</v>
      </c>
      <c r="L381" s="2" t="s">
        <v>349</v>
      </c>
      <c r="M381" s="2" t="s">
        <v>49</v>
      </c>
      <c r="N381" s="2" t="s">
        <v>474</v>
      </c>
      <c r="O381" s="2" t="s">
        <v>159</v>
      </c>
      <c r="P381" s="2" t="s">
        <v>1779</v>
      </c>
      <c r="Q381" s="2" t="s">
        <v>435</v>
      </c>
      <c r="R381" s="2" t="s">
        <v>428</v>
      </c>
      <c r="S381" s="2" t="s">
        <v>45</v>
      </c>
      <c r="T381" s="153">
        <v>0.76</v>
      </c>
      <c r="U381" s="2" t="s">
        <v>2203</v>
      </c>
      <c r="V381" s="165">
        <v>3.49E-2</v>
      </c>
      <c r="W381" s="167">
        <v>6.6479999999999997E-2</v>
      </c>
      <c r="X381" s="4" t="s">
        <v>434</v>
      </c>
      <c r="Y381" s="4" t="s">
        <v>159</v>
      </c>
      <c r="Z381" s="153">
        <v>17080</v>
      </c>
      <c r="AA381" s="153">
        <v>1</v>
      </c>
      <c r="AB381" s="153">
        <v>101.56</v>
      </c>
      <c r="AD381" s="153">
        <v>17.346</v>
      </c>
      <c r="AG381" s="2" t="s">
        <v>37</v>
      </c>
      <c r="AH381" s="153">
        <v>2.0000000000000002E-5</v>
      </c>
      <c r="AI381" s="167">
        <v>2.3747826129481798E-3</v>
      </c>
      <c r="AJ381" s="167">
        <v>5.5174412363972504E-4</v>
      </c>
    </row>
    <row r="382" spans="1:36">
      <c r="A382" s="2" t="s">
        <v>26</v>
      </c>
      <c r="B382" s="2">
        <v>9937</v>
      </c>
      <c r="C382" s="2" t="s">
        <v>1845</v>
      </c>
      <c r="D382" s="2" t="s">
        <v>1846</v>
      </c>
      <c r="E382" s="4" t="s">
        <v>1345</v>
      </c>
      <c r="F382" s="2" t="s">
        <v>1847</v>
      </c>
      <c r="G382" s="2" t="s">
        <v>1848</v>
      </c>
      <c r="H382" s="2" t="s">
        <v>343</v>
      </c>
      <c r="I382" s="2" t="s">
        <v>990</v>
      </c>
      <c r="J382" s="2" t="s">
        <v>31</v>
      </c>
      <c r="K382" s="2" t="s">
        <v>31</v>
      </c>
      <c r="L382" s="2" t="s">
        <v>349</v>
      </c>
      <c r="M382" s="2" t="s">
        <v>49</v>
      </c>
      <c r="N382" s="2" t="s">
        <v>484</v>
      </c>
      <c r="O382" s="2" t="s">
        <v>159</v>
      </c>
      <c r="P382" s="2" t="s">
        <v>1789</v>
      </c>
      <c r="Q382" s="2" t="s">
        <v>128</v>
      </c>
      <c r="R382" s="2" t="s">
        <v>428</v>
      </c>
      <c r="S382" s="2" t="s">
        <v>45</v>
      </c>
      <c r="T382" s="153">
        <v>1.83</v>
      </c>
      <c r="U382" s="2" t="s">
        <v>1849</v>
      </c>
      <c r="V382" s="165">
        <v>5.0500000000000003E-2</v>
      </c>
      <c r="W382" s="167">
        <v>4.87E-2</v>
      </c>
      <c r="X382" s="4" t="s">
        <v>434</v>
      </c>
      <c r="Y382" s="4" t="s">
        <v>159</v>
      </c>
      <c r="Z382" s="153">
        <v>76154.399999999994</v>
      </c>
      <c r="AA382" s="153">
        <v>1</v>
      </c>
      <c r="AB382" s="153">
        <v>100.86</v>
      </c>
      <c r="AD382" s="153">
        <v>76.808999999999997</v>
      </c>
      <c r="AG382" s="2" t="s">
        <v>37</v>
      </c>
      <c r="AH382" s="153">
        <v>2.05E-4</v>
      </c>
      <c r="AI382" s="167">
        <v>1.0515435567366199E-2</v>
      </c>
      <c r="AJ382" s="167">
        <v>2.44309931787978E-3</v>
      </c>
    </row>
    <row r="383" spans="1:36">
      <c r="A383" s="2" t="s">
        <v>26</v>
      </c>
      <c r="B383" s="2">
        <v>9937</v>
      </c>
      <c r="C383" s="2" t="s">
        <v>1558</v>
      </c>
      <c r="D383" s="2" t="s">
        <v>1559</v>
      </c>
      <c r="E383" s="4" t="s">
        <v>1345</v>
      </c>
      <c r="F383" s="2" t="s">
        <v>2469</v>
      </c>
      <c r="G383" s="2" t="s">
        <v>2470</v>
      </c>
      <c r="H383" s="2" t="s">
        <v>343</v>
      </c>
      <c r="I383" s="2" t="s">
        <v>990</v>
      </c>
      <c r="J383" s="2" t="s">
        <v>31</v>
      </c>
      <c r="K383" s="2" t="s">
        <v>31</v>
      </c>
      <c r="L383" s="2" t="s">
        <v>349</v>
      </c>
      <c r="M383" s="2" t="s">
        <v>49</v>
      </c>
      <c r="N383" s="2" t="s">
        <v>465</v>
      </c>
      <c r="O383" s="2" t="s">
        <v>159</v>
      </c>
      <c r="P383" s="2" t="s">
        <v>1785</v>
      </c>
      <c r="Q383" s="2" t="s">
        <v>435</v>
      </c>
      <c r="R383" s="2" t="s">
        <v>428</v>
      </c>
      <c r="S383" s="2" t="s">
        <v>45</v>
      </c>
      <c r="T383" s="153">
        <v>3.6509999999999998</v>
      </c>
      <c r="U383" s="2" t="s">
        <v>2471</v>
      </c>
      <c r="V383" s="165">
        <v>4.7E-2</v>
      </c>
      <c r="W383" s="167">
        <v>4.7649999999999998E-2</v>
      </c>
      <c r="X383" s="4" t="s">
        <v>434</v>
      </c>
      <c r="Y383" s="4" t="s">
        <v>159</v>
      </c>
      <c r="Z383" s="153">
        <v>70000</v>
      </c>
      <c r="AA383" s="153">
        <v>1</v>
      </c>
      <c r="AB383" s="153">
        <v>100.19</v>
      </c>
      <c r="AD383" s="153">
        <v>70.132999999999996</v>
      </c>
      <c r="AG383" s="2" t="s">
        <v>37</v>
      </c>
      <c r="AH383" s="153">
        <v>1.3999999999999999E-4</v>
      </c>
      <c r="AI383" s="167">
        <v>9.6014255479792993E-3</v>
      </c>
      <c r="AJ383" s="167">
        <v>2.2307431828824499E-3</v>
      </c>
    </row>
    <row r="384" spans="1:36">
      <c r="A384" s="2" t="s">
        <v>26</v>
      </c>
      <c r="B384" s="2">
        <v>9937</v>
      </c>
      <c r="C384" s="2" t="s">
        <v>1558</v>
      </c>
      <c r="D384" s="2" t="s">
        <v>1559</v>
      </c>
      <c r="E384" s="4" t="s">
        <v>1345</v>
      </c>
      <c r="F384" s="2" t="s">
        <v>2210</v>
      </c>
      <c r="G384" s="2" t="s">
        <v>2211</v>
      </c>
      <c r="H384" s="2" t="s">
        <v>343</v>
      </c>
      <c r="I384" s="2" t="s">
        <v>990</v>
      </c>
      <c r="J384" s="2" t="s">
        <v>31</v>
      </c>
      <c r="K384" s="2" t="s">
        <v>31</v>
      </c>
      <c r="L384" s="2" t="s">
        <v>349</v>
      </c>
      <c r="M384" s="2" t="s">
        <v>49</v>
      </c>
      <c r="N384" s="2" t="s">
        <v>465</v>
      </c>
      <c r="O384" s="2" t="s">
        <v>159</v>
      </c>
      <c r="P384" s="2" t="s">
        <v>1785</v>
      </c>
      <c r="Q384" s="2" t="s">
        <v>435</v>
      </c>
      <c r="R384" s="2" t="s">
        <v>428</v>
      </c>
      <c r="S384" s="2" t="s">
        <v>45</v>
      </c>
      <c r="T384" s="153">
        <v>5.5650000000000004</v>
      </c>
      <c r="U384" s="2" t="s">
        <v>2212</v>
      </c>
      <c r="V384" s="165">
        <v>5.2499999999999998E-2</v>
      </c>
      <c r="W384" s="167">
        <v>5.144E-2</v>
      </c>
      <c r="X384" s="4" t="s">
        <v>434</v>
      </c>
      <c r="Y384" s="4" t="s">
        <v>159</v>
      </c>
      <c r="Z384" s="153">
        <v>175000</v>
      </c>
      <c r="AA384" s="153">
        <v>1</v>
      </c>
      <c r="AB384" s="153">
        <v>102.59</v>
      </c>
      <c r="AD384" s="153">
        <v>179.53200000000001</v>
      </c>
      <c r="AG384" s="2" t="s">
        <v>37</v>
      </c>
      <c r="AH384" s="153">
        <v>0</v>
      </c>
      <c r="AI384" s="167">
        <v>2.4578556916039399E-2</v>
      </c>
      <c r="AJ384" s="167">
        <v>5.7104487257188903E-3</v>
      </c>
    </row>
    <row r="385" spans="1:36">
      <c r="A385" s="2" t="s">
        <v>26</v>
      </c>
      <c r="B385" s="2">
        <v>9937</v>
      </c>
      <c r="C385" s="2" t="s">
        <v>1202</v>
      </c>
      <c r="D385" s="2" t="s">
        <v>1562</v>
      </c>
      <c r="E385" s="4" t="s">
        <v>1345</v>
      </c>
      <c r="F385" s="2" t="s">
        <v>1854</v>
      </c>
      <c r="G385" s="2" t="s">
        <v>1855</v>
      </c>
      <c r="H385" s="2" t="s">
        <v>343</v>
      </c>
      <c r="I385" s="2" t="s">
        <v>777</v>
      </c>
      <c r="J385" s="2" t="s">
        <v>31</v>
      </c>
      <c r="K385" s="2" t="s">
        <v>31</v>
      </c>
      <c r="L385" s="2" t="s">
        <v>349</v>
      </c>
      <c r="M385" s="2" t="s">
        <v>49</v>
      </c>
      <c r="N385" s="2" t="s">
        <v>468</v>
      </c>
      <c r="O385" s="2" t="s">
        <v>159</v>
      </c>
      <c r="P385" s="2" t="s">
        <v>127</v>
      </c>
      <c r="Q385" s="2" t="s">
        <v>128</v>
      </c>
      <c r="R385" s="2" t="s">
        <v>428</v>
      </c>
      <c r="S385" s="2" t="s">
        <v>45</v>
      </c>
      <c r="T385" s="153">
        <v>1.23</v>
      </c>
      <c r="U385" s="2" t="s">
        <v>1824</v>
      </c>
      <c r="V385" s="165">
        <v>8.3000000000000001E-3</v>
      </c>
      <c r="W385" s="167">
        <v>1.3979999999999999E-2</v>
      </c>
      <c r="X385" s="4" t="s">
        <v>434</v>
      </c>
      <c r="Y385" s="4" t="s">
        <v>159</v>
      </c>
      <c r="Z385" s="153">
        <v>130000</v>
      </c>
      <c r="AA385" s="153">
        <v>1</v>
      </c>
      <c r="AB385" s="153">
        <v>111.66</v>
      </c>
      <c r="AD385" s="153">
        <v>145.15799999999999</v>
      </c>
      <c r="AG385" s="2" t="s">
        <v>37</v>
      </c>
      <c r="AH385" s="153">
        <v>4.3000000000000002E-5</v>
      </c>
      <c r="AI385" s="167">
        <v>1.9872581091548599E-2</v>
      </c>
      <c r="AJ385" s="167">
        <v>4.6170878037564396E-3</v>
      </c>
    </row>
    <row r="386" spans="1:36">
      <c r="A386" s="2" t="s">
        <v>26</v>
      </c>
      <c r="B386" s="2">
        <v>9937</v>
      </c>
      <c r="C386" s="2" t="s">
        <v>1202</v>
      </c>
      <c r="D386" s="2" t="s">
        <v>1562</v>
      </c>
      <c r="E386" s="4" t="s">
        <v>1345</v>
      </c>
      <c r="F386" s="2" t="s">
        <v>2073</v>
      </c>
      <c r="G386" s="2" t="s">
        <v>2074</v>
      </c>
      <c r="H386" s="2" t="s">
        <v>343</v>
      </c>
      <c r="I386" s="2" t="s">
        <v>990</v>
      </c>
      <c r="J386" s="2" t="s">
        <v>31</v>
      </c>
      <c r="K386" s="2" t="s">
        <v>31</v>
      </c>
      <c r="L386" s="2" t="s">
        <v>349</v>
      </c>
      <c r="M386" s="2" t="s">
        <v>49</v>
      </c>
      <c r="N386" s="2" t="s">
        <v>468</v>
      </c>
      <c r="O386" s="2" t="s">
        <v>159</v>
      </c>
      <c r="P386" s="2" t="s">
        <v>1201</v>
      </c>
      <c r="Q386" s="2" t="s">
        <v>435</v>
      </c>
      <c r="R386" s="2" t="s">
        <v>428</v>
      </c>
      <c r="S386" s="2" t="s">
        <v>45</v>
      </c>
      <c r="T386" s="153">
        <v>0.91200000000000003</v>
      </c>
      <c r="U386" s="2" t="s">
        <v>2075</v>
      </c>
      <c r="V386" s="165">
        <v>2.0199999999999999E-2</v>
      </c>
      <c r="W386" s="167">
        <v>4.2029999999999998E-2</v>
      </c>
      <c r="X386" s="4" t="s">
        <v>434</v>
      </c>
      <c r="Y386" s="4" t="s">
        <v>159</v>
      </c>
      <c r="Z386" s="153">
        <v>72199.5</v>
      </c>
      <c r="AA386" s="153">
        <v>1</v>
      </c>
      <c r="AB386" s="153">
        <v>98.27</v>
      </c>
      <c r="AD386" s="153">
        <v>70.95</v>
      </c>
      <c r="AG386" s="2" t="s">
        <v>37</v>
      </c>
      <c r="AH386" s="153">
        <v>8.5000000000000006E-5</v>
      </c>
      <c r="AI386" s="167">
        <v>9.7133368073332605E-3</v>
      </c>
      <c r="AJ386" s="167">
        <v>2.2567440384475002E-3</v>
      </c>
    </row>
    <row r="387" spans="1:36">
      <c r="A387" s="2" t="s">
        <v>26</v>
      </c>
      <c r="B387" s="2">
        <v>9937</v>
      </c>
      <c r="C387" s="2" t="s">
        <v>1202</v>
      </c>
      <c r="D387" s="2" t="s">
        <v>1562</v>
      </c>
      <c r="E387" s="4" t="s">
        <v>1345</v>
      </c>
      <c r="F387" s="2" t="s">
        <v>2418</v>
      </c>
      <c r="G387" s="2" t="s">
        <v>2419</v>
      </c>
      <c r="H387" s="2" t="s">
        <v>343</v>
      </c>
      <c r="I387" s="2" t="s">
        <v>777</v>
      </c>
      <c r="J387" s="2" t="s">
        <v>31</v>
      </c>
      <c r="K387" s="2" t="s">
        <v>31</v>
      </c>
      <c r="L387" s="2" t="s">
        <v>349</v>
      </c>
      <c r="M387" s="2" t="s">
        <v>49</v>
      </c>
      <c r="N387" s="2" t="s">
        <v>468</v>
      </c>
      <c r="O387" s="2" t="s">
        <v>159</v>
      </c>
      <c r="P387" s="2" t="s">
        <v>1201</v>
      </c>
      <c r="Q387" s="2" t="s">
        <v>435</v>
      </c>
      <c r="R387" s="2" t="s">
        <v>428</v>
      </c>
      <c r="S387" s="2" t="s">
        <v>45</v>
      </c>
      <c r="T387" s="153">
        <v>3.6459999999999999</v>
      </c>
      <c r="U387" s="2" t="s">
        <v>2420</v>
      </c>
      <c r="V387" s="165">
        <v>1E-3</v>
      </c>
      <c r="W387" s="167">
        <v>1.8010000000000002E-2</v>
      </c>
      <c r="X387" s="4" t="s">
        <v>434</v>
      </c>
      <c r="Y387" s="4" t="s">
        <v>159</v>
      </c>
      <c r="Z387" s="153">
        <v>60000</v>
      </c>
      <c r="AA387" s="153">
        <v>1</v>
      </c>
      <c r="AB387" s="153">
        <v>102.55</v>
      </c>
      <c r="AD387" s="153">
        <v>61.53</v>
      </c>
      <c r="AG387" s="2" t="s">
        <v>37</v>
      </c>
      <c r="AH387" s="153">
        <v>1.9000000000000001E-5</v>
      </c>
      <c r="AI387" s="167">
        <v>8.4236481252358605E-3</v>
      </c>
      <c r="AJ387" s="167">
        <v>1.9571047587121199E-3</v>
      </c>
    </row>
    <row r="388" spans="1:36">
      <c r="A388" s="2" t="s">
        <v>26</v>
      </c>
      <c r="B388" s="2">
        <v>9937</v>
      </c>
      <c r="C388" s="2" t="s">
        <v>1202</v>
      </c>
      <c r="D388" s="2" t="s">
        <v>1562</v>
      </c>
      <c r="E388" s="4" t="s">
        <v>1345</v>
      </c>
      <c r="F388" s="2" t="s">
        <v>2222</v>
      </c>
      <c r="G388" s="2" t="s">
        <v>2223</v>
      </c>
      <c r="H388" s="2" t="s">
        <v>343</v>
      </c>
      <c r="I388" s="2" t="s">
        <v>990</v>
      </c>
      <c r="J388" s="2" t="s">
        <v>31</v>
      </c>
      <c r="K388" s="2" t="s">
        <v>31</v>
      </c>
      <c r="L388" s="2" t="s">
        <v>349</v>
      </c>
      <c r="M388" s="2" t="s">
        <v>49</v>
      </c>
      <c r="N388" s="2" t="s">
        <v>468</v>
      </c>
      <c r="O388" s="2" t="s">
        <v>159</v>
      </c>
      <c r="P388" s="2" t="s">
        <v>127</v>
      </c>
      <c r="Q388" s="2" t="s">
        <v>128</v>
      </c>
      <c r="R388" s="2" t="s">
        <v>428</v>
      </c>
      <c r="S388" s="2" t="s">
        <v>45</v>
      </c>
      <c r="T388" s="153">
        <v>3.5720000000000001</v>
      </c>
      <c r="U388" s="2" t="s">
        <v>2224</v>
      </c>
      <c r="V388" s="165">
        <v>2.76E-2</v>
      </c>
      <c r="W388" s="167">
        <v>4.4479999999999999E-2</v>
      </c>
      <c r="X388" s="4" t="s">
        <v>434</v>
      </c>
      <c r="Y388" s="4" t="s">
        <v>159</v>
      </c>
      <c r="Z388" s="153">
        <v>50000</v>
      </c>
      <c r="AA388" s="153">
        <v>1</v>
      </c>
      <c r="AB388" s="153">
        <v>95.44</v>
      </c>
      <c r="AD388" s="153">
        <v>47.72</v>
      </c>
      <c r="AG388" s="2" t="s">
        <v>37</v>
      </c>
      <c r="AH388" s="153">
        <v>3.6999999999999998E-5</v>
      </c>
      <c r="AI388" s="167">
        <v>6.5330162284455602E-3</v>
      </c>
      <c r="AJ388" s="167">
        <v>1.5178455889117901E-3</v>
      </c>
    </row>
    <row r="389" spans="1:36">
      <c r="A389" s="2" t="s">
        <v>26</v>
      </c>
      <c r="B389" s="2">
        <v>9937</v>
      </c>
      <c r="C389" s="2" t="s">
        <v>1202</v>
      </c>
      <c r="D389" s="2" t="s">
        <v>1562</v>
      </c>
      <c r="E389" s="4" t="s">
        <v>1345</v>
      </c>
      <c r="F389" s="2" t="s">
        <v>1856</v>
      </c>
      <c r="G389" s="2" t="s">
        <v>1857</v>
      </c>
      <c r="H389" s="2" t="s">
        <v>343</v>
      </c>
      <c r="I389" s="2" t="s">
        <v>777</v>
      </c>
      <c r="J389" s="2" t="s">
        <v>31</v>
      </c>
      <c r="K389" s="2" t="s">
        <v>31</v>
      </c>
      <c r="L389" s="2" t="s">
        <v>349</v>
      </c>
      <c r="M389" s="2" t="s">
        <v>49</v>
      </c>
      <c r="N389" s="2" t="s">
        <v>468</v>
      </c>
      <c r="O389" s="2" t="s">
        <v>159</v>
      </c>
      <c r="P389" s="2" t="s">
        <v>1201</v>
      </c>
      <c r="Q389" s="2" t="s">
        <v>435</v>
      </c>
      <c r="R389" s="2" t="s">
        <v>428</v>
      </c>
      <c r="S389" s="2" t="s">
        <v>45</v>
      </c>
      <c r="T389" s="153">
        <v>5.54</v>
      </c>
      <c r="U389" s="2" t="s">
        <v>1858</v>
      </c>
      <c r="V389" s="165">
        <v>2.0199999999999999E-2</v>
      </c>
      <c r="W389" s="167">
        <v>2.0369999999999999E-2</v>
      </c>
      <c r="X389" s="4" t="s">
        <v>434</v>
      </c>
      <c r="Y389" s="4" t="s">
        <v>159</v>
      </c>
      <c r="Z389" s="153">
        <v>260000</v>
      </c>
      <c r="AA389" s="153">
        <v>1</v>
      </c>
      <c r="AB389" s="153">
        <v>100.75</v>
      </c>
      <c r="AD389" s="153">
        <v>261.95</v>
      </c>
      <c r="AG389" s="2" t="s">
        <v>37</v>
      </c>
      <c r="AH389" s="153">
        <v>1.22E-4</v>
      </c>
      <c r="AI389" s="167">
        <v>3.5861768672282399E-2</v>
      </c>
      <c r="AJ389" s="167">
        <v>8.33192900283828E-3</v>
      </c>
    </row>
    <row r="390" spans="1:36">
      <c r="A390" s="2" t="s">
        <v>26</v>
      </c>
      <c r="B390" s="2">
        <v>9937</v>
      </c>
      <c r="C390" s="2" t="s">
        <v>1695</v>
      </c>
      <c r="D390" s="2" t="s">
        <v>1696</v>
      </c>
      <c r="E390" s="4" t="s">
        <v>1345</v>
      </c>
      <c r="F390" s="2" t="s">
        <v>2076</v>
      </c>
      <c r="G390" s="2" t="s">
        <v>2077</v>
      </c>
      <c r="H390" s="2" t="s">
        <v>343</v>
      </c>
      <c r="I390" s="2" t="s">
        <v>777</v>
      </c>
      <c r="J390" s="2" t="s">
        <v>31</v>
      </c>
      <c r="K390" s="2" t="s">
        <v>31</v>
      </c>
      <c r="L390" s="2" t="s">
        <v>349</v>
      </c>
      <c r="M390" s="2" t="s">
        <v>49</v>
      </c>
      <c r="N390" s="2" t="s">
        <v>484</v>
      </c>
      <c r="O390" s="2" t="s">
        <v>159</v>
      </c>
      <c r="P390" s="2" t="s">
        <v>1779</v>
      </c>
      <c r="Q390" s="2" t="s">
        <v>128</v>
      </c>
      <c r="R390" s="2" t="s">
        <v>428</v>
      </c>
      <c r="S390" s="2" t="s">
        <v>45</v>
      </c>
      <c r="T390" s="153">
        <v>2.242</v>
      </c>
      <c r="U390" s="2" t="s">
        <v>1995</v>
      </c>
      <c r="V390" s="165">
        <v>2.4E-2</v>
      </c>
      <c r="W390" s="167">
        <v>2.069E-2</v>
      </c>
      <c r="X390" s="4" t="s">
        <v>434</v>
      </c>
      <c r="Y390" s="4" t="s">
        <v>159</v>
      </c>
      <c r="Z390" s="153">
        <v>37148.58</v>
      </c>
      <c r="AA390" s="153">
        <v>1</v>
      </c>
      <c r="AB390" s="153">
        <v>112.83</v>
      </c>
      <c r="AD390" s="153">
        <v>41.914999999999999</v>
      </c>
      <c r="AG390" s="2" t="s">
        <v>37</v>
      </c>
      <c r="AH390" s="153">
        <v>6.0000000000000002E-5</v>
      </c>
      <c r="AI390" s="167">
        <v>5.7382584873215403E-3</v>
      </c>
      <c r="AJ390" s="167">
        <v>1.33319588203273E-3</v>
      </c>
    </row>
    <row r="391" spans="1:36">
      <c r="A391" s="2" t="s">
        <v>26</v>
      </c>
      <c r="B391" s="2">
        <v>9937</v>
      </c>
      <c r="C391" s="2" t="s">
        <v>1695</v>
      </c>
      <c r="D391" s="2" t="s">
        <v>1696</v>
      </c>
      <c r="E391" s="4" t="s">
        <v>1345</v>
      </c>
      <c r="F391" s="2" t="s">
        <v>1859</v>
      </c>
      <c r="G391" s="2" t="s">
        <v>1860</v>
      </c>
      <c r="H391" s="2" t="s">
        <v>343</v>
      </c>
      <c r="I391" s="2" t="s">
        <v>990</v>
      </c>
      <c r="J391" s="2" t="s">
        <v>31</v>
      </c>
      <c r="K391" s="2" t="s">
        <v>31</v>
      </c>
      <c r="L391" s="2" t="s">
        <v>349</v>
      </c>
      <c r="M391" s="2" t="s">
        <v>49</v>
      </c>
      <c r="N391" s="2" t="s">
        <v>484</v>
      </c>
      <c r="O391" s="2" t="s">
        <v>159</v>
      </c>
      <c r="P391" s="2" t="s">
        <v>1779</v>
      </c>
      <c r="Q391" s="2" t="s">
        <v>435</v>
      </c>
      <c r="R391" s="2" t="s">
        <v>428</v>
      </c>
      <c r="S391" s="2" t="s">
        <v>45</v>
      </c>
      <c r="T391" s="153">
        <v>2.0840000000000001</v>
      </c>
      <c r="U391" s="2" t="s">
        <v>1861</v>
      </c>
      <c r="V391" s="165">
        <v>5.6500000000000002E-2</v>
      </c>
      <c r="W391" s="167">
        <v>4.6330000000000003E-2</v>
      </c>
      <c r="X391" s="4" t="s">
        <v>434</v>
      </c>
      <c r="Y391" s="4" t="s">
        <v>159</v>
      </c>
      <c r="Z391" s="153">
        <v>92260.83</v>
      </c>
      <c r="AA391" s="153">
        <v>1</v>
      </c>
      <c r="AB391" s="153">
        <v>103.65</v>
      </c>
      <c r="AD391" s="153">
        <v>95.628</v>
      </c>
      <c r="AG391" s="2" t="s">
        <v>37</v>
      </c>
      <c r="AH391" s="153">
        <v>3.9399999999999998E-4</v>
      </c>
      <c r="AI391" s="167">
        <v>1.30918181973326E-2</v>
      </c>
      <c r="AJ391" s="167">
        <v>3.0416820970280201E-3</v>
      </c>
    </row>
    <row r="392" spans="1:36">
      <c r="A392" s="2" t="s">
        <v>26</v>
      </c>
      <c r="B392" s="2">
        <v>9937</v>
      </c>
      <c r="C392" s="2" t="s">
        <v>1695</v>
      </c>
      <c r="D392" s="2" t="s">
        <v>1696</v>
      </c>
      <c r="E392" s="4" t="s">
        <v>1345</v>
      </c>
      <c r="F392" s="2" t="s">
        <v>1862</v>
      </c>
      <c r="G392" s="2" t="s">
        <v>1863</v>
      </c>
      <c r="H392" s="2" t="s">
        <v>343</v>
      </c>
      <c r="I392" s="2" t="s">
        <v>777</v>
      </c>
      <c r="J392" s="2" t="s">
        <v>31</v>
      </c>
      <c r="K392" s="2" t="s">
        <v>31</v>
      </c>
      <c r="L392" s="2" t="s">
        <v>349</v>
      </c>
      <c r="M392" s="2" t="s">
        <v>49</v>
      </c>
      <c r="N392" s="2" t="s">
        <v>484</v>
      </c>
      <c r="O392" s="2" t="s">
        <v>159</v>
      </c>
      <c r="P392" s="2" t="s">
        <v>1799</v>
      </c>
      <c r="Q392" s="2" t="s">
        <v>128</v>
      </c>
      <c r="R392" s="2" t="s">
        <v>428</v>
      </c>
      <c r="S392" s="2" t="s">
        <v>45</v>
      </c>
      <c r="T392" s="153">
        <v>2.1539999999999999</v>
      </c>
      <c r="U392" s="2" t="s">
        <v>1861</v>
      </c>
      <c r="V392" s="165">
        <v>3.6999999999999998E-2</v>
      </c>
      <c r="W392" s="167">
        <v>2.189E-2</v>
      </c>
      <c r="X392" s="4" t="s">
        <v>434</v>
      </c>
      <c r="Y392" s="4" t="s">
        <v>159</v>
      </c>
      <c r="Z392" s="153">
        <v>68938.33</v>
      </c>
      <c r="AA392" s="153">
        <v>1</v>
      </c>
      <c r="AB392" s="153">
        <v>116.15</v>
      </c>
      <c r="AD392" s="153">
        <v>80.072000000000003</v>
      </c>
      <c r="AG392" s="2" t="s">
        <v>37</v>
      </c>
      <c r="AH392" s="153">
        <v>1.83E-4</v>
      </c>
      <c r="AI392" s="167">
        <v>1.09620877636048E-2</v>
      </c>
      <c r="AJ392" s="167">
        <v>2.5468720688009701E-3</v>
      </c>
    </row>
    <row r="393" spans="1:36">
      <c r="A393" s="2" t="s">
        <v>26</v>
      </c>
      <c r="B393" s="2">
        <v>9937</v>
      </c>
      <c r="C393" s="2" t="s">
        <v>1864</v>
      </c>
      <c r="D393" s="2" t="s">
        <v>1865</v>
      </c>
      <c r="E393" s="4" t="s">
        <v>1345</v>
      </c>
      <c r="F393" s="2" t="s">
        <v>1866</v>
      </c>
      <c r="G393" s="2" t="s">
        <v>1867</v>
      </c>
      <c r="H393" s="2" t="s">
        <v>343</v>
      </c>
      <c r="I393" s="2" t="s">
        <v>777</v>
      </c>
      <c r="J393" s="2" t="s">
        <v>31</v>
      </c>
      <c r="K393" s="2" t="s">
        <v>31</v>
      </c>
      <c r="L393" s="2" t="s">
        <v>349</v>
      </c>
      <c r="M393" s="2" t="s">
        <v>49</v>
      </c>
      <c r="N393" s="2" t="s">
        <v>484</v>
      </c>
      <c r="O393" s="2" t="s">
        <v>159</v>
      </c>
      <c r="P393" s="2" t="s">
        <v>1795</v>
      </c>
      <c r="Q393" s="2" t="s">
        <v>435</v>
      </c>
      <c r="R393" s="2" t="s">
        <v>428</v>
      </c>
      <c r="S393" s="2" t="s">
        <v>45</v>
      </c>
      <c r="T393" s="153">
        <v>2.077</v>
      </c>
      <c r="U393" s="2" t="s">
        <v>1868</v>
      </c>
      <c r="V393" s="165">
        <v>2.0500000000000001E-2</v>
      </c>
      <c r="W393" s="167">
        <v>2.3279999999999999E-2</v>
      </c>
      <c r="X393" s="4" t="s">
        <v>434</v>
      </c>
      <c r="Y393" s="4" t="s">
        <v>159</v>
      </c>
      <c r="Z393" s="153">
        <v>32000</v>
      </c>
      <c r="AA393" s="153">
        <v>1</v>
      </c>
      <c r="AB393" s="153">
        <v>112.41</v>
      </c>
      <c r="AD393" s="153">
        <v>35.970999999999997</v>
      </c>
      <c r="AG393" s="2" t="s">
        <v>37</v>
      </c>
      <c r="AH393" s="153">
        <v>4.1999999999999998E-5</v>
      </c>
      <c r="AI393" s="167">
        <v>4.9245690141798198E-3</v>
      </c>
      <c r="AJ393" s="167">
        <v>1.1441476791253899E-3</v>
      </c>
    </row>
    <row r="394" spans="1:36">
      <c r="A394" s="2" t="s">
        <v>26</v>
      </c>
      <c r="B394" s="2">
        <v>9937</v>
      </c>
      <c r="C394" s="2" t="s">
        <v>1869</v>
      </c>
      <c r="D394" s="2" t="s">
        <v>1870</v>
      </c>
      <c r="E394" s="4" t="s">
        <v>1345</v>
      </c>
      <c r="F394" s="2" t="s">
        <v>1871</v>
      </c>
      <c r="G394" s="2" t="s">
        <v>1872</v>
      </c>
      <c r="H394" s="2" t="s">
        <v>343</v>
      </c>
      <c r="I394" s="2" t="s">
        <v>777</v>
      </c>
      <c r="J394" s="2" t="s">
        <v>31</v>
      </c>
      <c r="K394" s="2" t="s">
        <v>31</v>
      </c>
      <c r="L394" s="2" t="s">
        <v>349</v>
      </c>
      <c r="M394" s="2" t="s">
        <v>49</v>
      </c>
      <c r="N394" s="2" t="s">
        <v>468</v>
      </c>
      <c r="O394" s="2" t="s">
        <v>159</v>
      </c>
      <c r="P394" s="2" t="s">
        <v>127</v>
      </c>
      <c r="Q394" s="2" t="s">
        <v>128</v>
      </c>
      <c r="R394" s="2" t="s">
        <v>428</v>
      </c>
      <c r="S394" s="2" t="s">
        <v>45</v>
      </c>
      <c r="T394" s="153">
        <v>3.4209999999999998</v>
      </c>
      <c r="U394" s="2" t="s">
        <v>1873</v>
      </c>
      <c r="V394" s="165">
        <v>1.2200000000000001E-2</v>
      </c>
      <c r="W394" s="167">
        <v>1.7999999999999999E-2</v>
      </c>
      <c r="X394" s="4" t="s">
        <v>434</v>
      </c>
      <c r="Y394" s="4" t="s">
        <v>159</v>
      </c>
      <c r="Z394" s="153">
        <v>135000</v>
      </c>
      <c r="AA394" s="153">
        <v>1</v>
      </c>
      <c r="AB394" s="153">
        <v>111.35</v>
      </c>
      <c r="AD394" s="153">
        <v>150.322</v>
      </c>
      <c r="AG394" s="2" t="s">
        <v>37</v>
      </c>
      <c r="AH394" s="153">
        <v>4.5000000000000003E-5</v>
      </c>
      <c r="AI394" s="167">
        <v>2.0579617183581499E-2</v>
      </c>
      <c r="AJ394" s="167">
        <v>4.7813567380383896E-3</v>
      </c>
    </row>
    <row r="395" spans="1:36">
      <c r="A395" s="2" t="s">
        <v>26</v>
      </c>
      <c r="B395" s="2">
        <v>9937</v>
      </c>
      <c r="C395" s="2" t="s">
        <v>1869</v>
      </c>
      <c r="D395" s="2" t="s">
        <v>1870</v>
      </c>
      <c r="E395" s="4" t="s">
        <v>1345</v>
      </c>
      <c r="F395" s="2" t="s">
        <v>2078</v>
      </c>
      <c r="G395" s="2" t="s">
        <v>2079</v>
      </c>
      <c r="H395" s="2" t="s">
        <v>343</v>
      </c>
      <c r="I395" s="2" t="s">
        <v>777</v>
      </c>
      <c r="J395" s="2" t="s">
        <v>31</v>
      </c>
      <c r="K395" s="2" t="s">
        <v>31</v>
      </c>
      <c r="L395" s="2" t="s">
        <v>349</v>
      </c>
      <c r="M395" s="2" t="s">
        <v>49</v>
      </c>
      <c r="N395" s="2" t="s">
        <v>468</v>
      </c>
      <c r="O395" s="2" t="s">
        <v>159</v>
      </c>
      <c r="P395" s="2" t="s">
        <v>127</v>
      </c>
      <c r="Q395" s="2" t="s">
        <v>128</v>
      </c>
      <c r="R395" s="2" t="s">
        <v>428</v>
      </c>
      <c r="S395" s="2" t="s">
        <v>45</v>
      </c>
      <c r="T395" s="153">
        <v>4.5510000000000002</v>
      </c>
      <c r="U395" s="2" t="s">
        <v>2080</v>
      </c>
      <c r="V395" s="165">
        <v>1E-3</v>
      </c>
      <c r="W395" s="167">
        <v>1.9689999999999999E-2</v>
      </c>
      <c r="X395" s="4" t="s">
        <v>434</v>
      </c>
      <c r="Y395" s="4" t="s">
        <v>159</v>
      </c>
      <c r="Z395" s="153">
        <v>41000</v>
      </c>
      <c r="AA395" s="153">
        <v>1</v>
      </c>
      <c r="AB395" s="153">
        <v>100.35</v>
      </c>
      <c r="AD395" s="153">
        <v>41.143999999999998</v>
      </c>
      <c r="AG395" s="2" t="s">
        <v>37</v>
      </c>
      <c r="AH395" s="153">
        <v>1.2E-5</v>
      </c>
      <c r="AI395" s="167">
        <v>5.6326729504411104E-3</v>
      </c>
      <c r="AJ395" s="167">
        <v>1.3086647105488699E-3</v>
      </c>
    </row>
    <row r="396" spans="1:36">
      <c r="A396" s="2" t="s">
        <v>26</v>
      </c>
      <c r="B396" s="2">
        <v>9937</v>
      </c>
      <c r="C396" s="2" t="s">
        <v>1869</v>
      </c>
      <c r="D396" s="2" t="s">
        <v>1870</v>
      </c>
      <c r="E396" s="4" t="s">
        <v>1345</v>
      </c>
      <c r="F396" s="2" t="s">
        <v>2472</v>
      </c>
      <c r="G396" s="2" t="s">
        <v>2473</v>
      </c>
      <c r="H396" s="2" t="s">
        <v>343</v>
      </c>
      <c r="I396" s="2" t="s">
        <v>990</v>
      </c>
      <c r="J396" s="2" t="s">
        <v>31</v>
      </c>
      <c r="K396" s="2" t="s">
        <v>31</v>
      </c>
      <c r="L396" s="2" t="s">
        <v>349</v>
      </c>
      <c r="M396" s="2" t="s">
        <v>49</v>
      </c>
      <c r="N396" s="2" t="s">
        <v>468</v>
      </c>
      <c r="O396" s="2" t="s">
        <v>159</v>
      </c>
      <c r="P396" s="2" t="s">
        <v>127</v>
      </c>
      <c r="Q396" s="2" t="s">
        <v>128</v>
      </c>
      <c r="R396" s="2" t="s">
        <v>428</v>
      </c>
      <c r="S396" s="2" t="s">
        <v>45</v>
      </c>
      <c r="T396" s="153">
        <v>3.1749999999999998</v>
      </c>
      <c r="U396" s="2" t="s">
        <v>2474</v>
      </c>
      <c r="V396" s="165">
        <v>2.7400000000000001E-2</v>
      </c>
      <c r="W396" s="167">
        <v>4.4790000000000003E-2</v>
      </c>
      <c r="X396" s="4" t="s">
        <v>434</v>
      </c>
      <c r="Y396" s="4" t="s">
        <v>159</v>
      </c>
      <c r="Z396" s="153">
        <v>130000</v>
      </c>
      <c r="AA396" s="153">
        <v>1</v>
      </c>
      <c r="AB396" s="153">
        <v>97.26</v>
      </c>
      <c r="AD396" s="153">
        <v>126.438</v>
      </c>
      <c r="AG396" s="2" t="s">
        <v>37</v>
      </c>
      <c r="AH396" s="153">
        <v>7.6000000000000004E-5</v>
      </c>
      <c r="AI396" s="167">
        <v>1.7309754943256501E-2</v>
      </c>
      <c r="AJ396" s="167">
        <v>4.0216546640995101E-3</v>
      </c>
    </row>
    <row r="397" spans="1:36">
      <c r="A397" s="2" t="s">
        <v>26</v>
      </c>
      <c r="B397" s="2">
        <v>9937</v>
      </c>
      <c r="C397" s="2" t="s">
        <v>1869</v>
      </c>
      <c r="D397" s="2" t="s">
        <v>1870</v>
      </c>
      <c r="E397" s="4" t="s">
        <v>1345</v>
      </c>
      <c r="F397" s="2" t="s">
        <v>1874</v>
      </c>
      <c r="G397" s="2" t="s">
        <v>1875</v>
      </c>
      <c r="H397" s="2" t="s">
        <v>343</v>
      </c>
      <c r="I397" s="2" t="s">
        <v>777</v>
      </c>
      <c r="J397" s="2" t="s">
        <v>31</v>
      </c>
      <c r="K397" s="2" t="s">
        <v>31</v>
      </c>
      <c r="L397" s="2" t="s">
        <v>349</v>
      </c>
      <c r="M397" s="2" t="s">
        <v>49</v>
      </c>
      <c r="N397" s="2" t="s">
        <v>468</v>
      </c>
      <c r="O397" s="2" t="s">
        <v>159</v>
      </c>
      <c r="P397" s="2" t="s">
        <v>127</v>
      </c>
      <c r="Q397" s="2" t="s">
        <v>128</v>
      </c>
      <c r="R397" s="2" t="s">
        <v>428</v>
      </c>
      <c r="S397" s="2" t="s">
        <v>45</v>
      </c>
      <c r="T397" s="153">
        <v>4.3949999999999996</v>
      </c>
      <c r="U397" s="2" t="s">
        <v>1876</v>
      </c>
      <c r="V397" s="165">
        <v>2.06E-2</v>
      </c>
      <c r="W397" s="167">
        <v>1.9730000000000001E-2</v>
      </c>
      <c r="X397" s="4" t="s">
        <v>434</v>
      </c>
      <c r="Y397" s="4" t="s">
        <v>159</v>
      </c>
      <c r="Z397" s="153">
        <v>60000</v>
      </c>
      <c r="AA397" s="153">
        <v>1</v>
      </c>
      <c r="AB397" s="153">
        <v>103.41</v>
      </c>
      <c r="AD397" s="153">
        <v>62.045999999999999</v>
      </c>
      <c r="AG397" s="2" t="s">
        <v>37</v>
      </c>
      <c r="AH397" s="153">
        <v>3.0000000000000001E-5</v>
      </c>
      <c r="AI397" s="167">
        <v>8.4942901280413499E-3</v>
      </c>
      <c r="AJ397" s="167">
        <v>1.9735173388436898E-3</v>
      </c>
    </row>
    <row r="398" spans="1:36">
      <c r="A398" s="2" t="s">
        <v>26</v>
      </c>
      <c r="B398" s="2">
        <v>9937</v>
      </c>
      <c r="C398" s="2" t="s">
        <v>1869</v>
      </c>
      <c r="D398" s="2" t="s">
        <v>1870</v>
      </c>
      <c r="E398" s="4" t="s">
        <v>1345</v>
      </c>
      <c r="F398" s="2" t="s">
        <v>1877</v>
      </c>
      <c r="G398" s="2" t="s">
        <v>1878</v>
      </c>
      <c r="H398" s="2" t="s">
        <v>343</v>
      </c>
      <c r="I398" s="2" t="s">
        <v>777</v>
      </c>
      <c r="J398" s="2" t="s">
        <v>31</v>
      </c>
      <c r="K398" s="2" t="s">
        <v>31</v>
      </c>
      <c r="L398" s="2" t="s">
        <v>349</v>
      </c>
      <c r="M398" s="2" t="s">
        <v>49</v>
      </c>
      <c r="N398" s="2" t="s">
        <v>468</v>
      </c>
      <c r="O398" s="2" t="s">
        <v>159</v>
      </c>
      <c r="P398" s="2" t="s">
        <v>1201</v>
      </c>
      <c r="Q398" s="2" t="s">
        <v>435</v>
      </c>
      <c r="R398" s="2" t="s">
        <v>428</v>
      </c>
      <c r="S398" s="2" t="s">
        <v>45</v>
      </c>
      <c r="T398" s="153">
        <v>4.93</v>
      </c>
      <c r="U398" s="2" t="s">
        <v>1879</v>
      </c>
      <c r="V398" s="165">
        <v>1.9900000000000001E-2</v>
      </c>
      <c r="W398" s="167">
        <v>1.9460000000000002E-2</v>
      </c>
      <c r="X398" s="4" t="s">
        <v>434</v>
      </c>
      <c r="Y398" s="4" t="s">
        <v>159</v>
      </c>
      <c r="Z398" s="153">
        <v>260000</v>
      </c>
      <c r="AA398" s="153">
        <v>1</v>
      </c>
      <c r="AB398" s="153">
        <v>100.72</v>
      </c>
      <c r="AD398" s="153">
        <v>261.87200000000001</v>
      </c>
      <c r="AG398" s="2" t="s">
        <v>37</v>
      </c>
      <c r="AH398" s="153">
        <v>9.6000000000000002E-5</v>
      </c>
      <c r="AI398" s="167">
        <v>3.5851090229997801E-2</v>
      </c>
      <c r="AJ398" s="167">
        <v>8.3294480314230392E-3</v>
      </c>
    </row>
    <row r="399" spans="1:36">
      <c r="A399" s="2" t="s">
        <v>26</v>
      </c>
      <c r="B399" s="2">
        <v>9937</v>
      </c>
      <c r="C399" s="2" t="s">
        <v>1869</v>
      </c>
      <c r="D399" s="2" t="s">
        <v>1870</v>
      </c>
      <c r="E399" s="4" t="s">
        <v>1345</v>
      </c>
      <c r="F399" s="2" t="s">
        <v>2232</v>
      </c>
      <c r="G399" s="2" t="s">
        <v>2233</v>
      </c>
      <c r="H399" s="2" t="s">
        <v>343</v>
      </c>
      <c r="I399" s="2" t="s">
        <v>777</v>
      </c>
      <c r="J399" s="2" t="s">
        <v>31</v>
      </c>
      <c r="K399" s="2" t="s">
        <v>31</v>
      </c>
      <c r="L399" s="2" t="s">
        <v>349</v>
      </c>
      <c r="M399" s="2" t="s">
        <v>49</v>
      </c>
      <c r="N399" s="2" t="s">
        <v>468</v>
      </c>
      <c r="O399" s="2" t="s">
        <v>159</v>
      </c>
      <c r="P399" s="2" t="s">
        <v>127</v>
      </c>
      <c r="Q399" s="2" t="s">
        <v>128</v>
      </c>
      <c r="R399" s="2" t="s">
        <v>428</v>
      </c>
      <c r="S399" s="2" t="s">
        <v>45</v>
      </c>
      <c r="T399" s="153">
        <v>2.6619999999999999</v>
      </c>
      <c r="U399" s="2" t="s">
        <v>2234</v>
      </c>
      <c r="V399" s="165">
        <v>5.0000000000000001E-3</v>
      </c>
      <c r="W399" s="167">
        <v>1.7579999999999998E-2</v>
      </c>
      <c r="X399" s="4" t="s">
        <v>434</v>
      </c>
      <c r="Y399" s="4" t="s">
        <v>159</v>
      </c>
      <c r="Z399" s="153">
        <v>134000</v>
      </c>
      <c r="AA399" s="153">
        <v>1</v>
      </c>
      <c r="AB399" s="153">
        <v>107.2</v>
      </c>
      <c r="AD399" s="153">
        <v>143.648</v>
      </c>
      <c r="AG399" s="2" t="s">
        <v>37</v>
      </c>
      <c r="AH399" s="153">
        <v>1.76E-4</v>
      </c>
      <c r="AI399" s="167">
        <v>1.9665857401168201E-2</v>
      </c>
      <c r="AJ399" s="167">
        <v>4.5690587417435103E-3</v>
      </c>
    </row>
    <row r="400" spans="1:36">
      <c r="A400" s="2" t="s">
        <v>26</v>
      </c>
      <c r="B400" s="2">
        <v>9937</v>
      </c>
      <c r="C400" s="2" t="s">
        <v>1869</v>
      </c>
      <c r="D400" s="2" t="s">
        <v>1870</v>
      </c>
      <c r="E400" s="4" t="s">
        <v>1345</v>
      </c>
      <c r="F400" s="2" t="s">
        <v>2475</v>
      </c>
      <c r="G400" s="2" t="s">
        <v>2476</v>
      </c>
      <c r="H400" s="2" t="s">
        <v>343</v>
      </c>
      <c r="I400" s="2" t="s">
        <v>777</v>
      </c>
      <c r="J400" s="2" t="s">
        <v>31</v>
      </c>
      <c r="K400" s="2" t="s">
        <v>31</v>
      </c>
      <c r="L400" s="2" t="s">
        <v>349</v>
      </c>
      <c r="M400" s="2" t="s">
        <v>49</v>
      </c>
      <c r="N400" s="2" t="s">
        <v>468</v>
      </c>
      <c r="O400" s="2" t="s">
        <v>159</v>
      </c>
      <c r="P400" s="2" t="s">
        <v>127</v>
      </c>
      <c r="Q400" s="2" t="s">
        <v>128</v>
      </c>
      <c r="R400" s="2" t="s">
        <v>428</v>
      </c>
      <c r="S400" s="2" t="s">
        <v>45</v>
      </c>
      <c r="T400" s="153">
        <v>0.91800000000000004</v>
      </c>
      <c r="U400" s="2" t="s">
        <v>2477</v>
      </c>
      <c r="V400" s="165">
        <v>9.4999999999999998E-3</v>
      </c>
      <c r="W400" s="167">
        <v>1.9959999999999999E-2</v>
      </c>
      <c r="X400" s="4" t="s">
        <v>434</v>
      </c>
      <c r="Y400" s="4" t="s">
        <v>159</v>
      </c>
      <c r="Z400" s="153">
        <v>20281.66</v>
      </c>
      <c r="AA400" s="153">
        <v>1</v>
      </c>
      <c r="AB400" s="153">
        <v>111.65</v>
      </c>
      <c r="AD400" s="153">
        <v>22.643999999999998</v>
      </c>
      <c r="AG400" s="2" t="s">
        <v>37</v>
      </c>
      <c r="AH400" s="153">
        <v>6.3E-5</v>
      </c>
      <c r="AI400" s="167">
        <v>3.1000987456302098E-3</v>
      </c>
      <c r="AJ400" s="167">
        <v>7.2026014350884003E-4</v>
      </c>
    </row>
    <row r="401" spans="1:36">
      <c r="A401" s="2" t="s">
        <v>26</v>
      </c>
      <c r="B401" s="2">
        <v>9937</v>
      </c>
      <c r="C401" s="2" t="s">
        <v>1869</v>
      </c>
      <c r="D401" s="2" t="s">
        <v>1870</v>
      </c>
      <c r="E401" s="4" t="s">
        <v>1345</v>
      </c>
      <c r="F401" s="2" t="s">
        <v>1988</v>
      </c>
      <c r="G401" s="2" t="s">
        <v>1989</v>
      </c>
      <c r="H401" s="2" t="s">
        <v>343</v>
      </c>
      <c r="I401" s="2" t="s">
        <v>990</v>
      </c>
      <c r="J401" s="2" t="s">
        <v>31</v>
      </c>
      <c r="K401" s="2" t="s">
        <v>31</v>
      </c>
      <c r="L401" s="2" t="s">
        <v>349</v>
      </c>
      <c r="M401" s="2" t="s">
        <v>49</v>
      </c>
      <c r="N401" s="2" t="s">
        <v>468</v>
      </c>
      <c r="O401" s="2" t="s">
        <v>159</v>
      </c>
      <c r="P401" s="2" t="s">
        <v>127</v>
      </c>
      <c r="Q401" s="2" t="s">
        <v>128</v>
      </c>
      <c r="R401" s="2" t="s">
        <v>428</v>
      </c>
      <c r="S401" s="2" t="s">
        <v>45</v>
      </c>
      <c r="T401" s="153">
        <v>1.157</v>
      </c>
      <c r="U401" s="2" t="s">
        <v>1371</v>
      </c>
      <c r="V401" s="165">
        <v>2.98E-2</v>
      </c>
      <c r="W401" s="167">
        <v>4.4519999999999997E-2</v>
      </c>
      <c r="X401" s="4" t="s">
        <v>434</v>
      </c>
      <c r="Y401" s="4" t="s">
        <v>159</v>
      </c>
      <c r="Z401" s="153">
        <v>178270</v>
      </c>
      <c r="AA401" s="153">
        <v>1</v>
      </c>
      <c r="AB401" s="153">
        <v>100.79</v>
      </c>
      <c r="AD401" s="153">
        <v>179.678</v>
      </c>
      <c r="AG401" s="2" t="s">
        <v>37</v>
      </c>
      <c r="AH401" s="153">
        <v>1.35E-4</v>
      </c>
      <c r="AI401" s="167">
        <v>2.4598521906727702E-2</v>
      </c>
      <c r="AJ401" s="167">
        <v>5.7150872834675799E-3</v>
      </c>
    </row>
    <row r="402" spans="1:36">
      <c r="A402" s="2" t="s">
        <v>26</v>
      </c>
      <c r="B402" s="2">
        <v>9937</v>
      </c>
      <c r="C402" s="2" t="s">
        <v>1869</v>
      </c>
      <c r="D402" s="2" t="s">
        <v>1870</v>
      </c>
      <c r="E402" s="4" t="s">
        <v>1345</v>
      </c>
      <c r="F402" s="2" t="s">
        <v>2084</v>
      </c>
      <c r="G402" s="2" t="s">
        <v>2085</v>
      </c>
      <c r="H402" s="2" t="s">
        <v>343</v>
      </c>
      <c r="I402" s="2" t="s">
        <v>777</v>
      </c>
      <c r="J402" s="2" t="s">
        <v>31</v>
      </c>
      <c r="K402" s="2" t="s">
        <v>31</v>
      </c>
      <c r="L402" s="2" t="s">
        <v>349</v>
      </c>
      <c r="M402" s="2" t="s">
        <v>49</v>
      </c>
      <c r="N402" s="2" t="s">
        <v>468</v>
      </c>
      <c r="O402" s="2" t="s">
        <v>159</v>
      </c>
      <c r="P402" s="2" t="s">
        <v>127</v>
      </c>
      <c r="Q402" s="2" t="s">
        <v>128</v>
      </c>
      <c r="R402" s="2" t="s">
        <v>428</v>
      </c>
      <c r="S402" s="2" t="s">
        <v>45</v>
      </c>
      <c r="T402" s="153">
        <v>2.2160000000000002</v>
      </c>
      <c r="U402" s="2" t="s">
        <v>2086</v>
      </c>
      <c r="V402" s="165">
        <v>3.8E-3</v>
      </c>
      <c r="W402" s="167">
        <v>1.7170000000000001E-2</v>
      </c>
      <c r="X402" s="4" t="s">
        <v>434</v>
      </c>
      <c r="Y402" s="4" t="s">
        <v>159</v>
      </c>
      <c r="Z402" s="153">
        <v>235000</v>
      </c>
      <c r="AA402" s="153">
        <v>1</v>
      </c>
      <c r="AB402" s="153">
        <v>107.22</v>
      </c>
      <c r="AD402" s="153">
        <v>251.96700000000001</v>
      </c>
      <c r="AG402" s="2" t="s">
        <v>37</v>
      </c>
      <c r="AH402" s="153">
        <v>7.7999999999999999E-5</v>
      </c>
      <c r="AI402" s="167">
        <v>3.4495064962966102E-2</v>
      </c>
      <c r="AJ402" s="167">
        <v>8.0143964690137497E-3</v>
      </c>
    </row>
    <row r="403" spans="1:36">
      <c r="A403" s="2" t="s">
        <v>26</v>
      </c>
      <c r="B403" s="2">
        <v>9937</v>
      </c>
      <c r="C403" s="2" t="s">
        <v>2478</v>
      </c>
      <c r="D403" s="2" t="s">
        <v>2479</v>
      </c>
      <c r="E403" s="4" t="s">
        <v>1345</v>
      </c>
      <c r="F403" s="2" t="s">
        <v>2480</v>
      </c>
      <c r="G403" s="2" t="s">
        <v>2481</v>
      </c>
      <c r="H403" s="2" t="s">
        <v>343</v>
      </c>
      <c r="I403" s="2" t="s">
        <v>777</v>
      </c>
      <c r="J403" s="2" t="s">
        <v>31</v>
      </c>
      <c r="K403" s="2" t="s">
        <v>31</v>
      </c>
      <c r="L403" s="2" t="s">
        <v>349</v>
      </c>
      <c r="M403" s="2" t="s">
        <v>49</v>
      </c>
      <c r="N403" s="2" t="s">
        <v>499</v>
      </c>
      <c r="O403" s="2" t="s">
        <v>159</v>
      </c>
      <c r="P403" s="2" t="s">
        <v>33</v>
      </c>
      <c r="Q403" s="2" t="s">
        <v>128</v>
      </c>
      <c r="R403" s="2" t="s">
        <v>428</v>
      </c>
      <c r="S403" s="2" t="s">
        <v>45</v>
      </c>
      <c r="T403" s="153">
        <v>1.165</v>
      </c>
      <c r="U403" s="2" t="s">
        <v>2482</v>
      </c>
      <c r="V403" s="165">
        <v>3.95E-2</v>
      </c>
      <c r="W403" s="167">
        <v>1.9990000000000001E-2</v>
      </c>
      <c r="X403" s="4" t="s">
        <v>434</v>
      </c>
      <c r="Y403" s="4" t="s">
        <v>159</v>
      </c>
      <c r="Z403" s="153">
        <v>13702.65</v>
      </c>
      <c r="AA403" s="153">
        <v>1</v>
      </c>
      <c r="AB403" s="153">
        <v>122.48</v>
      </c>
      <c r="AD403" s="153">
        <v>16.783000000000001</v>
      </c>
      <c r="AG403" s="2" t="s">
        <v>37</v>
      </c>
      <c r="AH403" s="153">
        <v>5.5999999999999999E-5</v>
      </c>
      <c r="AI403" s="167">
        <v>2.2976456146449001E-3</v>
      </c>
      <c r="AJ403" s="167">
        <v>5.3382253144977599E-4</v>
      </c>
    </row>
    <row r="404" spans="1:36">
      <c r="A404" s="2" t="s">
        <v>26</v>
      </c>
      <c r="B404" s="2">
        <v>9937</v>
      </c>
      <c r="C404" s="2" t="s">
        <v>1880</v>
      </c>
      <c r="D404" s="2" t="s">
        <v>1881</v>
      </c>
      <c r="E404" s="4" t="s">
        <v>1345</v>
      </c>
      <c r="F404" s="2" t="s">
        <v>1882</v>
      </c>
      <c r="G404" s="2" t="s">
        <v>1883</v>
      </c>
      <c r="H404" s="2" t="s">
        <v>343</v>
      </c>
      <c r="I404" s="2" t="s">
        <v>777</v>
      </c>
      <c r="J404" s="2" t="s">
        <v>31</v>
      </c>
      <c r="K404" s="2" t="s">
        <v>31</v>
      </c>
      <c r="L404" s="2" t="s">
        <v>349</v>
      </c>
      <c r="M404" s="2" t="s">
        <v>49</v>
      </c>
      <c r="N404" s="2" t="s">
        <v>463</v>
      </c>
      <c r="O404" s="2" t="s">
        <v>159</v>
      </c>
      <c r="P404" s="2" t="s">
        <v>33</v>
      </c>
      <c r="Q404" s="2" t="s">
        <v>128</v>
      </c>
      <c r="R404" s="2" t="s">
        <v>428</v>
      </c>
      <c r="S404" s="2" t="s">
        <v>45</v>
      </c>
      <c r="T404" s="153">
        <v>2.129</v>
      </c>
      <c r="U404" s="2" t="s">
        <v>111</v>
      </c>
      <c r="V404" s="165">
        <v>3.5400000000000001E-2</v>
      </c>
      <c r="W404" s="167">
        <v>3.2099999999999997E-2</v>
      </c>
      <c r="X404" s="4" t="s">
        <v>434</v>
      </c>
      <c r="Y404" s="4" t="s">
        <v>159</v>
      </c>
      <c r="Z404" s="153">
        <v>46000</v>
      </c>
      <c r="AA404" s="153">
        <v>1</v>
      </c>
      <c r="AB404" s="153">
        <v>104.17</v>
      </c>
      <c r="AD404" s="153">
        <v>47.917999999999999</v>
      </c>
      <c r="AG404" s="2" t="s">
        <v>37</v>
      </c>
      <c r="AH404" s="153">
        <v>6.7000000000000002E-5</v>
      </c>
      <c r="AI404" s="167">
        <v>6.56015042409682E-3</v>
      </c>
      <c r="AJ404" s="167">
        <v>1.52414980089256E-3</v>
      </c>
    </row>
    <row r="405" spans="1:36">
      <c r="A405" s="2" t="s">
        <v>26</v>
      </c>
      <c r="B405" s="2">
        <v>9937</v>
      </c>
      <c r="C405" s="2" t="s">
        <v>1577</v>
      </c>
      <c r="D405" s="2" t="s">
        <v>1578</v>
      </c>
      <c r="E405" s="4" t="s">
        <v>1345</v>
      </c>
      <c r="F405" s="2" t="s">
        <v>1884</v>
      </c>
      <c r="G405" s="2" t="s">
        <v>1885</v>
      </c>
      <c r="H405" s="2" t="s">
        <v>343</v>
      </c>
      <c r="I405" s="2" t="s">
        <v>777</v>
      </c>
      <c r="J405" s="2" t="s">
        <v>31</v>
      </c>
      <c r="K405" s="2" t="s">
        <v>31</v>
      </c>
      <c r="L405" s="2" t="s">
        <v>349</v>
      </c>
      <c r="M405" s="2" t="s">
        <v>49</v>
      </c>
      <c r="N405" s="2" t="s">
        <v>484</v>
      </c>
      <c r="O405" s="2" t="s">
        <v>159</v>
      </c>
      <c r="P405" s="2" t="s">
        <v>1779</v>
      </c>
      <c r="Q405" s="2" t="s">
        <v>435</v>
      </c>
      <c r="R405" s="2" t="s">
        <v>428</v>
      </c>
      <c r="S405" s="2" t="s">
        <v>45</v>
      </c>
      <c r="T405" s="153">
        <v>3.9940000000000002</v>
      </c>
      <c r="U405" s="2" t="s">
        <v>1800</v>
      </c>
      <c r="V405" s="165">
        <v>6.4999999999999997E-3</v>
      </c>
      <c r="W405" s="167">
        <v>2.2290000000000001E-2</v>
      </c>
      <c r="X405" s="4" t="s">
        <v>434</v>
      </c>
      <c r="Y405" s="4" t="s">
        <v>159</v>
      </c>
      <c r="Z405" s="153">
        <v>79361.7</v>
      </c>
      <c r="AA405" s="153">
        <v>1</v>
      </c>
      <c r="AB405" s="153">
        <v>104.53</v>
      </c>
      <c r="AD405" s="153">
        <v>82.956999999999994</v>
      </c>
      <c r="AG405" s="2" t="s">
        <v>37</v>
      </c>
      <c r="AH405" s="153">
        <v>1.5799999999999999E-4</v>
      </c>
      <c r="AI405" s="167">
        <v>1.13570415492456E-2</v>
      </c>
      <c r="AJ405" s="167">
        <v>2.6386334911511298E-3</v>
      </c>
    </row>
    <row r="406" spans="1:36">
      <c r="A406" s="2" t="s">
        <v>26</v>
      </c>
      <c r="B406" s="2">
        <v>9937</v>
      </c>
      <c r="C406" s="2" t="s">
        <v>1577</v>
      </c>
      <c r="D406" s="2" t="s">
        <v>1578</v>
      </c>
      <c r="E406" s="4" t="s">
        <v>1345</v>
      </c>
      <c r="F406" s="2" t="s">
        <v>1886</v>
      </c>
      <c r="G406" s="2" t="s">
        <v>1887</v>
      </c>
      <c r="H406" s="2" t="s">
        <v>343</v>
      </c>
      <c r="I406" s="2" t="s">
        <v>777</v>
      </c>
      <c r="J406" s="2" t="s">
        <v>31</v>
      </c>
      <c r="K406" s="2" t="s">
        <v>31</v>
      </c>
      <c r="L406" s="2" t="s">
        <v>349</v>
      </c>
      <c r="M406" s="2" t="s">
        <v>49</v>
      </c>
      <c r="N406" s="2" t="s">
        <v>484</v>
      </c>
      <c r="O406" s="2" t="s">
        <v>159</v>
      </c>
      <c r="P406" s="2" t="s">
        <v>1779</v>
      </c>
      <c r="Q406" s="2" t="s">
        <v>435</v>
      </c>
      <c r="R406" s="2" t="s">
        <v>428</v>
      </c>
      <c r="S406" s="2" t="s">
        <v>45</v>
      </c>
      <c r="T406" s="153">
        <v>6.45</v>
      </c>
      <c r="U406" s="2" t="s">
        <v>1888</v>
      </c>
      <c r="V406" s="165">
        <v>3.61E-2</v>
      </c>
      <c r="W406" s="167">
        <v>2.9960000000000001E-2</v>
      </c>
      <c r="X406" s="4" t="s">
        <v>434</v>
      </c>
      <c r="Y406" s="4" t="s">
        <v>159</v>
      </c>
      <c r="Z406" s="153">
        <v>18810</v>
      </c>
      <c r="AA406" s="153">
        <v>1</v>
      </c>
      <c r="AB406" s="153">
        <v>107.22</v>
      </c>
      <c r="AD406" s="153">
        <v>20.167999999999999</v>
      </c>
      <c r="AG406" s="2" t="s">
        <v>37</v>
      </c>
      <c r="AH406" s="153">
        <v>4.1E-5</v>
      </c>
      <c r="AI406" s="167">
        <v>2.7610730721421002E-3</v>
      </c>
      <c r="AJ406" s="167">
        <v>6.4149275566871805E-4</v>
      </c>
    </row>
    <row r="407" spans="1:36">
      <c r="A407" s="2" t="s">
        <v>26</v>
      </c>
      <c r="B407" s="2">
        <v>9937</v>
      </c>
      <c r="C407" s="2" t="s">
        <v>1577</v>
      </c>
      <c r="D407" s="2" t="s">
        <v>1578</v>
      </c>
      <c r="E407" s="4" t="s">
        <v>1345</v>
      </c>
      <c r="F407" s="2" t="s">
        <v>1889</v>
      </c>
      <c r="G407" s="2" t="s">
        <v>1890</v>
      </c>
      <c r="H407" s="2" t="s">
        <v>343</v>
      </c>
      <c r="I407" s="2" t="s">
        <v>777</v>
      </c>
      <c r="J407" s="2" t="s">
        <v>31</v>
      </c>
      <c r="K407" s="2" t="s">
        <v>31</v>
      </c>
      <c r="L407" s="2" t="s">
        <v>349</v>
      </c>
      <c r="M407" s="2" t="s">
        <v>49</v>
      </c>
      <c r="N407" s="2" t="s">
        <v>484</v>
      </c>
      <c r="O407" s="2" t="s">
        <v>159</v>
      </c>
      <c r="P407" s="2" t="s">
        <v>1779</v>
      </c>
      <c r="Q407" s="2" t="s">
        <v>435</v>
      </c>
      <c r="R407" s="2" t="s">
        <v>428</v>
      </c>
      <c r="S407" s="2" t="s">
        <v>45</v>
      </c>
      <c r="T407" s="153">
        <v>1.24</v>
      </c>
      <c r="U407" s="2" t="s">
        <v>1891</v>
      </c>
      <c r="V407" s="165">
        <v>2.3E-2</v>
      </c>
      <c r="W407" s="167">
        <v>1.95E-2</v>
      </c>
      <c r="X407" s="4" t="s">
        <v>434</v>
      </c>
      <c r="Y407" s="4" t="s">
        <v>159</v>
      </c>
      <c r="Z407" s="153">
        <v>7313.76</v>
      </c>
      <c r="AA407" s="153">
        <v>1</v>
      </c>
      <c r="AB407" s="153">
        <v>114.63</v>
      </c>
      <c r="AD407" s="153">
        <v>8.3840000000000003</v>
      </c>
      <c r="AG407" s="2" t="s">
        <v>37</v>
      </c>
      <c r="AH407" s="153">
        <v>7.9999999999999996E-6</v>
      </c>
      <c r="AI407" s="167">
        <v>1.14776320849428E-3</v>
      </c>
      <c r="AJ407" s="167">
        <v>2.6666508427498502E-4</v>
      </c>
    </row>
    <row r="408" spans="1:36">
      <c r="A408" s="2" t="s">
        <v>26</v>
      </c>
      <c r="B408" s="2">
        <v>9937</v>
      </c>
      <c r="C408" s="2" t="s">
        <v>1577</v>
      </c>
      <c r="D408" s="2" t="s">
        <v>1578</v>
      </c>
      <c r="E408" s="4" t="s">
        <v>1345</v>
      </c>
      <c r="F408" s="2" t="s">
        <v>2247</v>
      </c>
      <c r="G408" s="2" t="s">
        <v>2248</v>
      </c>
      <c r="H408" s="2" t="s">
        <v>343</v>
      </c>
      <c r="I408" s="2" t="s">
        <v>777</v>
      </c>
      <c r="J408" s="2" t="s">
        <v>31</v>
      </c>
      <c r="K408" s="2" t="s">
        <v>31</v>
      </c>
      <c r="L408" s="2" t="s">
        <v>349</v>
      </c>
      <c r="M408" s="2" t="s">
        <v>49</v>
      </c>
      <c r="N408" s="2" t="s">
        <v>484</v>
      </c>
      <c r="O408" s="2" t="s">
        <v>159</v>
      </c>
      <c r="P408" s="2" t="s">
        <v>1779</v>
      </c>
      <c r="Q408" s="2" t="s">
        <v>435</v>
      </c>
      <c r="R408" s="2" t="s">
        <v>428</v>
      </c>
      <c r="S408" s="2" t="s">
        <v>45</v>
      </c>
      <c r="T408" s="153">
        <v>1.962</v>
      </c>
      <c r="U408" s="2" t="s">
        <v>2249</v>
      </c>
      <c r="V408" s="165">
        <v>2.1499999999999998E-2</v>
      </c>
      <c r="W408" s="167">
        <v>1.797E-2</v>
      </c>
      <c r="X408" s="4" t="s">
        <v>434</v>
      </c>
      <c r="Y408" s="4" t="s">
        <v>159</v>
      </c>
      <c r="Z408" s="153">
        <v>60000</v>
      </c>
      <c r="AA408" s="153">
        <v>1</v>
      </c>
      <c r="AB408" s="153">
        <v>115.25</v>
      </c>
      <c r="AD408" s="153">
        <v>69.150000000000006</v>
      </c>
      <c r="AG408" s="2" t="s">
        <v>37</v>
      </c>
      <c r="AH408" s="153">
        <v>4.8999999999999998E-5</v>
      </c>
      <c r="AI408" s="167">
        <v>9.4668497945727299E-3</v>
      </c>
      <c r="AJ408" s="167">
        <v>2.19947658158529E-3</v>
      </c>
    </row>
    <row r="409" spans="1:36">
      <c r="A409" s="2" t="s">
        <v>26</v>
      </c>
      <c r="B409" s="2">
        <v>9937</v>
      </c>
      <c r="C409" s="2" t="s">
        <v>1577</v>
      </c>
      <c r="D409" s="2" t="s">
        <v>1578</v>
      </c>
      <c r="E409" s="4" t="s">
        <v>1345</v>
      </c>
      <c r="F409" s="2" t="s">
        <v>1892</v>
      </c>
      <c r="G409" s="2" t="s">
        <v>1893</v>
      </c>
      <c r="H409" s="2" t="s">
        <v>343</v>
      </c>
      <c r="I409" s="2" t="s">
        <v>777</v>
      </c>
      <c r="J409" s="2" t="s">
        <v>31</v>
      </c>
      <c r="K409" s="2" t="s">
        <v>31</v>
      </c>
      <c r="L409" s="2" t="s">
        <v>349</v>
      </c>
      <c r="M409" s="2" t="s">
        <v>49</v>
      </c>
      <c r="N409" s="2" t="s">
        <v>484</v>
      </c>
      <c r="O409" s="2" t="s">
        <v>159</v>
      </c>
      <c r="P409" s="2" t="s">
        <v>1779</v>
      </c>
      <c r="Q409" s="2" t="s">
        <v>435</v>
      </c>
      <c r="R409" s="2" t="s">
        <v>428</v>
      </c>
      <c r="S409" s="2" t="s">
        <v>45</v>
      </c>
      <c r="T409" s="153">
        <v>5.657</v>
      </c>
      <c r="U409" s="2" t="s">
        <v>1894</v>
      </c>
      <c r="V409" s="165">
        <v>2.5000000000000001E-3</v>
      </c>
      <c r="W409" s="167">
        <v>2.648E-2</v>
      </c>
      <c r="X409" s="4" t="s">
        <v>434</v>
      </c>
      <c r="Y409" s="4" t="s">
        <v>159</v>
      </c>
      <c r="Z409" s="153">
        <v>136279.14000000001</v>
      </c>
      <c r="AA409" s="153">
        <v>1</v>
      </c>
      <c r="AB409" s="153">
        <v>95.66</v>
      </c>
      <c r="AD409" s="153">
        <v>130.36500000000001</v>
      </c>
      <c r="AG409" s="2" t="s">
        <v>37</v>
      </c>
      <c r="AH409" s="153">
        <v>1.05E-4</v>
      </c>
      <c r="AI409" s="167">
        <v>1.7847322147043501E-2</v>
      </c>
      <c r="AJ409" s="167">
        <v>4.1465501152173397E-3</v>
      </c>
    </row>
    <row r="410" spans="1:36">
      <c r="A410" s="2" t="s">
        <v>26</v>
      </c>
      <c r="B410" s="2">
        <v>9937</v>
      </c>
      <c r="C410" s="2" t="s">
        <v>2254</v>
      </c>
      <c r="D410" s="2" t="s">
        <v>2255</v>
      </c>
      <c r="E410" s="4" t="s">
        <v>1345</v>
      </c>
      <c r="F410" s="2" t="s">
        <v>2256</v>
      </c>
      <c r="G410" s="2" t="s">
        <v>2257</v>
      </c>
      <c r="H410" s="2" t="s">
        <v>343</v>
      </c>
      <c r="I410" s="2" t="s">
        <v>990</v>
      </c>
      <c r="J410" s="2" t="s">
        <v>31</v>
      </c>
      <c r="K410" s="2" t="s">
        <v>31</v>
      </c>
      <c r="L410" s="2" t="s">
        <v>349</v>
      </c>
      <c r="M410" s="2" t="s">
        <v>49</v>
      </c>
      <c r="N410" s="2" t="s">
        <v>465</v>
      </c>
      <c r="O410" s="2" t="s">
        <v>159</v>
      </c>
      <c r="P410" s="2" t="s">
        <v>1799</v>
      </c>
      <c r="Q410" s="2" t="s">
        <v>128</v>
      </c>
      <c r="R410" s="2" t="s">
        <v>428</v>
      </c>
      <c r="S410" s="2" t="s">
        <v>45</v>
      </c>
      <c r="T410" s="153">
        <v>1.4550000000000001</v>
      </c>
      <c r="U410" s="2" t="s">
        <v>1995</v>
      </c>
      <c r="V410" s="165">
        <v>2.9399999999999999E-2</v>
      </c>
      <c r="W410" s="167">
        <v>4.5580000000000002E-2</v>
      </c>
      <c r="X410" s="4" t="s">
        <v>434</v>
      </c>
      <c r="Y410" s="4" t="s">
        <v>159</v>
      </c>
      <c r="Z410" s="153">
        <v>9925.68</v>
      </c>
      <c r="AA410" s="153">
        <v>1</v>
      </c>
      <c r="AB410" s="153">
        <v>99.19</v>
      </c>
      <c r="AD410" s="153">
        <v>9.8450000000000006</v>
      </c>
      <c r="AG410" s="2" t="s">
        <v>37</v>
      </c>
      <c r="AH410" s="153">
        <v>4.6E-5</v>
      </c>
      <c r="AI410" s="167">
        <v>1.3478496862397099E-3</v>
      </c>
      <c r="AJ410" s="167">
        <v>3.1315209227053298E-4</v>
      </c>
    </row>
    <row r="411" spans="1:36">
      <c r="A411" s="2" t="s">
        <v>26</v>
      </c>
      <c r="B411" s="2">
        <v>9937</v>
      </c>
      <c r="C411" s="2" t="s">
        <v>1594</v>
      </c>
      <c r="D411" s="2" t="s">
        <v>1595</v>
      </c>
      <c r="E411" s="4" t="s">
        <v>1345</v>
      </c>
      <c r="F411" s="2" t="s">
        <v>2287</v>
      </c>
      <c r="G411" s="2" t="s">
        <v>2288</v>
      </c>
      <c r="H411" s="2" t="s">
        <v>343</v>
      </c>
      <c r="I411" s="2" t="s">
        <v>777</v>
      </c>
      <c r="J411" s="2" t="s">
        <v>31</v>
      </c>
      <c r="K411" s="2" t="s">
        <v>31</v>
      </c>
      <c r="L411" s="2" t="s">
        <v>349</v>
      </c>
      <c r="M411" s="2" t="s">
        <v>49</v>
      </c>
      <c r="N411" s="2" t="s">
        <v>484</v>
      </c>
      <c r="O411" s="2" t="s">
        <v>159</v>
      </c>
      <c r="P411" s="2" t="s">
        <v>1840</v>
      </c>
      <c r="Q411" s="2" t="s">
        <v>128</v>
      </c>
      <c r="R411" s="2" t="s">
        <v>428</v>
      </c>
      <c r="S411" s="2" t="s">
        <v>45</v>
      </c>
      <c r="T411" s="153">
        <v>3.1419999999999999</v>
      </c>
      <c r="U411" s="2" t="s">
        <v>2289</v>
      </c>
      <c r="V411" s="165">
        <v>1.34E-2</v>
      </c>
      <c r="W411" s="167">
        <v>2.206E-2</v>
      </c>
      <c r="X411" s="4" t="s">
        <v>434</v>
      </c>
      <c r="Y411" s="4" t="s">
        <v>159</v>
      </c>
      <c r="Z411" s="153">
        <v>60000</v>
      </c>
      <c r="AA411" s="153">
        <v>1</v>
      </c>
      <c r="AB411" s="153">
        <v>110.26</v>
      </c>
      <c r="AD411" s="153">
        <v>66.156000000000006</v>
      </c>
      <c r="AG411" s="2" t="s">
        <v>37</v>
      </c>
      <c r="AH411" s="153">
        <v>1.9000000000000001E-5</v>
      </c>
      <c r="AI411" s="167">
        <v>9.0569618945734402E-3</v>
      </c>
      <c r="AJ411" s="167">
        <v>2.1042454480311901E-3</v>
      </c>
    </row>
    <row r="412" spans="1:36">
      <c r="A412" s="2" t="s">
        <v>26</v>
      </c>
      <c r="B412" s="2">
        <v>9937</v>
      </c>
      <c r="C412" s="2" t="s">
        <v>1594</v>
      </c>
      <c r="D412" s="2" t="s">
        <v>1595</v>
      </c>
      <c r="E412" s="4" t="s">
        <v>1345</v>
      </c>
      <c r="F412" s="2" t="s">
        <v>1895</v>
      </c>
      <c r="G412" s="2" t="s">
        <v>1896</v>
      </c>
      <c r="H412" s="2" t="s">
        <v>343</v>
      </c>
      <c r="I412" s="2" t="s">
        <v>777</v>
      </c>
      <c r="J412" s="2" t="s">
        <v>31</v>
      </c>
      <c r="K412" s="2" t="s">
        <v>31</v>
      </c>
      <c r="L412" s="2" t="s">
        <v>349</v>
      </c>
      <c r="M412" s="2" t="s">
        <v>49</v>
      </c>
      <c r="N412" s="2" t="s">
        <v>484</v>
      </c>
      <c r="O412" s="2" t="s">
        <v>159</v>
      </c>
      <c r="P412" s="2" t="s">
        <v>1840</v>
      </c>
      <c r="Q412" s="2" t="s">
        <v>128</v>
      </c>
      <c r="R412" s="2" t="s">
        <v>428</v>
      </c>
      <c r="S412" s="2" t="s">
        <v>45</v>
      </c>
      <c r="T412" s="153">
        <v>2.8639999999999999</v>
      </c>
      <c r="U412" s="2" t="s">
        <v>1861</v>
      </c>
      <c r="V412" s="165">
        <v>1.77E-2</v>
      </c>
      <c r="W412" s="167">
        <v>2.0539999999999999E-2</v>
      </c>
      <c r="X412" s="4" t="s">
        <v>434</v>
      </c>
      <c r="Y412" s="4" t="s">
        <v>159</v>
      </c>
      <c r="Z412" s="153">
        <v>67850</v>
      </c>
      <c r="AA412" s="153">
        <v>1</v>
      </c>
      <c r="AB412" s="153">
        <v>111.11</v>
      </c>
      <c r="AD412" s="153">
        <v>75.388000000000005</v>
      </c>
      <c r="AG412" s="2" t="s">
        <v>37</v>
      </c>
      <c r="AH412" s="153">
        <v>2.5000000000000001E-5</v>
      </c>
      <c r="AI412" s="167">
        <v>1.03208698530437E-2</v>
      </c>
      <c r="AJ412" s="167">
        <v>2.3978949741415801E-3</v>
      </c>
    </row>
    <row r="413" spans="1:36">
      <c r="A413" s="2" t="s">
        <v>26</v>
      </c>
      <c r="B413" s="2">
        <v>9937</v>
      </c>
      <c r="C413" s="2" t="s">
        <v>1594</v>
      </c>
      <c r="D413" s="2" t="s">
        <v>1595</v>
      </c>
      <c r="E413" s="4" t="s">
        <v>1345</v>
      </c>
      <c r="F413" s="2" t="s">
        <v>2094</v>
      </c>
      <c r="G413" s="2" t="s">
        <v>2095</v>
      </c>
      <c r="H413" s="2" t="s">
        <v>343</v>
      </c>
      <c r="I413" s="2" t="s">
        <v>777</v>
      </c>
      <c r="J413" s="2" t="s">
        <v>31</v>
      </c>
      <c r="K413" s="2" t="s">
        <v>31</v>
      </c>
      <c r="L413" s="2" t="s">
        <v>349</v>
      </c>
      <c r="M413" s="2" t="s">
        <v>49</v>
      </c>
      <c r="N413" s="2" t="s">
        <v>484</v>
      </c>
      <c r="O413" s="2" t="s">
        <v>159</v>
      </c>
      <c r="P413" s="2" t="s">
        <v>2004</v>
      </c>
      <c r="Q413" s="2" t="s">
        <v>435</v>
      </c>
      <c r="R413" s="2" t="s">
        <v>428</v>
      </c>
      <c r="S413" s="2" t="s">
        <v>45</v>
      </c>
      <c r="T413" s="153">
        <v>7.2489999999999997</v>
      </c>
      <c r="U413" s="2" t="s">
        <v>2096</v>
      </c>
      <c r="V413" s="165">
        <v>8.9999999999999993E-3</v>
      </c>
      <c r="W413" s="167">
        <v>2.8979999999999999E-2</v>
      </c>
      <c r="X413" s="4" t="s">
        <v>434</v>
      </c>
      <c r="Y413" s="4" t="s">
        <v>159</v>
      </c>
      <c r="Z413" s="153">
        <v>50000</v>
      </c>
      <c r="AA413" s="153">
        <v>1</v>
      </c>
      <c r="AB413" s="153">
        <v>95.37</v>
      </c>
      <c r="AD413" s="153">
        <v>47.685000000000002</v>
      </c>
      <c r="AG413" s="2" t="s">
        <v>37</v>
      </c>
      <c r="AH413" s="153">
        <v>2.5999999999999998E-5</v>
      </c>
      <c r="AI413" s="167">
        <v>6.5282246197281299E-3</v>
      </c>
      <c r="AJ413" s="167">
        <v>1.51673233250751E-3</v>
      </c>
    </row>
    <row r="414" spans="1:36">
      <c r="A414" s="2" t="s">
        <v>26</v>
      </c>
      <c r="B414" s="2">
        <v>9937</v>
      </c>
      <c r="C414" s="2" t="s">
        <v>1598</v>
      </c>
      <c r="D414" s="2" t="s">
        <v>1599</v>
      </c>
      <c r="E414" s="4" t="s">
        <v>1345</v>
      </c>
      <c r="F414" s="2" t="s">
        <v>2097</v>
      </c>
      <c r="G414" s="2" t="s">
        <v>2098</v>
      </c>
      <c r="H414" s="2" t="s">
        <v>343</v>
      </c>
      <c r="I414" s="2" t="s">
        <v>990</v>
      </c>
      <c r="J414" s="2" t="s">
        <v>31</v>
      </c>
      <c r="K414" s="2" t="s">
        <v>31</v>
      </c>
      <c r="L414" s="2" t="s">
        <v>349</v>
      </c>
      <c r="M414" s="2" t="s">
        <v>49</v>
      </c>
      <c r="N414" s="2" t="s">
        <v>468</v>
      </c>
      <c r="O414" s="2" t="s">
        <v>159</v>
      </c>
      <c r="P414" s="2" t="s">
        <v>127</v>
      </c>
      <c r="Q414" s="2" t="s">
        <v>128</v>
      </c>
      <c r="R414" s="2" t="s">
        <v>428</v>
      </c>
      <c r="S414" s="2" t="s">
        <v>45</v>
      </c>
      <c r="T414" s="153">
        <v>3.8450000000000002</v>
      </c>
      <c r="U414" s="2" t="s">
        <v>1899</v>
      </c>
      <c r="V414" s="165">
        <v>2.5000000000000001E-2</v>
      </c>
      <c r="W414" s="167">
        <v>4.514E-2</v>
      </c>
      <c r="X414" s="4" t="s">
        <v>434</v>
      </c>
      <c r="Y414" s="4" t="s">
        <v>159</v>
      </c>
      <c r="Z414" s="153">
        <v>128000</v>
      </c>
      <c r="AA414" s="153">
        <v>1</v>
      </c>
      <c r="AB414" s="153">
        <v>93.42</v>
      </c>
      <c r="AD414" s="153">
        <v>119.578</v>
      </c>
      <c r="AG414" s="2" t="s">
        <v>37</v>
      </c>
      <c r="AH414" s="153">
        <v>4.3000000000000002E-5</v>
      </c>
      <c r="AI414" s="167">
        <v>1.63705448733984E-2</v>
      </c>
      <c r="AJ414" s="167">
        <v>3.8034436859316401E-3</v>
      </c>
    </row>
    <row r="415" spans="1:36">
      <c r="A415" s="2" t="s">
        <v>26</v>
      </c>
      <c r="B415" s="2">
        <v>9937</v>
      </c>
      <c r="C415" s="2" t="s">
        <v>1598</v>
      </c>
      <c r="D415" s="2" t="s">
        <v>1599</v>
      </c>
      <c r="E415" s="4" t="s">
        <v>1345</v>
      </c>
      <c r="F415" s="2" t="s">
        <v>1897</v>
      </c>
      <c r="G415" s="2" t="s">
        <v>1898</v>
      </c>
      <c r="H415" s="2" t="s">
        <v>343</v>
      </c>
      <c r="I415" s="2" t="s">
        <v>777</v>
      </c>
      <c r="J415" s="2" t="s">
        <v>31</v>
      </c>
      <c r="K415" s="2" t="s">
        <v>31</v>
      </c>
      <c r="L415" s="2" t="s">
        <v>349</v>
      </c>
      <c r="M415" s="2" t="s">
        <v>49</v>
      </c>
      <c r="N415" s="2" t="s">
        <v>468</v>
      </c>
      <c r="O415" s="2" t="s">
        <v>159</v>
      </c>
      <c r="P415" s="2" t="s">
        <v>127</v>
      </c>
      <c r="Q415" s="2" t="s">
        <v>128</v>
      </c>
      <c r="R415" s="2" t="s">
        <v>428</v>
      </c>
      <c r="S415" s="2" t="s">
        <v>45</v>
      </c>
      <c r="T415" s="153">
        <v>4.0890000000000004</v>
      </c>
      <c r="U415" s="2" t="s">
        <v>1899</v>
      </c>
      <c r="V415" s="165">
        <v>1E-3</v>
      </c>
      <c r="W415" s="167">
        <v>1.9650000000000001E-2</v>
      </c>
      <c r="X415" s="4" t="s">
        <v>434</v>
      </c>
      <c r="Y415" s="4" t="s">
        <v>159</v>
      </c>
      <c r="Z415" s="153">
        <v>236000</v>
      </c>
      <c r="AA415" s="153">
        <v>1</v>
      </c>
      <c r="AB415" s="153">
        <v>101.03</v>
      </c>
      <c r="AD415" s="153">
        <v>238.43100000000001</v>
      </c>
      <c r="AG415" s="2" t="s">
        <v>37</v>
      </c>
      <c r="AH415" s="153">
        <v>8.8999999999999995E-5</v>
      </c>
      <c r="AI415" s="167">
        <v>3.2641917136656699E-2</v>
      </c>
      <c r="AJ415" s="167">
        <v>7.5838461450274198E-3</v>
      </c>
    </row>
    <row r="416" spans="1:36">
      <c r="A416" s="2" t="s">
        <v>26</v>
      </c>
      <c r="B416" s="2">
        <v>9937</v>
      </c>
      <c r="C416" s="2" t="s">
        <v>1598</v>
      </c>
      <c r="D416" s="2" t="s">
        <v>1599</v>
      </c>
      <c r="E416" s="4" t="s">
        <v>1345</v>
      </c>
      <c r="F416" s="2" t="s">
        <v>1900</v>
      </c>
      <c r="G416" s="2" t="s">
        <v>1901</v>
      </c>
      <c r="H416" s="2" t="s">
        <v>343</v>
      </c>
      <c r="I416" s="2" t="s">
        <v>777</v>
      </c>
      <c r="J416" s="2" t="s">
        <v>31</v>
      </c>
      <c r="K416" s="2" t="s">
        <v>31</v>
      </c>
      <c r="L416" s="2" t="s">
        <v>349</v>
      </c>
      <c r="M416" s="2" t="s">
        <v>49</v>
      </c>
      <c r="N416" s="2" t="s">
        <v>468</v>
      </c>
      <c r="O416" s="2" t="s">
        <v>159</v>
      </c>
      <c r="P416" s="2" t="s">
        <v>127</v>
      </c>
      <c r="Q416" s="2" t="s">
        <v>128</v>
      </c>
      <c r="R416" s="2" t="s">
        <v>428</v>
      </c>
      <c r="S416" s="2" t="s">
        <v>45</v>
      </c>
      <c r="T416" s="153">
        <v>4.4530000000000003</v>
      </c>
      <c r="U416" s="2" t="s">
        <v>1902</v>
      </c>
      <c r="V416" s="165">
        <v>1.3899999999999999E-2</v>
      </c>
      <c r="W416" s="167">
        <v>1.992E-2</v>
      </c>
      <c r="X416" s="4" t="s">
        <v>434</v>
      </c>
      <c r="Y416" s="4" t="s">
        <v>159</v>
      </c>
      <c r="Z416" s="153">
        <v>81000</v>
      </c>
      <c r="AA416" s="153">
        <v>1</v>
      </c>
      <c r="AB416" s="153">
        <v>101.5</v>
      </c>
      <c r="AD416" s="153">
        <v>82.215000000000003</v>
      </c>
      <c r="AG416" s="2" t="s">
        <v>37</v>
      </c>
      <c r="AH416" s="153">
        <v>4.5000000000000003E-5</v>
      </c>
      <c r="AI416" s="167">
        <v>1.12554888772349E-2</v>
      </c>
      <c r="AJ416" s="167">
        <v>2.6150392936375201E-3</v>
      </c>
    </row>
    <row r="417" spans="1:36">
      <c r="A417" s="2" t="s">
        <v>26</v>
      </c>
      <c r="B417" s="2">
        <v>9937</v>
      </c>
      <c r="C417" s="2" t="s">
        <v>1598</v>
      </c>
      <c r="D417" s="2" t="s">
        <v>1599</v>
      </c>
      <c r="E417" s="4" t="s">
        <v>1345</v>
      </c>
      <c r="F417" s="2" t="s">
        <v>1903</v>
      </c>
      <c r="G417" s="2" t="s">
        <v>1904</v>
      </c>
      <c r="H417" s="2" t="s">
        <v>343</v>
      </c>
      <c r="I417" s="2" t="s">
        <v>777</v>
      </c>
      <c r="J417" s="2" t="s">
        <v>31</v>
      </c>
      <c r="K417" s="2" t="s">
        <v>31</v>
      </c>
      <c r="L417" s="2" t="s">
        <v>349</v>
      </c>
      <c r="M417" s="2" t="s">
        <v>49</v>
      </c>
      <c r="N417" s="2" t="s">
        <v>468</v>
      </c>
      <c r="O417" s="2" t="s">
        <v>159</v>
      </c>
      <c r="P417" s="2" t="s">
        <v>127</v>
      </c>
      <c r="Q417" s="2" t="s">
        <v>128</v>
      </c>
      <c r="R417" s="2" t="s">
        <v>428</v>
      </c>
      <c r="S417" s="2" t="s">
        <v>45</v>
      </c>
      <c r="T417" s="153">
        <v>2.04</v>
      </c>
      <c r="U417" s="2" t="s">
        <v>1905</v>
      </c>
      <c r="V417" s="165">
        <v>6.0000000000000001E-3</v>
      </c>
      <c r="W417" s="167">
        <v>1.7319999999999999E-2</v>
      </c>
      <c r="X417" s="4" t="s">
        <v>434</v>
      </c>
      <c r="Y417" s="4" t="s">
        <v>159</v>
      </c>
      <c r="Z417" s="153">
        <v>55833.33</v>
      </c>
      <c r="AA417" s="153">
        <v>1</v>
      </c>
      <c r="AB417" s="153">
        <v>110.8</v>
      </c>
      <c r="AD417" s="153">
        <v>61.863</v>
      </c>
      <c r="AG417" s="2" t="s">
        <v>37</v>
      </c>
      <c r="AH417" s="153">
        <v>5.0000000000000002E-5</v>
      </c>
      <c r="AI417" s="167">
        <v>8.4692819883444501E-3</v>
      </c>
      <c r="AJ417" s="167">
        <v>1.9677070831825199E-3</v>
      </c>
    </row>
    <row r="418" spans="1:36">
      <c r="A418" s="2" t="s">
        <v>26</v>
      </c>
      <c r="B418" s="2">
        <v>9937</v>
      </c>
      <c r="C418" s="2" t="s">
        <v>1598</v>
      </c>
      <c r="D418" s="2" t="s">
        <v>1599</v>
      </c>
      <c r="E418" s="4" t="s">
        <v>1345</v>
      </c>
      <c r="F418" s="2" t="s">
        <v>2099</v>
      </c>
      <c r="G418" s="2" t="s">
        <v>2100</v>
      </c>
      <c r="H418" s="2" t="s">
        <v>343</v>
      </c>
      <c r="I418" s="2" t="s">
        <v>777</v>
      </c>
      <c r="J418" s="2" t="s">
        <v>31</v>
      </c>
      <c r="K418" s="2" t="s">
        <v>31</v>
      </c>
      <c r="L418" s="2" t="s">
        <v>349</v>
      </c>
      <c r="M418" s="2" t="s">
        <v>49</v>
      </c>
      <c r="N418" s="2" t="s">
        <v>468</v>
      </c>
      <c r="O418" s="2" t="s">
        <v>159</v>
      </c>
      <c r="P418" s="2" t="s">
        <v>127</v>
      </c>
      <c r="Q418" s="2" t="s">
        <v>128</v>
      </c>
      <c r="R418" s="2" t="s">
        <v>428</v>
      </c>
      <c r="S418" s="2" t="s">
        <v>45</v>
      </c>
      <c r="T418" s="153">
        <v>3.54</v>
      </c>
      <c r="U418" s="2" t="s">
        <v>2101</v>
      </c>
      <c r="V418" s="165">
        <v>1.7500000000000002E-2</v>
      </c>
      <c r="W418" s="167">
        <v>1.8929999999999999E-2</v>
      </c>
      <c r="X418" s="4" t="s">
        <v>434</v>
      </c>
      <c r="Y418" s="4" t="s">
        <v>159</v>
      </c>
      <c r="Z418" s="153">
        <v>139823.85999999999</v>
      </c>
      <c r="AA418" s="153">
        <v>1</v>
      </c>
      <c r="AB418" s="153">
        <v>111.16</v>
      </c>
      <c r="AD418" s="153">
        <v>155.428</v>
      </c>
      <c r="AG418" s="2" t="s">
        <v>37</v>
      </c>
      <c r="AH418" s="153">
        <v>4.8000000000000001E-5</v>
      </c>
      <c r="AI418" s="167">
        <v>2.1278603753012E-2</v>
      </c>
      <c r="AJ418" s="167">
        <v>4.9437554898583E-3</v>
      </c>
    </row>
    <row r="419" spans="1:36">
      <c r="A419" s="2" t="s">
        <v>26</v>
      </c>
      <c r="B419" s="2">
        <v>9937</v>
      </c>
      <c r="C419" s="2" t="s">
        <v>1906</v>
      </c>
      <c r="D419" s="2" t="s">
        <v>1907</v>
      </c>
      <c r="E419" s="4" t="s">
        <v>1345</v>
      </c>
      <c r="F419" s="2" t="s">
        <v>2483</v>
      </c>
      <c r="G419" s="2" t="s">
        <v>2484</v>
      </c>
      <c r="H419" s="2" t="s">
        <v>343</v>
      </c>
      <c r="I419" s="2" t="s">
        <v>990</v>
      </c>
      <c r="J419" s="2" t="s">
        <v>31</v>
      </c>
      <c r="K419" s="2" t="s">
        <v>31</v>
      </c>
      <c r="L419" s="2" t="s">
        <v>349</v>
      </c>
      <c r="M419" s="2" t="s">
        <v>49</v>
      </c>
      <c r="N419" s="2" t="s">
        <v>460</v>
      </c>
      <c r="O419" s="2" t="s">
        <v>159</v>
      </c>
      <c r="P419" s="2" t="s">
        <v>1785</v>
      </c>
      <c r="Q419" s="2" t="s">
        <v>435</v>
      </c>
      <c r="R419" s="2" t="s">
        <v>428</v>
      </c>
      <c r="S419" s="2" t="s">
        <v>45</v>
      </c>
      <c r="T419" s="153">
        <v>4.2530000000000001</v>
      </c>
      <c r="U419" s="2" t="s">
        <v>67</v>
      </c>
      <c r="V419" s="165">
        <v>2.4299999999999999E-2</v>
      </c>
      <c r="W419" s="167">
        <v>5.0290000000000001E-2</v>
      </c>
      <c r="X419" s="4" t="s">
        <v>434</v>
      </c>
      <c r="Y419" s="4" t="s">
        <v>159</v>
      </c>
      <c r="Z419" s="153">
        <v>100000</v>
      </c>
      <c r="AA419" s="153">
        <v>1</v>
      </c>
      <c r="AB419" s="153">
        <v>90.42</v>
      </c>
      <c r="AD419" s="153">
        <v>90.42</v>
      </c>
      <c r="AG419" s="2" t="s">
        <v>37</v>
      </c>
      <c r="AH419" s="153">
        <v>6.7999999999999999E-5</v>
      </c>
      <c r="AI419" s="167">
        <v>1.23787788637059E-2</v>
      </c>
      <c r="AJ419" s="167">
        <v>2.8760184021249702E-3</v>
      </c>
    </row>
    <row r="420" spans="1:36">
      <c r="A420" s="2" t="s">
        <v>26</v>
      </c>
      <c r="B420" s="2">
        <v>9937</v>
      </c>
      <c r="C420" s="2" t="s">
        <v>1906</v>
      </c>
      <c r="D420" s="2" t="s">
        <v>1907</v>
      </c>
      <c r="E420" s="4" t="s">
        <v>1345</v>
      </c>
      <c r="F420" s="2" t="s">
        <v>2301</v>
      </c>
      <c r="G420" s="2" t="s">
        <v>2302</v>
      </c>
      <c r="H420" s="2" t="s">
        <v>343</v>
      </c>
      <c r="I420" s="2" t="s">
        <v>777</v>
      </c>
      <c r="J420" s="2" t="s">
        <v>31</v>
      </c>
      <c r="K420" s="2" t="s">
        <v>31</v>
      </c>
      <c r="L420" s="2" t="s">
        <v>349</v>
      </c>
      <c r="M420" s="2" t="s">
        <v>49</v>
      </c>
      <c r="N420" s="2" t="s">
        <v>460</v>
      </c>
      <c r="O420" s="2" t="s">
        <v>159</v>
      </c>
      <c r="P420" s="2" t="s">
        <v>1785</v>
      </c>
      <c r="Q420" s="2" t="s">
        <v>435</v>
      </c>
      <c r="R420" s="2" t="s">
        <v>428</v>
      </c>
      <c r="S420" s="2" t="s">
        <v>45</v>
      </c>
      <c r="T420" s="153">
        <v>2.581</v>
      </c>
      <c r="U420" s="2" t="s">
        <v>2303</v>
      </c>
      <c r="V420" s="165">
        <v>1.9400000000000001E-2</v>
      </c>
      <c r="W420" s="167">
        <v>1.8630000000000001E-2</v>
      </c>
      <c r="X420" s="4" t="s">
        <v>434</v>
      </c>
      <c r="Y420" s="4" t="s">
        <v>159</v>
      </c>
      <c r="Z420" s="153">
        <v>12507</v>
      </c>
      <c r="AA420" s="153">
        <v>1</v>
      </c>
      <c r="AB420" s="153">
        <v>113.16</v>
      </c>
      <c r="AD420" s="153">
        <v>14.153</v>
      </c>
      <c r="AG420" s="2" t="s">
        <v>37</v>
      </c>
      <c r="AH420" s="153">
        <v>3.4999999999999997E-5</v>
      </c>
      <c r="AI420" s="167">
        <v>1.9375788742563101E-3</v>
      </c>
      <c r="AJ420" s="167">
        <v>4.5016657614493103E-4</v>
      </c>
    </row>
    <row r="421" spans="1:36">
      <c r="A421" s="2" t="s">
        <v>26</v>
      </c>
      <c r="B421" s="2">
        <v>9937</v>
      </c>
      <c r="C421" s="2" t="s">
        <v>1906</v>
      </c>
      <c r="D421" s="2" t="s">
        <v>1907</v>
      </c>
      <c r="E421" s="4" t="s">
        <v>1345</v>
      </c>
      <c r="F421" s="2" t="s">
        <v>1908</v>
      </c>
      <c r="G421" s="2" t="s">
        <v>1909</v>
      </c>
      <c r="H421" s="2" t="s">
        <v>343</v>
      </c>
      <c r="I421" s="2" t="s">
        <v>990</v>
      </c>
      <c r="J421" s="2" t="s">
        <v>31</v>
      </c>
      <c r="K421" s="2" t="s">
        <v>31</v>
      </c>
      <c r="L421" s="2" t="s">
        <v>349</v>
      </c>
      <c r="M421" s="2" t="s">
        <v>49</v>
      </c>
      <c r="N421" s="2" t="s">
        <v>460</v>
      </c>
      <c r="O421" s="2" t="s">
        <v>159</v>
      </c>
      <c r="P421" s="2" t="s">
        <v>1785</v>
      </c>
      <c r="Q421" s="2" t="s">
        <v>435</v>
      </c>
      <c r="R421" s="2" t="s">
        <v>428</v>
      </c>
      <c r="S421" s="2" t="s">
        <v>45</v>
      </c>
      <c r="T421" s="153">
        <v>0.16400000000000001</v>
      </c>
      <c r="U421" s="2" t="s">
        <v>1827</v>
      </c>
      <c r="V421" s="165">
        <v>0.1065</v>
      </c>
      <c r="W421" s="167">
        <v>5.5160000000000001E-2</v>
      </c>
      <c r="X421" s="4" t="s">
        <v>434</v>
      </c>
      <c r="Y421" s="4" t="s">
        <v>159</v>
      </c>
      <c r="Z421" s="153">
        <v>31253</v>
      </c>
      <c r="AA421" s="153">
        <v>1</v>
      </c>
      <c r="AB421" s="153">
        <v>100.66</v>
      </c>
      <c r="AD421" s="153">
        <v>31.459</v>
      </c>
      <c r="AG421" s="2" t="s">
        <v>37</v>
      </c>
      <c r="AH421" s="153">
        <v>4.5000000000000003E-5</v>
      </c>
      <c r="AI421" s="167">
        <v>4.30687175478724E-3</v>
      </c>
      <c r="AJ421" s="167">
        <v>1.0006352451030101E-3</v>
      </c>
    </row>
    <row r="422" spans="1:36">
      <c r="A422" s="2" t="s">
        <v>26</v>
      </c>
      <c r="B422" s="2">
        <v>9937</v>
      </c>
      <c r="C422" s="2" t="s">
        <v>1906</v>
      </c>
      <c r="D422" s="2" t="s">
        <v>1907</v>
      </c>
      <c r="E422" s="4" t="s">
        <v>1345</v>
      </c>
      <c r="F422" s="2" t="s">
        <v>2102</v>
      </c>
      <c r="G422" s="2" t="s">
        <v>2103</v>
      </c>
      <c r="H422" s="2" t="s">
        <v>343</v>
      </c>
      <c r="I422" s="2" t="s">
        <v>777</v>
      </c>
      <c r="J422" s="2" t="s">
        <v>31</v>
      </c>
      <c r="K422" s="2" t="s">
        <v>31</v>
      </c>
      <c r="L422" s="2" t="s">
        <v>349</v>
      </c>
      <c r="M422" s="2" t="s">
        <v>49</v>
      </c>
      <c r="N422" s="2" t="s">
        <v>460</v>
      </c>
      <c r="O422" s="2" t="s">
        <v>159</v>
      </c>
      <c r="P422" s="2" t="s">
        <v>1785</v>
      </c>
      <c r="Q422" s="2" t="s">
        <v>435</v>
      </c>
      <c r="R422" s="2" t="s">
        <v>428</v>
      </c>
      <c r="S422" s="2" t="s">
        <v>45</v>
      </c>
      <c r="T422" s="153">
        <v>3.5649999999999999</v>
      </c>
      <c r="U422" s="2" t="s">
        <v>2104</v>
      </c>
      <c r="V422" s="165">
        <v>1.23E-2</v>
      </c>
      <c r="W422" s="167">
        <v>2.2089999999999999E-2</v>
      </c>
      <c r="X422" s="4" t="s">
        <v>434</v>
      </c>
      <c r="Y422" s="4" t="s">
        <v>159</v>
      </c>
      <c r="Z422" s="153">
        <v>68872.11</v>
      </c>
      <c r="AA422" s="153">
        <v>1</v>
      </c>
      <c r="AB422" s="153">
        <v>108.66</v>
      </c>
      <c r="AD422" s="153">
        <v>74.835999999999999</v>
      </c>
      <c r="AG422" s="2" t="s">
        <v>37</v>
      </c>
      <c r="AH422" s="153">
        <v>5.3999999999999998E-5</v>
      </c>
      <c r="AI422" s="167">
        <v>1.0245340371835001E-2</v>
      </c>
      <c r="AJ422" s="167">
        <v>2.3803468637624498E-3</v>
      </c>
    </row>
    <row r="423" spans="1:36">
      <c r="A423" s="2" t="s">
        <v>26</v>
      </c>
      <c r="B423" s="2">
        <v>9937</v>
      </c>
      <c r="C423" s="2" t="s">
        <v>1910</v>
      </c>
      <c r="D423" s="2" t="s">
        <v>1911</v>
      </c>
      <c r="E423" s="4" t="s">
        <v>1345</v>
      </c>
      <c r="F423" s="2" t="s">
        <v>2485</v>
      </c>
      <c r="G423" s="2" t="s">
        <v>2486</v>
      </c>
      <c r="H423" s="2" t="s">
        <v>343</v>
      </c>
      <c r="I423" s="2" t="s">
        <v>990</v>
      </c>
      <c r="J423" s="2" t="s">
        <v>31</v>
      </c>
      <c r="K423" s="2" t="s">
        <v>31</v>
      </c>
      <c r="L423" s="2" t="s">
        <v>349</v>
      </c>
      <c r="M423" s="2" t="s">
        <v>49</v>
      </c>
      <c r="N423" s="2" t="s">
        <v>465</v>
      </c>
      <c r="O423" s="2" t="s">
        <v>159</v>
      </c>
      <c r="P423" s="2" t="s">
        <v>1789</v>
      </c>
      <c r="Q423" s="2" t="s">
        <v>128</v>
      </c>
      <c r="R423" s="2" t="s">
        <v>428</v>
      </c>
      <c r="S423" s="2" t="s">
        <v>45</v>
      </c>
      <c r="T423" s="153">
        <v>1.3049999999999999</v>
      </c>
      <c r="U423" s="2" t="s">
        <v>2218</v>
      </c>
      <c r="V423" s="165">
        <v>3.61E-2</v>
      </c>
      <c r="W423" s="167">
        <v>4.6129999999999997E-2</v>
      </c>
      <c r="X423" s="4" t="s">
        <v>434</v>
      </c>
      <c r="Y423" s="4" t="s">
        <v>159</v>
      </c>
      <c r="Z423" s="153">
        <v>108391</v>
      </c>
      <c r="AA423" s="153">
        <v>1</v>
      </c>
      <c r="AB423" s="153">
        <v>99.4</v>
      </c>
      <c r="AD423" s="153">
        <v>107.741</v>
      </c>
      <c r="AG423" s="2" t="s">
        <v>37</v>
      </c>
      <c r="AH423" s="153">
        <v>1.4100000000000001E-4</v>
      </c>
      <c r="AI423" s="167">
        <v>1.4750030197932499E-2</v>
      </c>
      <c r="AJ423" s="167">
        <v>3.4269420876020802E-3</v>
      </c>
    </row>
    <row r="424" spans="1:36">
      <c r="A424" s="2" t="s">
        <v>26</v>
      </c>
      <c r="B424" s="2">
        <v>9937</v>
      </c>
      <c r="C424" s="2" t="s">
        <v>1910</v>
      </c>
      <c r="D424" s="2" t="s">
        <v>1911</v>
      </c>
      <c r="E424" s="4" t="s">
        <v>1345</v>
      </c>
      <c r="F424" s="2" t="s">
        <v>1912</v>
      </c>
      <c r="G424" s="2" t="s">
        <v>1913</v>
      </c>
      <c r="H424" s="2" t="s">
        <v>343</v>
      </c>
      <c r="I424" s="2" t="s">
        <v>990</v>
      </c>
      <c r="J424" s="2" t="s">
        <v>31</v>
      </c>
      <c r="K424" s="2" t="s">
        <v>31</v>
      </c>
      <c r="L424" s="2" t="s">
        <v>349</v>
      </c>
      <c r="M424" s="2" t="s">
        <v>49</v>
      </c>
      <c r="N424" s="2" t="s">
        <v>465</v>
      </c>
      <c r="O424" s="2" t="s">
        <v>159</v>
      </c>
      <c r="P424" s="2" t="s">
        <v>1789</v>
      </c>
      <c r="Q424" s="2" t="s">
        <v>435</v>
      </c>
      <c r="R424" s="2" t="s">
        <v>428</v>
      </c>
      <c r="S424" s="2" t="s">
        <v>45</v>
      </c>
      <c r="T424" s="153">
        <v>5.4459999999999997</v>
      </c>
      <c r="U424" s="2" t="s">
        <v>1914</v>
      </c>
      <c r="V424" s="165">
        <v>4.6899999999999997E-2</v>
      </c>
      <c r="W424" s="167">
        <v>4.9889999999999997E-2</v>
      </c>
      <c r="X424" s="4" t="s">
        <v>434</v>
      </c>
      <c r="Y424" s="4" t="s">
        <v>159</v>
      </c>
      <c r="Z424" s="153">
        <v>80000</v>
      </c>
      <c r="AA424" s="153">
        <v>1</v>
      </c>
      <c r="AB424" s="153">
        <v>98.9</v>
      </c>
      <c r="AD424" s="153">
        <v>79.12</v>
      </c>
      <c r="AG424" s="2" t="s">
        <v>37</v>
      </c>
      <c r="AH424" s="153">
        <v>0</v>
      </c>
      <c r="AI424" s="167">
        <v>1.0831773763508201E-2</v>
      </c>
      <c r="AJ424" s="167">
        <v>2.5165956201739399E-3</v>
      </c>
    </row>
    <row r="425" spans="1:36">
      <c r="A425" s="2" t="s">
        <v>26</v>
      </c>
      <c r="B425" s="2">
        <v>9937</v>
      </c>
      <c r="C425" s="2" t="s">
        <v>2487</v>
      </c>
      <c r="D425" s="2" t="s">
        <v>2488</v>
      </c>
      <c r="E425" s="4" t="s">
        <v>1345</v>
      </c>
      <c r="F425" s="2" t="s">
        <v>2489</v>
      </c>
      <c r="G425" s="2" t="s">
        <v>2490</v>
      </c>
      <c r="H425" s="2" t="s">
        <v>343</v>
      </c>
      <c r="I425" s="2" t="s">
        <v>777</v>
      </c>
      <c r="J425" s="2" t="s">
        <v>31</v>
      </c>
      <c r="K425" s="2" t="s">
        <v>31</v>
      </c>
      <c r="L425" s="2" t="s">
        <v>349</v>
      </c>
      <c r="M425" s="2" t="s">
        <v>49</v>
      </c>
      <c r="N425" s="2" t="s">
        <v>484</v>
      </c>
      <c r="O425" s="2" t="s">
        <v>159</v>
      </c>
      <c r="P425" s="2" t="s">
        <v>1785</v>
      </c>
      <c r="Q425" s="2" t="s">
        <v>435</v>
      </c>
      <c r="R425" s="2" t="s">
        <v>428</v>
      </c>
      <c r="S425" s="2" t="s">
        <v>45</v>
      </c>
      <c r="T425" s="153">
        <v>1.696</v>
      </c>
      <c r="U425" s="2" t="s">
        <v>2491</v>
      </c>
      <c r="V425" s="165">
        <v>2.1499999999999998E-2</v>
      </c>
      <c r="W425" s="167">
        <v>2.341E-2</v>
      </c>
      <c r="X425" s="4" t="s">
        <v>434</v>
      </c>
      <c r="Y425" s="4" t="s">
        <v>159</v>
      </c>
      <c r="Z425" s="153">
        <v>60000</v>
      </c>
      <c r="AA425" s="153">
        <v>1</v>
      </c>
      <c r="AB425" s="153">
        <v>113.52</v>
      </c>
      <c r="AD425" s="153">
        <v>68.111999999999995</v>
      </c>
      <c r="AG425" s="2" t="s">
        <v>37</v>
      </c>
      <c r="AH425" s="153">
        <v>3.1000000000000001E-5</v>
      </c>
      <c r="AI425" s="167">
        <v>9.3247443703244701E-3</v>
      </c>
      <c r="AJ425" s="167">
        <v>2.1664605773671301E-3</v>
      </c>
    </row>
    <row r="426" spans="1:36">
      <c r="A426" s="2" t="s">
        <v>26</v>
      </c>
      <c r="B426" s="2">
        <v>9937</v>
      </c>
      <c r="C426" s="2" t="s">
        <v>2487</v>
      </c>
      <c r="D426" s="2" t="s">
        <v>2488</v>
      </c>
      <c r="E426" s="4" t="s">
        <v>1345</v>
      </c>
      <c r="F426" s="2" t="s">
        <v>2492</v>
      </c>
      <c r="G426" s="2" t="s">
        <v>2493</v>
      </c>
      <c r="H426" s="2" t="s">
        <v>343</v>
      </c>
      <c r="I426" s="2" t="s">
        <v>777</v>
      </c>
      <c r="J426" s="2" t="s">
        <v>31</v>
      </c>
      <c r="K426" s="2" t="s">
        <v>31</v>
      </c>
      <c r="L426" s="2" t="s">
        <v>349</v>
      </c>
      <c r="M426" s="2" t="s">
        <v>49</v>
      </c>
      <c r="N426" s="2" t="s">
        <v>484</v>
      </c>
      <c r="O426" s="2" t="s">
        <v>159</v>
      </c>
      <c r="P426" s="2" t="s">
        <v>1779</v>
      </c>
      <c r="Q426" s="2" t="s">
        <v>128</v>
      </c>
      <c r="R426" s="2" t="s">
        <v>428</v>
      </c>
      <c r="S426" s="2" t="s">
        <v>45</v>
      </c>
      <c r="T426" s="153">
        <v>1.65</v>
      </c>
      <c r="U426" s="2" t="s">
        <v>2491</v>
      </c>
      <c r="V426" s="165">
        <v>1.6E-2</v>
      </c>
      <c r="W426" s="167">
        <v>2.2440000000000002E-2</v>
      </c>
      <c r="X426" s="4" t="s">
        <v>434</v>
      </c>
      <c r="Y426" s="4" t="s">
        <v>159</v>
      </c>
      <c r="Z426" s="153">
        <v>11221</v>
      </c>
      <c r="AA426" s="153">
        <v>1</v>
      </c>
      <c r="AB426" s="153">
        <v>112.74</v>
      </c>
      <c r="AD426" s="153">
        <v>12.651</v>
      </c>
      <c r="AG426" s="2" t="s">
        <v>37</v>
      </c>
      <c r="AH426" s="153">
        <v>2.9E-5</v>
      </c>
      <c r="AI426" s="167">
        <v>1.7319003295693501E-3</v>
      </c>
      <c r="AJ426" s="167">
        <v>4.0238033761890601E-4</v>
      </c>
    </row>
    <row r="427" spans="1:36">
      <c r="A427" s="2" t="s">
        <v>26</v>
      </c>
      <c r="B427" s="2">
        <v>9937</v>
      </c>
      <c r="C427" s="2" t="s">
        <v>1614</v>
      </c>
      <c r="D427" s="2" t="s">
        <v>1615</v>
      </c>
      <c r="E427" s="4" t="s">
        <v>1345</v>
      </c>
      <c r="F427" s="2" t="s">
        <v>2313</v>
      </c>
      <c r="G427" s="2" t="s">
        <v>2314</v>
      </c>
      <c r="H427" s="2" t="s">
        <v>343</v>
      </c>
      <c r="I427" s="2" t="s">
        <v>777</v>
      </c>
      <c r="J427" s="2" t="s">
        <v>31</v>
      </c>
      <c r="K427" s="2" t="s">
        <v>31</v>
      </c>
      <c r="L427" s="2" t="s">
        <v>349</v>
      </c>
      <c r="M427" s="2" t="s">
        <v>49</v>
      </c>
      <c r="N427" s="2" t="s">
        <v>484</v>
      </c>
      <c r="O427" s="2" t="s">
        <v>159</v>
      </c>
      <c r="P427" s="2" t="s">
        <v>1779</v>
      </c>
      <c r="Q427" s="2" t="s">
        <v>435</v>
      </c>
      <c r="R427" s="2" t="s">
        <v>428</v>
      </c>
      <c r="S427" s="2" t="s">
        <v>45</v>
      </c>
      <c r="T427" s="153">
        <v>0.47099999999999997</v>
      </c>
      <c r="U427" s="2" t="s">
        <v>2315</v>
      </c>
      <c r="V427" s="165">
        <v>0.04</v>
      </c>
      <c r="W427" s="167">
        <v>1.1520000000000001E-2</v>
      </c>
      <c r="X427" s="4" t="s">
        <v>434</v>
      </c>
      <c r="Y427" s="4" t="s">
        <v>159</v>
      </c>
      <c r="Z427" s="153">
        <v>5603.5</v>
      </c>
      <c r="AA427" s="153">
        <v>1</v>
      </c>
      <c r="AB427" s="153">
        <v>112.74</v>
      </c>
      <c r="AD427" s="153">
        <v>6.3170000000000002</v>
      </c>
      <c r="AG427" s="2" t="s">
        <v>37</v>
      </c>
      <c r="AH427" s="153">
        <v>3.4E-5</v>
      </c>
      <c r="AI427" s="167">
        <v>8.6486975285107195E-4</v>
      </c>
      <c r="AJ427" s="167">
        <v>2.0093915175541701E-4</v>
      </c>
    </row>
    <row r="428" spans="1:36">
      <c r="A428" s="2" t="s">
        <v>26</v>
      </c>
      <c r="B428" s="2">
        <v>9937</v>
      </c>
      <c r="C428" s="2" t="s">
        <v>1915</v>
      </c>
      <c r="D428" s="2" t="s">
        <v>1916</v>
      </c>
      <c r="E428" s="4" t="s">
        <v>1345</v>
      </c>
      <c r="F428" s="2" t="s">
        <v>2118</v>
      </c>
      <c r="G428" s="2" t="s">
        <v>2119</v>
      </c>
      <c r="H428" s="2" t="s">
        <v>343</v>
      </c>
      <c r="I428" s="2" t="s">
        <v>777</v>
      </c>
      <c r="J428" s="2" t="s">
        <v>31</v>
      </c>
      <c r="K428" s="2" t="s">
        <v>31</v>
      </c>
      <c r="L428" s="2" t="s">
        <v>349</v>
      </c>
      <c r="M428" s="2" t="s">
        <v>49</v>
      </c>
      <c r="N428" s="2" t="s">
        <v>496</v>
      </c>
      <c r="O428" s="2" t="s">
        <v>159</v>
      </c>
      <c r="P428" s="2" t="s">
        <v>1779</v>
      </c>
      <c r="Q428" s="2" t="s">
        <v>435</v>
      </c>
      <c r="R428" s="2" t="s">
        <v>428</v>
      </c>
      <c r="S428" s="2" t="s">
        <v>45</v>
      </c>
      <c r="T428" s="153">
        <v>2.8919999999999999</v>
      </c>
      <c r="U428" s="2" t="s">
        <v>1919</v>
      </c>
      <c r="V428" s="165">
        <v>2.9899999999999999E-2</v>
      </c>
      <c r="W428" s="167">
        <v>1.8759999999999999E-2</v>
      </c>
      <c r="X428" s="4" t="s">
        <v>434</v>
      </c>
      <c r="Y428" s="4" t="s">
        <v>159</v>
      </c>
      <c r="Z428" s="153">
        <v>30000</v>
      </c>
      <c r="AA428" s="153">
        <v>1</v>
      </c>
      <c r="AB428" s="153">
        <v>116.68</v>
      </c>
      <c r="AD428" s="153">
        <v>35.003999999999998</v>
      </c>
      <c r="AG428" s="2" t="s">
        <v>37</v>
      </c>
      <c r="AH428" s="153">
        <v>1.45E-4</v>
      </c>
      <c r="AI428" s="167">
        <v>4.7921563298513898E-3</v>
      </c>
      <c r="AJ428" s="167">
        <v>1.1133836335764499E-3</v>
      </c>
    </row>
    <row r="429" spans="1:36">
      <c r="A429" s="2" t="s">
        <v>26</v>
      </c>
      <c r="B429" s="2">
        <v>9937</v>
      </c>
      <c r="C429" s="2" t="s">
        <v>1915</v>
      </c>
      <c r="D429" s="2" t="s">
        <v>1916</v>
      </c>
      <c r="E429" s="4" t="s">
        <v>1345</v>
      </c>
      <c r="F429" s="2" t="s">
        <v>1917</v>
      </c>
      <c r="G429" s="2" t="s">
        <v>1918</v>
      </c>
      <c r="H429" s="2" t="s">
        <v>343</v>
      </c>
      <c r="I429" s="2" t="s">
        <v>990</v>
      </c>
      <c r="J429" s="2" t="s">
        <v>31</v>
      </c>
      <c r="K429" s="2" t="s">
        <v>31</v>
      </c>
      <c r="L429" s="2" t="s">
        <v>349</v>
      </c>
      <c r="M429" s="2" t="s">
        <v>49</v>
      </c>
      <c r="N429" s="2" t="s">
        <v>496</v>
      </c>
      <c r="O429" s="2" t="s">
        <v>159</v>
      </c>
      <c r="P429" s="2" t="s">
        <v>1779</v>
      </c>
      <c r="Q429" s="2" t="s">
        <v>435</v>
      </c>
      <c r="R429" s="2" t="s">
        <v>428</v>
      </c>
      <c r="S429" s="2" t="s">
        <v>45</v>
      </c>
      <c r="T429" s="153">
        <v>2.7639999999999998</v>
      </c>
      <c r="U429" s="2" t="s">
        <v>1919</v>
      </c>
      <c r="V429" s="165">
        <v>5.0900000000000001E-2</v>
      </c>
      <c r="W429" s="167">
        <v>4.6390000000000001E-2</v>
      </c>
      <c r="X429" s="4" t="s">
        <v>434</v>
      </c>
      <c r="Y429" s="4" t="s">
        <v>159</v>
      </c>
      <c r="Z429" s="153">
        <v>131951.14000000001</v>
      </c>
      <c r="AA429" s="153">
        <v>1</v>
      </c>
      <c r="AB429" s="153">
        <v>103.64</v>
      </c>
      <c r="AD429" s="153">
        <v>136.75399999999999</v>
      </c>
      <c r="AG429" s="2" t="s">
        <v>37</v>
      </c>
      <c r="AH429" s="153">
        <v>1.83E-4</v>
      </c>
      <c r="AI429" s="167">
        <v>1.87220694962455E-2</v>
      </c>
      <c r="AJ429" s="167">
        <v>4.34978417418344E-3</v>
      </c>
    </row>
    <row r="430" spans="1:36">
      <c r="A430" s="2" t="s">
        <v>26</v>
      </c>
      <c r="B430" s="2">
        <v>9937</v>
      </c>
      <c r="C430" s="2" t="s">
        <v>1915</v>
      </c>
      <c r="D430" s="2" t="s">
        <v>1916</v>
      </c>
      <c r="E430" s="4" t="s">
        <v>1345</v>
      </c>
      <c r="F430" s="2" t="s">
        <v>2327</v>
      </c>
      <c r="G430" s="2" t="s">
        <v>2328</v>
      </c>
      <c r="H430" s="2" t="s">
        <v>343</v>
      </c>
      <c r="I430" s="2" t="s">
        <v>777</v>
      </c>
      <c r="J430" s="2" t="s">
        <v>31</v>
      </c>
      <c r="K430" s="2" t="s">
        <v>31</v>
      </c>
      <c r="L430" s="2" t="s">
        <v>349</v>
      </c>
      <c r="M430" s="2" t="s">
        <v>49</v>
      </c>
      <c r="N430" s="2" t="s">
        <v>496</v>
      </c>
      <c r="O430" s="2" t="s">
        <v>159</v>
      </c>
      <c r="P430" s="2" t="s">
        <v>1779</v>
      </c>
      <c r="Q430" s="2" t="s">
        <v>435</v>
      </c>
      <c r="R430" s="2" t="s">
        <v>428</v>
      </c>
      <c r="S430" s="2" t="s">
        <v>45</v>
      </c>
      <c r="T430" s="153">
        <v>2.4089999999999998</v>
      </c>
      <c r="U430" s="2" t="s">
        <v>2329</v>
      </c>
      <c r="V430" s="165">
        <v>4.2999999999999997E-2</v>
      </c>
      <c r="W430" s="167">
        <v>1.9650000000000001E-2</v>
      </c>
      <c r="X430" s="4" t="s">
        <v>434</v>
      </c>
      <c r="Y430" s="4" t="s">
        <v>159</v>
      </c>
      <c r="Z430" s="153">
        <v>62500</v>
      </c>
      <c r="AA430" s="153">
        <v>1</v>
      </c>
      <c r="AB430" s="153">
        <v>120.32</v>
      </c>
      <c r="AD430" s="153">
        <v>75.2</v>
      </c>
      <c r="AG430" s="2" t="s">
        <v>37</v>
      </c>
      <c r="AH430" s="153">
        <v>1.02E-4</v>
      </c>
      <c r="AI430" s="167">
        <v>1.02951135871565E-2</v>
      </c>
      <c r="AJ430" s="167">
        <v>2.3919109028953602E-3</v>
      </c>
    </row>
    <row r="431" spans="1:36">
      <c r="A431" s="2" t="s">
        <v>26</v>
      </c>
      <c r="B431" s="2">
        <v>9937</v>
      </c>
      <c r="C431" s="2" t="s">
        <v>1920</v>
      </c>
      <c r="D431" s="2" t="s">
        <v>1921</v>
      </c>
      <c r="E431" s="4" t="s">
        <v>1345</v>
      </c>
      <c r="F431" s="2" t="s">
        <v>1922</v>
      </c>
      <c r="G431" s="2" t="s">
        <v>1923</v>
      </c>
      <c r="H431" s="2" t="s">
        <v>343</v>
      </c>
      <c r="I431" s="2" t="s">
        <v>990</v>
      </c>
      <c r="J431" s="2" t="s">
        <v>31</v>
      </c>
      <c r="K431" s="2" t="s">
        <v>31</v>
      </c>
      <c r="L431" s="2" t="s">
        <v>349</v>
      </c>
      <c r="M431" s="2" t="s">
        <v>49</v>
      </c>
      <c r="N431" s="2" t="s">
        <v>460</v>
      </c>
      <c r="O431" s="2" t="s">
        <v>159</v>
      </c>
      <c r="P431" s="2" t="s">
        <v>1810</v>
      </c>
      <c r="Q431" s="2" t="s">
        <v>128</v>
      </c>
      <c r="R431" s="2" t="s">
        <v>428</v>
      </c>
      <c r="S431" s="2" t="s">
        <v>45</v>
      </c>
      <c r="T431" s="153">
        <v>4.556</v>
      </c>
      <c r="U431" s="2" t="s">
        <v>1924</v>
      </c>
      <c r="V431" s="165">
        <v>6.7699999999999996E-2</v>
      </c>
      <c r="W431" s="167">
        <v>5.8840000000000003E-2</v>
      </c>
      <c r="X431" s="4" t="s">
        <v>434</v>
      </c>
      <c r="Y431" s="4" t="s">
        <v>159</v>
      </c>
      <c r="Z431" s="153">
        <v>50000</v>
      </c>
      <c r="AA431" s="153">
        <v>1</v>
      </c>
      <c r="AB431" s="153">
        <v>108.96</v>
      </c>
      <c r="AD431" s="153">
        <v>54.48</v>
      </c>
      <c r="AG431" s="2" t="s">
        <v>37</v>
      </c>
      <c r="AH431" s="153">
        <v>0</v>
      </c>
      <c r="AI431" s="167">
        <v>7.45848122643994E-3</v>
      </c>
      <c r="AJ431" s="167">
        <v>1.7328631115656799E-3</v>
      </c>
    </row>
    <row r="432" spans="1:36">
      <c r="A432" s="2" t="s">
        <v>26</v>
      </c>
      <c r="B432" s="2">
        <v>9937</v>
      </c>
      <c r="C432" s="2" t="s">
        <v>2124</v>
      </c>
      <c r="D432" s="2" t="s">
        <v>2125</v>
      </c>
      <c r="E432" s="4" t="s">
        <v>1345</v>
      </c>
      <c r="F432" s="2" t="s">
        <v>2330</v>
      </c>
      <c r="G432" s="2" t="s">
        <v>2331</v>
      </c>
      <c r="H432" s="2" t="s">
        <v>343</v>
      </c>
      <c r="I432" s="2" t="s">
        <v>778</v>
      </c>
      <c r="J432" s="2" t="s">
        <v>31</v>
      </c>
      <c r="K432" s="2" t="s">
        <v>31</v>
      </c>
      <c r="L432" s="2" t="s">
        <v>349</v>
      </c>
      <c r="M432" s="2" t="s">
        <v>49</v>
      </c>
      <c r="N432" s="2" t="s">
        <v>474</v>
      </c>
      <c r="O432" s="2" t="s">
        <v>159</v>
      </c>
      <c r="P432" s="2" t="s">
        <v>33</v>
      </c>
      <c r="Q432" s="2" t="s">
        <v>128</v>
      </c>
      <c r="R432" s="2" t="s">
        <v>428</v>
      </c>
      <c r="S432" s="2" t="s">
        <v>45</v>
      </c>
      <c r="T432" s="153">
        <v>3.44</v>
      </c>
      <c r="U432" s="2" t="s">
        <v>2128</v>
      </c>
      <c r="V432" s="165">
        <v>4.6899999999999997E-2</v>
      </c>
      <c r="W432" s="167">
        <v>7.0639999999999994E-2</v>
      </c>
      <c r="X432" s="4" t="s">
        <v>434</v>
      </c>
      <c r="Y432" s="4" t="s">
        <v>159</v>
      </c>
      <c r="Z432" s="153">
        <v>18557.97</v>
      </c>
      <c r="AA432" s="153">
        <v>1</v>
      </c>
      <c r="AB432" s="153">
        <v>99.26</v>
      </c>
      <c r="AD432" s="153">
        <v>18.420999999999999</v>
      </c>
      <c r="AG432" s="2" t="s">
        <v>37</v>
      </c>
      <c r="AH432" s="153">
        <v>1.5E-5</v>
      </c>
      <c r="AI432" s="167">
        <v>2.52184297433143E-3</v>
      </c>
      <c r="AJ432" s="167">
        <v>5.8591133110163899E-4</v>
      </c>
    </row>
    <row r="433" spans="1:36">
      <c r="A433" s="2" t="s">
        <v>26</v>
      </c>
      <c r="B433" s="2">
        <v>9937</v>
      </c>
      <c r="C433" s="2" t="s">
        <v>1930</v>
      </c>
      <c r="D433" s="2" t="s">
        <v>1931</v>
      </c>
      <c r="E433" s="4" t="s">
        <v>335</v>
      </c>
      <c r="F433" s="2" t="s">
        <v>1932</v>
      </c>
      <c r="G433" s="2" t="s">
        <v>1933</v>
      </c>
      <c r="H433" s="2" t="s">
        <v>343</v>
      </c>
      <c r="I433" s="2" t="s">
        <v>778</v>
      </c>
      <c r="J433" s="2" t="s">
        <v>124</v>
      </c>
      <c r="K433" s="2" t="s">
        <v>125</v>
      </c>
      <c r="L433" s="2" t="s">
        <v>349</v>
      </c>
      <c r="M433" s="2" t="s">
        <v>336</v>
      </c>
      <c r="N433" s="2" t="s">
        <v>499</v>
      </c>
      <c r="O433" s="2" t="s">
        <v>159</v>
      </c>
      <c r="P433" s="2" t="s">
        <v>1795</v>
      </c>
      <c r="Q433" s="2" t="s">
        <v>453</v>
      </c>
      <c r="R433" s="2" t="s">
        <v>428</v>
      </c>
      <c r="S433" s="2" t="s">
        <v>35</v>
      </c>
      <c r="T433" s="153">
        <v>4.0599999999999996</v>
      </c>
      <c r="U433" s="2" t="s">
        <v>1934</v>
      </c>
      <c r="V433" s="165">
        <v>1.985E-2</v>
      </c>
      <c r="W433" s="167">
        <v>5.645E-2</v>
      </c>
      <c r="X433" s="4" t="s">
        <v>434</v>
      </c>
      <c r="Y433" s="4" t="s">
        <v>159</v>
      </c>
      <c r="Z433" s="153">
        <v>45000</v>
      </c>
      <c r="AA433" s="153">
        <v>3.681</v>
      </c>
      <c r="AB433" s="153">
        <v>86.867000000000004</v>
      </c>
      <c r="AD433" s="153">
        <v>144.24700000000001</v>
      </c>
      <c r="AG433" s="2" t="s">
        <v>37</v>
      </c>
      <c r="AH433" s="153">
        <v>0</v>
      </c>
      <c r="AI433" s="167">
        <v>1.97478916245271E-2</v>
      </c>
      <c r="AJ433" s="167">
        <v>4.5881181286654199E-3</v>
      </c>
    </row>
    <row r="434" spans="1:36">
      <c r="A434" s="2" t="s">
        <v>26</v>
      </c>
      <c r="B434" s="2">
        <v>9937</v>
      </c>
      <c r="C434" s="2" t="s">
        <v>2332</v>
      </c>
      <c r="D434" s="2" t="s">
        <v>2333</v>
      </c>
      <c r="E434" s="4" t="s">
        <v>335</v>
      </c>
      <c r="F434" s="2" t="s">
        <v>2334</v>
      </c>
      <c r="G434" s="2" t="s">
        <v>2335</v>
      </c>
      <c r="H434" s="2" t="s">
        <v>343</v>
      </c>
      <c r="I434" s="2" t="s">
        <v>778</v>
      </c>
      <c r="J434" s="2" t="s">
        <v>124</v>
      </c>
      <c r="K434" s="2" t="s">
        <v>125</v>
      </c>
      <c r="L434" s="2" t="s">
        <v>349</v>
      </c>
      <c r="M434" s="2" t="s">
        <v>336</v>
      </c>
      <c r="N434" s="2" t="s">
        <v>1637</v>
      </c>
      <c r="O434" s="2" t="s">
        <v>159</v>
      </c>
      <c r="P434" s="2" t="s">
        <v>2023</v>
      </c>
      <c r="Q434" s="2" t="s">
        <v>34</v>
      </c>
      <c r="R434" s="2" t="s">
        <v>428</v>
      </c>
      <c r="S434" s="2" t="s">
        <v>35</v>
      </c>
      <c r="T434" s="153">
        <v>1.73</v>
      </c>
      <c r="U434" s="2" t="s">
        <v>2336</v>
      </c>
      <c r="V434" s="165">
        <v>2.196E-2</v>
      </c>
      <c r="W434" s="167">
        <v>5.9720000000000002E-2</v>
      </c>
      <c r="X434" s="4" t="s">
        <v>434</v>
      </c>
      <c r="Y434" s="4" t="s">
        <v>159</v>
      </c>
      <c r="Z434" s="153">
        <v>13000</v>
      </c>
      <c r="AA434" s="153">
        <v>3.681</v>
      </c>
      <c r="AB434" s="153">
        <v>94.027000000000001</v>
      </c>
      <c r="AD434" s="153">
        <v>45.155999999999999</v>
      </c>
      <c r="AG434" s="2" t="s">
        <v>37</v>
      </c>
      <c r="AH434" s="153">
        <v>1.9999999999999999E-6</v>
      </c>
      <c r="AI434" s="167">
        <v>6.1819514791104004E-3</v>
      </c>
      <c r="AJ434" s="167">
        <v>1.4362811074276199E-3</v>
      </c>
    </row>
    <row r="435" spans="1:36">
      <c r="A435" s="2" t="s">
        <v>26</v>
      </c>
      <c r="B435" s="2">
        <v>9937</v>
      </c>
      <c r="C435" s="2" t="s">
        <v>2337</v>
      </c>
      <c r="D435" s="2" t="s">
        <v>2338</v>
      </c>
      <c r="E435" s="4" t="s">
        <v>335</v>
      </c>
      <c r="F435" s="2" t="s">
        <v>2339</v>
      </c>
      <c r="G435" s="2" t="s">
        <v>2340</v>
      </c>
      <c r="H435" s="2" t="s">
        <v>343</v>
      </c>
      <c r="I435" s="2" t="s">
        <v>778</v>
      </c>
      <c r="J435" s="2" t="s">
        <v>124</v>
      </c>
      <c r="K435" s="2" t="s">
        <v>125</v>
      </c>
      <c r="L435" s="2" t="s">
        <v>349</v>
      </c>
      <c r="M435" s="2" t="s">
        <v>336</v>
      </c>
      <c r="N435" s="2" t="s">
        <v>557</v>
      </c>
      <c r="O435" s="2" t="s">
        <v>159</v>
      </c>
      <c r="P435" s="2" t="s">
        <v>1986</v>
      </c>
      <c r="Q435" s="2" t="s">
        <v>34</v>
      </c>
      <c r="R435" s="2" t="s">
        <v>428</v>
      </c>
      <c r="S435" s="2" t="s">
        <v>35</v>
      </c>
      <c r="T435" s="153">
        <v>0.12</v>
      </c>
      <c r="U435" s="2" t="s">
        <v>2341</v>
      </c>
      <c r="V435" s="165">
        <v>4.1399999999999999E-2</v>
      </c>
      <c r="W435" s="167">
        <v>6.583E-2</v>
      </c>
      <c r="X435" s="4" t="s">
        <v>434</v>
      </c>
      <c r="Y435" s="4" t="s">
        <v>159</v>
      </c>
      <c r="Z435" s="153">
        <v>25000</v>
      </c>
      <c r="AA435" s="153">
        <v>3.681</v>
      </c>
      <c r="AB435" s="153">
        <v>99.724000000000004</v>
      </c>
      <c r="AD435" s="153">
        <v>93.084000000000003</v>
      </c>
      <c r="AG435" s="2" t="s">
        <v>37</v>
      </c>
      <c r="AH435" s="153">
        <v>1.7E-5</v>
      </c>
      <c r="AI435" s="167">
        <v>1.27434403797686E-2</v>
      </c>
      <c r="AJ435" s="167">
        <v>2.9607418827114198E-3</v>
      </c>
    </row>
    <row r="436" spans="1:36">
      <c r="A436" s="2" t="s">
        <v>26</v>
      </c>
      <c r="B436" s="2">
        <v>9937</v>
      </c>
      <c r="C436" s="2" t="s">
        <v>2342</v>
      </c>
      <c r="D436" s="2" t="s">
        <v>2343</v>
      </c>
      <c r="E436" s="4" t="s">
        <v>335</v>
      </c>
      <c r="F436" s="2" t="s">
        <v>2344</v>
      </c>
      <c r="G436" s="2" t="s">
        <v>2345</v>
      </c>
      <c r="H436" s="2" t="s">
        <v>343</v>
      </c>
      <c r="I436" s="2" t="s">
        <v>778</v>
      </c>
      <c r="J436" s="2" t="s">
        <v>124</v>
      </c>
      <c r="K436" s="2" t="s">
        <v>125</v>
      </c>
      <c r="L436" s="2" t="s">
        <v>349</v>
      </c>
      <c r="M436" s="2" t="s">
        <v>336</v>
      </c>
      <c r="N436" s="2" t="s">
        <v>533</v>
      </c>
      <c r="O436" s="2" t="s">
        <v>159</v>
      </c>
      <c r="P436" s="2" t="s">
        <v>2016</v>
      </c>
      <c r="Q436" s="2" t="s">
        <v>453</v>
      </c>
      <c r="R436" s="2" t="s">
        <v>428</v>
      </c>
      <c r="S436" s="2" t="s">
        <v>35</v>
      </c>
      <c r="T436" s="153">
        <v>0.96</v>
      </c>
      <c r="U436" s="2" t="s">
        <v>2346</v>
      </c>
      <c r="V436" s="165">
        <v>4.3499999999999997E-2</v>
      </c>
      <c r="W436" s="167">
        <v>5.6349999999999997E-2</v>
      </c>
      <c r="X436" s="4" t="s">
        <v>434</v>
      </c>
      <c r="Y436" s="4" t="s">
        <v>159</v>
      </c>
      <c r="Z436" s="153">
        <v>13000</v>
      </c>
      <c r="AA436" s="153">
        <v>3.681</v>
      </c>
      <c r="AB436" s="153">
        <v>98.778999999999996</v>
      </c>
      <c r="AC436" s="153">
        <v>0.28100000000000003</v>
      </c>
      <c r="AD436" s="153">
        <v>48.305</v>
      </c>
      <c r="AG436" s="2" t="s">
        <v>37</v>
      </c>
      <c r="AH436" s="153">
        <v>1.2999999999999999E-5</v>
      </c>
      <c r="AI436" s="167">
        <v>6.6130585646179199E-3</v>
      </c>
      <c r="AJ436" s="167">
        <v>1.5364421915585701E-3</v>
      </c>
    </row>
    <row r="437" spans="1:36">
      <c r="A437" s="2" t="s">
        <v>26</v>
      </c>
      <c r="B437" s="2">
        <v>9937</v>
      </c>
      <c r="C437" s="2" t="s">
        <v>2371</v>
      </c>
      <c r="D437" s="2" t="s">
        <v>2372</v>
      </c>
      <c r="E437" s="4" t="s">
        <v>334</v>
      </c>
      <c r="F437" s="2" t="s">
        <v>2373</v>
      </c>
      <c r="G437" s="2" t="s">
        <v>2374</v>
      </c>
      <c r="H437" s="2" t="s">
        <v>343</v>
      </c>
      <c r="I437" s="2" t="s">
        <v>778</v>
      </c>
      <c r="J437" s="2" t="s">
        <v>31</v>
      </c>
      <c r="K437" s="2" t="s">
        <v>31</v>
      </c>
      <c r="L437" s="2" t="s">
        <v>349</v>
      </c>
      <c r="M437" s="2" t="s">
        <v>49</v>
      </c>
      <c r="N437" s="2" t="s">
        <v>501</v>
      </c>
      <c r="O437" s="2" t="s">
        <v>159</v>
      </c>
      <c r="P437" s="2" t="s">
        <v>1785</v>
      </c>
      <c r="Q437" s="2" t="s">
        <v>435</v>
      </c>
      <c r="R437" s="2" t="s">
        <v>428</v>
      </c>
      <c r="S437" s="2" t="s">
        <v>45</v>
      </c>
      <c r="T437" s="153">
        <v>1.23</v>
      </c>
      <c r="U437" s="2" t="s">
        <v>2375</v>
      </c>
      <c r="V437" s="165">
        <v>3.3700000000000001E-2</v>
      </c>
      <c r="W437" s="167">
        <v>6.4079999999999998E-2</v>
      </c>
      <c r="X437" s="4" t="s">
        <v>434</v>
      </c>
      <c r="Y437" s="4" t="s">
        <v>159</v>
      </c>
      <c r="Z437" s="153">
        <v>6332.67</v>
      </c>
      <c r="AA437" s="153">
        <v>1</v>
      </c>
      <c r="AB437" s="153">
        <v>101.54</v>
      </c>
      <c r="AD437" s="153">
        <v>6.43</v>
      </c>
      <c r="AG437" s="2" t="s">
        <v>37</v>
      </c>
      <c r="AH437" s="153">
        <v>3.0000000000000001E-5</v>
      </c>
      <c r="AI437" s="167">
        <v>8.8031341139842702E-4</v>
      </c>
      <c r="AJ437" s="167">
        <v>2.0452724769503801E-4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21"/>
  <sheetViews>
    <sheetView rightToLeft="1" zoomScale="70" zoomScaleNormal="70" workbookViewId="0"/>
  </sheetViews>
  <sheetFormatPr defaultColWidth="9" defaultRowHeight="14"/>
  <cols>
    <col min="1" max="11" width="11.58203125" style="4" customWidth="1"/>
    <col min="12" max="13" width="11.58203125" style="2" customWidth="1"/>
    <col min="14" max="19" width="11.58203125" style="4" customWidth="1"/>
    <col min="20" max="20" width="11.58203125" style="2" customWidth="1"/>
    <col min="21" max="26" width="11.582031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348</v>
      </c>
      <c r="M1" s="22" t="s">
        <v>8</v>
      </c>
      <c r="N1" s="22" t="s">
        <v>172</v>
      </c>
      <c r="O1" s="22" t="s">
        <v>145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6" t="s">
        <v>23</v>
      </c>
      <c r="W1" s="166" t="s">
        <v>24</v>
      </c>
      <c r="X1" s="166" t="s">
        <v>25</v>
      </c>
    </row>
    <row r="2" spans="1:24">
      <c r="A2" s="21" t="s">
        <v>26</v>
      </c>
      <c r="B2" s="21">
        <v>1522</v>
      </c>
      <c r="C2" s="21" t="s">
        <v>1508</v>
      </c>
      <c r="D2" s="21" t="s">
        <v>1509</v>
      </c>
      <c r="E2" s="21" t="s">
        <v>1345</v>
      </c>
      <c r="F2" s="21" t="s">
        <v>1510</v>
      </c>
      <c r="G2" s="21" t="s">
        <v>1511</v>
      </c>
      <c r="H2" s="21" t="s">
        <v>343</v>
      </c>
      <c r="I2" s="21" t="s">
        <v>954</v>
      </c>
      <c r="J2" s="21" t="s">
        <v>31</v>
      </c>
      <c r="K2" s="21" t="s">
        <v>312</v>
      </c>
      <c r="L2" s="23" t="s">
        <v>349</v>
      </c>
      <c r="M2" s="21" t="s">
        <v>368</v>
      </c>
      <c r="N2" s="23" t="s">
        <v>478</v>
      </c>
      <c r="O2" s="23" t="s">
        <v>159</v>
      </c>
      <c r="P2" s="21" t="s">
        <v>35</v>
      </c>
      <c r="Q2" s="155">
        <v>60</v>
      </c>
      <c r="R2" s="155">
        <v>3.681</v>
      </c>
      <c r="S2" s="155">
        <v>177.38</v>
      </c>
      <c r="T2" s="23"/>
      <c r="U2" s="155">
        <v>39.176000000000002</v>
      </c>
      <c r="V2" s="171">
        <v>1.9999999999999999E-6</v>
      </c>
      <c r="W2" s="171">
        <v>1.7755242296835901E-2</v>
      </c>
      <c r="X2" s="171">
        <v>3.88357259130869E-3</v>
      </c>
    </row>
    <row r="3" spans="1:24">
      <c r="A3" s="21" t="s">
        <v>26</v>
      </c>
      <c r="B3" s="21">
        <v>1522</v>
      </c>
      <c r="C3" s="21" t="s">
        <v>1512</v>
      </c>
      <c r="D3" s="21" t="s">
        <v>1513</v>
      </c>
      <c r="E3" s="21" t="s">
        <v>1345</v>
      </c>
      <c r="F3" s="21" t="s">
        <v>1514</v>
      </c>
      <c r="G3" s="21" t="s">
        <v>1515</v>
      </c>
      <c r="H3" s="21" t="s">
        <v>343</v>
      </c>
      <c r="I3" s="21" t="s">
        <v>954</v>
      </c>
      <c r="J3" s="21" t="s">
        <v>31</v>
      </c>
      <c r="K3" s="21" t="s">
        <v>31</v>
      </c>
      <c r="L3" s="23" t="s">
        <v>349</v>
      </c>
      <c r="M3" s="21" t="s">
        <v>49</v>
      </c>
      <c r="N3" s="23" t="s">
        <v>501</v>
      </c>
      <c r="O3" s="23" t="s">
        <v>159</v>
      </c>
      <c r="P3" s="21" t="s">
        <v>45</v>
      </c>
      <c r="Q3" s="155">
        <v>5100</v>
      </c>
      <c r="R3" s="155">
        <v>1</v>
      </c>
      <c r="S3" s="155">
        <v>312.3</v>
      </c>
      <c r="T3" s="23"/>
      <c r="U3" s="155">
        <v>15.927</v>
      </c>
      <c r="V3" s="171">
        <v>4.0499999999999998E-4</v>
      </c>
      <c r="W3" s="171">
        <v>7.2185014028585898E-3</v>
      </c>
      <c r="X3" s="171">
        <v>1.57888998245103E-3</v>
      </c>
    </row>
    <row r="4" spans="1:24">
      <c r="A4" s="21" t="s">
        <v>26</v>
      </c>
      <c r="B4" s="21">
        <v>1522</v>
      </c>
      <c r="C4" s="21" t="s">
        <v>1516</v>
      </c>
      <c r="D4" s="21" t="s">
        <v>1517</v>
      </c>
      <c r="E4" s="21" t="s">
        <v>1345</v>
      </c>
      <c r="F4" s="21" t="s">
        <v>1518</v>
      </c>
      <c r="G4" s="21" t="s">
        <v>1519</v>
      </c>
      <c r="H4" s="21" t="s">
        <v>343</v>
      </c>
      <c r="I4" s="21" t="s">
        <v>954</v>
      </c>
      <c r="J4" s="21" t="s">
        <v>31</v>
      </c>
      <c r="K4" s="21" t="s">
        <v>31</v>
      </c>
      <c r="L4" s="23" t="s">
        <v>349</v>
      </c>
      <c r="M4" s="21" t="s">
        <v>49</v>
      </c>
      <c r="N4" s="23" t="s">
        <v>466</v>
      </c>
      <c r="O4" s="23" t="s">
        <v>159</v>
      </c>
      <c r="P4" s="21" t="s">
        <v>45</v>
      </c>
      <c r="Q4" s="155">
        <v>22</v>
      </c>
      <c r="R4" s="155">
        <v>1</v>
      </c>
      <c r="S4" s="155">
        <v>77500</v>
      </c>
      <c r="T4" s="23"/>
      <c r="U4" s="155">
        <v>17.05</v>
      </c>
      <c r="V4" s="171">
        <v>0</v>
      </c>
      <c r="W4" s="171">
        <v>7.72732659764925E-3</v>
      </c>
      <c r="X4" s="171">
        <v>1.6901844129758399E-3</v>
      </c>
    </row>
    <row r="5" spans="1:24">
      <c r="A5" s="21" t="s">
        <v>26</v>
      </c>
      <c r="B5" s="21">
        <v>1522</v>
      </c>
      <c r="C5" s="21" t="s">
        <v>1520</v>
      </c>
      <c r="D5" s="21" t="s">
        <v>1521</v>
      </c>
      <c r="E5" s="21" t="s">
        <v>1345</v>
      </c>
      <c r="F5" s="21" t="s">
        <v>1522</v>
      </c>
      <c r="G5" s="21" t="s">
        <v>1523</v>
      </c>
      <c r="H5" s="21" t="s">
        <v>343</v>
      </c>
      <c r="I5" s="21" t="s">
        <v>954</v>
      </c>
      <c r="J5" s="21" t="s">
        <v>31</v>
      </c>
      <c r="K5" s="21" t="s">
        <v>31</v>
      </c>
      <c r="L5" s="23" t="s">
        <v>349</v>
      </c>
      <c r="M5" s="21" t="s">
        <v>49</v>
      </c>
      <c r="N5" s="23" t="s">
        <v>484</v>
      </c>
      <c r="O5" s="23" t="s">
        <v>159</v>
      </c>
      <c r="P5" s="21" t="s">
        <v>45</v>
      </c>
      <c r="Q5" s="155">
        <v>1400</v>
      </c>
      <c r="R5" s="155">
        <v>1</v>
      </c>
      <c r="S5" s="155">
        <v>2653</v>
      </c>
      <c r="T5" s="156">
        <v>0.252</v>
      </c>
      <c r="U5" s="155">
        <v>37.393999999999998</v>
      </c>
      <c r="V5" s="171">
        <v>7.9999999999999996E-6</v>
      </c>
      <c r="W5" s="171">
        <v>1.6947545501026201E-2</v>
      </c>
      <c r="X5" s="171">
        <v>3.7069065066755698E-3</v>
      </c>
    </row>
    <row r="6" spans="1:24">
      <c r="A6" s="21" t="s">
        <v>26</v>
      </c>
      <c r="B6" s="21">
        <v>1522</v>
      </c>
      <c r="C6" s="21" t="s">
        <v>1524</v>
      </c>
      <c r="D6" s="21" t="s">
        <v>1525</v>
      </c>
      <c r="E6" s="21" t="s">
        <v>1345</v>
      </c>
      <c r="F6" s="21" t="s">
        <v>1526</v>
      </c>
      <c r="G6" s="21" t="s">
        <v>1527</v>
      </c>
      <c r="H6" s="21" t="s">
        <v>343</v>
      </c>
      <c r="I6" s="21" t="s">
        <v>954</v>
      </c>
      <c r="J6" s="21" t="s">
        <v>31</v>
      </c>
      <c r="K6" s="21" t="s">
        <v>31</v>
      </c>
      <c r="L6" s="23" t="s">
        <v>349</v>
      </c>
      <c r="M6" s="21" t="s">
        <v>49</v>
      </c>
      <c r="N6" s="23" t="s">
        <v>484</v>
      </c>
      <c r="O6" s="23" t="s">
        <v>159</v>
      </c>
      <c r="P6" s="21" t="s">
        <v>45</v>
      </c>
      <c r="Q6" s="155">
        <v>3039</v>
      </c>
      <c r="R6" s="155">
        <v>1</v>
      </c>
      <c r="S6" s="155">
        <v>1749</v>
      </c>
      <c r="T6" s="23"/>
      <c r="U6" s="155">
        <v>53.152000000000001</v>
      </c>
      <c r="V6" s="171">
        <v>6.0000000000000002E-6</v>
      </c>
      <c r="W6" s="171">
        <v>2.4089367350391699E-2</v>
      </c>
      <c r="X6" s="171">
        <v>5.2690245066731398E-3</v>
      </c>
    </row>
    <row r="7" spans="1:24">
      <c r="A7" s="21" t="s">
        <v>26</v>
      </c>
      <c r="B7" s="21">
        <v>1522</v>
      </c>
      <c r="C7" s="21" t="s">
        <v>1528</v>
      </c>
      <c r="D7" s="21" t="s">
        <v>1529</v>
      </c>
      <c r="E7" s="21" t="s">
        <v>1345</v>
      </c>
      <c r="F7" s="21" t="s">
        <v>1530</v>
      </c>
      <c r="G7" s="21" t="s">
        <v>1531</v>
      </c>
      <c r="H7" s="21" t="s">
        <v>343</v>
      </c>
      <c r="I7" s="21" t="s">
        <v>954</v>
      </c>
      <c r="J7" s="21" t="s">
        <v>31</v>
      </c>
      <c r="K7" s="21" t="s">
        <v>31</v>
      </c>
      <c r="L7" s="23" t="s">
        <v>349</v>
      </c>
      <c r="M7" s="21" t="s">
        <v>49</v>
      </c>
      <c r="N7" s="23" t="s">
        <v>461</v>
      </c>
      <c r="O7" s="23" t="s">
        <v>159</v>
      </c>
      <c r="P7" s="21" t="s">
        <v>45</v>
      </c>
      <c r="Q7" s="155">
        <v>918.8</v>
      </c>
      <c r="R7" s="155">
        <v>1</v>
      </c>
      <c r="S7" s="155">
        <v>6299</v>
      </c>
      <c r="T7" s="23"/>
      <c r="U7" s="155">
        <v>57.875</v>
      </c>
      <c r="V7" s="171">
        <v>7.9999999999999996E-6</v>
      </c>
      <c r="W7" s="171">
        <v>2.62299510282809E-2</v>
      </c>
      <c r="X7" s="171">
        <v>5.7372305700922003E-3</v>
      </c>
    </row>
    <row r="8" spans="1:24">
      <c r="A8" s="21" t="s">
        <v>26</v>
      </c>
      <c r="B8" s="21">
        <v>1522</v>
      </c>
      <c r="C8" s="21" t="s">
        <v>1532</v>
      </c>
      <c r="D8" s="21" t="s">
        <v>1533</v>
      </c>
      <c r="E8" s="21" t="s">
        <v>1345</v>
      </c>
      <c r="F8" s="21" t="s">
        <v>1534</v>
      </c>
      <c r="G8" s="21" t="s">
        <v>1535</v>
      </c>
      <c r="H8" s="21" t="s">
        <v>343</v>
      </c>
      <c r="I8" s="21" t="s">
        <v>954</v>
      </c>
      <c r="J8" s="21" t="s">
        <v>31</v>
      </c>
      <c r="K8" s="21" t="s">
        <v>31</v>
      </c>
      <c r="L8" s="23" t="s">
        <v>349</v>
      </c>
      <c r="M8" s="21" t="s">
        <v>49</v>
      </c>
      <c r="N8" s="23" t="s">
        <v>461</v>
      </c>
      <c r="O8" s="23" t="s">
        <v>159</v>
      </c>
      <c r="P8" s="21" t="s">
        <v>45</v>
      </c>
      <c r="Q8" s="155">
        <v>6766</v>
      </c>
      <c r="R8" s="155">
        <v>1</v>
      </c>
      <c r="S8" s="155">
        <v>1352</v>
      </c>
      <c r="T8" s="23"/>
      <c r="U8" s="155">
        <v>91.475999999999999</v>
      </c>
      <c r="V8" s="171">
        <v>1.2E-5</v>
      </c>
      <c r="W8" s="171">
        <v>4.14584985683914E-2</v>
      </c>
      <c r="X8" s="171">
        <v>9.0681437079407502E-3</v>
      </c>
    </row>
    <row r="9" spans="1:24">
      <c r="A9" s="21" t="s">
        <v>26</v>
      </c>
      <c r="B9" s="21">
        <v>1522</v>
      </c>
      <c r="C9" s="21" t="s">
        <v>1536</v>
      </c>
      <c r="D9" s="21" t="s">
        <v>1537</v>
      </c>
      <c r="E9" s="21" t="s">
        <v>1345</v>
      </c>
      <c r="F9" s="21" t="s">
        <v>1538</v>
      </c>
      <c r="G9" s="21" t="s">
        <v>1539</v>
      </c>
      <c r="H9" s="21" t="s">
        <v>343</v>
      </c>
      <c r="I9" s="21" t="s">
        <v>954</v>
      </c>
      <c r="J9" s="21" t="s">
        <v>31</v>
      </c>
      <c r="K9" s="21" t="s">
        <v>31</v>
      </c>
      <c r="L9" s="23" t="s">
        <v>349</v>
      </c>
      <c r="M9" s="21" t="s">
        <v>49</v>
      </c>
      <c r="N9" s="23" t="s">
        <v>505</v>
      </c>
      <c r="O9" s="23" t="s">
        <v>159</v>
      </c>
      <c r="P9" s="21" t="s">
        <v>45</v>
      </c>
      <c r="Q9" s="155">
        <v>16485</v>
      </c>
      <c r="R9" s="155">
        <v>1</v>
      </c>
      <c r="S9" s="155">
        <v>473</v>
      </c>
      <c r="T9" s="23"/>
      <c r="U9" s="155">
        <v>77.974000000000004</v>
      </c>
      <c r="V9" s="171">
        <v>6.0000000000000002E-6</v>
      </c>
      <c r="W9" s="171">
        <v>3.5339058679849399E-2</v>
      </c>
      <c r="X9" s="171">
        <v>7.7296494971612097E-3</v>
      </c>
    </row>
    <row r="10" spans="1:24">
      <c r="A10" s="21" t="s">
        <v>26</v>
      </c>
      <c r="B10" s="21">
        <v>1522</v>
      </c>
      <c r="C10" s="21" t="s">
        <v>1354</v>
      </c>
      <c r="D10" s="21" t="s">
        <v>1355</v>
      </c>
      <c r="E10" s="21" t="s">
        <v>1345</v>
      </c>
      <c r="F10" s="21" t="s">
        <v>1540</v>
      </c>
      <c r="G10" s="21" t="s">
        <v>1541</v>
      </c>
      <c r="H10" s="21" t="s">
        <v>343</v>
      </c>
      <c r="I10" s="21" t="s">
        <v>954</v>
      </c>
      <c r="J10" s="21" t="s">
        <v>31</v>
      </c>
      <c r="K10" s="21" t="s">
        <v>31</v>
      </c>
      <c r="L10" s="23" t="s">
        <v>349</v>
      </c>
      <c r="M10" s="21" t="s">
        <v>49</v>
      </c>
      <c r="N10" s="23" t="s">
        <v>459</v>
      </c>
      <c r="O10" s="23" t="s">
        <v>159</v>
      </c>
      <c r="P10" s="21" t="s">
        <v>45</v>
      </c>
      <c r="Q10" s="155">
        <v>0.12</v>
      </c>
      <c r="R10" s="155">
        <v>1</v>
      </c>
      <c r="S10" s="155">
        <v>439.6</v>
      </c>
      <c r="T10" s="23"/>
      <c r="U10" s="155">
        <v>1E-3</v>
      </c>
      <c r="V10" s="171">
        <v>0</v>
      </c>
      <c r="W10" s="171">
        <v>2.39080312421814E-7</v>
      </c>
      <c r="X10" s="171">
        <v>5.2293611820118101E-8</v>
      </c>
    </row>
    <row r="11" spans="1:24">
      <c r="A11" s="21" t="s">
        <v>26</v>
      </c>
      <c r="B11" s="21">
        <v>1522</v>
      </c>
      <c r="C11" s="21" t="s">
        <v>1542</v>
      </c>
      <c r="D11" s="21" t="s">
        <v>1543</v>
      </c>
      <c r="E11" s="21" t="s">
        <v>1345</v>
      </c>
      <c r="F11" s="21" t="s">
        <v>1544</v>
      </c>
      <c r="G11" s="21" t="s">
        <v>1545</v>
      </c>
      <c r="H11" s="21" t="s">
        <v>343</v>
      </c>
      <c r="I11" s="21" t="s">
        <v>954</v>
      </c>
      <c r="J11" s="21" t="s">
        <v>31</v>
      </c>
      <c r="K11" s="21" t="s">
        <v>31</v>
      </c>
      <c r="L11" s="23" t="s">
        <v>349</v>
      </c>
      <c r="M11" s="21" t="s">
        <v>49</v>
      </c>
      <c r="N11" s="23" t="s">
        <v>468</v>
      </c>
      <c r="O11" s="23" t="s">
        <v>159</v>
      </c>
      <c r="P11" s="21" t="s">
        <v>45</v>
      </c>
      <c r="Q11" s="155">
        <v>8539</v>
      </c>
      <c r="R11" s="155">
        <v>1</v>
      </c>
      <c r="S11" s="155">
        <v>1946</v>
      </c>
      <c r="T11" s="156">
        <v>1.2689999999999999</v>
      </c>
      <c r="U11" s="155">
        <v>167.43799999999999</v>
      </c>
      <c r="V11" s="171">
        <v>6.9999999999999999E-6</v>
      </c>
      <c r="W11" s="171">
        <v>7.5885383733678397E-2</v>
      </c>
      <c r="X11" s="171">
        <v>1.6598275113461802E-2</v>
      </c>
    </row>
    <row r="12" spans="1:24">
      <c r="A12" s="21" t="s">
        <v>26</v>
      </c>
      <c r="B12" s="21">
        <v>1522</v>
      </c>
      <c r="C12" s="21" t="s">
        <v>1546</v>
      </c>
      <c r="D12" s="21" t="s">
        <v>1547</v>
      </c>
      <c r="E12" s="21" t="s">
        <v>1345</v>
      </c>
      <c r="F12" s="21" t="s">
        <v>1548</v>
      </c>
      <c r="G12" s="21" t="s">
        <v>1549</v>
      </c>
      <c r="H12" s="21" t="s">
        <v>343</v>
      </c>
      <c r="I12" s="21" t="s">
        <v>954</v>
      </c>
      <c r="J12" s="21" t="s">
        <v>31</v>
      </c>
      <c r="K12" s="21" t="s">
        <v>31</v>
      </c>
      <c r="L12" s="23" t="s">
        <v>349</v>
      </c>
      <c r="M12" s="21" t="s">
        <v>49</v>
      </c>
      <c r="N12" s="23" t="s">
        <v>467</v>
      </c>
      <c r="O12" s="23" t="s">
        <v>159</v>
      </c>
      <c r="P12" s="21" t="s">
        <v>45</v>
      </c>
      <c r="Q12" s="155">
        <v>230</v>
      </c>
      <c r="R12" s="155">
        <v>1</v>
      </c>
      <c r="S12" s="155">
        <v>28600</v>
      </c>
      <c r="T12" s="23"/>
      <c r="U12" s="155">
        <v>65.78</v>
      </c>
      <c r="V12" s="171">
        <v>1.2E-5</v>
      </c>
      <c r="W12" s="171">
        <v>2.98125245509307E-2</v>
      </c>
      <c r="X12" s="171">
        <v>6.5208405094164604E-3</v>
      </c>
    </row>
    <row r="13" spans="1:24">
      <c r="A13" s="21" t="s">
        <v>26</v>
      </c>
      <c r="B13" s="21">
        <v>1522</v>
      </c>
      <c r="C13" s="21" t="s">
        <v>1550</v>
      </c>
      <c r="D13" s="21" t="s">
        <v>1551</v>
      </c>
      <c r="E13" s="21" t="s">
        <v>1345</v>
      </c>
      <c r="F13" s="21" t="s">
        <v>1552</v>
      </c>
      <c r="G13" s="21" t="s">
        <v>1553</v>
      </c>
      <c r="H13" s="21" t="s">
        <v>343</v>
      </c>
      <c r="I13" s="21" t="s">
        <v>954</v>
      </c>
      <c r="J13" s="21" t="s">
        <v>31</v>
      </c>
      <c r="K13" s="21" t="s">
        <v>31</v>
      </c>
      <c r="L13" s="23" t="s">
        <v>349</v>
      </c>
      <c r="M13" s="21" t="s">
        <v>49</v>
      </c>
      <c r="N13" s="23" t="s">
        <v>465</v>
      </c>
      <c r="O13" s="23" t="s">
        <v>159</v>
      </c>
      <c r="P13" s="21" t="s">
        <v>45</v>
      </c>
      <c r="Q13" s="155">
        <v>1261</v>
      </c>
      <c r="R13" s="155">
        <v>1</v>
      </c>
      <c r="S13" s="155">
        <v>3810</v>
      </c>
      <c r="T13" s="23"/>
      <c r="U13" s="155">
        <v>48.043999999999997</v>
      </c>
      <c r="V13" s="171">
        <v>5.0000000000000004E-6</v>
      </c>
      <c r="W13" s="171">
        <v>2.17743373483942E-2</v>
      </c>
      <c r="X13" s="171">
        <v>4.7626621088241901E-3</v>
      </c>
    </row>
    <row r="14" spans="1:24">
      <c r="A14" s="21" t="s">
        <v>26</v>
      </c>
      <c r="B14" s="21">
        <v>1522</v>
      </c>
      <c r="C14" s="21" t="s">
        <v>1554</v>
      </c>
      <c r="D14" s="21" t="s">
        <v>1555</v>
      </c>
      <c r="E14" s="21" t="s">
        <v>1345</v>
      </c>
      <c r="F14" s="21" t="s">
        <v>1556</v>
      </c>
      <c r="G14" s="21" t="s">
        <v>1557</v>
      </c>
      <c r="H14" s="21" t="s">
        <v>343</v>
      </c>
      <c r="I14" s="21" t="s">
        <v>954</v>
      </c>
      <c r="J14" s="21" t="s">
        <v>31</v>
      </c>
      <c r="K14" s="21" t="s">
        <v>31</v>
      </c>
      <c r="L14" s="23" t="s">
        <v>349</v>
      </c>
      <c r="M14" s="21" t="s">
        <v>49</v>
      </c>
      <c r="N14" s="23" t="s">
        <v>467</v>
      </c>
      <c r="O14" s="23" t="s">
        <v>159</v>
      </c>
      <c r="P14" s="21" t="s">
        <v>45</v>
      </c>
      <c r="Q14" s="155">
        <v>3300</v>
      </c>
      <c r="R14" s="155">
        <v>1</v>
      </c>
      <c r="S14" s="155">
        <v>1475</v>
      </c>
      <c r="T14" s="23"/>
      <c r="U14" s="155">
        <v>48.674999999999997</v>
      </c>
      <c r="V14" s="171">
        <v>1.1E-5</v>
      </c>
      <c r="W14" s="171">
        <v>2.2060271093289001E-2</v>
      </c>
      <c r="X14" s="171">
        <v>4.8252038886568201E-3</v>
      </c>
    </row>
    <row r="15" spans="1:24">
      <c r="A15" s="21" t="s">
        <v>26</v>
      </c>
      <c r="B15" s="21">
        <v>1522</v>
      </c>
      <c r="C15" s="21" t="s">
        <v>1558</v>
      </c>
      <c r="D15" s="21" t="s">
        <v>1559</v>
      </c>
      <c r="E15" s="21" t="s">
        <v>1345</v>
      </c>
      <c r="F15" s="21" t="s">
        <v>1560</v>
      </c>
      <c r="G15" s="21" t="s">
        <v>1561</v>
      </c>
      <c r="H15" s="21" t="s">
        <v>343</v>
      </c>
      <c r="I15" s="21" t="s">
        <v>954</v>
      </c>
      <c r="J15" s="21" t="s">
        <v>31</v>
      </c>
      <c r="K15" s="21" t="s">
        <v>31</v>
      </c>
      <c r="L15" s="23" t="s">
        <v>349</v>
      </c>
      <c r="M15" s="21" t="s">
        <v>49</v>
      </c>
      <c r="N15" s="23" t="s">
        <v>465</v>
      </c>
      <c r="O15" s="23" t="s">
        <v>159</v>
      </c>
      <c r="P15" s="21" t="s">
        <v>45</v>
      </c>
      <c r="Q15" s="155">
        <v>540</v>
      </c>
      <c r="R15" s="155">
        <v>1</v>
      </c>
      <c r="S15" s="155">
        <v>6569</v>
      </c>
      <c r="T15" s="23"/>
      <c r="U15" s="155">
        <v>35.472999999999999</v>
      </c>
      <c r="V15" s="171">
        <v>6.9999999999999999E-6</v>
      </c>
      <c r="W15" s="171">
        <v>1.6076736977581999E-2</v>
      </c>
      <c r="X15" s="171">
        <v>3.5164361060250199E-3</v>
      </c>
    </row>
    <row r="16" spans="1:24">
      <c r="A16" s="21" t="s">
        <v>26</v>
      </c>
      <c r="B16" s="21">
        <v>1522</v>
      </c>
      <c r="C16" s="21" t="s">
        <v>1202</v>
      </c>
      <c r="D16" s="21" t="s">
        <v>1562</v>
      </c>
      <c r="E16" s="21" t="s">
        <v>1345</v>
      </c>
      <c r="F16" s="21" t="s">
        <v>1563</v>
      </c>
      <c r="G16" s="21" t="s">
        <v>1564</v>
      </c>
      <c r="H16" s="21" t="s">
        <v>343</v>
      </c>
      <c r="I16" s="21" t="s">
        <v>954</v>
      </c>
      <c r="J16" s="21" t="s">
        <v>31</v>
      </c>
      <c r="K16" s="21" t="s">
        <v>31</v>
      </c>
      <c r="L16" s="23" t="s">
        <v>349</v>
      </c>
      <c r="M16" s="21" t="s">
        <v>49</v>
      </c>
      <c r="N16" s="23" t="s">
        <v>468</v>
      </c>
      <c r="O16" s="23" t="s">
        <v>159</v>
      </c>
      <c r="P16" s="21" t="s">
        <v>45</v>
      </c>
      <c r="Q16" s="155">
        <v>6909</v>
      </c>
      <c r="R16" s="155">
        <v>1</v>
      </c>
      <c r="S16" s="155">
        <v>3100</v>
      </c>
      <c r="T16" s="156">
        <v>1.6559999999999999</v>
      </c>
      <c r="U16" s="155">
        <v>215.83500000000001</v>
      </c>
      <c r="V16" s="171">
        <v>3.9999999999999998E-6</v>
      </c>
      <c r="W16" s="171">
        <v>9.7819860294976496E-2</v>
      </c>
      <c r="X16" s="171">
        <v>2.1395964187710101E-2</v>
      </c>
    </row>
    <row r="17" spans="1:24">
      <c r="A17" s="21" t="s">
        <v>26</v>
      </c>
      <c r="B17" s="21">
        <v>1522</v>
      </c>
      <c r="C17" s="21" t="s">
        <v>1565</v>
      </c>
      <c r="D17" s="21" t="s">
        <v>1566</v>
      </c>
      <c r="E17" s="21" t="s">
        <v>1345</v>
      </c>
      <c r="F17" s="21" t="s">
        <v>1567</v>
      </c>
      <c r="G17" s="21" t="s">
        <v>1568</v>
      </c>
      <c r="H17" s="21" t="s">
        <v>343</v>
      </c>
      <c r="I17" s="21" t="s">
        <v>954</v>
      </c>
      <c r="J17" s="21" t="s">
        <v>31</v>
      </c>
      <c r="K17" s="21" t="s">
        <v>31</v>
      </c>
      <c r="L17" s="23" t="s">
        <v>349</v>
      </c>
      <c r="M17" s="21" t="s">
        <v>49</v>
      </c>
      <c r="N17" s="23" t="s">
        <v>468</v>
      </c>
      <c r="O17" s="23" t="s">
        <v>159</v>
      </c>
      <c r="P17" s="21" t="s">
        <v>45</v>
      </c>
      <c r="Q17" s="155">
        <v>737</v>
      </c>
      <c r="R17" s="155">
        <v>1</v>
      </c>
      <c r="S17" s="155">
        <v>14000</v>
      </c>
      <c r="T17" s="23"/>
      <c r="U17" s="155">
        <v>103.18</v>
      </c>
      <c r="V17" s="171">
        <v>3.0000000000000001E-6</v>
      </c>
      <c r="W17" s="171">
        <v>4.67627893457742E-2</v>
      </c>
      <c r="X17" s="171">
        <v>1.02283418023957E-2</v>
      </c>
    </row>
    <row r="18" spans="1:24">
      <c r="A18" s="21" t="s">
        <v>26</v>
      </c>
      <c r="B18" s="21">
        <v>1522</v>
      </c>
      <c r="C18" s="21" t="s">
        <v>1569</v>
      </c>
      <c r="D18" s="21" t="s">
        <v>1570</v>
      </c>
      <c r="E18" s="21" t="s">
        <v>1345</v>
      </c>
      <c r="F18" s="21" t="s">
        <v>1571</v>
      </c>
      <c r="G18" s="21" t="s">
        <v>1572</v>
      </c>
      <c r="H18" s="21" t="s">
        <v>343</v>
      </c>
      <c r="I18" s="21" t="s">
        <v>954</v>
      </c>
      <c r="J18" s="21" t="s">
        <v>31</v>
      </c>
      <c r="K18" s="21" t="s">
        <v>31</v>
      </c>
      <c r="L18" s="23" t="s">
        <v>349</v>
      </c>
      <c r="M18" s="21" t="s">
        <v>49</v>
      </c>
      <c r="N18" s="23" t="s">
        <v>497</v>
      </c>
      <c r="O18" s="23" t="s">
        <v>159</v>
      </c>
      <c r="P18" s="21" t="s">
        <v>45</v>
      </c>
      <c r="Q18" s="155">
        <v>618</v>
      </c>
      <c r="R18" s="155">
        <v>1</v>
      </c>
      <c r="S18" s="155">
        <v>8160</v>
      </c>
      <c r="T18" s="156">
        <v>0.78500000000000003</v>
      </c>
      <c r="U18" s="155">
        <v>51.213999999999999</v>
      </c>
      <c r="V18" s="171">
        <v>1.0000000000000001E-5</v>
      </c>
      <c r="W18" s="171">
        <v>2.3210831500349902E-2</v>
      </c>
      <c r="X18" s="171">
        <v>5.0768639216096298E-3</v>
      </c>
    </row>
    <row r="19" spans="1:24">
      <c r="A19" s="21" t="s">
        <v>26</v>
      </c>
      <c r="B19" s="21">
        <v>1522</v>
      </c>
      <c r="C19" s="21" t="s">
        <v>1573</v>
      </c>
      <c r="D19" s="21" t="s">
        <v>1574</v>
      </c>
      <c r="E19" s="21" t="s">
        <v>1345</v>
      </c>
      <c r="F19" s="21" t="s">
        <v>1575</v>
      </c>
      <c r="G19" s="21" t="s">
        <v>1576</v>
      </c>
      <c r="H19" s="21" t="s">
        <v>343</v>
      </c>
      <c r="I19" s="21" t="s">
        <v>954</v>
      </c>
      <c r="J19" s="21" t="s">
        <v>31</v>
      </c>
      <c r="K19" s="21" t="s">
        <v>31</v>
      </c>
      <c r="L19" s="23" t="s">
        <v>349</v>
      </c>
      <c r="M19" s="21" t="s">
        <v>49</v>
      </c>
      <c r="N19" s="23" t="s">
        <v>494</v>
      </c>
      <c r="O19" s="23" t="s">
        <v>159</v>
      </c>
      <c r="P19" s="21" t="s">
        <v>45</v>
      </c>
      <c r="Q19" s="155">
        <v>890</v>
      </c>
      <c r="R19" s="155">
        <v>1</v>
      </c>
      <c r="S19" s="155">
        <v>3622</v>
      </c>
      <c r="T19" s="23"/>
      <c r="U19" s="155">
        <v>32.235999999999997</v>
      </c>
      <c r="V19" s="171">
        <v>7.9999999999999996E-6</v>
      </c>
      <c r="W19" s="171">
        <v>1.4609768606246401E-2</v>
      </c>
      <c r="X19" s="171">
        <v>3.1955687213962702E-3</v>
      </c>
    </row>
    <row r="20" spans="1:24">
      <c r="A20" s="4" t="s">
        <v>26</v>
      </c>
      <c r="B20" s="4">
        <v>1522</v>
      </c>
      <c r="C20" s="4" t="s">
        <v>1577</v>
      </c>
      <c r="D20" s="4" t="s">
        <v>1578</v>
      </c>
      <c r="E20" s="21" t="s">
        <v>1345</v>
      </c>
      <c r="F20" s="4" t="s">
        <v>1579</v>
      </c>
      <c r="G20" s="4" t="s">
        <v>1580</v>
      </c>
      <c r="H20" s="21" t="s">
        <v>343</v>
      </c>
      <c r="I20" s="4" t="s">
        <v>954</v>
      </c>
      <c r="J20" s="4" t="s">
        <v>31</v>
      </c>
      <c r="K20" s="21" t="s">
        <v>31</v>
      </c>
      <c r="L20" s="23" t="s">
        <v>349</v>
      </c>
      <c r="M20" s="21" t="s">
        <v>49</v>
      </c>
      <c r="N20" s="23" t="s">
        <v>484</v>
      </c>
      <c r="O20" s="4" t="s">
        <v>159</v>
      </c>
      <c r="P20" s="4" t="s">
        <v>45</v>
      </c>
      <c r="Q20" s="154">
        <v>257</v>
      </c>
      <c r="R20" s="154">
        <v>1</v>
      </c>
      <c r="S20" s="154">
        <v>26900</v>
      </c>
      <c r="T20" s="153">
        <v>0.64900000000000002</v>
      </c>
      <c r="U20" s="154">
        <v>69.781999999999996</v>
      </c>
      <c r="V20" s="169">
        <v>5.0000000000000004E-6</v>
      </c>
      <c r="W20" s="169">
        <v>3.1626279930637102E-2</v>
      </c>
      <c r="X20" s="169">
        <v>6.9175600000438396E-3</v>
      </c>
    </row>
    <row r="21" spans="1:24">
      <c r="A21" s="4" t="s">
        <v>26</v>
      </c>
      <c r="B21" s="4">
        <v>1522</v>
      </c>
      <c r="C21" s="4" t="s">
        <v>1581</v>
      </c>
      <c r="D21" s="4" t="s">
        <v>1582</v>
      </c>
      <c r="E21" s="4" t="s">
        <v>1345</v>
      </c>
      <c r="F21" s="4" t="s">
        <v>1583</v>
      </c>
      <c r="G21" s="4" t="s">
        <v>1584</v>
      </c>
      <c r="H21" s="4" t="s">
        <v>343</v>
      </c>
      <c r="I21" s="4" t="s">
        <v>954</v>
      </c>
      <c r="J21" s="4" t="s">
        <v>124</v>
      </c>
      <c r="K21" s="4" t="s">
        <v>125</v>
      </c>
      <c r="L21" s="2" t="s">
        <v>349</v>
      </c>
      <c r="M21" s="4" t="s">
        <v>49</v>
      </c>
      <c r="N21" s="23" t="s">
        <v>474</v>
      </c>
      <c r="O21" s="4" t="s">
        <v>159</v>
      </c>
      <c r="P21" s="4" t="s">
        <v>45</v>
      </c>
      <c r="Q21" s="154">
        <v>481</v>
      </c>
      <c r="R21" s="154">
        <v>1</v>
      </c>
      <c r="S21" s="154">
        <v>4170</v>
      </c>
      <c r="U21" s="154">
        <v>20.058</v>
      </c>
      <c r="V21" s="169">
        <v>5.0000000000000004E-6</v>
      </c>
      <c r="W21" s="169">
        <v>9.0904632667254803E-3</v>
      </c>
      <c r="X21" s="169">
        <v>1.9883408739088202E-3</v>
      </c>
    </row>
    <row r="22" spans="1:24">
      <c r="A22" s="4" t="s">
        <v>26</v>
      </c>
      <c r="B22" s="4">
        <v>1522</v>
      </c>
      <c r="C22" s="4" t="s">
        <v>1508</v>
      </c>
      <c r="D22" s="4" t="s">
        <v>1509</v>
      </c>
      <c r="E22" s="4" t="s">
        <v>1345</v>
      </c>
      <c r="F22" s="4" t="s">
        <v>1585</v>
      </c>
      <c r="G22" s="4" t="s">
        <v>1511</v>
      </c>
      <c r="H22" s="4" t="s">
        <v>343</v>
      </c>
      <c r="I22" s="4" t="s">
        <v>954</v>
      </c>
      <c r="J22" s="4" t="s">
        <v>31</v>
      </c>
      <c r="K22" s="4" t="s">
        <v>31</v>
      </c>
      <c r="L22" s="2" t="s">
        <v>349</v>
      </c>
      <c r="M22" s="4" t="s">
        <v>49</v>
      </c>
      <c r="N22" s="4" t="s">
        <v>478</v>
      </c>
      <c r="O22" s="4" t="s">
        <v>159</v>
      </c>
      <c r="P22" s="4" t="s">
        <v>45</v>
      </c>
      <c r="Q22" s="154">
        <v>21</v>
      </c>
      <c r="R22" s="154">
        <v>1</v>
      </c>
      <c r="S22" s="154">
        <v>64720</v>
      </c>
      <c r="U22" s="154">
        <v>13.590999999999999</v>
      </c>
      <c r="V22" s="169">
        <v>9.9999999999999995E-7</v>
      </c>
      <c r="W22" s="169">
        <v>6.1597443550715798E-3</v>
      </c>
      <c r="X22" s="169">
        <v>1.3473099351106899E-3</v>
      </c>
    </row>
    <row r="23" spans="1:24">
      <c r="A23" s="4" t="s">
        <v>26</v>
      </c>
      <c r="B23" s="4">
        <v>1522</v>
      </c>
      <c r="C23" s="4" t="s">
        <v>1586</v>
      </c>
      <c r="D23" s="4" t="s">
        <v>1587</v>
      </c>
      <c r="E23" s="4" t="s">
        <v>1345</v>
      </c>
      <c r="F23" s="4" t="s">
        <v>1588</v>
      </c>
      <c r="G23" s="4" t="s">
        <v>1589</v>
      </c>
      <c r="H23" s="4" t="s">
        <v>343</v>
      </c>
      <c r="I23" s="4" t="s">
        <v>954</v>
      </c>
      <c r="J23" s="4" t="s">
        <v>31</v>
      </c>
      <c r="K23" s="4" t="s">
        <v>31</v>
      </c>
      <c r="L23" s="2" t="s">
        <v>349</v>
      </c>
      <c r="M23" s="2" t="s">
        <v>49</v>
      </c>
      <c r="N23" s="4" t="s">
        <v>474</v>
      </c>
      <c r="O23" s="4" t="s">
        <v>159</v>
      </c>
      <c r="P23" s="4" t="s">
        <v>45</v>
      </c>
      <c r="Q23" s="154">
        <v>2366</v>
      </c>
      <c r="R23" s="154">
        <v>1</v>
      </c>
      <c r="S23" s="154">
        <v>935.3</v>
      </c>
      <c r="T23" s="153">
        <v>0.45300000000000001</v>
      </c>
      <c r="U23" s="154">
        <v>22.582999999999998</v>
      </c>
      <c r="V23" s="169">
        <v>1.9999999999999999E-6</v>
      </c>
      <c r="W23" s="169">
        <v>1.0234750262949699E-2</v>
      </c>
      <c r="X23" s="169">
        <v>2.2386287348590199E-3</v>
      </c>
    </row>
    <row r="24" spans="1:24">
      <c r="A24" s="4" t="s">
        <v>26</v>
      </c>
      <c r="B24" s="4">
        <v>1522</v>
      </c>
      <c r="C24" s="4" t="s">
        <v>1590</v>
      </c>
      <c r="D24" s="4" t="s">
        <v>1591</v>
      </c>
      <c r="E24" s="4" t="s">
        <v>1345</v>
      </c>
      <c r="F24" s="4" t="s">
        <v>1592</v>
      </c>
      <c r="G24" s="4" t="s">
        <v>1593</v>
      </c>
      <c r="H24" s="4" t="s">
        <v>343</v>
      </c>
      <c r="I24" s="4" t="s">
        <v>954</v>
      </c>
      <c r="J24" s="4" t="s">
        <v>31</v>
      </c>
      <c r="K24" s="4" t="s">
        <v>31</v>
      </c>
      <c r="L24" s="2" t="s">
        <v>349</v>
      </c>
      <c r="M24" s="2" t="s">
        <v>49</v>
      </c>
      <c r="N24" s="4" t="s">
        <v>501</v>
      </c>
      <c r="O24" s="4" t="s">
        <v>159</v>
      </c>
      <c r="P24" s="4" t="s">
        <v>45</v>
      </c>
      <c r="Q24" s="154">
        <v>60</v>
      </c>
      <c r="R24" s="154">
        <v>1</v>
      </c>
      <c r="S24" s="154">
        <v>95150</v>
      </c>
      <c r="U24" s="154">
        <v>57.09</v>
      </c>
      <c r="V24" s="169">
        <v>9.9999999999999995E-7</v>
      </c>
      <c r="W24" s="169">
        <v>2.5874080672128801E-2</v>
      </c>
      <c r="X24" s="169">
        <v>5.6593916795771599E-3</v>
      </c>
    </row>
    <row r="25" spans="1:24">
      <c r="A25" s="4" t="s">
        <v>26</v>
      </c>
      <c r="B25" s="4">
        <v>1522</v>
      </c>
      <c r="C25" s="4" t="s">
        <v>1594</v>
      </c>
      <c r="D25" s="4" t="s">
        <v>1595</v>
      </c>
      <c r="E25" s="4" t="s">
        <v>1345</v>
      </c>
      <c r="F25" s="4" t="s">
        <v>1596</v>
      </c>
      <c r="G25" s="4" t="s">
        <v>1597</v>
      </c>
      <c r="H25" s="4" t="s">
        <v>343</v>
      </c>
      <c r="I25" s="4" t="s">
        <v>954</v>
      </c>
      <c r="J25" s="4" t="s">
        <v>31</v>
      </c>
      <c r="K25" s="4" t="s">
        <v>31</v>
      </c>
      <c r="L25" s="2" t="s">
        <v>349</v>
      </c>
      <c r="M25" s="2" t="s">
        <v>49</v>
      </c>
      <c r="N25" s="4" t="s">
        <v>484</v>
      </c>
      <c r="O25" s="4" t="s">
        <v>159</v>
      </c>
      <c r="P25" s="4" t="s">
        <v>45</v>
      </c>
      <c r="Q25" s="154">
        <v>364</v>
      </c>
      <c r="R25" s="154">
        <v>1</v>
      </c>
      <c r="S25" s="154">
        <v>26610</v>
      </c>
      <c r="U25" s="154">
        <v>96.86</v>
      </c>
      <c r="V25" s="169">
        <v>3.0000000000000001E-6</v>
      </c>
      <c r="W25" s="169">
        <v>4.3898647811081798E-2</v>
      </c>
      <c r="X25" s="169">
        <v>9.6018732149328306E-3</v>
      </c>
    </row>
    <row r="26" spans="1:24">
      <c r="A26" s="4" t="s">
        <v>26</v>
      </c>
      <c r="B26" s="4">
        <v>1522</v>
      </c>
      <c r="C26" s="4" t="s">
        <v>1598</v>
      </c>
      <c r="D26" s="4" t="s">
        <v>1599</v>
      </c>
      <c r="E26" s="4" t="s">
        <v>1345</v>
      </c>
      <c r="F26" s="4" t="s">
        <v>1600</v>
      </c>
      <c r="G26" s="4" t="s">
        <v>1601</v>
      </c>
      <c r="H26" s="4" t="s">
        <v>343</v>
      </c>
      <c r="I26" s="4" t="s">
        <v>954</v>
      </c>
      <c r="J26" s="4" t="s">
        <v>31</v>
      </c>
      <c r="K26" s="4" t="s">
        <v>31</v>
      </c>
      <c r="L26" s="2" t="s">
        <v>349</v>
      </c>
      <c r="M26" s="2" t="s">
        <v>49</v>
      </c>
      <c r="N26" s="4" t="s">
        <v>468</v>
      </c>
      <c r="O26" s="4" t="s">
        <v>159</v>
      </c>
      <c r="P26" s="4" t="s">
        <v>45</v>
      </c>
      <c r="Q26" s="154">
        <v>3948</v>
      </c>
      <c r="R26" s="154">
        <v>1</v>
      </c>
      <c r="S26" s="154">
        <v>3500</v>
      </c>
      <c r="T26" s="153">
        <v>1.0389999999999999</v>
      </c>
      <c r="U26" s="154">
        <v>139.21899999999999</v>
      </c>
      <c r="V26" s="169">
        <v>3.0000000000000001E-6</v>
      </c>
      <c r="W26" s="169">
        <v>6.3096313770685294E-2</v>
      </c>
      <c r="X26" s="169">
        <v>1.38009445703884E-2</v>
      </c>
    </row>
    <row r="27" spans="1:24">
      <c r="A27" s="4" t="s">
        <v>26</v>
      </c>
      <c r="B27" s="4">
        <v>1522</v>
      </c>
      <c r="C27" s="4" t="s">
        <v>1602</v>
      </c>
      <c r="D27" s="4" t="s">
        <v>1603</v>
      </c>
      <c r="E27" s="4" t="s">
        <v>1345</v>
      </c>
      <c r="F27" s="4" t="s">
        <v>1604</v>
      </c>
      <c r="G27" s="4" t="s">
        <v>1605</v>
      </c>
      <c r="H27" s="4" t="s">
        <v>343</v>
      </c>
      <c r="I27" s="4" t="s">
        <v>954</v>
      </c>
      <c r="J27" s="4" t="s">
        <v>31</v>
      </c>
      <c r="K27" s="4" t="s">
        <v>31</v>
      </c>
      <c r="L27" s="2" t="s">
        <v>349</v>
      </c>
      <c r="M27" s="2" t="s">
        <v>49</v>
      </c>
      <c r="N27" s="4" t="s">
        <v>496</v>
      </c>
      <c r="O27" s="4" t="s">
        <v>159</v>
      </c>
      <c r="P27" s="4" t="s">
        <v>45</v>
      </c>
      <c r="Q27" s="154">
        <v>160</v>
      </c>
      <c r="R27" s="154">
        <v>1</v>
      </c>
      <c r="S27" s="154">
        <v>34140</v>
      </c>
      <c r="U27" s="154">
        <v>54.624000000000002</v>
      </c>
      <c r="V27" s="169">
        <v>1.2E-5</v>
      </c>
      <c r="W27" s="169">
        <v>2.4756450913196001E-2</v>
      </c>
      <c r="X27" s="169">
        <v>5.4149345087620001E-3</v>
      </c>
    </row>
    <row r="28" spans="1:24">
      <c r="A28" s="4" t="s">
        <v>26</v>
      </c>
      <c r="B28" s="4">
        <v>1522</v>
      </c>
      <c r="C28" s="4" t="s">
        <v>1606</v>
      </c>
      <c r="D28" s="4" t="s">
        <v>1607</v>
      </c>
      <c r="E28" s="4" t="s">
        <v>1345</v>
      </c>
      <c r="F28" s="4" t="s">
        <v>1608</v>
      </c>
      <c r="G28" s="4" t="s">
        <v>1609</v>
      </c>
      <c r="H28" s="4" t="s">
        <v>343</v>
      </c>
      <c r="I28" s="4" t="s">
        <v>954</v>
      </c>
      <c r="J28" s="4" t="s">
        <v>31</v>
      </c>
      <c r="K28" s="4" t="s">
        <v>31</v>
      </c>
      <c r="L28" s="2" t="s">
        <v>349</v>
      </c>
      <c r="M28" s="2" t="s">
        <v>49</v>
      </c>
      <c r="N28" s="4" t="s">
        <v>497</v>
      </c>
      <c r="O28" s="4" t="s">
        <v>159</v>
      </c>
      <c r="P28" s="4" t="s">
        <v>45</v>
      </c>
      <c r="Q28" s="154">
        <v>99</v>
      </c>
      <c r="R28" s="154">
        <v>1</v>
      </c>
      <c r="S28" s="154">
        <v>30030</v>
      </c>
      <c r="U28" s="154">
        <v>29.73</v>
      </c>
      <c r="V28" s="169">
        <v>6.0000000000000002E-6</v>
      </c>
      <c r="W28" s="169">
        <v>1.3473964900301E-2</v>
      </c>
      <c r="X28" s="169">
        <v>2.9471363954514801E-3</v>
      </c>
    </row>
    <row r="29" spans="1:24">
      <c r="A29" s="4" t="s">
        <v>26</v>
      </c>
      <c r="B29" s="4">
        <v>1522</v>
      </c>
      <c r="C29" s="4" t="s">
        <v>1610</v>
      </c>
      <c r="D29" s="4" t="s">
        <v>1611</v>
      </c>
      <c r="E29" s="4" t="s">
        <v>1345</v>
      </c>
      <c r="F29" s="4" t="s">
        <v>1612</v>
      </c>
      <c r="G29" s="4" t="s">
        <v>1613</v>
      </c>
      <c r="H29" s="4" t="s">
        <v>343</v>
      </c>
      <c r="I29" s="4" t="s">
        <v>954</v>
      </c>
      <c r="J29" s="4" t="s">
        <v>31</v>
      </c>
      <c r="K29" s="4" t="s">
        <v>31</v>
      </c>
      <c r="L29" s="2" t="s">
        <v>349</v>
      </c>
      <c r="M29" s="2" t="s">
        <v>49</v>
      </c>
      <c r="N29" s="4" t="s">
        <v>478</v>
      </c>
      <c r="O29" s="4" t="s">
        <v>159</v>
      </c>
      <c r="P29" s="4" t="s">
        <v>45</v>
      </c>
      <c r="Q29" s="154">
        <v>270</v>
      </c>
      <c r="R29" s="154">
        <v>1</v>
      </c>
      <c r="S29" s="154">
        <v>30800</v>
      </c>
      <c r="U29" s="154">
        <v>83.16</v>
      </c>
      <c r="V29" s="169">
        <v>6.0000000000000002E-6</v>
      </c>
      <c r="W29" s="169">
        <v>3.7689412308534398E-2</v>
      </c>
      <c r="X29" s="169">
        <v>8.2437381690950492E-3</v>
      </c>
    </row>
    <row r="30" spans="1:24">
      <c r="A30" s="4" t="s">
        <v>26</v>
      </c>
      <c r="B30" s="4">
        <v>1522</v>
      </c>
      <c r="C30" s="4" t="s">
        <v>1614</v>
      </c>
      <c r="D30" s="4" t="s">
        <v>1615</v>
      </c>
      <c r="E30" s="4" t="s">
        <v>1345</v>
      </c>
      <c r="F30" s="4" t="s">
        <v>1616</v>
      </c>
      <c r="G30" s="4" t="s">
        <v>1617</v>
      </c>
      <c r="H30" s="4" t="s">
        <v>343</v>
      </c>
      <c r="I30" s="4" t="s">
        <v>954</v>
      </c>
      <c r="J30" s="4" t="s">
        <v>31</v>
      </c>
      <c r="K30" s="4" t="s">
        <v>31</v>
      </c>
      <c r="L30" s="2" t="s">
        <v>349</v>
      </c>
      <c r="M30" s="2" t="s">
        <v>49</v>
      </c>
      <c r="N30" s="4" t="s">
        <v>484</v>
      </c>
      <c r="O30" s="4" t="s">
        <v>159</v>
      </c>
      <c r="P30" s="4" t="s">
        <v>45</v>
      </c>
      <c r="Q30" s="154">
        <v>1543</v>
      </c>
      <c r="R30" s="154">
        <v>1</v>
      </c>
      <c r="S30" s="154">
        <v>1566</v>
      </c>
      <c r="U30" s="154">
        <v>24.163</v>
      </c>
      <c r="V30" s="169">
        <v>7.9999999999999996E-6</v>
      </c>
      <c r="W30" s="169">
        <v>1.0951221640064899E-2</v>
      </c>
      <c r="X30" s="169">
        <v>2.3953412457954301E-3</v>
      </c>
    </row>
    <row r="31" spans="1:24">
      <c r="A31" s="4" t="s">
        <v>26</v>
      </c>
      <c r="B31" s="4">
        <v>1522</v>
      </c>
      <c r="C31" s="4" t="s">
        <v>1618</v>
      </c>
      <c r="D31" s="4" t="s">
        <v>1619</v>
      </c>
      <c r="E31" s="4" t="s">
        <v>1345</v>
      </c>
      <c r="F31" s="4" t="s">
        <v>1620</v>
      </c>
      <c r="G31" s="4" t="s">
        <v>1621</v>
      </c>
      <c r="H31" s="4" t="s">
        <v>343</v>
      </c>
      <c r="I31" s="4" t="s">
        <v>954</v>
      </c>
      <c r="J31" s="4" t="s">
        <v>31</v>
      </c>
      <c r="K31" s="4" t="s">
        <v>31</v>
      </c>
      <c r="L31" s="2" t="s">
        <v>349</v>
      </c>
      <c r="M31" s="2" t="s">
        <v>49</v>
      </c>
      <c r="N31" s="4" t="s">
        <v>482</v>
      </c>
      <c r="O31" s="4" t="s">
        <v>159</v>
      </c>
      <c r="P31" s="4" t="s">
        <v>45</v>
      </c>
      <c r="Q31" s="154">
        <v>52</v>
      </c>
      <c r="R31" s="154">
        <v>1</v>
      </c>
      <c r="S31" s="154">
        <v>30040</v>
      </c>
      <c r="T31" s="153">
        <v>0.13700000000000001</v>
      </c>
      <c r="U31" s="154">
        <v>15.757999999999999</v>
      </c>
      <c r="V31" s="169">
        <v>6.0000000000000002E-6</v>
      </c>
      <c r="W31" s="169">
        <v>7.1418988960237099E-3</v>
      </c>
      <c r="X31" s="169">
        <v>1.5621348522761799E-3</v>
      </c>
    </row>
    <row r="32" spans="1:24">
      <c r="A32" s="4" t="s">
        <v>26</v>
      </c>
      <c r="B32" s="4">
        <v>1522</v>
      </c>
      <c r="C32" s="4" t="s">
        <v>1622</v>
      </c>
      <c r="D32" s="4" t="s">
        <v>1623</v>
      </c>
      <c r="E32" s="4" t="s">
        <v>335</v>
      </c>
      <c r="F32" s="4" t="s">
        <v>1624</v>
      </c>
      <c r="G32" s="4" t="s">
        <v>1625</v>
      </c>
      <c r="H32" s="4" t="s">
        <v>343</v>
      </c>
      <c r="I32" s="4" t="s">
        <v>954</v>
      </c>
      <c r="J32" s="4" t="s">
        <v>124</v>
      </c>
      <c r="K32" s="4" t="s">
        <v>125</v>
      </c>
      <c r="L32" s="2" t="s">
        <v>349</v>
      </c>
      <c r="M32" s="2" t="s">
        <v>368</v>
      </c>
      <c r="N32" s="4" t="s">
        <v>536</v>
      </c>
      <c r="O32" s="4" t="s">
        <v>159</v>
      </c>
      <c r="P32" s="4" t="s">
        <v>35</v>
      </c>
      <c r="Q32" s="154">
        <v>65</v>
      </c>
      <c r="R32" s="154">
        <v>3.681</v>
      </c>
      <c r="S32" s="154">
        <v>180.38</v>
      </c>
      <c r="U32" s="154">
        <v>43.158999999999999</v>
      </c>
      <c r="V32" s="169">
        <v>0</v>
      </c>
      <c r="W32" s="169">
        <v>1.95601617391769E-2</v>
      </c>
      <c r="X32" s="169">
        <v>4.27835941306019E-3</v>
      </c>
    </row>
    <row r="33" spans="1:24">
      <c r="A33" s="4" t="s">
        <v>26</v>
      </c>
      <c r="B33" s="4">
        <v>1522</v>
      </c>
      <c r="C33" s="4" t="s">
        <v>1626</v>
      </c>
      <c r="D33" s="4" t="s">
        <v>1627</v>
      </c>
      <c r="E33" s="4" t="s">
        <v>335</v>
      </c>
      <c r="F33" s="4" t="s">
        <v>1628</v>
      </c>
      <c r="G33" s="4" t="s">
        <v>1629</v>
      </c>
      <c r="H33" s="4" t="s">
        <v>343</v>
      </c>
      <c r="I33" s="4" t="s">
        <v>954</v>
      </c>
      <c r="J33" s="4" t="s">
        <v>124</v>
      </c>
      <c r="K33" s="4" t="s">
        <v>125</v>
      </c>
      <c r="L33" s="2" t="s">
        <v>349</v>
      </c>
      <c r="M33" s="2" t="s">
        <v>368</v>
      </c>
      <c r="N33" s="4" t="s">
        <v>569</v>
      </c>
      <c r="O33" s="4" t="s">
        <v>159</v>
      </c>
      <c r="P33" s="4" t="s">
        <v>35</v>
      </c>
      <c r="Q33" s="154">
        <v>25</v>
      </c>
      <c r="R33" s="154">
        <v>3.681</v>
      </c>
      <c r="S33" s="154">
        <v>97047</v>
      </c>
      <c r="U33" s="154">
        <v>89.308000000000007</v>
      </c>
      <c r="V33" s="169">
        <v>0</v>
      </c>
      <c r="W33" s="169">
        <v>4.0475556225359602E-2</v>
      </c>
      <c r="X33" s="169">
        <v>8.8531464762265297E-3</v>
      </c>
    </row>
    <row r="34" spans="1:24">
      <c r="A34" s="4" t="s">
        <v>26</v>
      </c>
      <c r="B34" s="4">
        <v>1522</v>
      </c>
      <c r="C34" s="4" t="s">
        <v>1630</v>
      </c>
      <c r="D34" s="4" t="s">
        <v>1631</v>
      </c>
      <c r="E34" s="4" t="s">
        <v>335</v>
      </c>
      <c r="F34" s="4" t="s">
        <v>1632</v>
      </c>
      <c r="G34" s="4" t="s">
        <v>1633</v>
      </c>
      <c r="H34" s="4" t="s">
        <v>343</v>
      </c>
      <c r="I34" s="4" t="s">
        <v>954</v>
      </c>
      <c r="J34" s="4" t="s">
        <v>124</v>
      </c>
      <c r="K34" s="4" t="s">
        <v>125</v>
      </c>
      <c r="L34" s="2" t="s">
        <v>349</v>
      </c>
      <c r="M34" s="2" t="s">
        <v>368</v>
      </c>
      <c r="N34" s="4" t="s">
        <v>569</v>
      </c>
      <c r="O34" s="4" t="s">
        <v>159</v>
      </c>
      <c r="P34" s="4" t="s">
        <v>35</v>
      </c>
      <c r="Q34" s="154">
        <v>6</v>
      </c>
      <c r="R34" s="154">
        <v>3.681</v>
      </c>
      <c r="S34" s="154">
        <v>132541</v>
      </c>
      <c r="U34" s="154">
        <v>29.273</v>
      </c>
      <c r="V34" s="169">
        <v>0</v>
      </c>
      <c r="W34" s="169">
        <v>1.3266983703151001E-2</v>
      </c>
      <c r="X34" s="169">
        <v>2.9018637660652002E-3</v>
      </c>
    </row>
    <row r="35" spans="1:24">
      <c r="A35" s="4" t="s">
        <v>26</v>
      </c>
      <c r="B35" s="4">
        <v>1522</v>
      </c>
      <c r="C35" s="4" t="s">
        <v>1634</v>
      </c>
      <c r="D35" s="4" t="s">
        <v>1635</v>
      </c>
      <c r="E35" s="4" t="s">
        <v>335</v>
      </c>
      <c r="F35" s="4" t="s">
        <v>1634</v>
      </c>
      <c r="G35" s="4" t="s">
        <v>1636</v>
      </c>
      <c r="H35" s="4" t="s">
        <v>343</v>
      </c>
      <c r="I35" s="4" t="s">
        <v>954</v>
      </c>
      <c r="J35" s="4" t="s">
        <v>124</v>
      </c>
      <c r="K35" s="4" t="s">
        <v>319</v>
      </c>
      <c r="L35" s="2" t="s">
        <v>349</v>
      </c>
      <c r="M35" s="2" t="s">
        <v>368</v>
      </c>
      <c r="N35" s="4" t="s">
        <v>1637</v>
      </c>
      <c r="O35" s="4" t="s">
        <v>159</v>
      </c>
      <c r="P35" s="4" t="s">
        <v>35</v>
      </c>
      <c r="Q35" s="154">
        <v>15</v>
      </c>
      <c r="R35" s="154">
        <v>3.681</v>
      </c>
      <c r="S35" s="154">
        <v>73263</v>
      </c>
      <c r="U35" s="154">
        <v>40.451999999999998</v>
      </c>
      <c r="V35" s="169">
        <v>0</v>
      </c>
      <c r="W35" s="169">
        <v>1.8333553901131599E-2</v>
      </c>
      <c r="X35" s="169">
        <v>4.0100656606867797E-3</v>
      </c>
    </row>
    <row r="36" spans="1:24">
      <c r="A36" s="4" t="s">
        <v>26</v>
      </c>
      <c r="B36" s="4">
        <v>1522</v>
      </c>
      <c r="C36" s="4" t="s">
        <v>1638</v>
      </c>
      <c r="D36" s="4" t="s">
        <v>1639</v>
      </c>
      <c r="E36" s="4" t="s">
        <v>335</v>
      </c>
      <c r="F36" s="4" t="s">
        <v>1640</v>
      </c>
      <c r="G36" s="4" t="s">
        <v>1641</v>
      </c>
      <c r="H36" s="4" t="s">
        <v>343</v>
      </c>
      <c r="I36" s="4" t="s">
        <v>954</v>
      </c>
      <c r="J36" s="4" t="s">
        <v>124</v>
      </c>
      <c r="K36" s="4" t="s">
        <v>125</v>
      </c>
      <c r="L36" s="2" t="s">
        <v>349</v>
      </c>
      <c r="M36" s="2" t="s">
        <v>368</v>
      </c>
      <c r="N36" s="4" t="s">
        <v>570</v>
      </c>
      <c r="O36" s="4" t="s">
        <v>159</v>
      </c>
      <c r="P36" s="4" t="s">
        <v>35</v>
      </c>
      <c r="Q36" s="154">
        <v>162</v>
      </c>
      <c r="R36" s="154">
        <v>3.681</v>
      </c>
      <c r="S36" s="154">
        <v>15226</v>
      </c>
      <c r="U36" s="154">
        <v>90.796000000000006</v>
      </c>
      <c r="V36" s="169">
        <v>0</v>
      </c>
      <c r="W36" s="169">
        <v>4.1150161341266298E-2</v>
      </c>
      <c r="X36" s="169">
        <v>9.0007016542574501E-3</v>
      </c>
    </row>
    <row r="37" spans="1:24">
      <c r="A37" s="4" t="s">
        <v>26</v>
      </c>
      <c r="B37" s="4">
        <v>1522</v>
      </c>
      <c r="C37" s="4" t="s">
        <v>1642</v>
      </c>
      <c r="D37" s="4" t="s">
        <v>1643</v>
      </c>
      <c r="E37" s="4" t="s">
        <v>335</v>
      </c>
      <c r="F37" s="4" t="s">
        <v>1644</v>
      </c>
      <c r="G37" s="4" t="s">
        <v>1645</v>
      </c>
      <c r="H37" s="4" t="s">
        <v>343</v>
      </c>
      <c r="I37" s="4" t="s">
        <v>954</v>
      </c>
      <c r="J37" s="4" t="s">
        <v>124</v>
      </c>
      <c r="K37" s="4" t="s">
        <v>125</v>
      </c>
      <c r="L37" s="2" t="s">
        <v>349</v>
      </c>
      <c r="M37" s="2" t="s">
        <v>366</v>
      </c>
      <c r="N37" s="4" t="s">
        <v>1646</v>
      </c>
      <c r="O37" s="4" t="s">
        <v>159</v>
      </c>
      <c r="P37" s="4" t="s">
        <v>35</v>
      </c>
      <c r="Q37" s="154">
        <v>50</v>
      </c>
      <c r="R37" s="154">
        <v>3.681</v>
      </c>
      <c r="S37" s="154">
        <v>481.57</v>
      </c>
      <c r="U37" s="154">
        <v>88.632999999999996</v>
      </c>
      <c r="V37" s="169">
        <v>0</v>
      </c>
      <c r="W37" s="169">
        <v>4.0169842677149098E-2</v>
      </c>
      <c r="X37" s="169">
        <v>8.7862782951691597E-3</v>
      </c>
    </row>
    <row r="38" spans="1:24">
      <c r="A38" s="4" t="s">
        <v>26</v>
      </c>
      <c r="B38" s="4">
        <v>1522</v>
      </c>
      <c r="C38" s="4" t="s">
        <v>1647</v>
      </c>
      <c r="D38" s="4" t="s">
        <v>1648</v>
      </c>
      <c r="E38" s="4" t="s">
        <v>335</v>
      </c>
      <c r="F38" s="4" t="s">
        <v>1649</v>
      </c>
      <c r="G38" s="4" t="s">
        <v>1650</v>
      </c>
      <c r="H38" s="4" t="s">
        <v>343</v>
      </c>
      <c r="I38" s="4" t="s">
        <v>954</v>
      </c>
      <c r="J38" s="4" t="s">
        <v>124</v>
      </c>
      <c r="K38" s="4" t="s">
        <v>125</v>
      </c>
      <c r="L38" s="2" t="s">
        <v>349</v>
      </c>
      <c r="M38" s="2" t="s">
        <v>368</v>
      </c>
      <c r="N38" s="4" t="s">
        <v>565</v>
      </c>
      <c r="O38" s="4" t="s">
        <v>159</v>
      </c>
      <c r="P38" s="4" t="s">
        <v>35</v>
      </c>
      <c r="Q38" s="154">
        <v>8</v>
      </c>
      <c r="R38" s="154">
        <v>3.681</v>
      </c>
      <c r="S38" s="154">
        <v>420.72</v>
      </c>
      <c r="U38" s="154">
        <v>12.388999999999999</v>
      </c>
      <c r="V38" s="169">
        <v>0</v>
      </c>
      <c r="W38" s="169">
        <v>5.6150528350620401E-3</v>
      </c>
      <c r="X38" s="169">
        <v>1.2281705270157401E-3</v>
      </c>
    </row>
    <row r="39" spans="1:24">
      <c r="A39" s="4" t="s">
        <v>26</v>
      </c>
      <c r="B39" s="4">
        <v>1522</v>
      </c>
      <c r="C39" s="4" t="s">
        <v>1651</v>
      </c>
      <c r="D39" s="4" t="s">
        <v>1652</v>
      </c>
      <c r="E39" s="4" t="s">
        <v>335</v>
      </c>
      <c r="F39" s="4" t="s">
        <v>1653</v>
      </c>
      <c r="G39" s="4" t="s">
        <v>1654</v>
      </c>
      <c r="H39" s="4" t="s">
        <v>343</v>
      </c>
      <c r="I39" s="4" t="s">
        <v>954</v>
      </c>
      <c r="J39" s="4" t="s">
        <v>124</v>
      </c>
      <c r="K39" s="4" t="s">
        <v>31</v>
      </c>
      <c r="L39" s="2" t="s">
        <v>349</v>
      </c>
      <c r="M39" s="2" t="s">
        <v>368</v>
      </c>
      <c r="N39" s="4" t="s">
        <v>571</v>
      </c>
      <c r="O39" s="4" t="s">
        <v>159</v>
      </c>
      <c r="P39" s="4" t="s">
        <v>35</v>
      </c>
      <c r="Q39" s="154">
        <v>22</v>
      </c>
      <c r="R39" s="154">
        <v>3.681</v>
      </c>
      <c r="S39" s="154">
        <v>26062</v>
      </c>
      <c r="U39" s="154">
        <v>21.106000000000002</v>
      </c>
      <c r="V39" s="169">
        <v>0</v>
      </c>
      <c r="W39" s="169">
        <v>9.5653556811017802E-3</v>
      </c>
      <c r="X39" s="169">
        <v>2.09221324768211E-3</v>
      </c>
    </row>
    <row r="40" spans="1:24">
      <c r="A40" s="4" t="s">
        <v>26</v>
      </c>
      <c r="B40" s="4">
        <v>1522</v>
      </c>
      <c r="C40" s="4" t="s">
        <v>1655</v>
      </c>
      <c r="D40" s="4" t="s">
        <v>1656</v>
      </c>
      <c r="E40" s="4" t="s">
        <v>335</v>
      </c>
      <c r="F40" s="4" t="s">
        <v>1657</v>
      </c>
      <c r="G40" s="4" t="s">
        <v>1658</v>
      </c>
      <c r="H40" s="4" t="s">
        <v>343</v>
      </c>
      <c r="I40" s="4" t="s">
        <v>954</v>
      </c>
      <c r="J40" s="4" t="s">
        <v>124</v>
      </c>
      <c r="K40" s="4" t="s">
        <v>125</v>
      </c>
      <c r="L40" s="2" t="s">
        <v>349</v>
      </c>
      <c r="M40" s="2" t="s">
        <v>366</v>
      </c>
      <c r="N40" s="4" t="s">
        <v>578</v>
      </c>
      <c r="O40" s="4" t="s">
        <v>159</v>
      </c>
      <c r="P40" s="4" t="s">
        <v>35</v>
      </c>
      <c r="Q40" s="154">
        <v>28</v>
      </c>
      <c r="R40" s="154">
        <v>3.681</v>
      </c>
      <c r="S40" s="154">
        <v>66.19</v>
      </c>
      <c r="U40" s="154">
        <v>6.8220000000000001</v>
      </c>
      <c r="V40" s="169">
        <v>9.9999999999999995E-7</v>
      </c>
      <c r="W40" s="169">
        <v>3.0918692123850702E-3</v>
      </c>
      <c r="X40" s="169">
        <v>6.7627905766567303E-4</v>
      </c>
    </row>
    <row r="41" spans="1:24">
      <c r="A41" s="4" t="s">
        <v>26</v>
      </c>
      <c r="B41" s="4">
        <v>9935</v>
      </c>
      <c r="C41" s="4" t="s">
        <v>1508</v>
      </c>
      <c r="D41" s="4" t="s">
        <v>1509</v>
      </c>
      <c r="E41" s="4" t="s">
        <v>1345</v>
      </c>
      <c r="F41" s="4" t="s">
        <v>1510</v>
      </c>
      <c r="G41" s="4" t="s">
        <v>1511</v>
      </c>
      <c r="H41" s="4" t="s">
        <v>343</v>
      </c>
      <c r="I41" s="4" t="s">
        <v>954</v>
      </c>
      <c r="J41" s="4" t="s">
        <v>31</v>
      </c>
      <c r="K41" s="4" t="s">
        <v>312</v>
      </c>
      <c r="L41" s="2" t="s">
        <v>349</v>
      </c>
      <c r="M41" s="2" t="s">
        <v>368</v>
      </c>
      <c r="N41" s="4" t="s">
        <v>478</v>
      </c>
      <c r="O41" s="4" t="s">
        <v>159</v>
      </c>
      <c r="P41" s="4" t="s">
        <v>35</v>
      </c>
      <c r="Q41" s="154">
        <v>2955</v>
      </c>
      <c r="R41" s="154">
        <v>3.681</v>
      </c>
      <c r="S41" s="154">
        <v>177.38</v>
      </c>
      <c r="U41" s="154">
        <v>1929.425</v>
      </c>
      <c r="V41" s="169">
        <v>1.05E-4</v>
      </c>
      <c r="W41" s="169">
        <v>1.1931136826993399E-2</v>
      </c>
      <c r="X41" s="169">
        <v>1.7601053316026499E-3</v>
      </c>
    </row>
    <row r="42" spans="1:24">
      <c r="A42" s="4" t="s">
        <v>26</v>
      </c>
      <c r="B42" s="4">
        <v>9935</v>
      </c>
      <c r="C42" s="4" t="s">
        <v>1659</v>
      </c>
      <c r="D42" s="4" t="s">
        <v>1660</v>
      </c>
      <c r="E42" s="4" t="s">
        <v>1345</v>
      </c>
      <c r="F42" s="4" t="s">
        <v>1661</v>
      </c>
      <c r="G42" s="4" t="s">
        <v>1662</v>
      </c>
      <c r="H42" s="4" t="s">
        <v>343</v>
      </c>
      <c r="I42" s="4" t="s">
        <v>954</v>
      </c>
      <c r="J42" s="4" t="s">
        <v>31</v>
      </c>
      <c r="K42" s="4" t="s">
        <v>31</v>
      </c>
      <c r="L42" s="2" t="s">
        <v>349</v>
      </c>
      <c r="M42" s="2" t="s">
        <v>49</v>
      </c>
      <c r="N42" s="4" t="s">
        <v>485</v>
      </c>
      <c r="O42" s="4" t="s">
        <v>159</v>
      </c>
      <c r="P42" s="4" t="s">
        <v>45</v>
      </c>
      <c r="Q42" s="154">
        <v>108600</v>
      </c>
      <c r="R42" s="154">
        <v>1</v>
      </c>
      <c r="S42" s="154">
        <v>492.9</v>
      </c>
      <c r="U42" s="154">
        <v>535.28899999999999</v>
      </c>
      <c r="V42" s="169">
        <v>6.5899999999999997E-4</v>
      </c>
      <c r="W42" s="169">
        <v>3.3101106870931799E-3</v>
      </c>
      <c r="X42" s="169">
        <v>4.8831419445013503E-4</v>
      </c>
    </row>
    <row r="43" spans="1:24">
      <c r="A43" s="4" t="s">
        <v>26</v>
      </c>
      <c r="B43" s="4">
        <v>9935</v>
      </c>
      <c r="C43" s="4" t="s">
        <v>1516</v>
      </c>
      <c r="D43" s="4" t="s">
        <v>1517</v>
      </c>
      <c r="E43" s="4" t="s">
        <v>1345</v>
      </c>
      <c r="F43" s="4" t="s">
        <v>1518</v>
      </c>
      <c r="G43" s="4" t="s">
        <v>1519</v>
      </c>
      <c r="H43" s="4" t="s">
        <v>343</v>
      </c>
      <c r="I43" s="4" t="s">
        <v>954</v>
      </c>
      <c r="J43" s="4" t="s">
        <v>31</v>
      </c>
      <c r="K43" s="4" t="s">
        <v>31</v>
      </c>
      <c r="L43" s="2" t="s">
        <v>349</v>
      </c>
      <c r="M43" s="2" t="s">
        <v>49</v>
      </c>
      <c r="N43" s="4" t="s">
        <v>466</v>
      </c>
      <c r="O43" s="4" t="s">
        <v>159</v>
      </c>
      <c r="P43" s="4" t="s">
        <v>45</v>
      </c>
      <c r="Q43" s="154">
        <v>2328</v>
      </c>
      <c r="R43" s="154">
        <v>1</v>
      </c>
      <c r="S43" s="154">
        <v>77500</v>
      </c>
      <c r="U43" s="154">
        <v>1804.2</v>
      </c>
      <c r="V43" s="169">
        <v>5.1999999999999997E-5</v>
      </c>
      <c r="W43" s="169">
        <v>1.11567718352979E-2</v>
      </c>
      <c r="X43" s="169">
        <v>1.6458694486140299E-3</v>
      </c>
    </row>
    <row r="44" spans="1:24">
      <c r="A44" s="4" t="s">
        <v>26</v>
      </c>
      <c r="B44" s="4">
        <v>9935</v>
      </c>
      <c r="C44" s="4" t="s">
        <v>1520</v>
      </c>
      <c r="D44" s="4" t="s">
        <v>1521</v>
      </c>
      <c r="E44" s="4" t="s">
        <v>1345</v>
      </c>
      <c r="F44" s="4" t="s">
        <v>1522</v>
      </c>
      <c r="G44" s="4" t="s">
        <v>1523</v>
      </c>
      <c r="H44" s="4" t="s">
        <v>343</v>
      </c>
      <c r="I44" s="4" t="s">
        <v>954</v>
      </c>
      <c r="J44" s="4" t="s">
        <v>31</v>
      </c>
      <c r="K44" s="4" t="s">
        <v>31</v>
      </c>
      <c r="L44" s="2" t="s">
        <v>349</v>
      </c>
      <c r="M44" s="2" t="s">
        <v>49</v>
      </c>
      <c r="N44" s="4" t="s">
        <v>484</v>
      </c>
      <c r="O44" s="4" t="s">
        <v>159</v>
      </c>
      <c r="P44" s="4" t="s">
        <v>45</v>
      </c>
      <c r="Q44" s="154">
        <v>45276</v>
      </c>
      <c r="R44" s="154">
        <v>1</v>
      </c>
      <c r="S44" s="154">
        <v>2653</v>
      </c>
      <c r="T44" s="153">
        <v>8.15</v>
      </c>
      <c r="U44" s="154">
        <v>1209.3219999999999</v>
      </c>
      <c r="V44" s="169">
        <v>2.52E-4</v>
      </c>
      <c r="W44" s="169">
        <v>7.4781782414007703E-3</v>
      </c>
      <c r="X44" s="169">
        <v>1.1031959137024899E-3</v>
      </c>
    </row>
    <row r="45" spans="1:24">
      <c r="A45" s="4" t="s">
        <v>26</v>
      </c>
      <c r="B45" s="4">
        <v>9935</v>
      </c>
      <c r="C45" s="4" t="s">
        <v>1524</v>
      </c>
      <c r="D45" s="4" t="s">
        <v>1525</v>
      </c>
      <c r="E45" s="4" t="s">
        <v>1345</v>
      </c>
      <c r="F45" s="4" t="s">
        <v>1526</v>
      </c>
      <c r="G45" s="4" t="s">
        <v>1527</v>
      </c>
      <c r="H45" s="4" t="s">
        <v>343</v>
      </c>
      <c r="I45" s="4" t="s">
        <v>954</v>
      </c>
      <c r="J45" s="4" t="s">
        <v>31</v>
      </c>
      <c r="K45" s="4" t="s">
        <v>31</v>
      </c>
      <c r="L45" s="2" t="s">
        <v>349</v>
      </c>
      <c r="M45" s="2" t="s">
        <v>49</v>
      </c>
      <c r="N45" s="4" t="s">
        <v>484</v>
      </c>
      <c r="O45" s="4" t="s">
        <v>159</v>
      </c>
      <c r="P45" s="4" t="s">
        <v>45</v>
      </c>
      <c r="Q45" s="154">
        <v>109000</v>
      </c>
      <c r="R45" s="154">
        <v>1</v>
      </c>
      <c r="S45" s="154">
        <v>1749</v>
      </c>
      <c r="U45" s="154">
        <v>1906.41</v>
      </c>
      <c r="V45" s="169">
        <v>2.32E-4</v>
      </c>
      <c r="W45" s="169">
        <v>1.1788815760187501E-2</v>
      </c>
      <c r="X45" s="169">
        <v>1.73910984122174E-3</v>
      </c>
    </row>
    <row r="46" spans="1:24">
      <c r="A46" s="4" t="s">
        <v>26</v>
      </c>
      <c r="B46" s="4">
        <v>9935</v>
      </c>
      <c r="C46" s="4" t="s">
        <v>1528</v>
      </c>
      <c r="D46" s="4" t="s">
        <v>1529</v>
      </c>
      <c r="E46" s="4" t="s">
        <v>1345</v>
      </c>
      <c r="F46" s="4" t="s">
        <v>1530</v>
      </c>
      <c r="G46" s="4" t="s">
        <v>1531</v>
      </c>
      <c r="H46" s="4" t="s">
        <v>343</v>
      </c>
      <c r="I46" s="4" t="s">
        <v>954</v>
      </c>
      <c r="J46" s="4" t="s">
        <v>31</v>
      </c>
      <c r="K46" s="4" t="s">
        <v>31</v>
      </c>
      <c r="L46" s="2" t="s">
        <v>349</v>
      </c>
      <c r="M46" s="2" t="s">
        <v>49</v>
      </c>
      <c r="N46" s="4" t="s">
        <v>461</v>
      </c>
      <c r="O46" s="4" t="s">
        <v>159</v>
      </c>
      <c r="P46" s="4" t="s">
        <v>45</v>
      </c>
      <c r="Q46" s="154">
        <v>24655.5</v>
      </c>
      <c r="R46" s="154">
        <v>1</v>
      </c>
      <c r="S46" s="154">
        <v>6299</v>
      </c>
      <c r="U46" s="154">
        <v>1553.05</v>
      </c>
      <c r="V46" s="169">
        <v>2.0900000000000001E-4</v>
      </c>
      <c r="W46" s="169">
        <v>9.6037157106678706E-3</v>
      </c>
      <c r="X46" s="169">
        <v>1.4167594815692301E-3</v>
      </c>
    </row>
    <row r="47" spans="1:24">
      <c r="A47" s="4" t="s">
        <v>26</v>
      </c>
      <c r="B47" s="4">
        <v>9935</v>
      </c>
      <c r="C47" s="4" t="s">
        <v>1532</v>
      </c>
      <c r="D47" s="4" t="s">
        <v>1533</v>
      </c>
      <c r="E47" s="4" t="s">
        <v>1345</v>
      </c>
      <c r="F47" s="4" t="s">
        <v>1534</v>
      </c>
      <c r="G47" s="4" t="s">
        <v>1535</v>
      </c>
      <c r="H47" s="4" t="s">
        <v>343</v>
      </c>
      <c r="I47" s="4" t="s">
        <v>954</v>
      </c>
      <c r="J47" s="4" t="s">
        <v>31</v>
      </c>
      <c r="K47" s="4" t="s">
        <v>31</v>
      </c>
      <c r="L47" s="2" t="s">
        <v>349</v>
      </c>
      <c r="M47" s="2" t="s">
        <v>49</v>
      </c>
      <c r="N47" s="4" t="s">
        <v>461</v>
      </c>
      <c r="O47" s="4" t="s">
        <v>159</v>
      </c>
      <c r="P47" s="4" t="s">
        <v>45</v>
      </c>
      <c r="Q47" s="154">
        <v>145280</v>
      </c>
      <c r="R47" s="154">
        <v>1</v>
      </c>
      <c r="S47" s="154">
        <v>1352</v>
      </c>
      <c r="U47" s="154">
        <v>1964.1859999999999</v>
      </c>
      <c r="V47" s="169">
        <v>2.6499999999999999E-4</v>
      </c>
      <c r="W47" s="169">
        <v>1.2146087230560799E-2</v>
      </c>
      <c r="X47" s="169">
        <v>1.7918152480033301E-3</v>
      </c>
    </row>
    <row r="48" spans="1:24">
      <c r="A48" s="4" t="s">
        <v>26</v>
      </c>
      <c r="B48" s="4">
        <v>9935</v>
      </c>
      <c r="C48" s="4" t="s">
        <v>1536</v>
      </c>
      <c r="D48" s="4" t="s">
        <v>1537</v>
      </c>
      <c r="E48" s="4" t="s">
        <v>1345</v>
      </c>
      <c r="F48" s="4" t="s">
        <v>1538</v>
      </c>
      <c r="G48" s="4" t="s">
        <v>1539</v>
      </c>
      <c r="H48" s="4" t="s">
        <v>343</v>
      </c>
      <c r="I48" s="4" t="s">
        <v>954</v>
      </c>
      <c r="J48" s="4" t="s">
        <v>31</v>
      </c>
      <c r="K48" s="4" t="s">
        <v>31</v>
      </c>
      <c r="L48" s="2" t="s">
        <v>349</v>
      </c>
      <c r="M48" s="2" t="s">
        <v>49</v>
      </c>
      <c r="N48" s="4" t="s">
        <v>505</v>
      </c>
      <c r="O48" s="4" t="s">
        <v>159</v>
      </c>
      <c r="P48" s="4" t="s">
        <v>45</v>
      </c>
      <c r="Q48" s="154">
        <v>563000</v>
      </c>
      <c r="R48" s="154">
        <v>1</v>
      </c>
      <c r="S48" s="154">
        <v>473</v>
      </c>
      <c r="U48" s="154">
        <v>2662.99</v>
      </c>
      <c r="V48" s="169">
        <v>2.03E-4</v>
      </c>
      <c r="W48" s="169">
        <v>1.6467338338144299E-2</v>
      </c>
      <c r="X48" s="169">
        <v>2.4292949135155E-3</v>
      </c>
    </row>
    <row r="49" spans="1:24">
      <c r="A49" s="4" t="s">
        <v>26</v>
      </c>
      <c r="B49" s="4">
        <v>9935</v>
      </c>
      <c r="C49" s="4" t="s">
        <v>1542</v>
      </c>
      <c r="D49" s="4" t="s">
        <v>1543</v>
      </c>
      <c r="E49" s="4" t="s">
        <v>1345</v>
      </c>
      <c r="F49" s="4" t="s">
        <v>1544</v>
      </c>
      <c r="G49" s="4" t="s">
        <v>1545</v>
      </c>
      <c r="H49" s="4" t="s">
        <v>343</v>
      </c>
      <c r="I49" s="4" t="s">
        <v>954</v>
      </c>
      <c r="J49" s="4" t="s">
        <v>31</v>
      </c>
      <c r="K49" s="4" t="s">
        <v>31</v>
      </c>
      <c r="L49" s="2" t="s">
        <v>349</v>
      </c>
      <c r="M49" s="2" t="s">
        <v>49</v>
      </c>
      <c r="N49" s="4" t="s">
        <v>468</v>
      </c>
      <c r="O49" s="4" t="s">
        <v>159</v>
      </c>
      <c r="P49" s="4" t="s">
        <v>45</v>
      </c>
      <c r="Q49" s="154">
        <v>292256.48</v>
      </c>
      <c r="R49" s="154">
        <v>1</v>
      </c>
      <c r="S49" s="154">
        <v>1946</v>
      </c>
      <c r="T49" s="153">
        <v>43.424999999999997</v>
      </c>
      <c r="U49" s="154">
        <v>5730.7359999999999</v>
      </c>
      <c r="V49" s="169">
        <v>2.3599999999999999E-4</v>
      </c>
      <c r="W49" s="169">
        <v>3.5437596039124997E-2</v>
      </c>
      <c r="X49" s="169">
        <v>5.2278255318075097E-3</v>
      </c>
    </row>
    <row r="50" spans="1:24">
      <c r="A50" s="4" t="s">
        <v>26</v>
      </c>
      <c r="B50" s="4">
        <v>9935</v>
      </c>
      <c r="C50" s="4" t="s">
        <v>1663</v>
      </c>
      <c r="D50" s="4" t="s">
        <v>1664</v>
      </c>
      <c r="E50" s="4" t="s">
        <v>1345</v>
      </c>
      <c r="F50" s="4" t="s">
        <v>1665</v>
      </c>
      <c r="G50" s="4" t="s">
        <v>1666</v>
      </c>
      <c r="H50" s="4" t="s">
        <v>343</v>
      </c>
      <c r="I50" s="4" t="s">
        <v>954</v>
      </c>
      <c r="J50" s="4" t="s">
        <v>31</v>
      </c>
      <c r="K50" s="4" t="s">
        <v>31</v>
      </c>
      <c r="L50" s="2" t="s">
        <v>349</v>
      </c>
      <c r="M50" s="2" t="s">
        <v>49</v>
      </c>
      <c r="N50" s="4" t="s">
        <v>474</v>
      </c>
      <c r="O50" s="4" t="s">
        <v>159</v>
      </c>
      <c r="P50" s="4" t="s">
        <v>45</v>
      </c>
      <c r="Q50" s="154">
        <v>1</v>
      </c>
      <c r="R50" s="154">
        <v>1</v>
      </c>
      <c r="S50" s="154">
        <v>48400</v>
      </c>
      <c r="U50" s="154">
        <v>0.48399999999999999</v>
      </c>
      <c r="V50" s="169">
        <v>0</v>
      </c>
      <c r="W50" s="169">
        <v>2.9929484360293701E-6</v>
      </c>
      <c r="X50" s="169">
        <v>4.4152578047289098E-7</v>
      </c>
    </row>
    <row r="51" spans="1:24">
      <c r="A51" s="4" t="s">
        <v>26</v>
      </c>
      <c r="B51" s="4">
        <v>9935</v>
      </c>
      <c r="C51" s="4" t="s">
        <v>1546</v>
      </c>
      <c r="D51" s="4" t="s">
        <v>1547</v>
      </c>
      <c r="E51" s="4" t="s">
        <v>1345</v>
      </c>
      <c r="F51" s="4" t="s">
        <v>1548</v>
      </c>
      <c r="G51" s="4" t="s">
        <v>1549</v>
      </c>
      <c r="H51" s="4" t="s">
        <v>343</v>
      </c>
      <c r="I51" s="4" t="s">
        <v>954</v>
      </c>
      <c r="J51" s="4" t="s">
        <v>31</v>
      </c>
      <c r="K51" s="4" t="s">
        <v>31</v>
      </c>
      <c r="L51" s="2" t="s">
        <v>349</v>
      </c>
      <c r="M51" s="2" t="s">
        <v>49</v>
      </c>
      <c r="N51" s="4" t="s">
        <v>467</v>
      </c>
      <c r="O51" s="4" t="s">
        <v>159</v>
      </c>
      <c r="P51" s="4" t="s">
        <v>45</v>
      </c>
      <c r="Q51" s="154">
        <v>12050</v>
      </c>
      <c r="R51" s="154">
        <v>1</v>
      </c>
      <c r="S51" s="154">
        <v>28600</v>
      </c>
      <c r="U51" s="154">
        <v>3446.3</v>
      </c>
      <c r="V51" s="169">
        <v>6.4400000000000004E-4</v>
      </c>
      <c r="W51" s="169">
        <v>2.13111532956364E-2</v>
      </c>
      <c r="X51" s="169">
        <v>3.1438642505035599E-3</v>
      </c>
    </row>
    <row r="52" spans="1:24">
      <c r="A52" s="4" t="s">
        <v>26</v>
      </c>
      <c r="B52" s="4">
        <v>9935</v>
      </c>
      <c r="C52" s="4" t="s">
        <v>1550</v>
      </c>
      <c r="D52" s="4" t="s">
        <v>1551</v>
      </c>
      <c r="E52" s="4" t="s">
        <v>1345</v>
      </c>
      <c r="F52" s="4" t="s">
        <v>1552</v>
      </c>
      <c r="G52" s="4" t="s">
        <v>1553</v>
      </c>
      <c r="H52" s="4" t="s">
        <v>343</v>
      </c>
      <c r="I52" s="4" t="s">
        <v>954</v>
      </c>
      <c r="J52" s="4" t="s">
        <v>31</v>
      </c>
      <c r="K52" s="4" t="s">
        <v>31</v>
      </c>
      <c r="L52" s="2" t="s">
        <v>349</v>
      </c>
      <c r="M52" s="2" t="s">
        <v>49</v>
      </c>
      <c r="N52" s="4" t="s">
        <v>465</v>
      </c>
      <c r="O52" s="4" t="s">
        <v>159</v>
      </c>
      <c r="P52" s="4" t="s">
        <v>45</v>
      </c>
      <c r="Q52" s="154">
        <v>55515</v>
      </c>
      <c r="R52" s="154">
        <v>1</v>
      </c>
      <c r="S52" s="154">
        <v>3810</v>
      </c>
      <c r="U52" s="154">
        <v>2115.1219999999998</v>
      </c>
      <c r="V52" s="169">
        <v>2.14E-4</v>
      </c>
      <c r="W52" s="169">
        <v>1.3079441292225401E-2</v>
      </c>
      <c r="X52" s="169">
        <v>1.92950551876548E-3</v>
      </c>
    </row>
    <row r="53" spans="1:24">
      <c r="A53" s="4" t="s">
        <v>26</v>
      </c>
      <c r="B53" s="4">
        <v>9935</v>
      </c>
      <c r="C53" s="4" t="s">
        <v>1667</v>
      </c>
      <c r="D53" s="4" t="s">
        <v>1668</v>
      </c>
      <c r="E53" s="4" t="s">
        <v>1345</v>
      </c>
      <c r="F53" s="4" t="s">
        <v>1669</v>
      </c>
      <c r="G53" s="4" t="s">
        <v>1670</v>
      </c>
      <c r="H53" s="4" t="s">
        <v>343</v>
      </c>
      <c r="I53" s="4" t="s">
        <v>954</v>
      </c>
      <c r="J53" s="4" t="s">
        <v>31</v>
      </c>
      <c r="K53" s="4" t="s">
        <v>31</v>
      </c>
      <c r="L53" s="2" t="s">
        <v>349</v>
      </c>
      <c r="M53" s="2" t="s">
        <v>49</v>
      </c>
      <c r="N53" s="4" t="s">
        <v>496</v>
      </c>
      <c r="O53" s="4" t="s">
        <v>159</v>
      </c>
      <c r="P53" s="4" t="s">
        <v>45</v>
      </c>
      <c r="Q53" s="154">
        <v>82750</v>
      </c>
      <c r="R53" s="154">
        <v>1</v>
      </c>
      <c r="S53" s="154">
        <v>283.8</v>
      </c>
      <c r="U53" s="154">
        <v>234.845</v>
      </c>
      <c r="V53" s="169">
        <v>6.6299999999999996E-4</v>
      </c>
      <c r="W53" s="169">
        <v>1.4522261962502099E-3</v>
      </c>
      <c r="X53" s="169">
        <v>2.1423533295922699E-4</v>
      </c>
    </row>
    <row r="54" spans="1:24">
      <c r="A54" s="4" t="s">
        <v>26</v>
      </c>
      <c r="B54" s="4">
        <v>9935</v>
      </c>
      <c r="C54" s="4" t="s">
        <v>1554</v>
      </c>
      <c r="D54" s="4" t="s">
        <v>1555</v>
      </c>
      <c r="E54" s="4" t="s">
        <v>1345</v>
      </c>
      <c r="F54" s="4" t="s">
        <v>1556</v>
      </c>
      <c r="G54" s="4" t="s">
        <v>1557</v>
      </c>
      <c r="H54" s="4" t="s">
        <v>343</v>
      </c>
      <c r="I54" s="4" t="s">
        <v>954</v>
      </c>
      <c r="J54" s="4" t="s">
        <v>31</v>
      </c>
      <c r="K54" s="4" t="s">
        <v>31</v>
      </c>
      <c r="L54" s="2" t="s">
        <v>349</v>
      </c>
      <c r="M54" s="2" t="s">
        <v>49</v>
      </c>
      <c r="N54" s="4" t="s">
        <v>467</v>
      </c>
      <c r="O54" s="4" t="s">
        <v>159</v>
      </c>
      <c r="P54" s="4" t="s">
        <v>45</v>
      </c>
      <c r="Q54" s="154">
        <v>140000</v>
      </c>
      <c r="R54" s="154">
        <v>1</v>
      </c>
      <c r="S54" s="154">
        <v>1475</v>
      </c>
      <c r="U54" s="154">
        <v>2065</v>
      </c>
      <c r="V54" s="169">
        <v>4.6299999999999998E-4</v>
      </c>
      <c r="W54" s="169">
        <v>1.2769501075208E-2</v>
      </c>
      <c r="X54" s="169">
        <v>1.88378251379446E-3</v>
      </c>
    </row>
    <row r="55" spans="1:24">
      <c r="A55" s="4" t="s">
        <v>26</v>
      </c>
      <c r="B55" s="4">
        <v>9935</v>
      </c>
      <c r="C55" s="4" t="s">
        <v>1558</v>
      </c>
      <c r="D55" s="4" t="s">
        <v>1559</v>
      </c>
      <c r="E55" s="4" t="s">
        <v>1345</v>
      </c>
      <c r="F55" s="4" t="s">
        <v>1560</v>
      </c>
      <c r="G55" s="4" t="s">
        <v>1561</v>
      </c>
      <c r="H55" s="4" t="s">
        <v>343</v>
      </c>
      <c r="I55" s="4" t="s">
        <v>954</v>
      </c>
      <c r="J55" s="4" t="s">
        <v>31</v>
      </c>
      <c r="K55" s="4" t="s">
        <v>31</v>
      </c>
      <c r="L55" s="2" t="s">
        <v>349</v>
      </c>
      <c r="M55" s="2" t="s">
        <v>49</v>
      </c>
      <c r="N55" s="4" t="s">
        <v>465</v>
      </c>
      <c r="O55" s="4" t="s">
        <v>159</v>
      </c>
      <c r="P55" s="4" t="s">
        <v>45</v>
      </c>
      <c r="Q55" s="154">
        <v>25000</v>
      </c>
      <c r="R55" s="154">
        <v>1</v>
      </c>
      <c r="S55" s="154">
        <v>6569</v>
      </c>
      <c r="U55" s="154">
        <v>1642.25</v>
      </c>
      <c r="V55" s="169">
        <v>3.1599999999999998E-4</v>
      </c>
      <c r="W55" s="169">
        <v>1.01553090270025E-2</v>
      </c>
      <c r="X55" s="169">
        <v>1.49813163839175E-3</v>
      </c>
    </row>
    <row r="56" spans="1:24">
      <c r="A56" s="4" t="s">
        <v>26</v>
      </c>
      <c r="B56" s="4">
        <v>9935</v>
      </c>
      <c r="C56" s="4" t="s">
        <v>1202</v>
      </c>
      <c r="D56" s="4" t="s">
        <v>1562</v>
      </c>
      <c r="E56" s="4" t="s">
        <v>1345</v>
      </c>
      <c r="F56" s="4" t="s">
        <v>1563</v>
      </c>
      <c r="G56" s="4" t="s">
        <v>1564</v>
      </c>
      <c r="H56" s="4" t="s">
        <v>343</v>
      </c>
      <c r="I56" s="4" t="s">
        <v>954</v>
      </c>
      <c r="J56" s="4" t="s">
        <v>31</v>
      </c>
      <c r="K56" s="4" t="s">
        <v>31</v>
      </c>
      <c r="L56" s="2" t="s">
        <v>349</v>
      </c>
      <c r="M56" s="2" t="s">
        <v>49</v>
      </c>
      <c r="N56" s="4" t="s">
        <v>468</v>
      </c>
      <c r="O56" s="4" t="s">
        <v>159</v>
      </c>
      <c r="P56" s="4" t="s">
        <v>45</v>
      </c>
      <c r="Q56" s="154">
        <v>187821</v>
      </c>
      <c r="R56" s="154">
        <v>1</v>
      </c>
      <c r="S56" s="154">
        <v>3100</v>
      </c>
      <c r="T56" s="153">
        <v>45.021999999999998</v>
      </c>
      <c r="U56" s="154">
        <v>5867.473</v>
      </c>
      <c r="V56" s="169">
        <v>1.16E-4</v>
      </c>
      <c r="W56" s="169">
        <v>3.6283149789149503E-2</v>
      </c>
      <c r="X56" s="169">
        <v>5.3525633237845203E-3</v>
      </c>
    </row>
    <row r="57" spans="1:24">
      <c r="A57" s="4" t="s">
        <v>26</v>
      </c>
      <c r="B57" s="4">
        <v>9935</v>
      </c>
      <c r="C57" s="4" t="s">
        <v>1671</v>
      </c>
      <c r="D57" s="4" t="s">
        <v>1672</v>
      </c>
      <c r="E57" s="4" t="s">
        <v>1345</v>
      </c>
      <c r="F57" s="4" t="s">
        <v>1673</v>
      </c>
      <c r="G57" s="4" t="s">
        <v>1674</v>
      </c>
      <c r="H57" s="4" t="s">
        <v>343</v>
      </c>
      <c r="I57" s="4" t="s">
        <v>954</v>
      </c>
      <c r="J57" s="4" t="s">
        <v>31</v>
      </c>
      <c r="K57" s="4" t="s">
        <v>31</v>
      </c>
      <c r="L57" s="2" t="s">
        <v>349</v>
      </c>
      <c r="M57" s="2" t="s">
        <v>49</v>
      </c>
      <c r="N57" s="4" t="s">
        <v>465</v>
      </c>
      <c r="O57" s="4" t="s">
        <v>159</v>
      </c>
      <c r="P57" s="4" t="s">
        <v>45</v>
      </c>
      <c r="Q57" s="154">
        <v>46125</v>
      </c>
      <c r="R57" s="154">
        <v>1</v>
      </c>
      <c r="S57" s="154">
        <v>508.1</v>
      </c>
      <c r="U57" s="154">
        <v>234.36099999999999</v>
      </c>
      <c r="V57" s="169">
        <v>4.3999999999999999E-5</v>
      </c>
      <c r="W57" s="169">
        <v>1.4492371126752801E-3</v>
      </c>
      <c r="X57" s="169">
        <v>2.1379437733084699E-4</v>
      </c>
    </row>
    <row r="58" spans="1:24">
      <c r="A58" s="4" t="s">
        <v>26</v>
      </c>
      <c r="B58" s="4">
        <v>9935</v>
      </c>
      <c r="C58" s="4" t="s">
        <v>1675</v>
      </c>
      <c r="D58" s="4" t="s">
        <v>1676</v>
      </c>
      <c r="E58" s="4" t="s">
        <v>1345</v>
      </c>
      <c r="F58" s="4" t="s">
        <v>1677</v>
      </c>
      <c r="G58" s="4" t="s">
        <v>1678</v>
      </c>
      <c r="H58" s="4" t="s">
        <v>343</v>
      </c>
      <c r="I58" s="4" t="s">
        <v>954</v>
      </c>
      <c r="J58" s="4" t="s">
        <v>31</v>
      </c>
      <c r="K58" s="4" t="s">
        <v>31</v>
      </c>
      <c r="L58" s="2" t="s">
        <v>349</v>
      </c>
      <c r="M58" s="2" t="s">
        <v>49</v>
      </c>
      <c r="N58" s="4" t="s">
        <v>499</v>
      </c>
      <c r="O58" s="4" t="s">
        <v>362</v>
      </c>
      <c r="P58" s="4" t="s">
        <v>45</v>
      </c>
      <c r="Q58" s="154">
        <v>129600</v>
      </c>
      <c r="R58" s="154">
        <v>1</v>
      </c>
      <c r="S58" s="154">
        <v>848.3</v>
      </c>
      <c r="U58" s="154">
        <v>1099.3969999999999</v>
      </c>
      <c r="V58" s="169">
        <v>1.8259999999999999E-3</v>
      </c>
      <c r="W58" s="169">
        <v>6.7984254816853204E-3</v>
      </c>
      <c r="X58" s="169">
        <v>1.0029174177053699E-3</v>
      </c>
    </row>
    <row r="59" spans="1:24">
      <c r="A59" s="4" t="s">
        <v>26</v>
      </c>
      <c r="B59" s="4">
        <v>9935</v>
      </c>
      <c r="C59" s="4" t="s">
        <v>1565</v>
      </c>
      <c r="D59" s="4" t="s">
        <v>1566</v>
      </c>
      <c r="E59" s="4" t="s">
        <v>1345</v>
      </c>
      <c r="F59" s="4" t="s">
        <v>1567</v>
      </c>
      <c r="G59" s="4" t="s">
        <v>1568</v>
      </c>
      <c r="H59" s="4" t="s">
        <v>343</v>
      </c>
      <c r="I59" s="4" t="s">
        <v>954</v>
      </c>
      <c r="J59" s="4" t="s">
        <v>31</v>
      </c>
      <c r="K59" s="4" t="s">
        <v>31</v>
      </c>
      <c r="L59" s="2" t="s">
        <v>349</v>
      </c>
      <c r="M59" s="2" t="s">
        <v>49</v>
      </c>
      <c r="N59" s="4" t="s">
        <v>468</v>
      </c>
      <c r="O59" s="4" t="s">
        <v>159</v>
      </c>
      <c r="P59" s="4" t="s">
        <v>45</v>
      </c>
      <c r="Q59" s="154">
        <v>20750</v>
      </c>
      <c r="R59" s="154">
        <v>1</v>
      </c>
      <c r="S59" s="154">
        <v>14000</v>
      </c>
      <c r="U59" s="154">
        <v>2905</v>
      </c>
      <c r="V59" s="169">
        <v>8.0000000000000007E-5</v>
      </c>
      <c r="W59" s="169">
        <v>1.79638743939366E-2</v>
      </c>
      <c r="X59" s="169">
        <v>2.65006692618543E-3</v>
      </c>
    </row>
    <row r="60" spans="1:24">
      <c r="A60" s="4" t="s">
        <v>26</v>
      </c>
      <c r="B60" s="4">
        <v>9935</v>
      </c>
      <c r="C60" s="4" t="s">
        <v>1569</v>
      </c>
      <c r="D60" s="4" t="s">
        <v>1570</v>
      </c>
      <c r="E60" s="4" t="s">
        <v>1345</v>
      </c>
      <c r="F60" s="4" t="s">
        <v>1571</v>
      </c>
      <c r="G60" s="4" t="s">
        <v>1572</v>
      </c>
      <c r="H60" s="4" t="s">
        <v>343</v>
      </c>
      <c r="I60" s="4" t="s">
        <v>954</v>
      </c>
      <c r="J60" s="4" t="s">
        <v>31</v>
      </c>
      <c r="K60" s="4" t="s">
        <v>31</v>
      </c>
      <c r="L60" s="2" t="s">
        <v>349</v>
      </c>
      <c r="M60" s="2" t="s">
        <v>49</v>
      </c>
      <c r="N60" s="4" t="s">
        <v>497</v>
      </c>
      <c r="O60" s="4" t="s">
        <v>159</v>
      </c>
      <c r="P60" s="4" t="s">
        <v>45</v>
      </c>
      <c r="Q60" s="154">
        <v>25448</v>
      </c>
      <c r="R60" s="154">
        <v>1</v>
      </c>
      <c r="S60" s="154">
        <v>8160</v>
      </c>
      <c r="T60" s="153">
        <v>32.319000000000003</v>
      </c>
      <c r="U60" s="154">
        <v>2108.8760000000002</v>
      </c>
      <c r="V60" s="169">
        <v>4.0099999999999999E-4</v>
      </c>
      <c r="W60" s="169">
        <v>1.3040819024116201E-2</v>
      </c>
      <c r="X60" s="169">
        <v>1.9238078839966101E-3</v>
      </c>
    </row>
    <row r="61" spans="1:24">
      <c r="A61" s="4" t="s">
        <v>26</v>
      </c>
      <c r="B61" s="4">
        <v>9935</v>
      </c>
      <c r="C61" s="4" t="s">
        <v>1573</v>
      </c>
      <c r="D61" s="4" t="s">
        <v>1574</v>
      </c>
      <c r="E61" s="4" t="s">
        <v>1345</v>
      </c>
      <c r="F61" s="4" t="s">
        <v>1575</v>
      </c>
      <c r="G61" s="4" t="s">
        <v>1576</v>
      </c>
      <c r="H61" s="4" t="s">
        <v>343</v>
      </c>
      <c r="I61" s="4" t="s">
        <v>954</v>
      </c>
      <c r="J61" s="4" t="s">
        <v>31</v>
      </c>
      <c r="K61" s="4" t="s">
        <v>31</v>
      </c>
      <c r="L61" s="2" t="s">
        <v>349</v>
      </c>
      <c r="M61" s="2" t="s">
        <v>49</v>
      </c>
      <c r="N61" s="4" t="s">
        <v>494</v>
      </c>
      <c r="O61" s="4" t="s">
        <v>159</v>
      </c>
      <c r="P61" s="4" t="s">
        <v>45</v>
      </c>
      <c r="Q61" s="154">
        <v>25999</v>
      </c>
      <c r="R61" s="154">
        <v>1</v>
      </c>
      <c r="S61" s="154">
        <v>3622</v>
      </c>
      <c r="U61" s="154">
        <v>941.68399999999997</v>
      </c>
      <c r="V61" s="169">
        <v>2.3699999999999999E-4</v>
      </c>
      <c r="W61" s="169">
        <v>5.8231632160851803E-3</v>
      </c>
      <c r="X61" s="169">
        <v>8.5904476430405396E-4</v>
      </c>
    </row>
    <row r="62" spans="1:24">
      <c r="A62" s="4" t="s">
        <v>26</v>
      </c>
      <c r="B62" s="4">
        <v>9935</v>
      </c>
      <c r="C62" s="4" t="s">
        <v>1577</v>
      </c>
      <c r="D62" s="4" t="s">
        <v>1578</v>
      </c>
      <c r="E62" s="4" t="s">
        <v>1345</v>
      </c>
      <c r="F62" s="4" t="s">
        <v>1579</v>
      </c>
      <c r="G62" s="4" t="s">
        <v>1580</v>
      </c>
      <c r="H62" s="4" t="s">
        <v>343</v>
      </c>
      <c r="I62" s="4" t="s">
        <v>954</v>
      </c>
      <c r="J62" s="4" t="s">
        <v>31</v>
      </c>
      <c r="K62" s="4" t="s">
        <v>31</v>
      </c>
      <c r="L62" s="2" t="s">
        <v>349</v>
      </c>
      <c r="M62" s="2" t="s">
        <v>49</v>
      </c>
      <c r="N62" s="4" t="s">
        <v>484</v>
      </c>
      <c r="O62" s="4" t="s">
        <v>159</v>
      </c>
      <c r="P62" s="4" t="s">
        <v>45</v>
      </c>
      <c r="Q62" s="154">
        <v>5631</v>
      </c>
      <c r="R62" s="154">
        <v>1</v>
      </c>
      <c r="S62" s="154">
        <v>26900</v>
      </c>
      <c r="T62" s="153">
        <v>14.218999999999999</v>
      </c>
      <c r="U62" s="154">
        <v>1528.9580000000001</v>
      </c>
      <c r="V62" s="169">
        <v>1.1900000000000001E-4</v>
      </c>
      <c r="W62" s="169">
        <v>9.4547385176189606E-3</v>
      </c>
      <c r="X62" s="169">
        <v>1.3947820660408601E-3</v>
      </c>
    </row>
    <row r="63" spans="1:24">
      <c r="A63" s="4" t="s">
        <v>26</v>
      </c>
      <c r="B63" s="4">
        <v>9935</v>
      </c>
      <c r="C63" s="4" t="s">
        <v>1679</v>
      </c>
      <c r="D63" s="4" t="s">
        <v>1680</v>
      </c>
      <c r="E63" s="4" t="s">
        <v>1345</v>
      </c>
      <c r="F63" s="4" t="s">
        <v>1681</v>
      </c>
      <c r="G63" s="4" t="s">
        <v>1682</v>
      </c>
      <c r="H63" s="4" t="s">
        <v>343</v>
      </c>
      <c r="I63" s="4" t="s">
        <v>954</v>
      </c>
      <c r="J63" s="4" t="s">
        <v>31</v>
      </c>
      <c r="K63" s="4" t="s">
        <v>31</v>
      </c>
      <c r="L63" s="2" t="s">
        <v>349</v>
      </c>
      <c r="M63" s="2" t="s">
        <v>49</v>
      </c>
      <c r="N63" s="4" t="s">
        <v>484</v>
      </c>
      <c r="O63" s="4" t="s">
        <v>159</v>
      </c>
      <c r="P63" s="4" t="s">
        <v>45</v>
      </c>
      <c r="Q63" s="154">
        <v>543909</v>
      </c>
      <c r="R63" s="154">
        <v>1</v>
      </c>
      <c r="S63" s="154">
        <v>176.3</v>
      </c>
      <c r="U63" s="154">
        <v>958.91200000000003</v>
      </c>
      <c r="V63" s="169">
        <v>7.8799999999999996E-4</v>
      </c>
      <c r="W63" s="169">
        <v>5.9296960221965301E-3</v>
      </c>
      <c r="X63" s="169">
        <v>8.7476069839702005E-4</v>
      </c>
    </row>
    <row r="64" spans="1:24">
      <c r="A64" s="4" t="s">
        <v>26</v>
      </c>
      <c r="B64" s="4">
        <v>9935</v>
      </c>
      <c r="C64" s="4" t="s">
        <v>1586</v>
      </c>
      <c r="D64" s="4" t="s">
        <v>1587</v>
      </c>
      <c r="E64" s="4" t="s">
        <v>1345</v>
      </c>
      <c r="F64" s="4" t="s">
        <v>1588</v>
      </c>
      <c r="G64" s="4" t="s">
        <v>1589</v>
      </c>
      <c r="H64" s="4" t="s">
        <v>343</v>
      </c>
      <c r="I64" s="4" t="s">
        <v>954</v>
      </c>
      <c r="J64" s="4" t="s">
        <v>31</v>
      </c>
      <c r="K64" s="4" t="s">
        <v>31</v>
      </c>
      <c r="L64" s="2" t="s">
        <v>349</v>
      </c>
      <c r="M64" s="2" t="s">
        <v>49</v>
      </c>
      <c r="N64" s="4" t="s">
        <v>474</v>
      </c>
      <c r="O64" s="4" t="s">
        <v>159</v>
      </c>
      <c r="P64" s="4" t="s">
        <v>45</v>
      </c>
      <c r="Q64" s="154">
        <v>87000</v>
      </c>
      <c r="R64" s="154">
        <v>1</v>
      </c>
      <c r="S64" s="154">
        <v>935.3</v>
      </c>
      <c r="T64" s="153">
        <v>16.669</v>
      </c>
      <c r="U64" s="154">
        <v>830.38</v>
      </c>
      <c r="V64" s="169">
        <v>7.3999999999999996E-5</v>
      </c>
      <c r="W64" s="169">
        <v>5.1348854385114698E-3</v>
      </c>
      <c r="X64" s="169">
        <v>7.5750864050482805E-4</v>
      </c>
    </row>
    <row r="65" spans="1:24">
      <c r="A65" s="4" t="s">
        <v>26</v>
      </c>
      <c r="B65" s="4">
        <v>9935</v>
      </c>
      <c r="C65" s="4" t="s">
        <v>1590</v>
      </c>
      <c r="D65" s="4" t="s">
        <v>1591</v>
      </c>
      <c r="E65" s="4" t="s">
        <v>1345</v>
      </c>
      <c r="F65" s="4" t="s">
        <v>1592</v>
      </c>
      <c r="G65" s="4" t="s">
        <v>1593</v>
      </c>
      <c r="H65" s="4" t="s">
        <v>343</v>
      </c>
      <c r="I65" s="4" t="s">
        <v>954</v>
      </c>
      <c r="J65" s="4" t="s">
        <v>31</v>
      </c>
      <c r="K65" s="4" t="s">
        <v>31</v>
      </c>
      <c r="L65" s="2" t="s">
        <v>349</v>
      </c>
      <c r="M65" s="2" t="s">
        <v>49</v>
      </c>
      <c r="N65" s="4" t="s">
        <v>501</v>
      </c>
      <c r="O65" s="4" t="s">
        <v>159</v>
      </c>
      <c r="P65" s="4" t="s">
        <v>45</v>
      </c>
      <c r="Q65" s="154">
        <v>1956.5</v>
      </c>
      <c r="R65" s="154">
        <v>1</v>
      </c>
      <c r="S65" s="154">
        <v>95150</v>
      </c>
      <c r="U65" s="154">
        <v>1861.61</v>
      </c>
      <c r="V65" s="169">
        <v>3.1000000000000001E-5</v>
      </c>
      <c r="W65" s="169">
        <v>1.15117809705775E-2</v>
      </c>
      <c r="X65" s="169">
        <v>1.69824111116672E-3</v>
      </c>
    </row>
    <row r="66" spans="1:24">
      <c r="A66" s="4" t="s">
        <v>26</v>
      </c>
      <c r="B66" s="4">
        <v>9935</v>
      </c>
      <c r="C66" s="4" t="s">
        <v>1594</v>
      </c>
      <c r="D66" s="4" t="s">
        <v>1595</v>
      </c>
      <c r="E66" s="4" t="s">
        <v>1345</v>
      </c>
      <c r="F66" s="4" t="s">
        <v>1596</v>
      </c>
      <c r="G66" s="4" t="s">
        <v>1597</v>
      </c>
      <c r="H66" s="4" t="s">
        <v>343</v>
      </c>
      <c r="I66" s="4" t="s">
        <v>954</v>
      </c>
      <c r="J66" s="4" t="s">
        <v>31</v>
      </c>
      <c r="K66" s="4" t="s">
        <v>31</v>
      </c>
      <c r="L66" s="2" t="s">
        <v>349</v>
      </c>
      <c r="M66" s="2" t="s">
        <v>49</v>
      </c>
      <c r="N66" s="4" t="s">
        <v>484</v>
      </c>
      <c r="O66" s="4" t="s">
        <v>159</v>
      </c>
      <c r="P66" s="4" t="s">
        <v>45</v>
      </c>
      <c r="Q66" s="154">
        <v>9481</v>
      </c>
      <c r="R66" s="154">
        <v>1</v>
      </c>
      <c r="S66" s="154">
        <v>26610</v>
      </c>
      <c r="U66" s="154">
        <v>2522.8939999999998</v>
      </c>
      <c r="V66" s="169">
        <v>7.7999999999999999E-5</v>
      </c>
      <c r="W66" s="169">
        <v>1.56010164274023E-2</v>
      </c>
      <c r="X66" s="169">
        <v>2.3014933606465898E-3</v>
      </c>
    </row>
    <row r="67" spans="1:24">
      <c r="A67" s="4" t="s">
        <v>26</v>
      </c>
      <c r="B67" s="4">
        <v>9935</v>
      </c>
      <c r="C67" s="4" t="s">
        <v>1598</v>
      </c>
      <c r="D67" s="4" t="s">
        <v>1599</v>
      </c>
      <c r="E67" s="4" t="s">
        <v>1345</v>
      </c>
      <c r="F67" s="4" t="s">
        <v>1600</v>
      </c>
      <c r="G67" s="4" t="s">
        <v>1601</v>
      </c>
      <c r="H67" s="4" t="s">
        <v>343</v>
      </c>
      <c r="I67" s="4" t="s">
        <v>954</v>
      </c>
      <c r="J67" s="4" t="s">
        <v>31</v>
      </c>
      <c r="K67" s="4" t="s">
        <v>31</v>
      </c>
      <c r="L67" s="2" t="s">
        <v>349</v>
      </c>
      <c r="M67" s="2" t="s">
        <v>49</v>
      </c>
      <c r="N67" s="4" t="s">
        <v>468</v>
      </c>
      <c r="O67" s="4" t="s">
        <v>159</v>
      </c>
      <c r="P67" s="4" t="s">
        <v>45</v>
      </c>
      <c r="Q67" s="154">
        <v>191714</v>
      </c>
      <c r="R67" s="154">
        <v>1</v>
      </c>
      <c r="S67" s="154">
        <v>3500</v>
      </c>
      <c r="T67" s="153">
        <v>50.463000000000001</v>
      </c>
      <c r="U67" s="154">
        <v>6760.4530000000004</v>
      </c>
      <c r="V67" s="169">
        <v>1.4300000000000001E-4</v>
      </c>
      <c r="W67" s="169">
        <v>4.1805139220759298E-2</v>
      </c>
      <c r="X67" s="169">
        <v>6.1671783248999704E-3</v>
      </c>
    </row>
    <row r="68" spans="1:24">
      <c r="A68" s="4" t="s">
        <v>26</v>
      </c>
      <c r="B68" s="4">
        <v>9935</v>
      </c>
      <c r="C68" s="4" t="s">
        <v>1602</v>
      </c>
      <c r="D68" s="4" t="s">
        <v>1603</v>
      </c>
      <c r="E68" s="4" t="s">
        <v>1345</v>
      </c>
      <c r="F68" s="4" t="s">
        <v>1604</v>
      </c>
      <c r="G68" s="4" t="s">
        <v>1605</v>
      </c>
      <c r="H68" s="4" t="s">
        <v>343</v>
      </c>
      <c r="I68" s="4" t="s">
        <v>954</v>
      </c>
      <c r="J68" s="4" t="s">
        <v>31</v>
      </c>
      <c r="K68" s="4" t="s">
        <v>31</v>
      </c>
      <c r="L68" s="2" t="s">
        <v>349</v>
      </c>
      <c r="M68" s="2" t="s">
        <v>49</v>
      </c>
      <c r="N68" s="4" t="s">
        <v>496</v>
      </c>
      <c r="O68" s="4" t="s">
        <v>159</v>
      </c>
      <c r="P68" s="4" t="s">
        <v>45</v>
      </c>
      <c r="Q68" s="154">
        <v>5029</v>
      </c>
      <c r="R68" s="154">
        <v>1</v>
      </c>
      <c r="S68" s="154">
        <v>34140</v>
      </c>
      <c r="U68" s="154">
        <v>1716.9010000000001</v>
      </c>
      <c r="V68" s="169">
        <v>3.6499999999999998E-4</v>
      </c>
      <c r="W68" s="169">
        <v>1.0616931747082401E-2</v>
      </c>
      <c r="X68" s="169">
        <v>1.56623115167226E-3</v>
      </c>
    </row>
    <row r="69" spans="1:24">
      <c r="A69" s="4" t="s">
        <v>26</v>
      </c>
      <c r="B69" s="4">
        <v>9935</v>
      </c>
      <c r="C69" s="4" t="s">
        <v>1606</v>
      </c>
      <c r="D69" s="4" t="s">
        <v>1607</v>
      </c>
      <c r="E69" s="4" t="s">
        <v>1345</v>
      </c>
      <c r="F69" s="4" t="s">
        <v>1608</v>
      </c>
      <c r="G69" s="4" t="s">
        <v>1609</v>
      </c>
      <c r="H69" s="4" t="s">
        <v>343</v>
      </c>
      <c r="I69" s="4" t="s">
        <v>954</v>
      </c>
      <c r="J69" s="4" t="s">
        <v>31</v>
      </c>
      <c r="K69" s="4" t="s">
        <v>31</v>
      </c>
      <c r="L69" s="2" t="s">
        <v>349</v>
      </c>
      <c r="M69" s="2" t="s">
        <v>49</v>
      </c>
      <c r="N69" s="4" t="s">
        <v>497</v>
      </c>
      <c r="O69" s="4" t="s">
        <v>159</v>
      </c>
      <c r="P69" s="4" t="s">
        <v>45</v>
      </c>
      <c r="Q69" s="154">
        <v>6641</v>
      </c>
      <c r="R69" s="154">
        <v>1</v>
      </c>
      <c r="S69" s="154">
        <v>30030</v>
      </c>
      <c r="U69" s="154">
        <v>1994.2919999999999</v>
      </c>
      <c r="V69" s="169">
        <v>4.3300000000000001E-4</v>
      </c>
      <c r="W69" s="169">
        <v>1.23322603724595E-2</v>
      </c>
      <c r="X69" s="169">
        <v>1.81927988481111E-3</v>
      </c>
    </row>
    <row r="70" spans="1:24">
      <c r="A70" s="4" t="s">
        <v>26</v>
      </c>
      <c r="B70" s="4">
        <v>9935</v>
      </c>
      <c r="C70" s="4" t="s">
        <v>1614</v>
      </c>
      <c r="D70" s="4" t="s">
        <v>1615</v>
      </c>
      <c r="E70" s="4" t="s">
        <v>1345</v>
      </c>
      <c r="F70" s="4" t="s">
        <v>1616</v>
      </c>
      <c r="G70" s="4" t="s">
        <v>1617</v>
      </c>
      <c r="H70" s="4" t="s">
        <v>343</v>
      </c>
      <c r="I70" s="4" t="s">
        <v>954</v>
      </c>
      <c r="J70" s="4" t="s">
        <v>31</v>
      </c>
      <c r="K70" s="4" t="s">
        <v>31</v>
      </c>
      <c r="L70" s="2" t="s">
        <v>349</v>
      </c>
      <c r="M70" s="2" t="s">
        <v>49</v>
      </c>
      <c r="N70" s="4" t="s">
        <v>484</v>
      </c>
      <c r="O70" s="4" t="s">
        <v>159</v>
      </c>
      <c r="P70" s="4" t="s">
        <v>45</v>
      </c>
      <c r="Q70" s="154">
        <v>55958.5</v>
      </c>
      <c r="R70" s="154">
        <v>1</v>
      </c>
      <c r="S70" s="154">
        <v>1566</v>
      </c>
      <c r="U70" s="154">
        <v>876.31</v>
      </c>
      <c r="V70" s="169">
        <v>2.8800000000000001E-4</v>
      </c>
      <c r="W70" s="169">
        <v>5.4189069694240196E-3</v>
      </c>
      <c r="X70" s="169">
        <v>7.9940806870668405E-4</v>
      </c>
    </row>
    <row r="71" spans="1:24">
      <c r="A71" s="4" t="s">
        <v>26</v>
      </c>
      <c r="B71" s="4">
        <v>9935</v>
      </c>
      <c r="C71" s="4" t="s">
        <v>1618</v>
      </c>
      <c r="D71" s="4" t="s">
        <v>1619</v>
      </c>
      <c r="E71" s="4" t="s">
        <v>1345</v>
      </c>
      <c r="F71" s="4" t="s">
        <v>1620</v>
      </c>
      <c r="G71" s="4" t="s">
        <v>1621</v>
      </c>
      <c r="H71" s="4" t="s">
        <v>343</v>
      </c>
      <c r="I71" s="4" t="s">
        <v>954</v>
      </c>
      <c r="J71" s="4" t="s">
        <v>31</v>
      </c>
      <c r="K71" s="4" t="s">
        <v>31</v>
      </c>
      <c r="L71" s="2" t="s">
        <v>349</v>
      </c>
      <c r="M71" s="2" t="s">
        <v>49</v>
      </c>
      <c r="N71" s="4" t="s">
        <v>482</v>
      </c>
      <c r="O71" s="4" t="s">
        <v>159</v>
      </c>
      <c r="P71" s="4" t="s">
        <v>45</v>
      </c>
      <c r="Q71" s="154">
        <v>2000</v>
      </c>
      <c r="R71" s="154">
        <v>1</v>
      </c>
      <c r="S71" s="154">
        <v>30040</v>
      </c>
      <c r="T71" s="153">
        <v>5.2880000000000003</v>
      </c>
      <c r="U71" s="154">
        <v>606.08799999999997</v>
      </c>
      <c r="V71" s="169">
        <v>2.33E-4</v>
      </c>
      <c r="W71" s="169">
        <v>3.7479115164311401E-3</v>
      </c>
      <c r="X71" s="169">
        <v>5.5289945443595797E-4</v>
      </c>
    </row>
    <row r="72" spans="1:24">
      <c r="A72" s="4" t="s">
        <v>26</v>
      </c>
      <c r="B72" s="4">
        <v>9935</v>
      </c>
      <c r="C72" s="4" t="s">
        <v>1683</v>
      </c>
      <c r="D72" s="4" t="s">
        <v>1684</v>
      </c>
      <c r="E72" s="4" t="s">
        <v>1345</v>
      </c>
      <c r="F72" s="4" t="s">
        <v>1685</v>
      </c>
      <c r="G72" s="4" t="s">
        <v>1686</v>
      </c>
      <c r="H72" s="4" t="s">
        <v>343</v>
      </c>
      <c r="I72" s="4" t="s">
        <v>954</v>
      </c>
      <c r="J72" s="4" t="s">
        <v>31</v>
      </c>
      <c r="K72" s="4" t="s">
        <v>31</v>
      </c>
      <c r="L72" s="2" t="s">
        <v>349</v>
      </c>
      <c r="M72" s="2" t="s">
        <v>49</v>
      </c>
      <c r="N72" s="4" t="s">
        <v>498</v>
      </c>
      <c r="O72" s="4" t="s">
        <v>159</v>
      </c>
      <c r="P72" s="4" t="s">
        <v>45</v>
      </c>
      <c r="Q72" s="154">
        <v>16883</v>
      </c>
      <c r="R72" s="154">
        <v>1</v>
      </c>
      <c r="S72" s="154">
        <v>1050</v>
      </c>
      <c r="T72" s="153">
        <v>2.6680000000000001</v>
      </c>
      <c r="U72" s="154">
        <v>179.94</v>
      </c>
      <c r="V72" s="169">
        <v>7.54E-4</v>
      </c>
      <c r="W72" s="169">
        <v>1.1127074860981399E-3</v>
      </c>
      <c r="X72" s="169">
        <v>1.6414884911591899E-4</v>
      </c>
    </row>
    <row r="73" spans="1:24">
      <c r="A73" s="4" t="s">
        <v>26</v>
      </c>
      <c r="B73" s="4">
        <v>9935</v>
      </c>
      <c r="C73" s="4" t="s">
        <v>1687</v>
      </c>
      <c r="D73" s="4" t="s">
        <v>1688</v>
      </c>
      <c r="E73" s="4" t="s">
        <v>1345</v>
      </c>
      <c r="F73" s="4" t="s">
        <v>1689</v>
      </c>
      <c r="G73" s="4" t="s">
        <v>1690</v>
      </c>
      <c r="H73" s="4" t="s">
        <v>343</v>
      </c>
      <c r="I73" s="4" t="s">
        <v>954</v>
      </c>
      <c r="J73" s="4" t="s">
        <v>31</v>
      </c>
      <c r="K73" s="4" t="s">
        <v>31</v>
      </c>
      <c r="L73" s="2" t="s">
        <v>349</v>
      </c>
      <c r="M73" s="2" t="s">
        <v>49</v>
      </c>
      <c r="N73" s="4" t="s">
        <v>476</v>
      </c>
      <c r="O73" s="4" t="s">
        <v>159</v>
      </c>
      <c r="P73" s="4" t="s">
        <v>45</v>
      </c>
      <c r="Q73" s="154">
        <v>-0.4</v>
      </c>
      <c r="R73" s="154">
        <v>1</v>
      </c>
      <c r="S73" s="154">
        <v>1951</v>
      </c>
      <c r="U73" s="154">
        <v>-8.0000000000000002E-3</v>
      </c>
      <c r="V73" s="169">
        <v>0</v>
      </c>
      <c r="W73" s="169">
        <v>-4.8258201642093401E-8</v>
      </c>
      <c r="X73" s="169">
        <v>-7.1191470884513209E-9</v>
      </c>
    </row>
    <row r="74" spans="1:24">
      <c r="A74" s="4" t="s">
        <v>26</v>
      </c>
      <c r="B74" s="4">
        <v>9935</v>
      </c>
      <c r="C74" s="4" t="s">
        <v>1516</v>
      </c>
      <c r="D74" s="4" t="s">
        <v>1517</v>
      </c>
      <c r="E74" s="4" t="s">
        <v>1345</v>
      </c>
      <c r="F74" s="4" t="s">
        <v>1518</v>
      </c>
      <c r="G74" s="4" t="s">
        <v>1519</v>
      </c>
      <c r="H74" s="4" t="s">
        <v>343</v>
      </c>
      <c r="I74" s="4" t="s">
        <v>954</v>
      </c>
      <c r="J74" s="4" t="s">
        <v>31</v>
      </c>
      <c r="K74" s="4" t="s">
        <v>31</v>
      </c>
      <c r="L74" s="2" t="s">
        <v>349</v>
      </c>
      <c r="M74" s="2" t="s">
        <v>49</v>
      </c>
      <c r="N74" s="4" t="s">
        <v>466</v>
      </c>
      <c r="O74" s="4" t="s">
        <v>159</v>
      </c>
      <c r="P74" s="4" t="s">
        <v>45</v>
      </c>
      <c r="Q74" s="154">
        <v>862</v>
      </c>
      <c r="R74" s="154">
        <v>1</v>
      </c>
      <c r="S74" s="154">
        <v>77500</v>
      </c>
      <c r="U74" s="154">
        <v>668.05</v>
      </c>
      <c r="V74" s="169">
        <v>1.9000000000000001E-5</v>
      </c>
      <c r="W74" s="169">
        <v>4.13107273282938E-3</v>
      </c>
      <c r="X74" s="169">
        <v>6.0942416868783997E-4</v>
      </c>
    </row>
    <row r="75" spans="1:24">
      <c r="A75" s="4" t="s">
        <v>26</v>
      </c>
      <c r="B75" s="4">
        <v>9935</v>
      </c>
      <c r="C75" s="4" t="s">
        <v>1520</v>
      </c>
      <c r="D75" s="4" t="s">
        <v>1521</v>
      </c>
      <c r="E75" s="4" t="s">
        <v>1345</v>
      </c>
      <c r="F75" s="4" t="s">
        <v>1522</v>
      </c>
      <c r="G75" s="4" t="s">
        <v>1523</v>
      </c>
      <c r="H75" s="4" t="s">
        <v>343</v>
      </c>
      <c r="I75" s="4" t="s">
        <v>954</v>
      </c>
      <c r="J75" s="4" t="s">
        <v>31</v>
      </c>
      <c r="K75" s="4" t="s">
        <v>31</v>
      </c>
      <c r="L75" s="2" t="s">
        <v>349</v>
      </c>
      <c r="M75" s="2" t="s">
        <v>49</v>
      </c>
      <c r="N75" s="4" t="s">
        <v>484</v>
      </c>
      <c r="O75" s="4" t="s">
        <v>159</v>
      </c>
      <c r="P75" s="4" t="s">
        <v>45</v>
      </c>
      <c r="Q75" s="154">
        <v>45500.2</v>
      </c>
      <c r="R75" s="154">
        <v>1</v>
      </c>
      <c r="S75" s="154">
        <v>2653</v>
      </c>
      <c r="T75" s="153">
        <v>8.19</v>
      </c>
      <c r="U75" s="154">
        <v>1215.31</v>
      </c>
      <c r="V75" s="169">
        <v>2.5300000000000002E-4</v>
      </c>
      <c r="W75" s="169">
        <v>7.5152088422170997E-3</v>
      </c>
      <c r="X75" s="169">
        <v>1.1086587425070201E-3</v>
      </c>
    </row>
    <row r="76" spans="1:24">
      <c r="A76" s="4" t="s">
        <v>26</v>
      </c>
      <c r="B76" s="4">
        <v>9935</v>
      </c>
      <c r="C76" s="4" t="s">
        <v>1524</v>
      </c>
      <c r="D76" s="4" t="s">
        <v>1525</v>
      </c>
      <c r="E76" s="4" t="s">
        <v>1345</v>
      </c>
      <c r="F76" s="4" t="s">
        <v>1526</v>
      </c>
      <c r="G76" s="4" t="s">
        <v>1527</v>
      </c>
      <c r="H76" s="4" t="s">
        <v>343</v>
      </c>
      <c r="I76" s="4" t="s">
        <v>954</v>
      </c>
      <c r="J76" s="4" t="s">
        <v>31</v>
      </c>
      <c r="K76" s="4" t="s">
        <v>31</v>
      </c>
      <c r="L76" s="2" t="s">
        <v>349</v>
      </c>
      <c r="M76" s="2" t="s">
        <v>49</v>
      </c>
      <c r="N76" s="4" t="s">
        <v>484</v>
      </c>
      <c r="O76" s="4" t="s">
        <v>159</v>
      </c>
      <c r="P76" s="4" t="s">
        <v>45</v>
      </c>
      <c r="Q76" s="154">
        <v>48927</v>
      </c>
      <c r="R76" s="154">
        <v>1</v>
      </c>
      <c r="S76" s="154">
        <v>1749</v>
      </c>
      <c r="U76" s="154">
        <v>855.73299999999995</v>
      </c>
      <c r="V76" s="169">
        <v>1.0399999999999999E-4</v>
      </c>
      <c r="W76" s="169">
        <v>5.2916641165017802E-3</v>
      </c>
      <c r="X76" s="169">
        <v>7.8063694680235096E-4</v>
      </c>
    </row>
    <row r="77" spans="1:24">
      <c r="A77" s="4" t="s">
        <v>26</v>
      </c>
      <c r="B77" s="4">
        <v>9935</v>
      </c>
      <c r="C77" s="4" t="s">
        <v>1528</v>
      </c>
      <c r="D77" s="4" t="s">
        <v>1529</v>
      </c>
      <c r="E77" s="4" t="s">
        <v>1345</v>
      </c>
      <c r="F77" s="4" t="s">
        <v>1530</v>
      </c>
      <c r="G77" s="4" t="s">
        <v>1531</v>
      </c>
      <c r="H77" s="4" t="s">
        <v>343</v>
      </c>
      <c r="I77" s="4" t="s">
        <v>954</v>
      </c>
      <c r="J77" s="4" t="s">
        <v>31</v>
      </c>
      <c r="K77" s="4" t="s">
        <v>31</v>
      </c>
      <c r="L77" s="2" t="s">
        <v>349</v>
      </c>
      <c r="M77" s="2" t="s">
        <v>49</v>
      </c>
      <c r="N77" s="4" t="s">
        <v>461</v>
      </c>
      <c r="O77" s="4" t="s">
        <v>159</v>
      </c>
      <c r="P77" s="4" t="s">
        <v>45</v>
      </c>
      <c r="Q77" s="154">
        <v>35385.199999999997</v>
      </c>
      <c r="R77" s="154">
        <v>1</v>
      </c>
      <c r="S77" s="154">
        <v>6299</v>
      </c>
      <c r="U77" s="154">
        <v>2228.9140000000002</v>
      </c>
      <c r="V77" s="169">
        <v>2.9999999999999997E-4</v>
      </c>
      <c r="W77" s="169">
        <v>1.3783107264712701E-2</v>
      </c>
      <c r="X77" s="169">
        <v>2.03331174006706E-3</v>
      </c>
    </row>
    <row r="78" spans="1:24">
      <c r="A78" s="4" t="s">
        <v>26</v>
      </c>
      <c r="B78" s="4">
        <v>9935</v>
      </c>
      <c r="C78" s="4" t="s">
        <v>1532</v>
      </c>
      <c r="D78" s="4" t="s">
        <v>1533</v>
      </c>
      <c r="E78" s="4" t="s">
        <v>1345</v>
      </c>
      <c r="F78" s="4" t="s">
        <v>1534</v>
      </c>
      <c r="G78" s="4" t="s">
        <v>1535</v>
      </c>
      <c r="H78" s="4" t="s">
        <v>343</v>
      </c>
      <c r="I78" s="4" t="s">
        <v>954</v>
      </c>
      <c r="J78" s="4" t="s">
        <v>31</v>
      </c>
      <c r="K78" s="4" t="s">
        <v>31</v>
      </c>
      <c r="L78" s="2" t="s">
        <v>349</v>
      </c>
      <c r="M78" s="2" t="s">
        <v>49</v>
      </c>
      <c r="N78" s="4" t="s">
        <v>461</v>
      </c>
      <c r="O78" s="4" t="s">
        <v>159</v>
      </c>
      <c r="P78" s="4" t="s">
        <v>45</v>
      </c>
      <c r="Q78" s="154">
        <v>197401</v>
      </c>
      <c r="R78" s="154">
        <v>1</v>
      </c>
      <c r="S78" s="154">
        <v>1352</v>
      </c>
      <c r="U78" s="154">
        <v>2668.8620000000001</v>
      </c>
      <c r="V78" s="169">
        <v>3.6000000000000002E-4</v>
      </c>
      <c r="W78" s="169">
        <v>1.650364651294E-2</v>
      </c>
      <c r="X78" s="169">
        <v>2.4346511685786501E-3</v>
      </c>
    </row>
    <row r="79" spans="1:24">
      <c r="A79" s="4" t="s">
        <v>26</v>
      </c>
      <c r="B79" s="4">
        <v>9935</v>
      </c>
      <c r="C79" s="4" t="s">
        <v>1536</v>
      </c>
      <c r="D79" s="4" t="s">
        <v>1537</v>
      </c>
      <c r="E79" s="4" t="s">
        <v>1345</v>
      </c>
      <c r="F79" s="4" t="s">
        <v>1538</v>
      </c>
      <c r="G79" s="4" t="s">
        <v>1539</v>
      </c>
      <c r="H79" s="4" t="s">
        <v>343</v>
      </c>
      <c r="I79" s="4" t="s">
        <v>954</v>
      </c>
      <c r="J79" s="4" t="s">
        <v>31</v>
      </c>
      <c r="K79" s="4" t="s">
        <v>31</v>
      </c>
      <c r="L79" s="2" t="s">
        <v>349</v>
      </c>
      <c r="M79" s="2" t="s">
        <v>49</v>
      </c>
      <c r="N79" s="4" t="s">
        <v>505</v>
      </c>
      <c r="O79" s="4" t="s">
        <v>159</v>
      </c>
      <c r="P79" s="4" t="s">
        <v>45</v>
      </c>
      <c r="Q79" s="154">
        <v>485119</v>
      </c>
      <c r="R79" s="154">
        <v>1</v>
      </c>
      <c r="S79" s="154">
        <v>473</v>
      </c>
      <c r="U79" s="154">
        <v>2294.6129999999998</v>
      </c>
      <c r="V79" s="169">
        <v>1.75E-4</v>
      </c>
      <c r="W79" s="169">
        <v>1.4189376034213601E-2</v>
      </c>
      <c r="X79" s="169">
        <v>2.0932453270865502E-3</v>
      </c>
    </row>
    <row r="80" spans="1:24">
      <c r="A80" s="4" t="s">
        <v>26</v>
      </c>
      <c r="B80" s="4">
        <v>9935</v>
      </c>
      <c r="C80" s="4" t="s">
        <v>1354</v>
      </c>
      <c r="D80" s="4" t="s">
        <v>1355</v>
      </c>
      <c r="E80" s="4" t="s">
        <v>1345</v>
      </c>
      <c r="F80" s="4" t="s">
        <v>1540</v>
      </c>
      <c r="G80" s="4" t="s">
        <v>1541</v>
      </c>
      <c r="H80" s="4" t="s">
        <v>343</v>
      </c>
      <c r="I80" s="4" t="s">
        <v>954</v>
      </c>
      <c r="J80" s="4" t="s">
        <v>31</v>
      </c>
      <c r="K80" s="4" t="s">
        <v>31</v>
      </c>
      <c r="L80" s="2" t="s">
        <v>349</v>
      </c>
      <c r="M80" s="2" t="s">
        <v>49</v>
      </c>
      <c r="N80" s="4" t="s">
        <v>459</v>
      </c>
      <c r="O80" s="4" t="s">
        <v>159</v>
      </c>
      <c r="P80" s="4" t="s">
        <v>45</v>
      </c>
      <c r="Q80" s="154">
        <v>0.38</v>
      </c>
      <c r="R80" s="154">
        <v>1</v>
      </c>
      <c r="S80" s="154">
        <v>439.6</v>
      </c>
      <c r="U80" s="154">
        <v>2E-3</v>
      </c>
      <c r="V80" s="169">
        <v>0</v>
      </c>
      <c r="W80" s="169">
        <v>1.03298770731784E-8</v>
      </c>
      <c r="X80" s="169">
        <v>1.5238842681081702E-9</v>
      </c>
    </row>
    <row r="81" spans="1:24">
      <c r="A81" s="4" t="s">
        <v>26</v>
      </c>
      <c r="B81" s="4">
        <v>9935</v>
      </c>
      <c r="C81" s="4" t="s">
        <v>1542</v>
      </c>
      <c r="D81" s="4" t="s">
        <v>1543</v>
      </c>
      <c r="E81" s="4" t="s">
        <v>1345</v>
      </c>
      <c r="F81" s="4" t="s">
        <v>1544</v>
      </c>
      <c r="G81" s="4" t="s">
        <v>1545</v>
      </c>
      <c r="H81" s="4" t="s">
        <v>343</v>
      </c>
      <c r="I81" s="4" t="s">
        <v>954</v>
      </c>
      <c r="J81" s="4" t="s">
        <v>31</v>
      </c>
      <c r="K81" s="4" t="s">
        <v>31</v>
      </c>
      <c r="L81" s="2" t="s">
        <v>349</v>
      </c>
      <c r="M81" s="2" t="s">
        <v>49</v>
      </c>
      <c r="N81" s="4" t="s">
        <v>468</v>
      </c>
      <c r="O81" s="4" t="s">
        <v>159</v>
      </c>
      <c r="P81" s="4" t="s">
        <v>45</v>
      </c>
      <c r="Q81" s="154">
        <v>199048</v>
      </c>
      <c r="R81" s="154">
        <v>1</v>
      </c>
      <c r="S81" s="154">
        <v>1946</v>
      </c>
      <c r="T81" s="153">
        <v>29.574999999999999</v>
      </c>
      <c r="U81" s="154">
        <v>3903.049</v>
      </c>
      <c r="V81" s="169">
        <v>1.6100000000000001E-4</v>
      </c>
      <c r="W81" s="169">
        <v>2.4135590139266201E-2</v>
      </c>
      <c r="X81" s="169">
        <v>3.5605308615175801E-3</v>
      </c>
    </row>
    <row r="82" spans="1:24">
      <c r="A82" s="4" t="s">
        <v>26</v>
      </c>
      <c r="B82" s="4">
        <v>9935</v>
      </c>
      <c r="C82" s="4" t="s">
        <v>1546</v>
      </c>
      <c r="D82" s="4" t="s">
        <v>1547</v>
      </c>
      <c r="E82" s="4" t="s">
        <v>1345</v>
      </c>
      <c r="F82" s="4" t="s">
        <v>1548</v>
      </c>
      <c r="G82" s="4" t="s">
        <v>1549</v>
      </c>
      <c r="H82" s="4" t="s">
        <v>343</v>
      </c>
      <c r="I82" s="4" t="s">
        <v>954</v>
      </c>
      <c r="J82" s="4" t="s">
        <v>31</v>
      </c>
      <c r="K82" s="4" t="s">
        <v>31</v>
      </c>
      <c r="L82" s="2" t="s">
        <v>349</v>
      </c>
      <c r="M82" s="2" t="s">
        <v>49</v>
      </c>
      <c r="N82" s="4" t="s">
        <v>467</v>
      </c>
      <c r="O82" s="4" t="s">
        <v>159</v>
      </c>
      <c r="P82" s="4" t="s">
        <v>45</v>
      </c>
      <c r="Q82" s="154">
        <v>4500</v>
      </c>
      <c r="R82" s="154">
        <v>1</v>
      </c>
      <c r="S82" s="154">
        <v>28600</v>
      </c>
      <c r="U82" s="154">
        <v>1287</v>
      </c>
      <c r="V82" s="169">
        <v>2.41E-4</v>
      </c>
      <c r="W82" s="169">
        <v>7.9585219776235495E-3</v>
      </c>
      <c r="X82" s="169">
        <v>1.17405718898473E-3</v>
      </c>
    </row>
    <row r="83" spans="1:24">
      <c r="A83" s="4" t="s">
        <v>26</v>
      </c>
      <c r="B83" s="4">
        <v>9935</v>
      </c>
      <c r="C83" s="4" t="s">
        <v>1550</v>
      </c>
      <c r="D83" s="4" t="s">
        <v>1551</v>
      </c>
      <c r="E83" s="4" t="s">
        <v>1345</v>
      </c>
      <c r="F83" s="4" t="s">
        <v>1552</v>
      </c>
      <c r="G83" s="4" t="s">
        <v>1553</v>
      </c>
      <c r="H83" s="4" t="s">
        <v>343</v>
      </c>
      <c r="I83" s="4" t="s">
        <v>954</v>
      </c>
      <c r="J83" s="4" t="s">
        <v>31</v>
      </c>
      <c r="K83" s="4" t="s">
        <v>31</v>
      </c>
      <c r="L83" s="2" t="s">
        <v>349</v>
      </c>
      <c r="M83" s="2" t="s">
        <v>49</v>
      </c>
      <c r="N83" s="4" t="s">
        <v>465</v>
      </c>
      <c r="O83" s="4" t="s">
        <v>159</v>
      </c>
      <c r="P83" s="4" t="s">
        <v>45</v>
      </c>
      <c r="Q83" s="154">
        <v>29531</v>
      </c>
      <c r="R83" s="154">
        <v>1</v>
      </c>
      <c r="S83" s="154">
        <v>3810</v>
      </c>
      <c r="U83" s="154">
        <v>1125.1310000000001</v>
      </c>
      <c r="V83" s="169">
        <v>1.1400000000000001E-4</v>
      </c>
      <c r="W83" s="169">
        <v>6.9575606737045598E-3</v>
      </c>
      <c r="X83" s="169">
        <v>1.02639336169798E-3</v>
      </c>
    </row>
    <row r="84" spans="1:24">
      <c r="A84" s="4" t="s">
        <v>26</v>
      </c>
      <c r="B84" s="4">
        <v>9935</v>
      </c>
      <c r="C84" s="4" t="s">
        <v>1691</v>
      </c>
      <c r="D84" s="4" t="s">
        <v>1692</v>
      </c>
      <c r="E84" s="4" t="s">
        <v>1345</v>
      </c>
      <c r="F84" s="4" t="s">
        <v>1693</v>
      </c>
      <c r="G84" s="4" t="s">
        <v>1694</v>
      </c>
      <c r="H84" s="4" t="s">
        <v>343</v>
      </c>
      <c r="I84" s="4" t="s">
        <v>954</v>
      </c>
      <c r="J84" s="4" t="s">
        <v>31</v>
      </c>
      <c r="K84" s="4" t="s">
        <v>31</v>
      </c>
      <c r="L84" s="2" t="s">
        <v>349</v>
      </c>
      <c r="M84" s="2" t="s">
        <v>49</v>
      </c>
      <c r="N84" s="4" t="s">
        <v>494</v>
      </c>
      <c r="O84" s="4" t="s">
        <v>159</v>
      </c>
      <c r="P84" s="4" t="s">
        <v>45</v>
      </c>
      <c r="Q84" s="154">
        <v>0.27</v>
      </c>
      <c r="R84" s="154">
        <v>1</v>
      </c>
      <c r="S84" s="154">
        <v>350.9</v>
      </c>
      <c r="U84" s="154">
        <v>1E-3</v>
      </c>
      <c r="V84" s="169">
        <v>0</v>
      </c>
      <c r="W84" s="169">
        <v>5.8586965635274907E-9</v>
      </c>
      <c r="X84" s="169">
        <v>8.6428671527568407E-10</v>
      </c>
    </row>
    <row r="85" spans="1:24">
      <c r="A85" s="4" t="s">
        <v>26</v>
      </c>
      <c r="B85" s="4">
        <v>9935</v>
      </c>
      <c r="C85" s="4" t="s">
        <v>1554</v>
      </c>
      <c r="D85" s="4" t="s">
        <v>1555</v>
      </c>
      <c r="E85" s="4" t="s">
        <v>1345</v>
      </c>
      <c r="F85" s="4" t="s">
        <v>1556</v>
      </c>
      <c r="G85" s="4" t="s">
        <v>1557</v>
      </c>
      <c r="H85" s="4" t="s">
        <v>343</v>
      </c>
      <c r="I85" s="4" t="s">
        <v>954</v>
      </c>
      <c r="J85" s="4" t="s">
        <v>31</v>
      </c>
      <c r="K85" s="4" t="s">
        <v>31</v>
      </c>
      <c r="L85" s="2" t="s">
        <v>349</v>
      </c>
      <c r="M85" s="2" t="s">
        <v>49</v>
      </c>
      <c r="N85" s="4" t="s">
        <v>467</v>
      </c>
      <c r="O85" s="4" t="s">
        <v>159</v>
      </c>
      <c r="P85" s="4" t="s">
        <v>45</v>
      </c>
      <c r="Q85" s="154">
        <v>42000</v>
      </c>
      <c r="R85" s="154">
        <v>1</v>
      </c>
      <c r="S85" s="154">
        <v>1475</v>
      </c>
      <c r="U85" s="154">
        <v>619.5</v>
      </c>
      <c r="V85" s="169">
        <v>1.3899999999999999E-4</v>
      </c>
      <c r="W85" s="169">
        <v>3.8308503225623898E-3</v>
      </c>
      <c r="X85" s="169">
        <v>5.6513475413833903E-4</v>
      </c>
    </row>
    <row r="86" spans="1:24">
      <c r="A86" s="4" t="s">
        <v>26</v>
      </c>
      <c r="B86" s="4">
        <v>9935</v>
      </c>
      <c r="C86" s="4" t="s">
        <v>1558</v>
      </c>
      <c r="D86" s="4" t="s">
        <v>1559</v>
      </c>
      <c r="E86" s="4" t="s">
        <v>1345</v>
      </c>
      <c r="F86" s="4" t="s">
        <v>1560</v>
      </c>
      <c r="G86" s="4" t="s">
        <v>1561</v>
      </c>
      <c r="H86" s="4" t="s">
        <v>343</v>
      </c>
      <c r="I86" s="4" t="s">
        <v>954</v>
      </c>
      <c r="J86" s="4" t="s">
        <v>31</v>
      </c>
      <c r="K86" s="4" t="s">
        <v>31</v>
      </c>
      <c r="L86" s="2" t="s">
        <v>349</v>
      </c>
      <c r="M86" s="2" t="s">
        <v>49</v>
      </c>
      <c r="N86" s="4" t="s">
        <v>465</v>
      </c>
      <c r="O86" s="4" t="s">
        <v>159</v>
      </c>
      <c r="P86" s="4" t="s">
        <v>45</v>
      </c>
      <c r="Q86" s="154">
        <v>7100</v>
      </c>
      <c r="R86" s="154">
        <v>1</v>
      </c>
      <c r="S86" s="154">
        <v>6569</v>
      </c>
      <c r="U86" s="154">
        <v>466.399</v>
      </c>
      <c r="V86" s="169">
        <v>9.0000000000000006E-5</v>
      </c>
      <c r="W86" s="169">
        <v>2.8841077636687202E-3</v>
      </c>
      <c r="X86" s="169">
        <v>4.2546938530325598E-4</v>
      </c>
    </row>
    <row r="87" spans="1:24">
      <c r="A87" s="4" t="s">
        <v>26</v>
      </c>
      <c r="B87" s="4">
        <v>9935</v>
      </c>
      <c r="C87" s="4" t="s">
        <v>1202</v>
      </c>
      <c r="D87" s="4" t="s">
        <v>1562</v>
      </c>
      <c r="E87" s="4" t="s">
        <v>1345</v>
      </c>
      <c r="F87" s="4" t="s">
        <v>1563</v>
      </c>
      <c r="G87" s="4" t="s">
        <v>1564</v>
      </c>
      <c r="H87" s="4" t="s">
        <v>343</v>
      </c>
      <c r="I87" s="4" t="s">
        <v>954</v>
      </c>
      <c r="J87" s="4" t="s">
        <v>31</v>
      </c>
      <c r="K87" s="4" t="s">
        <v>31</v>
      </c>
      <c r="L87" s="2" t="s">
        <v>349</v>
      </c>
      <c r="M87" s="2" t="s">
        <v>49</v>
      </c>
      <c r="N87" s="4" t="s">
        <v>468</v>
      </c>
      <c r="O87" s="4" t="s">
        <v>159</v>
      </c>
      <c r="P87" s="4" t="s">
        <v>45</v>
      </c>
      <c r="Q87" s="154">
        <v>200025</v>
      </c>
      <c r="R87" s="154">
        <v>1</v>
      </c>
      <c r="S87" s="154">
        <v>3100</v>
      </c>
      <c r="T87" s="153">
        <v>47.948</v>
      </c>
      <c r="U87" s="154">
        <v>6248.723</v>
      </c>
      <c r="V87" s="169">
        <v>1.2400000000000001E-4</v>
      </c>
      <c r="W87" s="169">
        <v>3.8640711288194199E-2</v>
      </c>
      <c r="X87" s="169">
        <v>5.7003555437732901E-3</v>
      </c>
    </row>
    <row r="88" spans="1:24">
      <c r="A88" s="4" t="s">
        <v>26</v>
      </c>
      <c r="B88" s="4">
        <v>9935</v>
      </c>
      <c r="C88" s="4" t="s">
        <v>1695</v>
      </c>
      <c r="D88" s="4" t="s">
        <v>1696</v>
      </c>
      <c r="E88" s="4" t="s">
        <v>1345</v>
      </c>
      <c r="F88" s="4" t="s">
        <v>1697</v>
      </c>
      <c r="G88" s="4" t="s">
        <v>1698</v>
      </c>
      <c r="H88" s="4" t="s">
        <v>343</v>
      </c>
      <c r="I88" s="4" t="s">
        <v>954</v>
      </c>
      <c r="J88" s="4" t="s">
        <v>31</v>
      </c>
      <c r="K88" s="4" t="s">
        <v>31</v>
      </c>
      <c r="L88" s="2" t="s">
        <v>349</v>
      </c>
      <c r="M88" s="2" t="s">
        <v>49</v>
      </c>
      <c r="N88" s="4" t="s">
        <v>484</v>
      </c>
      <c r="O88" s="4" t="s">
        <v>159</v>
      </c>
      <c r="P88" s="4" t="s">
        <v>45</v>
      </c>
      <c r="Q88" s="154">
        <v>7.0000000000000007E-2</v>
      </c>
      <c r="R88" s="154">
        <v>1</v>
      </c>
      <c r="S88" s="154">
        <v>907.1</v>
      </c>
      <c r="U88" s="154">
        <v>1E-3</v>
      </c>
      <c r="V88" s="169">
        <v>0</v>
      </c>
      <c r="W88" s="169">
        <v>3.9265133645156406E-9</v>
      </c>
      <c r="X88" s="169">
        <v>5.7924715873320598E-10</v>
      </c>
    </row>
    <row r="89" spans="1:24">
      <c r="A89" s="4" t="s">
        <v>26</v>
      </c>
      <c r="B89" s="4">
        <v>9935</v>
      </c>
      <c r="C89" s="4" t="s">
        <v>1699</v>
      </c>
      <c r="D89" s="4" t="s">
        <v>1700</v>
      </c>
      <c r="E89" s="4" t="s">
        <v>1345</v>
      </c>
      <c r="F89" s="4" t="s">
        <v>1701</v>
      </c>
      <c r="G89" s="4" t="s">
        <v>1702</v>
      </c>
      <c r="H89" s="4" t="s">
        <v>343</v>
      </c>
      <c r="I89" s="4" t="s">
        <v>954</v>
      </c>
      <c r="J89" s="4" t="s">
        <v>31</v>
      </c>
      <c r="K89" s="4" t="s">
        <v>31</v>
      </c>
      <c r="L89" s="2" t="s">
        <v>349</v>
      </c>
      <c r="M89" s="2" t="s">
        <v>49</v>
      </c>
      <c r="N89" s="4" t="s">
        <v>484</v>
      </c>
      <c r="O89" s="4" t="s">
        <v>159</v>
      </c>
      <c r="P89" s="4" t="s">
        <v>45</v>
      </c>
      <c r="Q89" s="154">
        <v>0.4</v>
      </c>
      <c r="R89" s="154">
        <v>1</v>
      </c>
      <c r="S89" s="154">
        <v>451.6</v>
      </c>
      <c r="U89" s="154">
        <v>2E-3</v>
      </c>
      <c r="V89" s="169">
        <v>0</v>
      </c>
      <c r="W89" s="169">
        <v>1.11703761463708E-8</v>
      </c>
      <c r="X89" s="169">
        <v>1.6478763839798101E-9</v>
      </c>
    </row>
    <row r="90" spans="1:24">
      <c r="A90" s="4" t="s">
        <v>26</v>
      </c>
      <c r="B90" s="4">
        <v>9935</v>
      </c>
      <c r="C90" s="4" t="s">
        <v>1565</v>
      </c>
      <c r="D90" s="4" t="s">
        <v>1566</v>
      </c>
      <c r="E90" s="4" t="s">
        <v>1345</v>
      </c>
      <c r="F90" s="4" t="s">
        <v>1567</v>
      </c>
      <c r="G90" s="4" t="s">
        <v>1568</v>
      </c>
      <c r="H90" s="4" t="s">
        <v>343</v>
      </c>
      <c r="I90" s="4" t="s">
        <v>954</v>
      </c>
      <c r="J90" s="4" t="s">
        <v>31</v>
      </c>
      <c r="K90" s="4" t="s">
        <v>31</v>
      </c>
      <c r="L90" s="2" t="s">
        <v>349</v>
      </c>
      <c r="M90" s="2" t="s">
        <v>49</v>
      </c>
      <c r="N90" s="4" t="s">
        <v>468</v>
      </c>
      <c r="O90" s="4" t="s">
        <v>159</v>
      </c>
      <c r="P90" s="4" t="s">
        <v>45</v>
      </c>
      <c r="Q90" s="154">
        <v>24737</v>
      </c>
      <c r="R90" s="154">
        <v>1</v>
      </c>
      <c r="S90" s="154">
        <v>14000</v>
      </c>
      <c r="U90" s="154">
        <v>3463.18</v>
      </c>
      <c r="V90" s="169">
        <v>9.6000000000000002E-5</v>
      </c>
      <c r="W90" s="169">
        <v>2.1415535464231798E-2</v>
      </c>
      <c r="X90" s="169">
        <v>3.1592629182192302E-3</v>
      </c>
    </row>
    <row r="91" spans="1:24">
      <c r="A91" s="4" t="s">
        <v>26</v>
      </c>
      <c r="B91" s="4">
        <v>9935</v>
      </c>
      <c r="C91" s="4" t="s">
        <v>1569</v>
      </c>
      <c r="D91" s="4" t="s">
        <v>1570</v>
      </c>
      <c r="E91" s="4" t="s">
        <v>1345</v>
      </c>
      <c r="F91" s="4" t="s">
        <v>1571</v>
      </c>
      <c r="G91" s="4" t="s">
        <v>1572</v>
      </c>
      <c r="H91" s="4" t="s">
        <v>343</v>
      </c>
      <c r="I91" s="4" t="s">
        <v>954</v>
      </c>
      <c r="J91" s="4" t="s">
        <v>31</v>
      </c>
      <c r="K91" s="4" t="s">
        <v>31</v>
      </c>
      <c r="L91" s="2" t="s">
        <v>349</v>
      </c>
      <c r="M91" s="2" t="s">
        <v>49</v>
      </c>
      <c r="N91" s="4" t="s">
        <v>497</v>
      </c>
      <c r="O91" s="4" t="s">
        <v>159</v>
      </c>
      <c r="P91" s="4" t="s">
        <v>45</v>
      </c>
      <c r="Q91" s="154">
        <v>13243</v>
      </c>
      <c r="R91" s="154">
        <v>1</v>
      </c>
      <c r="S91" s="154">
        <v>8160</v>
      </c>
      <c r="T91" s="153">
        <v>16.818999999999999</v>
      </c>
      <c r="U91" s="154">
        <v>1097.4469999999999</v>
      </c>
      <c r="V91" s="169">
        <v>2.0799999999999999E-4</v>
      </c>
      <c r="W91" s="169">
        <v>6.7863708871569901E-3</v>
      </c>
      <c r="X91" s="169">
        <v>1.0011390996450501E-3</v>
      </c>
    </row>
    <row r="92" spans="1:24">
      <c r="A92" s="4" t="s">
        <v>26</v>
      </c>
      <c r="B92" s="4">
        <v>9935</v>
      </c>
      <c r="C92" s="4" t="s">
        <v>1573</v>
      </c>
      <c r="D92" s="4" t="s">
        <v>1574</v>
      </c>
      <c r="E92" s="4" t="s">
        <v>1345</v>
      </c>
      <c r="F92" s="4" t="s">
        <v>1575</v>
      </c>
      <c r="G92" s="4" t="s">
        <v>1576</v>
      </c>
      <c r="H92" s="4" t="s">
        <v>343</v>
      </c>
      <c r="I92" s="4" t="s">
        <v>954</v>
      </c>
      <c r="J92" s="4" t="s">
        <v>31</v>
      </c>
      <c r="K92" s="4" t="s">
        <v>31</v>
      </c>
      <c r="L92" s="2" t="s">
        <v>349</v>
      </c>
      <c r="M92" s="2" t="s">
        <v>49</v>
      </c>
      <c r="N92" s="4" t="s">
        <v>494</v>
      </c>
      <c r="O92" s="4" t="s">
        <v>159</v>
      </c>
      <c r="P92" s="4" t="s">
        <v>45</v>
      </c>
      <c r="Q92" s="154">
        <v>25200</v>
      </c>
      <c r="R92" s="154">
        <v>1</v>
      </c>
      <c r="S92" s="154">
        <v>3622</v>
      </c>
      <c r="U92" s="154">
        <v>912.74400000000003</v>
      </c>
      <c r="V92" s="169">
        <v>2.3000000000000001E-4</v>
      </c>
      <c r="W92" s="169">
        <v>5.64420604813056E-3</v>
      </c>
      <c r="X92" s="169">
        <v>8.3264464250402503E-4</v>
      </c>
    </row>
    <row r="93" spans="1:24">
      <c r="A93" s="4" t="s">
        <v>26</v>
      </c>
      <c r="B93" s="4">
        <v>9935</v>
      </c>
      <c r="C93" s="4" t="s">
        <v>1577</v>
      </c>
      <c r="D93" s="4" t="s">
        <v>1578</v>
      </c>
      <c r="E93" s="4" t="s">
        <v>1345</v>
      </c>
      <c r="F93" s="4" t="s">
        <v>1579</v>
      </c>
      <c r="G93" s="4" t="s">
        <v>1580</v>
      </c>
      <c r="H93" s="4" t="s">
        <v>343</v>
      </c>
      <c r="I93" s="4" t="s">
        <v>954</v>
      </c>
      <c r="J93" s="4" t="s">
        <v>31</v>
      </c>
      <c r="K93" s="4" t="s">
        <v>31</v>
      </c>
      <c r="L93" s="2" t="s">
        <v>349</v>
      </c>
      <c r="M93" s="2" t="s">
        <v>49</v>
      </c>
      <c r="N93" s="4" t="s">
        <v>484</v>
      </c>
      <c r="O93" s="4" t="s">
        <v>159</v>
      </c>
      <c r="P93" s="4" t="s">
        <v>45</v>
      </c>
      <c r="Q93" s="154">
        <v>3327</v>
      </c>
      <c r="R93" s="154">
        <v>1</v>
      </c>
      <c r="S93" s="154">
        <v>26900</v>
      </c>
      <c r="T93" s="153">
        <v>8.4009999999999998</v>
      </c>
      <c r="U93" s="154">
        <v>903.36400000000003</v>
      </c>
      <c r="V93" s="169">
        <v>6.9999999999999994E-5</v>
      </c>
      <c r="W93" s="169">
        <v>5.5862040678714203E-3</v>
      </c>
      <c r="X93" s="169">
        <v>8.2408807357199697E-4</v>
      </c>
    </row>
    <row r="94" spans="1:24">
      <c r="A94" s="4" t="s">
        <v>26</v>
      </c>
      <c r="B94" s="4">
        <v>9935</v>
      </c>
      <c r="C94" s="4" t="s">
        <v>1581</v>
      </c>
      <c r="D94" s="4" t="s">
        <v>1582</v>
      </c>
      <c r="E94" s="4" t="s">
        <v>1345</v>
      </c>
      <c r="F94" s="4" t="s">
        <v>1583</v>
      </c>
      <c r="G94" s="4" t="s">
        <v>1584</v>
      </c>
      <c r="H94" s="4" t="s">
        <v>343</v>
      </c>
      <c r="I94" s="4" t="s">
        <v>954</v>
      </c>
      <c r="J94" s="4" t="s">
        <v>124</v>
      </c>
      <c r="K94" s="4" t="s">
        <v>125</v>
      </c>
      <c r="L94" s="2" t="s">
        <v>349</v>
      </c>
      <c r="M94" s="2" t="s">
        <v>49</v>
      </c>
      <c r="N94" s="4" t="s">
        <v>474</v>
      </c>
      <c r="O94" s="4" t="s">
        <v>159</v>
      </c>
      <c r="P94" s="4" t="s">
        <v>45</v>
      </c>
      <c r="Q94" s="154">
        <v>22953</v>
      </c>
      <c r="R94" s="154">
        <v>1</v>
      </c>
      <c r="S94" s="154">
        <v>4170</v>
      </c>
      <c r="U94" s="154">
        <v>957.14</v>
      </c>
      <c r="V94" s="169">
        <v>2.4499999999999999E-4</v>
      </c>
      <c r="W94" s="169">
        <v>5.9187416639586701E-3</v>
      </c>
      <c r="X94" s="169">
        <v>8.7314468940991898E-4</v>
      </c>
    </row>
    <row r="95" spans="1:24">
      <c r="A95" s="4" t="s">
        <v>26</v>
      </c>
      <c r="B95" s="4">
        <v>9935</v>
      </c>
      <c r="C95" s="4" t="s">
        <v>1586</v>
      </c>
      <c r="D95" s="4" t="s">
        <v>1587</v>
      </c>
      <c r="E95" s="4" t="s">
        <v>1345</v>
      </c>
      <c r="F95" s="4" t="s">
        <v>1588</v>
      </c>
      <c r="G95" s="4" t="s">
        <v>1589</v>
      </c>
      <c r="H95" s="4" t="s">
        <v>343</v>
      </c>
      <c r="I95" s="4" t="s">
        <v>954</v>
      </c>
      <c r="J95" s="4" t="s">
        <v>31</v>
      </c>
      <c r="K95" s="4" t="s">
        <v>31</v>
      </c>
      <c r="L95" s="2" t="s">
        <v>349</v>
      </c>
      <c r="M95" s="2" t="s">
        <v>49</v>
      </c>
      <c r="N95" s="4" t="s">
        <v>474</v>
      </c>
      <c r="O95" s="4" t="s">
        <v>159</v>
      </c>
      <c r="P95" s="4" t="s">
        <v>45</v>
      </c>
      <c r="Q95" s="154">
        <v>115222</v>
      </c>
      <c r="R95" s="154">
        <v>1</v>
      </c>
      <c r="S95" s="154">
        <v>935.3</v>
      </c>
      <c r="T95" s="153">
        <v>22.076000000000001</v>
      </c>
      <c r="U95" s="154">
        <v>1099.748</v>
      </c>
      <c r="V95" s="169">
        <v>9.7999999999999997E-5</v>
      </c>
      <c r="W95" s="169">
        <v>6.8005950353774401E-3</v>
      </c>
      <c r="X95" s="169">
        <v>1.0032374746350701E-3</v>
      </c>
    </row>
    <row r="96" spans="1:24">
      <c r="A96" s="4" t="s">
        <v>26</v>
      </c>
      <c r="B96" s="4">
        <v>9935</v>
      </c>
      <c r="C96" s="4" t="s">
        <v>1590</v>
      </c>
      <c r="D96" s="4" t="s">
        <v>1591</v>
      </c>
      <c r="E96" s="4" t="s">
        <v>1345</v>
      </c>
      <c r="F96" s="4" t="s">
        <v>1592</v>
      </c>
      <c r="G96" s="4" t="s">
        <v>1593</v>
      </c>
      <c r="H96" s="4" t="s">
        <v>343</v>
      </c>
      <c r="I96" s="4" t="s">
        <v>954</v>
      </c>
      <c r="J96" s="4" t="s">
        <v>31</v>
      </c>
      <c r="K96" s="4" t="s">
        <v>31</v>
      </c>
      <c r="L96" s="2" t="s">
        <v>349</v>
      </c>
      <c r="M96" s="2" t="s">
        <v>49</v>
      </c>
      <c r="N96" s="4" t="s">
        <v>501</v>
      </c>
      <c r="O96" s="4" t="s">
        <v>159</v>
      </c>
      <c r="P96" s="4" t="s">
        <v>45</v>
      </c>
      <c r="Q96" s="154">
        <v>1260</v>
      </c>
      <c r="R96" s="154">
        <v>1</v>
      </c>
      <c r="S96" s="154">
        <v>95150</v>
      </c>
      <c r="U96" s="154">
        <v>1198.8900000000001</v>
      </c>
      <c r="V96" s="169">
        <v>2.0000000000000002E-5</v>
      </c>
      <c r="W96" s="169">
        <v>7.4136693191554802E-3</v>
      </c>
      <c r="X96" s="169">
        <v>1.0936794275850099E-3</v>
      </c>
    </row>
    <row r="97" spans="1:24">
      <c r="A97" s="4" t="s">
        <v>26</v>
      </c>
      <c r="B97" s="4">
        <v>9935</v>
      </c>
      <c r="C97" s="4" t="s">
        <v>1594</v>
      </c>
      <c r="D97" s="4" t="s">
        <v>1595</v>
      </c>
      <c r="E97" s="4" t="s">
        <v>1345</v>
      </c>
      <c r="F97" s="4" t="s">
        <v>1596</v>
      </c>
      <c r="G97" s="4" t="s">
        <v>1597</v>
      </c>
      <c r="H97" s="4" t="s">
        <v>343</v>
      </c>
      <c r="I97" s="4" t="s">
        <v>954</v>
      </c>
      <c r="J97" s="4" t="s">
        <v>31</v>
      </c>
      <c r="K97" s="4" t="s">
        <v>31</v>
      </c>
      <c r="L97" s="2" t="s">
        <v>349</v>
      </c>
      <c r="M97" s="2" t="s">
        <v>49</v>
      </c>
      <c r="N97" s="4" t="s">
        <v>484</v>
      </c>
      <c r="O97" s="4" t="s">
        <v>159</v>
      </c>
      <c r="P97" s="4" t="s">
        <v>45</v>
      </c>
      <c r="Q97" s="154">
        <v>7339</v>
      </c>
      <c r="R97" s="154">
        <v>1</v>
      </c>
      <c r="S97" s="154">
        <v>26610</v>
      </c>
      <c r="U97" s="154">
        <v>1952.9079999999999</v>
      </c>
      <c r="V97" s="169">
        <v>6.0999999999999999E-5</v>
      </c>
      <c r="W97" s="169">
        <v>1.20763484401124E-2</v>
      </c>
      <c r="X97" s="169">
        <v>1.7815272411966399E-3</v>
      </c>
    </row>
    <row r="98" spans="1:24">
      <c r="A98" s="4" t="s">
        <v>26</v>
      </c>
      <c r="B98" s="4">
        <v>9935</v>
      </c>
      <c r="C98" s="4" t="s">
        <v>1598</v>
      </c>
      <c r="D98" s="4" t="s">
        <v>1599</v>
      </c>
      <c r="E98" s="4" t="s">
        <v>1345</v>
      </c>
      <c r="F98" s="4" t="s">
        <v>1600</v>
      </c>
      <c r="G98" s="4" t="s">
        <v>1601</v>
      </c>
      <c r="H98" s="4" t="s">
        <v>343</v>
      </c>
      <c r="I98" s="4" t="s">
        <v>954</v>
      </c>
      <c r="J98" s="4" t="s">
        <v>31</v>
      </c>
      <c r="K98" s="4" t="s">
        <v>31</v>
      </c>
      <c r="L98" s="2" t="s">
        <v>349</v>
      </c>
      <c r="M98" s="2" t="s">
        <v>49</v>
      </c>
      <c r="N98" s="4" t="s">
        <v>468</v>
      </c>
      <c r="O98" s="4" t="s">
        <v>159</v>
      </c>
      <c r="P98" s="4" t="s">
        <v>45</v>
      </c>
      <c r="Q98" s="154">
        <v>121431</v>
      </c>
      <c r="R98" s="154">
        <v>1</v>
      </c>
      <c r="S98" s="154">
        <v>3500</v>
      </c>
      <c r="T98" s="153">
        <v>31.963000000000001</v>
      </c>
      <c r="U98" s="154">
        <v>4282.0479999999998</v>
      </c>
      <c r="V98" s="169">
        <v>9.1000000000000003E-5</v>
      </c>
      <c r="W98" s="169">
        <v>2.6479233995218999E-2</v>
      </c>
      <c r="X98" s="169">
        <v>3.9062699227701099E-3</v>
      </c>
    </row>
    <row r="99" spans="1:24">
      <c r="A99" s="4" t="s">
        <v>26</v>
      </c>
      <c r="B99" s="4">
        <v>9935</v>
      </c>
      <c r="C99" s="4" t="s">
        <v>1602</v>
      </c>
      <c r="D99" s="4" t="s">
        <v>1603</v>
      </c>
      <c r="E99" s="4" t="s">
        <v>1345</v>
      </c>
      <c r="F99" s="4" t="s">
        <v>1604</v>
      </c>
      <c r="G99" s="4" t="s">
        <v>1605</v>
      </c>
      <c r="H99" s="4" t="s">
        <v>343</v>
      </c>
      <c r="I99" s="4" t="s">
        <v>954</v>
      </c>
      <c r="J99" s="4" t="s">
        <v>31</v>
      </c>
      <c r="K99" s="4" t="s">
        <v>31</v>
      </c>
      <c r="L99" s="2" t="s">
        <v>349</v>
      </c>
      <c r="M99" s="2" t="s">
        <v>49</v>
      </c>
      <c r="N99" s="4" t="s">
        <v>496</v>
      </c>
      <c r="O99" s="4" t="s">
        <v>159</v>
      </c>
      <c r="P99" s="4" t="s">
        <v>45</v>
      </c>
      <c r="Q99" s="154">
        <v>3559</v>
      </c>
      <c r="R99" s="154">
        <v>1</v>
      </c>
      <c r="S99" s="154">
        <v>34140</v>
      </c>
      <c r="U99" s="154">
        <v>1215.0429999999999</v>
      </c>
      <c r="V99" s="169">
        <v>2.5799999999999998E-4</v>
      </c>
      <c r="W99" s="169">
        <v>7.5135534078079698E-3</v>
      </c>
      <c r="X99" s="169">
        <v>1.10841452948928E-3</v>
      </c>
    </row>
    <row r="100" spans="1:24">
      <c r="A100" s="4" t="s">
        <v>26</v>
      </c>
      <c r="B100" s="4">
        <v>9935</v>
      </c>
      <c r="C100" s="4" t="s">
        <v>1606</v>
      </c>
      <c r="D100" s="4" t="s">
        <v>1607</v>
      </c>
      <c r="E100" s="4" t="s">
        <v>1345</v>
      </c>
      <c r="F100" s="4" t="s">
        <v>1608</v>
      </c>
      <c r="G100" s="4" t="s">
        <v>1609</v>
      </c>
      <c r="H100" s="4" t="s">
        <v>343</v>
      </c>
      <c r="I100" s="4" t="s">
        <v>954</v>
      </c>
      <c r="J100" s="4" t="s">
        <v>31</v>
      </c>
      <c r="K100" s="4" t="s">
        <v>31</v>
      </c>
      <c r="L100" s="2" t="s">
        <v>349</v>
      </c>
      <c r="M100" s="2" t="s">
        <v>49</v>
      </c>
      <c r="N100" s="4" t="s">
        <v>497</v>
      </c>
      <c r="O100" s="4" t="s">
        <v>159</v>
      </c>
      <c r="P100" s="4" t="s">
        <v>45</v>
      </c>
      <c r="Q100" s="154">
        <v>2567</v>
      </c>
      <c r="R100" s="154">
        <v>1</v>
      </c>
      <c r="S100" s="154">
        <v>30030</v>
      </c>
      <c r="U100" s="154">
        <v>770.87</v>
      </c>
      <c r="V100" s="169">
        <v>1.6699999999999999E-4</v>
      </c>
      <c r="W100" s="169">
        <v>4.7668893805305904E-3</v>
      </c>
      <c r="X100" s="169">
        <v>7.0322112096222198E-4</v>
      </c>
    </row>
    <row r="101" spans="1:24">
      <c r="A101" s="4" t="s">
        <v>26</v>
      </c>
      <c r="B101" s="4">
        <v>9935</v>
      </c>
      <c r="C101" s="4" t="s">
        <v>1614</v>
      </c>
      <c r="D101" s="4" t="s">
        <v>1615</v>
      </c>
      <c r="E101" s="4" t="s">
        <v>1345</v>
      </c>
      <c r="F101" s="4" t="s">
        <v>1616</v>
      </c>
      <c r="G101" s="4" t="s">
        <v>1617</v>
      </c>
      <c r="H101" s="4" t="s">
        <v>343</v>
      </c>
      <c r="I101" s="4" t="s">
        <v>954</v>
      </c>
      <c r="J101" s="4" t="s">
        <v>31</v>
      </c>
      <c r="K101" s="4" t="s">
        <v>31</v>
      </c>
      <c r="L101" s="2" t="s">
        <v>349</v>
      </c>
      <c r="M101" s="2" t="s">
        <v>49</v>
      </c>
      <c r="N101" s="4" t="s">
        <v>484</v>
      </c>
      <c r="O101" s="4" t="s">
        <v>159</v>
      </c>
      <c r="P101" s="4" t="s">
        <v>45</v>
      </c>
      <c r="Q101" s="154">
        <v>71891.600000000006</v>
      </c>
      <c r="R101" s="154">
        <v>1</v>
      </c>
      <c r="S101" s="154">
        <v>1566</v>
      </c>
      <c r="U101" s="154">
        <v>1125.8219999999999</v>
      </c>
      <c r="V101" s="169">
        <v>3.6999999999999999E-4</v>
      </c>
      <c r="W101" s="169">
        <v>6.96183586556187E-3</v>
      </c>
      <c r="X101" s="169">
        <v>1.0270240466101401E-3</v>
      </c>
    </row>
    <row r="102" spans="1:24">
      <c r="A102" s="4" t="s">
        <v>26</v>
      </c>
      <c r="B102" s="4">
        <v>9935</v>
      </c>
      <c r="C102" s="4" t="s">
        <v>1618</v>
      </c>
      <c r="D102" s="4" t="s">
        <v>1619</v>
      </c>
      <c r="E102" s="4" t="s">
        <v>1345</v>
      </c>
      <c r="F102" s="4" t="s">
        <v>1620</v>
      </c>
      <c r="G102" s="4" t="s">
        <v>1621</v>
      </c>
      <c r="H102" s="4" t="s">
        <v>343</v>
      </c>
      <c r="I102" s="4" t="s">
        <v>954</v>
      </c>
      <c r="J102" s="4" t="s">
        <v>31</v>
      </c>
      <c r="K102" s="4" t="s">
        <v>31</v>
      </c>
      <c r="L102" s="2" t="s">
        <v>349</v>
      </c>
      <c r="M102" s="2" t="s">
        <v>49</v>
      </c>
      <c r="N102" s="4" t="s">
        <v>482</v>
      </c>
      <c r="O102" s="4" t="s">
        <v>159</v>
      </c>
      <c r="P102" s="4" t="s">
        <v>45</v>
      </c>
      <c r="Q102" s="154">
        <v>1735</v>
      </c>
      <c r="R102" s="154">
        <v>1</v>
      </c>
      <c r="S102" s="154">
        <v>30040</v>
      </c>
      <c r="T102" s="153">
        <v>4.5869999999999997</v>
      </c>
      <c r="U102" s="154">
        <v>525.78099999999995</v>
      </c>
      <c r="V102" s="169">
        <v>2.02E-4</v>
      </c>
      <c r="W102" s="169">
        <v>3.2513132256629402E-3</v>
      </c>
      <c r="X102" s="169">
        <v>4.7964027453381E-4</v>
      </c>
    </row>
    <row r="103" spans="1:24">
      <c r="A103" s="4" t="s">
        <v>26</v>
      </c>
      <c r="B103" s="4">
        <v>9935</v>
      </c>
      <c r="C103" s="4" t="s">
        <v>1703</v>
      </c>
      <c r="D103" s="4" t="s">
        <v>1704</v>
      </c>
      <c r="E103" s="4" t="s">
        <v>335</v>
      </c>
      <c r="F103" s="4" t="s">
        <v>1705</v>
      </c>
      <c r="G103" s="4" t="s">
        <v>1706</v>
      </c>
      <c r="H103" s="4" t="s">
        <v>343</v>
      </c>
      <c r="I103" s="4" t="s">
        <v>954</v>
      </c>
      <c r="J103" s="4" t="s">
        <v>124</v>
      </c>
      <c r="K103" s="4" t="s">
        <v>125</v>
      </c>
      <c r="L103" s="2" t="s">
        <v>349</v>
      </c>
      <c r="M103" s="2" t="s">
        <v>368</v>
      </c>
      <c r="N103" s="4" t="s">
        <v>569</v>
      </c>
      <c r="O103" s="4" t="s">
        <v>159</v>
      </c>
      <c r="P103" s="4" t="s">
        <v>35</v>
      </c>
      <c r="Q103" s="154">
        <v>1804</v>
      </c>
      <c r="R103" s="154">
        <v>3.681</v>
      </c>
      <c r="S103" s="154">
        <v>18049</v>
      </c>
      <c r="U103" s="154">
        <v>1198.548</v>
      </c>
      <c r="V103" s="169">
        <v>9.9999999999999995E-7</v>
      </c>
      <c r="W103" s="169">
        <v>7.4115555602059799E-3</v>
      </c>
      <c r="X103" s="169">
        <v>1.0933676016081E-3</v>
      </c>
    </row>
    <row r="104" spans="1:24">
      <c r="A104" s="4" t="s">
        <v>26</v>
      </c>
      <c r="B104" s="4">
        <v>9935</v>
      </c>
      <c r="C104" s="4" t="s">
        <v>1707</v>
      </c>
      <c r="D104" s="4" t="s">
        <v>1708</v>
      </c>
      <c r="E104" s="4" t="s">
        <v>335</v>
      </c>
      <c r="F104" s="4" t="s">
        <v>1709</v>
      </c>
      <c r="G104" s="4" t="s">
        <v>1710</v>
      </c>
      <c r="H104" s="4" t="s">
        <v>343</v>
      </c>
      <c r="I104" s="4" t="s">
        <v>954</v>
      </c>
      <c r="J104" s="4" t="s">
        <v>124</v>
      </c>
      <c r="K104" s="4" t="s">
        <v>304</v>
      </c>
      <c r="L104" s="2" t="s">
        <v>349</v>
      </c>
      <c r="M104" s="2" t="s">
        <v>386</v>
      </c>
      <c r="N104" s="4" t="s">
        <v>1637</v>
      </c>
      <c r="O104" s="4" t="s">
        <v>159</v>
      </c>
      <c r="P104" s="4" t="s">
        <v>1206</v>
      </c>
      <c r="Q104" s="154">
        <v>2625</v>
      </c>
      <c r="R104" s="154">
        <v>3.9790000000000001</v>
      </c>
      <c r="S104" s="154">
        <v>17072</v>
      </c>
      <c r="U104" s="154">
        <v>1783.194</v>
      </c>
      <c r="V104" s="169">
        <v>3.9999999999999998E-6</v>
      </c>
      <c r="W104" s="169">
        <v>1.10268746205071E-2</v>
      </c>
      <c r="X104" s="169">
        <v>1.6267067499015E-3</v>
      </c>
    </row>
    <row r="105" spans="1:24">
      <c r="A105" s="4" t="s">
        <v>26</v>
      </c>
      <c r="B105" s="4">
        <v>9935</v>
      </c>
      <c r="C105" s="4" t="s">
        <v>1622</v>
      </c>
      <c r="D105" s="4" t="s">
        <v>1623</v>
      </c>
      <c r="E105" s="4" t="s">
        <v>335</v>
      </c>
      <c r="F105" s="4" t="s">
        <v>1624</v>
      </c>
      <c r="G105" s="4" t="s">
        <v>1625</v>
      </c>
      <c r="H105" s="4" t="s">
        <v>343</v>
      </c>
      <c r="I105" s="4" t="s">
        <v>954</v>
      </c>
      <c r="J105" s="4" t="s">
        <v>124</v>
      </c>
      <c r="K105" s="4" t="s">
        <v>125</v>
      </c>
      <c r="L105" s="2" t="s">
        <v>349</v>
      </c>
      <c r="M105" s="2" t="s">
        <v>368</v>
      </c>
      <c r="N105" s="4" t="s">
        <v>536</v>
      </c>
      <c r="O105" s="4" t="s">
        <v>159</v>
      </c>
      <c r="P105" s="4" t="s">
        <v>35</v>
      </c>
      <c r="Q105" s="154">
        <v>2900</v>
      </c>
      <c r="R105" s="154">
        <v>3.681</v>
      </c>
      <c r="S105" s="154">
        <v>180.38</v>
      </c>
      <c r="U105" s="154">
        <v>1925.538</v>
      </c>
      <c r="V105" s="169">
        <v>0</v>
      </c>
      <c r="W105" s="169">
        <v>1.1907101918093599E-2</v>
      </c>
      <c r="X105" s="169">
        <v>1.75655965344033E-3</v>
      </c>
    </row>
    <row r="106" spans="1:24">
      <c r="A106" s="4" t="s">
        <v>26</v>
      </c>
      <c r="B106" s="4">
        <v>9935</v>
      </c>
      <c r="C106" s="4" t="s">
        <v>1626</v>
      </c>
      <c r="D106" s="4" t="s">
        <v>1627</v>
      </c>
      <c r="E106" s="4" t="s">
        <v>335</v>
      </c>
      <c r="F106" s="4" t="s">
        <v>1628</v>
      </c>
      <c r="G106" s="4" t="s">
        <v>1629</v>
      </c>
      <c r="H106" s="4" t="s">
        <v>343</v>
      </c>
      <c r="I106" s="4" t="s">
        <v>954</v>
      </c>
      <c r="J106" s="4" t="s">
        <v>124</v>
      </c>
      <c r="K106" s="4" t="s">
        <v>125</v>
      </c>
      <c r="L106" s="2" t="s">
        <v>349</v>
      </c>
      <c r="M106" s="2" t="s">
        <v>368</v>
      </c>
      <c r="N106" s="4" t="s">
        <v>569</v>
      </c>
      <c r="O106" s="4" t="s">
        <v>159</v>
      </c>
      <c r="P106" s="4" t="s">
        <v>35</v>
      </c>
      <c r="Q106" s="154">
        <v>1110</v>
      </c>
      <c r="R106" s="154">
        <v>3.681</v>
      </c>
      <c r="S106" s="154">
        <v>97047</v>
      </c>
      <c r="U106" s="154">
        <v>3965.2530000000002</v>
      </c>
      <c r="V106" s="169">
        <v>3.0000000000000001E-6</v>
      </c>
      <c r="W106" s="169">
        <v>2.4520243796204301E-2</v>
      </c>
      <c r="X106" s="169">
        <v>3.61727574360336E-3</v>
      </c>
    </row>
    <row r="107" spans="1:24">
      <c r="A107" s="4" t="s">
        <v>26</v>
      </c>
      <c r="B107" s="4">
        <v>9935</v>
      </c>
      <c r="C107" s="4" t="s">
        <v>1630</v>
      </c>
      <c r="D107" s="4" t="s">
        <v>1631</v>
      </c>
      <c r="E107" s="4" t="s">
        <v>335</v>
      </c>
      <c r="F107" s="4" t="s">
        <v>1632</v>
      </c>
      <c r="G107" s="4" t="s">
        <v>1633</v>
      </c>
      <c r="H107" s="4" t="s">
        <v>343</v>
      </c>
      <c r="I107" s="4" t="s">
        <v>954</v>
      </c>
      <c r="J107" s="4" t="s">
        <v>124</v>
      </c>
      <c r="K107" s="4" t="s">
        <v>125</v>
      </c>
      <c r="L107" s="2" t="s">
        <v>349</v>
      </c>
      <c r="M107" s="2" t="s">
        <v>368</v>
      </c>
      <c r="N107" s="4" t="s">
        <v>569</v>
      </c>
      <c r="O107" s="4" t="s">
        <v>159</v>
      </c>
      <c r="P107" s="4" t="s">
        <v>35</v>
      </c>
      <c r="Q107" s="154">
        <v>265</v>
      </c>
      <c r="R107" s="154">
        <v>3.681</v>
      </c>
      <c r="S107" s="154">
        <v>132541</v>
      </c>
      <c r="U107" s="154">
        <v>1292.8910000000001</v>
      </c>
      <c r="V107" s="169">
        <v>9.9999999999999995E-7</v>
      </c>
      <c r="W107" s="169">
        <v>7.9949510183750204E-3</v>
      </c>
      <c r="X107" s="169">
        <v>1.17943127443707E-3</v>
      </c>
    </row>
    <row r="108" spans="1:24">
      <c r="A108" s="4" t="s">
        <v>26</v>
      </c>
      <c r="B108" s="4">
        <v>9935</v>
      </c>
      <c r="C108" s="4" t="s">
        <v>1634</v>
      </c>
      <c r="D108" s="4" t="s">
        <v>1635</v>
      </c>
      <c r="E108" s="4" t="s">
        <v>335</v>
      </c>
      <c r="F108" s="4" t="s">
        <v>1634</v>
      </c>
      <c r="G108" s="4" t="s">
        <v>1636</v>
      </c>
      <c r="H108" s="4" t="s">
        <v>343</v>
      </c>
      <c r="I108" s="4" t="s">
        <v>954</v>
      </c>
      <c r="J108" s="4" t="s">
        <v>124</v>
      </c>
      <c r="K108" s="4" t="s">
        <v>319</v>
      </c>
      <c r="L108" s="2" t="s">
        <v>349</v>
      </c>
      <c r="M108" s="2" t="s">
        <v>368</v>
      </c>
      <c r="N108" s="4" t="s">
        <v>1637</v>
      </c>
      <c r="O108" s="4" t="s">
        <v>159</v>
      </c>
      <c r="P108" s="4" t="s">
        <v>35</v>
      </c>
      <c r="Q108" s="154">
        <v>400</v>
      </c>
      <c r="R108" s="154">
        <v>3.681</v>
      </c>
      <c r="S108" s="154">
        <v>73263</v>
      </c>
      <c r="U108" s="154">
        <v>1078.7239999999999</v>
      </c>
      <c r="V108" s="169">
        <v>9.9999999999999995E-7</v>
      </c>
      <c r="W108" s="169">
        <v>6.6705920285167397E-3</v>
      </c>
      <c r="X108" s="169">
        <v>9.8405916926334793E-4</v>
      </c>
    </row>
    <row r="109" spans="1:24">
      <c r="A109" s="4" t="s">
        <v>26</v>
      </c>
      <c r="B109" s="4">
        <v>9935</v>
      </c>
      <c r="C109" s="4" t="s">
        <v>1638</v>
      </c>
      <c r="D109" s="4" t="s">
        <v>1639</v>
      </c>
      <c r="E109" s="4" t="s">
        <v>335</v>
      </c>
      <c r="F109" s="4" t="s">
        <v>1711</v>
      </c>
      <c r="G109" s="4" t="s">
        <v>1712</v>
      </c>
      <c r="H109" s="4" t="s">
        <v>343</v>
      </c>
      <c r="I109" s="4" t="s">
        <v>954</v>
      </c>
      <c r="J109" s="4" t="s">
        <v>124</v>
      </c>
      <c r="K109" s="4" t="s">
        <v>125</v>
      </c>
      <c r="L109" s="2" t="s">
        <v>349</v>
      </c>
      <c r="M109" s="2" t="s">
        <v>368</v>
      </c>
      <c r="N109" s="4" t="s">
        <v>570</v>
      </c>
      <c r="O109" s="4" t="s">
        <v>159</v>
      </c>
      <c r="P109" s="4" t="s">
        <v>35</v>
      </c>
      <c r="Q109" s="154">
        <v>5980</v>
      </c>
      <c r="R109" s="154">
        <v>3.681</v>
      </c>
      <c r="S109" s="154">
        <v>150.93</v>
      </c>
      <c r="U109" s="154">
        <v>3322.3290000000002</v>
      </c>
      <c r="V109" s="169">
        <v>2.0000000000000002E-5</v>
      </c>
      <c r="W109" s="169">
        <v>2.0544541173876701E-2</v>
      </c>
      <c r="X109" s="169">
        <v>3.0307720865005699E-3</v>
      </c>
    </row>
    <row r="110" spans="1:24">
      <c r="A110" s="4" t="s">
        <v>26</v>
      </c>
      <c r="B110" s="4">
        <v>9935</v>
      </c>
      <c r="C110" s="4" t="s">
        <v>1638</v>
      </c>
      <c r="D110" s="4" t="s">
        <v>1639</v>
      </c>
      <c r="E110" s="4" t="s">
        <v>335</v>
      </c>
      <c r="F110" s="4" t="s">
        <v>1640</v>
      </c>
      <c r="G110" s="4" t="s">
        <v>1641</v>
      </c>
      <c r="H110" s="4" t="s">
        <v>343</v>
      </c>
      <c r="I110" s="4" t="s">
        <v>954</v>
      </c>
      <c r="J110" s="4" t="s">
        <v>124</v>
      </c>
      <c r="K110" s="4" t="s">
        <v>125</v>
      </c>
      <c r="L110" s="2" t="s">
        <v>349</v>
      </c>
      <c r="M110" s="2" t="s">
        <v>368</v>
      </c>
      <c r="N110" s="4" t="s">
        <v>570</v>
      </c>
      <c r="O110" s="4" t="s">
        <v>159</v>
      </c>
      <c r="P110" s="4" t="s">
        <v>35</v>
      </c>
      <c r="Q110" s="154">
        <v>3160</v>
      </c>
      <c r="R110" s="154">
        <v>3.681</v>
      </c>
      <c r="S110" s="154">
        <v>15226</v>
      </c>
      <c r="U110" s="154">
        <v>1771.0820000000001</v>
      </c>
      <c r="V110" s="169">
        <v>9.9999999999999995E-7</v>
      </c>
      <c r="W110" s="169">
        <v>1.09519789032246E-2</v>
      </c>
      <c r="X110" s="169">
        <v>1.61565798286324E-3</v>
      </c>
    </row>
    <row r="111" spans="1:24">
      <c r="A111" s="4" t="s">
        <v>26</v>
      </c>
      <c r="B111" s="4">
        <v>9935</v>
      </c>
      <c r="C111" s="4" t="s">
        <v>1713</v>
      </c>
      <c r="D111" s="4" t="s">
        <v>1714</v>
      </c>
      <c r="E111" s="4" t="s">
        <v>335</v>
      </c>
      <c r="F111" s="4" t="s">
        <v>1713</v>
      </c>
      <c r="G111" s="4" t="s">
        <v>1715</v>
      </c>
      <c r="H111" s="4" t="s">
        <v>343</v>
      </c>
      <c r="I111" s="4" t="s">
        <v>954</v>
      </c>
      <c r="J111" s="4" t="s">
        <v>124</v>
      </c>
      <c r="K111" s="4" t="s">
        <v>125</v>
      </c>
      <c r="L111" s="2" t="s">
        <v>349</v>
      </c>
      <c r="M111" s="2" t="s">
        <v>366</v>
      </c>
      <c r="N111" s="4" t="s">
        <v>555</v>
      </c>
      <c r="O111" s="4" t="s">
        <v>159</v>
      </c>
      <c r="P111" s="4" t="s">
        <v>35</v>
      </c>
      <c r="Q111" s="154">
        <v>1697</v>
      </c>
      <c r="R111" s="154">
        <v>3.681</v>
      </c>
      <c r="S111" s="154">
        <v>15819</v>
      </c>
      <c r="U111" s="154">
        <v>988.15899999999999</v>
      </c>
      <c r="V111" s="169">
        <v>9.9999999999999995E-7</v>
      </c>
      <c r="W111" s="169">
        <v>6.1105536124163402E-3</v>
      </c>
      <c r="X111" s="169">
        <v>9.0144117431667395E-4</v>
      </c>
    </row>
    <row r="112" spans="1:24">
      <c r="A112" s="4" t="s">
        <v>26</v>
      </c>
      <c r="B112" s="4">
        <v>9935</v>
      </c>
      <c r="C112" s="4" t="s">
        <v>1642</v>
      </c>
      <c r="D112" s="4" t="s">
        <v>1643</v>
      </c>
      <c r="E112" s="4" t="s">
        <v>335</v>
      </c>
      <c r="F112" s="4" t="s">
        <v>1644</v>
      </c>
      <c r="G112" s="4" t="s">
        <v>1645</v>
      </c>
      <c r="H112" s="4" t="s">
        <v>343</v>
      </c>
      <c r="I112" s="4" t="s">
        <v>954</v>
      </c>
      <c r="J112" s="4" t="s">
        <v>124</v>
      </c>
      <c r="K112" s="4" t="s">
        <v>125</v>
      </c>
      <c r="L112" s="2" t="s">
        <v>349</v>
      </c>
      <c r="M112" s="2" t="s">
        <v>366</v>
      </c>
      <c r="N112" s="4" t="s">
        <v>1646</v>
      </c>
      <c r="O112" s="4" t="s">
        <v>159</v>
      </c>
      <c r="P112" s="4" t="s">
        <v>35</v>
      </c>
      <c r="Q112" s="154">
        <v>2045</v>
      </c>
      <c r="R112" s="154">
        <v>3.681</v>
      </c>
      <c r="S112" s="154">
        <v>481.57</v>
      </c>
      <c r="U112" s="154">
        <v>3625.0880000000002</v>
      </c>
      <c r="V112" s="169">
        <v>1.9999999999999999E-6</v>
      </c>
      <c r="W112" s="169">
        <v>2.2416738570248201E-2</v>
      </c>
      <c r="X112" s="169">
        <v>3.3069624166383398E-3</v>
      </c>
    </row>
    <row r="113" spans="1:24">
      <c r="A113" s="4" t="s">
        <v>26</v>
      </c>
      <c r="B113" s="4">
        <v>9935</v>
      </c>
      <c r="C113" s="4" t="s">
        <v>1647</v>
      </c>
      <c r="D113" s="4" t="s">
        <v>1648</v>
      </c>
      <c r="E113" s="4" t="s">
        <v>335</v>
      </c>
      <c r="F113" s="4" t="s">
        <v>1649</v>
      </c>
      <c r="G113" s="4" t="s">
        <v>1650</v>
      </c>
      <c r="H113" s="4" t="s">
        <v>343</v>
      </c>
      <c r="I113" s="4" t="s">
        <v>954</v>
      </c>
      <c r="J113" s="4" t="s">
        <v>124</v>
      </c>
      <c r="K113" s="4" t="s">
        <v>125</v>
      </c>
      <c r="L113" s="2" t="s">
        <v>349</v>
      </c>
      <c r="M113" s="2" t="s">
        <v>368</v>
      </c>
      <c r="N113" s="4" t="s">
        <v>565</v>
      </c>
      <c r="O113" s="4" t="s">
        <v>159</v>
      </c>
      <c r="P113" s="4" t="s">
        <v>35</v>
      </c>
      <c r="Q113" s="154">
        <v>3377</v>
      </c>
      <c r="R113" s="154">
        <v>3.681</v>
      </c>
      <c r="S113" s="154">
        <v>420.72</v>
      </c>
      <c r="U113" s="154">
        <v>5229.8599999999997</v>
      </c>
      <c r="V113" s="169">
        <v>0</v>
      </c>
      <c r="W113" s="169">
        <v>3.2340289921270797E-2</v>
      </c>
      <c r="X113" s="169">
        <v>4.7709046959566598E-3</v>
      </c>
    </row>
    <row r="114" spans="1:24">
      <c r="A114" s="4" t="s">
        <v>26</v>
      </c>
      <c r="B114" s="4">
        <v>9935</v>
      </c>
      <c r="C114" s="4" t="s">
        <v>1716</v>
      </c>
      <c r="D114" s="4" t="s">
        <v>1717</v>
      </c>
      <c r="E114" s="4" t="s">
        <v>335</v>
      </c>
      <c r="F114" s="4" t="s">
        <v>1718</v>
      </c>
      <c r="G114" s="4" t="s">
        <v>1719</v>
      </c>
      <c r="H114" s="4" t="s">
        <v>343</v>
      </c>
      <c r="I114" s="4" t="s">
        <v>954</v>
      </c>
      <c r="J114" s="4" t="s">
        <v>124</v>
      </c>
      <c r="K114" s="4" t="s">
        <v>305</v>
      </c>
      <c r="L114" s="2" t="s">
        <v>349</v>
      </c>
      <c r="M114" s="2" t="s">
        <v>366</v>
      </c>
      <c r="N114" s="4" t="s">
        <v>510</v>
      </c>
      <c r="O114" s="4" t="s">
        <v>159</v>
      </c>
      <c r="P114" s="4" t="s">
        <v>35</v>
      </c>
      <c r="Q114" s="154">
        <v>6900</v>
      </c>
      <c r="R114" s="154">
        <v>3.681</v>
      </c>
      <c r="S114" s="154">
        <v>54.31</v>
      </c>
      <c r="T114" s="153">
        <v>2.8450000000000002</v>
      </c>
      <c r="U114" s="154">
        <v>1389.8879999999999</v>
      </c>
      <c r="V114" s="169">
        <v>1.4E-5</v>
      </c>
      <c r="W114" s="169">
        <v>8.5947588068398008E-3</v>
      </c>
      <c r="X114" s="169">
        <v>1.26791612728237E-3</v>
      </c>
    </row>
    <row r="115" spans="1:24">
      <c r="A115" s="4" t="s">
        <v>26</v>
      </c>
      <c r="B115" s="4">
        <v>9935</v>
      </c>
      <c r="C115" s="4" t="s">
        <v>1720</v>
      </c>
      <c r="D115" s="4" t="s">
        <v>1721</v>
      </c>
      <c r="E115" s="4" t="s">
        <v>335</v>
      </c>
      <c r="F115" s="4" t="s">
        <v>1722</v>
      </c>
      <c r="G115" s="4" t="s">
        <v>1723</v>
      </c>
      <c r="H115" s="4" t="s">
        <v>343</v>
      </c>
      <c r="I115" s="4" t="s">
        <v>954</v>
      </c>
      <c r="J115" s="4" t="s">
        <v>124</v>
      </c>
      <c r="K115" s="4" t="s">
        <v>125</v>
      </c>
      <c r="L115" s="2" t="s">
        <v>349</v>
      </c>
      <c r="M115" s="2" t="s">
        <v>368</v>
      </c>
      <c r="N115" s="4" t="s">
        <v>569</v>
      </c>
      <c r="O115" s="4" t="s">
        <v>159</v>
      </c>
      <c r="P115" s="4" t="s">
        <v>35</v>
      </c>
      <c r="Q115" s="154">
        <v>1415</v>
      </c>
      <c r="R115" s="154">
        <v>3.681</v>
      </c>
      <c r="S115" s="154">
        <v>90356</v>
      </c>
      <c r="U115" s="154">
        <v>4706.2960000000003</v>
      </c>
      <c r="V115" s="169">
        <v>9.9999999999999995E-7</v>
      </c>
      <c r="W115" s="169">
        <v>2.9102689586150299E-2</v>
      </c>
      <c r="X115" s="169">
        <v>4.2932873746506402E-3</v>
      </c>
    </row>
    <row r="116" spans="1:24">
      <c r="A116" s="4" t="s">
        <v>26</v>
      </c>
      <c r="B116" s="4">
        <v>9935</v>
      </c>
      <c r="C116" s="4" t="s">
        <v>1655</v>
      </c>
      <c r="D116" s="4" t="s">
        <v>1656</v>
      </c>
      <c r="E116" s="4" t="s">
        <v>335</v>
      </c>
      <c r="F116" s="4" t="s">
        <v>1657</v>
      </c>
      <c r="G116" s="4" t="s">
        <v>1658</v>
      </c>
      <c r="H116" s="4" t="s">
        <v>343</v>
      </c>
      <c r="I116" s="4" t="s">
        <v>954</v>
      </c>
      <c r="J116" s="4" t="s">
        <v>124</v>
      </c>
      <c r="K116" s="4" t="s">
        <v>125</v>
      </c>
      <c r="L116" s="2" t="s">
        <v>349</v>
      </c>
      <c r="M116" s="2" t="s">
        <v>366</v>
      </c>
      <c r="N116" s="4" t="s">
        <v>578</v>
      </c>
      <c r="O116" s="4" t="s">
        <v>159</v>
      </c>
      <c r="P116" s="4" t="s">
        <v>35</v>
      </c>
      <c r="Q116" s="154">
        <v>7655</v>
      </c>
      <c r="R116" s="154">
        <v>3.681</v>
      </c>
      <c r="S116" s="154">
        <v>66.19</v>
      </c>
      <c r="U116" s="154">
        <v>1865.105</v>
      </c>
      <c r="V116" s="169">
        <v>1.4799999999999999E-4</v>
      </c>
      <c r="W116" s="169">
        <v>1.1533397667114999E-2</v>
      </c>
      <c r="X116" s="169">
        <v>1.70143004977156E-3</v>
      </c>
    </row>
    <row r="117" spans="1:24">
      <c r="A117" s="4" t="s">
        <v>26</v>
      </c>
      <c r="B117" s="4">
        <v>9935</v>
      </c>
      <c r="C117" s="4" t="s">
        <v>1724</v>
      </c>
      <c r="D117" s="4" t="s">
        <v>1725</v>
      </c>
      <c r="E117" s="4" t="s">
        <v>335</v>
      </c>
      <c r="F117" s="4" t="s">
        <v>1726</v>
      </c>
      <c r="G117" s="4" t="s">
        <v>1727</v>
      </c>
      <c r="H117" s="4" t="s">
        <v>343</v>
      </c>
      <c r="I117" s="4" t="s">
        <v>954</v>
      </c>
      <c r="J117" s="4" t="s">
        <v>124</v>
      </c>
      <c r="K117" s="4" t="s">
        <v>125</v>
      </c>
      <c r="L117" s="2" t="s">
        <v>349</v>
      </c>
      <c r="M117" s="2" t="s">
        <v>368</v>
      </c>
      <c r="N117" s="4" t="s">
        <v>1646</v>
      </c>
      <c r="O117" s="4" t="s">
        <v>159</v>
      </c>
      <c r="P117" s="4" t="s">
        <v>35</v>
      </c>
      <c r="Q117" s="154">
        <v>3268</v>
      </c>
      <c r="R117" s="154">
        <v>3.681</v>
      </c>
      <c r="S117" s="154">
        <v>66.989999999999995</v>
      </c>
      <c r="U117" s="154">
        <v>805.85699999999997</v>
      </c>
      <c r="V117" s="169">
        <v>3.0000000000000001E-6</v>
      </c>
      <c r="W117" s="169">
        <v>4.9832389925624802E-3</v>
      </c>
      <c r="X117" s="169">
        <v>7.3513745141331197E-4</v>
      </c>
    </row>
    <row r="118" spans="1:24">
      <c r="A118" s="4" t="s">
        <v>26</v>
      </c>
      <c r="B118" s="4">
        <v>9935</v>
      </c>
      <c r="C118" s="4" t="s">
        <v>1728</v>
      </c>
      <c r="D118" s="4" t="s">
        <v>1729</v>
      </c>
      <c r="E118" s="4" t="s">
        <v>335</v>
      </c>
      <c r="F118" s="4" t="s">
        <v>1730</v>
      </c>
      <c r="G118" s="4" t="s">
        <v>1731</v>
      </c>
      <c r="H118" s="4" t="s">
        <v>343</v>
      </c>
      <c r="I118" s="4" t="s">
        <v>954</v>
      </c>
      <c r="J118" s="4" t="s">
        <v>124</v>
      </c>
      <c r="K118" s="4" t="s">
        <v>125</v>
      </c>
      <c r="L118" s="2" t="s">
        <v>349</v>
      </c>
      <c r="M118" s="2" t="s">
        <v>32</v>
      </c>
      <c r="N118" s="4" t="s">
        <v>567</v>
      </c>
      <c r="O118" s="4" t="s">
        <v>159</v>
      </c>
      <c r="P118" s="4" t="s">
        <v>35</v>
      </c>
      <c r="Q118" s="154">
        <v>323</v>
      </c>
      <c r="R118" s="154">
        <v>3.681</v>
      </c>
      <c r="S118" s="154">
        <v>148700</v>
      </c>
      <c r="U118" s="154">
        <v>1767.9880000000001</v>
      </c>
      <c r="V118" s="169">
        <v>9.9999999999999995E-7</v>
      </c>
      <c r="W118" s="169">
        <v>1.09328447575468E-2</v>
      </c>
      <c r="X118" s="169">
        <v>1.6128352751605701E-3</v>
      </c>
    </row>
    <row r="119" spans="1:24">
      <c r="A119" s="4" t="s">
        <v>26</v>
      </c>
      <c r="B119" s="4">
        <v>9935</v>
      </c>
      <c r="C119" s="4" t="s">
        <v>1732</v>
      </c>
      <c r="D119" s="4" t="s">
        <v>1733</v>
      </c>
      <c r="E119" s="4" t="s">
        <v>335</v>
      </c>
      <c r="F119" s="4" t="s">
        <v>1732</v>
      </c>
      <c r="G119" s="4" t="s">
        <v>1734</v>
      </c>
      <c r="H119" s="4" t="s">
        <v>343</v>
      </c>
      <c r="I119" s="4" t="s">
        <v>954</v>
      </c>
      <c r="J119" s="4" t="s">
        <v>124</v>
      </c>
      <c r="K119" s="4" t="s">
        <v>125</v>
      </c>
      <c r="L119" s="2" t="s">
        <v>349</v>
      </c>
      <c r="M119" s="2" t="s">
        <v>368</v>
      </c>
      <c r="N119" s="4" t="s">
        <v>533</v>
      </c>
      <c r="O119" s="4" t="s">
        <v>159</v>
      </c>
      <c r="P119" s="4" t="s">
        <v>35</v>
      </c>
      <c r="Q119" s="154">
        <v>1700</v>
      </c>
      <c r="R119" s="154">
        <v>3.681</v>
      </c>
      <c r="S119" s="154">
        <v>17579</v>
      </c>
      <c r="U119" s="154">
        <v>1100.0409999999999</v>
      </c>
      <c r="V119" s="169">
        <v>9.9999999999999995E-7</v>
      </c>
      <c r="W119" s="169">
        <v>6.8024095845721196E-3</v>
      </c>
      <c r="X119" s="169">
        <v>1.0035051605864001E-3</v>
      </c>
    </row>
    <row r="120" spans="1:24">
      <c r="A120" s="4" t="s">
        <v>26</v>
      </c>
      <c r="B120" s="4">
        <v>9935</v>
      </c>
      <c r="C120" s="4" t="s">
        <v>1735</v>
      </c>
      <c r="D120" s="4" t="s">
        <v>1736</v>
      </c>
      <c r="E120" s="4" t="s">
        <v>335</v>
      </c>
      <c r="F120" s="4" t="s">
        <v>1737</v>
      </c>
      <c r="G120" s="4" t="s">
        <v>1738</v>
      </c>
      <c r="H120" s="4" t="s">
        <v>343</v>
      </c>
      <c r="I120" s="4" t="s">
        <v>954</v>
      </c>
      <c r="J120" s="4" t="s">
        <v>124</v>
      </c>
      <c r="K120" s="4" t="s">
        <v>125</v>
      </c>
      <c r="L120" s="2" t="s">
        <v>349</v>
      </c>
      <c r="M120" s="2" t="s">
        <v>366</v>
      </c>
      <c r="N120" s="4" t="s">
        <v>1646</v>
      </c>
      <c r="O120" s="4" t="s">
        <v>159</v>
      </c>
      <c r="P120" s="4" t="s">
        <v>35</v>
      </c>
      <c r="Q120" s="154">
        <v>2510</v>
      </c>
      <c r="R120" s="154">
        <v>3.681</v>
      </c>
      <c r="S120" s="154">
        <v>27908</v>
      </c>
      <c r="U120" s="154">
        <v>2578.5070000000001</v>
      </c>
      <c r="V120" s="169">
        <v>1.9999999999999999E-6</v>
      </c>
      <c r="W120" s="169">
        <v>1.5944911983297502E-2</v>
      </c>
      <c r="X120" s="169">
        <v>2.3522255255880101E-3</v>
      </c>
    </row>
    <row r="121" spans="1:24">
      <c r="A121" s="4" t="s">
        <v>26</v>
      </c>
      <c r="B121" s="4">
        <v>9935</v>
      </c>
      <c r="C121" s="4" t="s">
        <v>1739</v>
      </c>
      <c r="D121" s="4" t="s">
        <v>1740</v>
      </c>
      <c r="E121" s="4" t="s">
        <v>335</v>
      </c>
      <c r="F121" s="4" t="s">
        <v>1741</v>
      </c>
      <c r="G121" s="4" t="s">
        <v>1742</v>
      </c>
      <c r="H121" s="4" t="s">
        <v>343</v>
      </c>
      <c r="I121" s="4" t="s">
        <v>954</v>
      </c>
      <c r="J121" s="4" t="s">
        <v>124</v>
      </c>
      <c r="K121" s="4" t="s">
        <v>125</v>
      </c>
      <c r="L121" s="2" t="s">
        <v>349</v>
      </c>
      <c r="M121" s="2" t="s">
        <v>366</v>
      </c>
      <c r="N121" s="4" t="s">
        <v>1637</v>
      </c>
      <c r="O121" s="4" t="s">
        <v>159</v>
      </c>
      <c r="P121" s="4" t="s">
        <v>35</v>
      </c>
      <c r="Q121" s="154">
        <v>6606</v>
      </c>
      <c r="R121" s="154">
        <v>3.681</v>
      </c>
      <c r="S121" s="154">
        <v>6017</v>
      </c>
      <c r="T121" s="153">
        <v>1.371</v>
      </c>
      <c r="U121" s="154">
        <v>1468.181</v>
      </c>
      <c r="V121" s="169">
        <v>1.9999999999999999E-6</v>
      </c>
      <c r="W121" s="169">
        <v>9.0789033301456705E-3</v>
      </c>
      <c r="X121" s="169">
        <v>1.33933810232912E-3</v>
      </c>
    </row>
    <row r="122" spans="1:24">
      <c r="A122" s="4" t="s">
        <v>26</v>
      </c>
      <c r="B122" s="4">
        <v>9935</v>
      </c>
      <c r="C122" s="4" t="s">
        <v>1743</v>
      </c>
      <c r="D122" s="4" t="s">
        <v>1744</v>
      </c>
      <c r="E122" s="4" t="s">
        <v>1345</v>
      </c>
      <c r="F122" s="4" t="s">
        <v>1745</v>
      </c>
      <c r="G122" s="4" t="s">
        <v>1746</v>
      </c>
      <c r="H122" s="4" t="s">
        <v>343</v>
      </c>
      <c r="I122" s="4" t="s">
        <v>954</v>
      </c>
      <c r="J122" s="4" t="s">
        <v>124</v>
      </c>
      <c r="K122" s="4" t="s">
        <v>125</v>
      </c>
      <c r="L122" s="2" t="s">
        <v>349</v>
      </c>
      <c r="M122" s="2" t="s">
        <v>368</v>
      </c>
      <c r="N122" s="4" t="s">
        <v>565</v>
      </c>
      <c r="O122" s="4" t="s">
        <v>159</v>
      </c>
      <c r="P122" s="4" t="s">
        <v>35</v>
      </c>
      <c r="Q122" s="154">
        <v>16</v>
      </c>
      <c r="R122" s="154">
        <v>3.681</v>
      </c>
      <c r="S122" s="154">
        <v>22587</v>
      </c>
      <c r="U122" s="154">
        <v>13.303000000000001</v>
      </c>
      <c r="V122" s="169">
        <v>0</v>
      </c>
      <c r="W122" s="169">
        <v>8.2261803173829898E-5</v>
      </c>
      <c r="X122" s="169">
        <v>1.21354268627554E-5</v>
      </c>
    </row>
    <row r="123" spans="1:24">
      <c r="A123" s="4" t="s">
        <v>26</v>
      </c>
      <c r="B123" s="4">
        <v>9935</v>
      </c>
      <c r="C123" s="4" t="s">
        <v>1747</v>
      </c>
      <c r="D123" s="4" t="s">
        <v>1748</v>
      </c>
      <c r="E123" s="4" t="s">
        <v>1345</v>
      </c>
      <c r="F123" s="4" t="s">
        <v>1747</v>
      </c>
      <c r="G123" s="4" t="s">
        <v>1749</v>
      </c>
      <c r="H123" s="4" t="s">
        <v>343</v>
      </c>
      <c r="I123" s="4" t="s">
        <v>954</v>
      </c>
      <c r="J123" s="4" t="s">
        <v>31</v>
      </c>
      <c r="K123" s="4" t="s">
        <v>31</v>
      </c>
      <c r="L123" s="2" t="s">
        <v>349</v>
      </c>
      <c r="M123" s="2" t="s">
        <v>368</v>
      </c>
      <c r="N123" s="4" t="s">
        <v>565</v>
      </c>
      <c r="O123" s="4" t="s">
        <v>159</v>
      </c>
      <c r="P123" s="4" t="s">
        <v>35</v>
      </c>
      <c r="Q123" s="154">
        <v>38</v>
      </c>
      <c r="R123" s="154">
        <v>3.681</v>
      </c>
      <c r="S123" s="154">
        <v>4422</v>
      </c>
      <c r="U123" s="154">
        <v>6.1849999999999996</v>
      </c>
      <c r="V123" s="169">
        <v>0</v>
      </c>
      <c r="W123" s="169">
        <v>3.8249170867417301E-5</v>
      </c>
      <c r="X123" s="169">
        <v>5.6425947124174503E-6</v>
      </c>
    </row>
    <row r="124" spans="1:24">
      <c r="A124" s="4" t="s">
        <v>26</v>
      </c>
      <c r="B124" s="4">
        <v>9935</v>
      </c>
      <c r="C124" s="4" t="s">
        <v>1750</v>
      </c>
      <c r="D124" s="4" t="s">
        <v>1751</v>
      </c>
      <c r="E124" s="4" t="s">
        <v>335</v>
      </c>
      <c r="F124" s="4" t="s">
        <v>1750</v>
      </c>
      <c r="G124" s="4" t="s">
        <v>1752</v>
      </c>
      <c r="H124" s="4" t="s">
        <v>343</v>
      </c>
      <c r="I124" s="4" t="s">
        <v>954</v>
      </c>
      <c r="J124" s="4" t="s">
        <v>124</v>
      </c>
      <c r="K124" s="4" t="s">
        <v>125</v>
      </c>
      <c r="L124" s="2" t="s">
        <v>349</v>
      </c>
      <c r="M124" s="2" t="s">
        <v>368</v>
      </c>
      <c r="N124" s="4" t="s">
        <v>521</v>
      </c>
      <c r="O124" s="4" t="s">
        <v>159</v>
      </c>
      <c r="P124" s="4" t="s">
        <v>35</v>
      </c>
      <c r="Q124" s="154">
        <v>10</v>
      </c>
      <c r="R124" s="154">
        <v>3.681</v>
      </c>
      <c r="S124" s="154">
        <v>1098</v>
      </c>
      <c r="U124" s="154">
        <v>0.40400000000000003</v>
      </c>
      <c r="V124" s="169">
        <v>0</v>
      </c>
      <c r="W124" s="169">
        <v>2.49932095577282E-6</v>
      </c>
      <c r="X124" s="169">
        <v>3.6870486052002901E-7</v>
      </c>
    </row>
    <row r="125" spans="1:24">
      <c r="A125" s="4" t="s">
        <v>26</v>
      </c>
      <c r="B125" s="4">
        <v>9935</v>
      </c>
      <c r="C125" s="4" t="s">
        <v>1622</v>
      </c>
      <c r="D125" s="4" t="s">
        <v>1623</v>
      </c>
      <c r="E125" s="4" t="s">
        <v>335</v>
      </c>
      <c r="F125" s="4" t="s">
        <v>1624</v>
      </c>
      <c r="G125" s="4" t="s">
        <v>1625</v>
      </c>
      <c r="H125" s="4" t="s">
        <v>343</v>
      </c>
      <c r="I125" s="4" t="s">
        <v>954</v>
      </c>
      <c r="J125" s="4" t="s">
        <v>124</v>
      </c>
      <c r="K125" s="4" t="s">
        <v>125</v>
      </c>
      <c r="L125" s="2" t="s">
        <v>349</v>
      </c>
      <c r="M125" s="2" t="s">
        <v>368</v>
      </c>
      <c r="N125" s="4" t="s">
        <v>536</v>
      </c>
      <c r="O125" s="4" t="s">
        <v>159</v>
      </c>
      <c r="P125" s="4" t="s">
        <v>35</v>
      </c>
      <c r="Q125" s="154">
        <v>2800</v>
      </c>
      <c r="R125" s="154">
        <v>3.681</v>
      </c>
      <c r="S125" s="154">
        <v>180.38</v>
      </c>
      <c r="U125" s="154">
        <v>1859.1410000000001</v>
      </c>
      <c r="V125" s="169">
        <v>0</v>
      </c>
      <c r="W125" s="169">
        <v>1.1496512196780001E-2</v>
      </c>
      <c r="X125" s="169">
        <v>1.69598863090791E-3</v>
      </c>
    </row>
    <row r="126" spans="1:24">
      <c r="A126" s="4" t="s">
        <v>26</v>
      </c>
      <c r="B126" s="4">
        <v>9935</v>
      </c>
      <c r="C126" s="4" t="s">
        <v>1626</v>
      </c>
      <c r="D126" s="4" t="s">
        <v>1627</v>
      </c>
      <c r="E126" s="4" t="s">
        <v>335</v>
      </c>
      <c r="F126" s="4" t="s">
        <v>1628</v>
      </c>
      <c r="G126" s="4" t="s">
        <v>1629</v>
      </c>
      <c r="H126" s="4" t="s">
        <v>343</v>
      </c>
      <c r="I126" s="4" t="s">
        <v>954</v>
      </c>
      <c r="J126" s="4" t="s">
        <v>124</v>
      </c>
      <c r="K126" s="4" t="s">
        <v>125</v>
      </c>
      <c r="L126" s="2" t="s">
        <v>349</v>
      </c>
      <c r="M126" s="2" t="s">
        <v>368</v>
      </c>
      <c r="N126" s="4" t="s">
        <v>569</v>
      </c>
      <c r="O126" s="4" t="s">
        <v>159</v>
      </c>
      <c r="P126" s="4" t="s">
        <v>35</v>
      </c>
      <c r="Q126" s="154">
        <v>490</v>
      </c>
      <c r="R126" s="154">
        <v>3.681</v>
      </c>
      <c r="S126" s="154">
        <v>97047</v>
      </c>
      <c r="U126" s="154">
        <v>1750.4269999999999</v>
      </c>
      <c r="V126" s="169">
        <v>9.9999999999999995E-7</v>
      </c>
      <c r="W126" s="169">
        <v>1.0824251765891999E-2</v>
      </c>
      <c r="X126" s="169">
        <v>1.59681541834743E-3</v>
      </c>
    </row>
    <row r="127" spans="1:24">
      <c r="A127" s="4" t="s">
        <v>26</v>
      </c>
      <c r="B127" s="4">
        <v>9935</v>
      </c>
      <c r="C127" s="4" t="s">
        <v>1630</v>
      </c>
      <c r="D127" s="4" t="s">
        <v>1631</v>
      </c>
      <c r="E127" s="4" t="s">
        <v>335</v>
      </c>
      <c r="F127" s="4" t="s">
        <v>1632</v>
      </c>
      <c r="G127" s="4" t="s">
        <v>1633</v>
      </c>
      <c r="H127" s="4" t="s">
        <v>343</v>
      </c>
      <c r="I127" s="4" t="s">
        <v>954</v>
      </c>
      <c r="J127" s="4" t="s">
        <v>124</v>
      </c>
      <c r="K127" s="4" t="s">
        <v>125</v>
      </c>
      <c r="L127" s="2" t="s">
        <v>349</v>
      </c>
      <c r="M127" s="2" t="s">
        <v>368</v>
      </c>
      <c r="N127" s="4" t="s">
        <v>569</v>
      </c>
      <c r="O127" s="4" t="s">
        <v>159</v>
      </c>
      <c r="P127" s="4" t="s">
        <v>35</v>
      </c>
      <c r="Q127" s="154">
        <v>135</v>
      </c>
      <c r="R127" s="154">
        <v>3.681</v>
      </c>
      <c r="S127" s="154">
        <v>132541</v>
      </c>
      <c r="U127" s="154">
        <v>658.64300000000003</v>
      </c>
      <c r="V127" s="169">
        <v>0</v>
      </c>
      <c r="W127" s="169">
        <v>4.0728995753985999E-3</v>
      </c>
      <c r="X127" s="169">
        <v>6.0084234735473599E-4</v>
      </c>
    </row>
    <row r="128" spans="1:24">
      <c r="A128" s="4" t="s">
        <v>26</v>
      </c>
      <c r="B128" s="4">
        <v>9935</v>
      </c>
      <c r="C128" s="4" t="s">
        <v>1610</v>
      </c>
      <c r="D128" s="4" t="s">
        <v>1611</v>
      </c>
      <c r="E128" s="4" t="s">
        <v>1345</v>
      </c>
      <c r="F128" s="4" t="s">
        <v>1753</v>
      </c>
      <c r="G128" s="4" t="s">
        <v>1613</v>
      </c>
      <c r="H128" s="4" t="s">
        <v>343</v>
      </c>
      <c r="I128" s="4" t="s">
        <v>954</v>
      </c>
      <c r="J128" s="4" t="s">
        <v>124</v>
      </c>
      <c r="K128" s="4" t="s">
        <v>312</v>
      </c>
      <c r="L128" s="2" t="s">
        <v>349</v>
      </c>
      <c r="M128" s="2" t="s">
        <v>368</v>
      </c>
      <c r="N128" s="4" t="s">
        <v>569</v>
      </c>
      <c r="O128" s="4" t="s">
        <v>159</v>
      </c>
      <c r="P128" s="4" t="s">
        <v>35</v>
      </c>
      <c r="Q128" s="154">
        <v>4015</v>
      </c>
      <c r="R128" s="154">
        <v>3.681</v>
      </c>
      <c r="S128" s="154">
        <v>8377</v>
      </c>
      <c r="U128" s="154">
        <v>1238.0550000000001</v>
      </c>
      <c r="V128" s="169">
        <v>9.2999999999999997E-5</v>
      </c>
      <c r="W128" s="169">
        <v>7.6558559891378398E-3</v>
      </c>
      <c r="X128" s="169">
        <v>1.12940729285554E-3</v>
      </c>
    </row>
    <row r="129" spans="1:24">
      <c r="A129" s="4" t="s">
        <v>26</v>
      </c>
      <c r="B129" s="4">
        <v>9935</v>
      </c>
      <c r="C129" s="4" t="s">
        <v>1754</v>
      </c>
      <c r="D129" s="4" t="s">
        <v>1755</v>
      </c>
      <c r="E129" s="4" t="s">
        <v>335</v>
      </c>
      <c r="F129" s="4" t="s">
        <v>1756</v>
      </c>
      <c r="G129" s="4" t="s">
        <v>1757</v>
      </c>
      <c r="H129" s="4" t="s">
        <v>343</v>
      </c>
      <c r="I129" s="4" t="s">
        <v>954</v>
      </c>
      <c r="J129" s="4" t="s">
        <v>124</v>
      </c>
      <c r="K129" s="4" t="s">
        <v>256</v>
      </c>
      <c r="L129" s="2" t="s">
        <v>349</v>
      </c>
      <c r="M129" s="2" t="s">
        <v>32</v>
      </c>
      <c r="N129" s="4" t="s">
        <v>570</v>
      </c>
      <c r="O129" s="4" t="s">
        <v>159</v>
      </c>
      <c r="P129" s="4" t="s">
        <v>1208</v>
      </c>
      <c r="Q129" s="154">
        <v>42567</v>
      </c>
      <c r="R129" s="154">
        <v>4.6539999999999999</v>
      </c>
      <c r="S129" s="154">
        <v>0.38100000000000001</v>
      </c>
      <c r="U129" s="154">
        <v>0.755</v>
      </c>
      <c r="V129" s="169">
        <v>4.0000000000000003E-5</v>
      </c>
      <c r="W129" s="169">
        <v>4.6669334762349602E-6</v>
      </c>
      <c r="X129" s="169">
        <v>6.8847542466965605E-7</v>
      </c>
    </row>
    <row r="130" spans="1:24">
      <c r="A130" s="4" t="s">
        <v>26</v>
      </c>
      <c r="B130" s="4">
        <v>9935</v>
      </c>
      <c r="C130" s="4" t="s">
        <v>1634</v>
      </c>
      <c r="D130" s="4" t="s">
        <v>1635</v>
      </c>
      <c r="E130" s="4" t="s">
        <v>335</v>
      </c>
      <c r="F130" s="4" t="s">
        <v>1634</v>
      </c>
      <c r="G130" s="4" t="s">
        <v>1636</v>
      </c>
      <c r="H130" s="4" t="s">
        <v>343</v>
      </c>
      <c r="I130" s="4" t="s">
        <v>954</v>
      </c>
      <c r="J130" s="4" t="s">
        <v>124</v>
      </c>
      <c r="K130" s="4" t="s">
        <v>319</v>
      </c>
      <c r="L130" s="2" t="s">
        <v>349</v>
      </c>
      <c r="M130" s="2" t="s">
        <v>368</v>
      </c>
      <c r="N130" s="4" t="s">
        <v>1637</v>
      </c>
      <c r="O130" s="4" t="s">
        <v>159</v>
      </c>
      <c r="P130" s="4" t="s">
        <v>35</v>
      </c>
      <c r="Q130" s="154">
        <v>330</v>
      </c>
      <c r="R130" s="154">
        <v>3.681</v>
      </c>
      <c r="S130" s="154">
        <v>73263</v>
      </c>
      <c r="U130" s="154">
        <v>889.94799999999998</v>
      </c>
      <c r="V130" s="169">
        <v>9.9999999999999995E-7</v>
      </c>
      <c r="W130" s="169">
        <v>5.5032384235263101E-3</v>
      </c>
      <c r="X130" s="169">
        <v>8.1184881464226196E-4</v>
      </c>
    </row>
    <row r="131" spans="1:24">
      <c r="A131" s="4" t="s">
        <v>26</v>
      </c>
      <c r="B131" s="4">
        <v>9935</v>
      </c>
      <c r="C131" s="4" t="s">
        <v>1758</v>
      </c>
      <c r="D131" s="4" t="s">
        <v>1759</v>
      </c>
      <c r="E131" s="4" t="s">
        <v>44</v>
      </c>
      <c r="F131" s="4" t="s">
        <v>1760</v>
      </c>
      <c r="G131" s="4" t="s">
        <v>1761</v>
      </c>
      <c r="H131" s="4" t="s">
        <v>343</v>
      </c>
      <c r="I131" s="4" t="s">
        <v>954</v>
      </c>
      <c r="J131" s="4" t="s">
        <v>124</v>
      </c>
      <c r="K131" s="4" t="s">
        <v>125</v>
      </c>
      <c r="L131" s="2" t="s">
        <v>349</v>
      </c>
      <c r="M131" s="2" t="s">
        <v>368</v>
      </c>
      <c r="N131" s="4" t="s">
        <v>551</v>
      </c>
      <c r="O131" s="4" t="s">
        <v>159</v>
      </c>
      <c r="P131" s="4" t="s">
        <v>35</v>
      </c>
      <c r="Q131" s="154">
        <v>-0.38</v>
      </c>
      <c r="R131" s="154">
        <v>3.681</v>
      </c>
      <c r="S131" s="154">
        <v>1.53</v>
      </c>
      <c r="U131" s="154">
        <v>-2E-3</v>
      </c>
      <c r="V131" s="169">
        <v>0</v>
      </c>
      <c r="W131" s="169">
        <v>-1.32341093231905E-8</v>
      </c>
      <c r="X131" s="169">
        <v>-1.9523224581634303E-9</v>
      </c>
    </row>
    <row r="132" spans="1:24">
      <c r="A132" s="4" t="s">
        <v>26</v>
      </c>
      <c r="B132" s="4">
        <v>9935</v>
      </c>
      <c r="C132" s="4" t="s">
        <v>1638</v>
      </c>
      <c r="D132" s="4" t="s">
        <v>1639</v>
      </c>
      <c r="E132" s="4" t="s">
        <v>335</v>
      </c>
      <c r="F132" s="4" t="s">
        <v>1640</v>
      </c>
      <c r="G132" s="4" t="s">
        <v>1641</v>
      </c>
      <c r="H132" s="4" t="s">
        <v>343</v>
      </c>
      <c r="I132" s="4" t="s">
        <v>954</v>
      </c>
      <c r="J132" s="4" t="s">
        <v>124</v>
      </c>
      <c r="K132" s="4" t="s">
        <v>125</v>
      </c>
      <c r="L132" s="2" t="s">
        <v>349</v>
      </c>
      <c r="M132" s="2" t="s">
        <v>368</v>
      </c>
      <c r="N132" s="4" t="s">
        <v>570</v>
      </c>
      <c r="O132" s="4" t="s">
        <v>159</v>
      </c>
      <c r="P132" s="4" t="s">
        <v>35</v>
      </c>
      <c r="Q132" s="154">
        <v>8119</v>
      </c>
      <c r="R132" s="154">
        <v>3.681</v>
      </c>
      <c r="S132" s="154">
        <v>15226</v>
      </c>
      <c r="U132" s="154">
        <v>4550.4480000000003</v>
      </c>
      <c r="V132" s="169">
        <v>1.9999999999999999E-6</v>
      </c>
      <c r="W132" s="169">
        <v>2.81389609858484E-2</v>
      </c>
      <c r="X132" s="169">
        <v>4.1511161907805804E-3</v>
      </c>
    </row>
    <row r="133" spans="1:24">
      <c r="A133" s="4" t="s">
        <v>26</v>
      </c>
      <c r="B133" s="4">
        <v>9935</v>
      </c>
      <c r="C133" s="4" t="s">
        <v>1642</v>
      </c>
      <c r="D133" s="4" t="s">
        <v>1643</v>
      </c>
      <c r="E133" s="4" t="s">
        <v>335</v>
      </c>
      <c r="F133" s="4" t="s">
        <v>1644</v>
      </c>
      <c r="G133" s="4" t="s">
        <v>1645</v>
      </c>
      <c r="H133" s="4" t="s">
        <v>343</v>
      </c>
      <c r="I133" s="4" t="s">
        <v>954</v>
      </c>
      <c r="J133" s="4" t="s">
        <v>124</v>
      </c>
      <c r="K133" s="4" t="s">
        <v>125</v>
      </c>
      <c r="L133" s="2" t="s">
        <v>349</v>
      </c>
      <c r="M133" s="2" t="s">
        <v>366</v>
      </c>
      <c r="N133" s="4" t="s">
        <v>1646</v>
      </c>
      <c r="O133" s="4" t="s">
        <v>159</v>
      </c>
      <c r="P133" s="4" t="s">
        <v>35</v>
      </c>
      <c r="Q133" s="154">
        <v>1000</v>
      </c>
      <c r="R133" s="154">
        <v>3.681</v>
      </c>
      <c r="S133" s="154">
        <v>481.57</v>
      </c>
      <c r="U133" s="154">
        <v>1772.6590000000001</v>
      </c>
      <c r="V133" s="169">
        <v>9.9999999999999995E-7</v>
      </c>
      <c r="W133" s="169">
        <v>1.09617303521996E-2</v>
      </c>
      <c r="X133" s="169">
        <v>1.61709653625346E-3</v>
      </c>
    </row>
    <row r="134" spans="1:24">
      <c r="A134" s="4" t="s">
        <v>26</v>
      </c>
      <c r="B134" s="4">
        <v>9935</v>
      </c>
      <c r="C134" s="4" t="s">
        <v>1647</v>
      </c>
      <c r="D134" s="4" t="s">
        <v>1648</v>
      </c>
      <c r="E134" s="4" t="s">
        <v>335</v>
      </c>
      <c r="F134" s="4" t="s">
        <v>1649</v>
      </c>
      <c r="G134" s="4" t="s">
        <v>1650</v>
      </c>
      <c r="H134" s="4" t="s">
        <v>343</v>
      </c>
      <c r="I134" s="4" t="s">
        <v>954</v>
      </c>
      <c r="J134" s="4" t="s">
        <v>124</v>
      </c>
      <c r="K134" s="4" t="s">
        <v>125</v>
      </c>
      <c r="L134" s="2" t="s">
        <v>349</v>
      </c>
      <c r="M134" s="2" t="s">
        <v>368</v>
      </c>
      <c r="N134" s="4" t="s">
        <v>565</v>
      </c>
      <c r="O134" s="4" t="s">
        <v>159</v>
      </c>
      <c r="P134" s="4" t="s">
        <v>35</v>
      </c>
      <c r="Q134" s="154">
        <v>441</v>
      </c>
      <c r="R134" s="154">
        <v>3.681</v>
      </c>
      <c r="S134" s="154">
        <v>420.72</v>
      </c>
      <c r="U134" s="154">
        <v>682.96400000000006</v>
      </c>
      <c r="V134" s="169">
        <v>0</v>
      </c>
      <c r="W134" s="169">
        <v>4.2232951896003599E-3</v>
      </c>
      <c r="X134" s="169">
        <v>6.2302901122797904E-4</v>
      </c>
    </row>
    <row r="135" spans="1:24">
      <c r="A135" s="4" t="s">
        <v>26</v>
      </c>
      <c r="B135" s="4">
        <v>9935</v>
      </c>
      <c r="C135" s="4" t="s">
        <v>1651</v>
      </c>
      <c r="D135" s="4" t="s">
        <v>1652</v>
      </c>
      <c r="E135" s="4" t="s">
        <v>335</v>
      </c>
      <c r="F135" s="4" t="s">
        <v>1653</v>
      </c>
      <c r="G135" s="4" t="s">
        <v>1654</v>
      </c>
      <c r="H135" s="4" t="s">
        <v>343</v>
      </c>
      <c r="I135" s="4" t="s">
        <v>954</v>
      </c>
      <c r="J135" s="4" t="s">
        <v>124</v>
      </c>
      <c r="K135" s="4" t="s">
        <v>31</v>
      </c>
      <c r="L135" s="2" t="s">
        <v>349</v>
      </c>
      <c r="M135" s="2" t="s">
        <v>368</v>
      </c>
      <c r="N135" s="4" t="s">
        <v>571</v>
      </c>
      <c r="O135" s="4" t="s">
        <v>159</v>
      </c>
      <c r="P135" s="4" t="s">
        <v>35</v>
      </c>
      <c r="Q135" s="154">
        <v>1136</v>
      </c>
      <c r="R135" s="154">
        <v>3.681</v>
      </c>
      <c r="S135" s="154">
        <v>26062</v>
      </c>
      <c r="U135" s="154">
        <v>1089.8130000000001</v>
      </c>
      <c r="V135" s="169">
        <v>1.9000000000000001E-5</v>
      </c>
      <c r="W135" s="169">
        <v>6.7391599201514704E-3</v>
      </c>
      <c r="X135" s="169">
        <v>9.9417444271910098E-4</v>
      </c>
    </row>
    <row r="136" spans="1:24">
      <c r="A136" s="4" t="s">
        <v>26</v>
      </c>
      <c r="B136" s="4">
        <v>9935</v>
      </c>
      <c r="C136" s="4" t="s">
        <v>1655</v>
      </c>
      <c r="D136" s="4" t="s">
        <v>1656</v>
      </c>
      <c r="E136" s="4" t="s">
        <v>335</v>
      </c>
      <c r="F136" s="4" t="s">
        <v>1657</v>
      </c>
      <c r="G136" s="4" t="s">
        <v>1658</v>
      </c>
      <c r="H136" s="4" t="s">
        <v>343</v>
      </c>
      <c r="I136" s="4" t="s">
        <v>954</v>
      </c>
      <c r="J136" s="4" t="s">
        <v>124</v>
      </c>
      <c r="K136" s="4" t="s">
        <v>125</v>
      </c>
      <c r="L136" s="2" t="s">
        <v>349</v>
      </c>
      <c r="M136" s="2" t="s">
        <v>366</v>
      </c>
      <c r="N136" s="4" t="s">
        <v>578</v>
      </c>
      <c r="O136" s="4" t="s">
        <v>159</v>
      </c>
      <c r="P136" s="4" t="s">
        <v>35</v>
      </c>
      <c r="Q136" s="154">
        <v>1413</v>
      </c>
      <c r="R136" s="154">
        <v>3.681</v>
      </c>
      <c r="S136" s="154">
        <v>66.19</v>
      </c>
      <c r="U136" s="154">
        <v>344.27100000000002</v>
      </c>
      <c r="V136" s="169">
        <v>2.6999999999999999E-5</v>
      </c>
      <c r="W136" s="169">
        <v>2.1288949580187499E-3</v>
      </c>
      <c r="X136" s="169">
        <v>3.1405887136867701E-4</v>
      </c>
    </row>
    <row r="137" spans="1:24">
      <c r="A137" s="4" t="s">
        <v>26</v>
      </c>
      <c r="B137" s="4">
        <v>9935</v>
      </c>
      <c r="C137" s="4" t="s">
        <v>1762</v>
      </c>
      <c r="D137" s="4" t="s">
        <v>1763</v>
      </c>
      <c r="E137" s="4" t="s">
        <v>335</v>
      </c>
      <c r="F137" s="4" t="s">
        <v>1764</v>
      </c>
      <c r="G137" s="4" t="s">
        <v>1765</v>
      </c>
      <c r="H137" s="4" t="s">
        <v>343</v>
      </c>
      <c r="I137" s="4" t="s">
        <v>954</v>
      </c>
      <c r="J137" s="4" t="s">
        <v>124</v>
      </c>
      <c r="K137" s="4" t="s">
        <v>125</v>
      </c>
      <c r="L137" s="2" t="s">
        <v>349</v>
      </c>
      <c r="M137" s="2" t="s">
        <v>368</v>
      </c>
      <c r="N137" s="4" t="s">
        <v>538</v>
      </c>
      <c r="O137" s="4" t="s">
        <v>159</v>
      </c>
      <c r="P137" s="4" t="s">
        <v>35</v>
      </c>
      <c r="Q137" s="154">
        <v>66988</v>
      </c>
      <c r="R137" s="154">
        <v>3.681</v>
      </c>
      <c r="S137" s="154">
        <v>0.14899999999999999</v>
      </c>
      <c r="U137" s="154">
        <v>36.741</v>
      </c>
      <c r="V137" s="169">
        <v>1.521E-3</v>
      </c>
      <c r="W137" s="169">
        <v>2.2719719777423701E-4</v>
      </c>
      <c r="X137" s="169">
        <v>3.35165881446342E-5</v>
      </c>
    </row>
    <row r="138" spans="1:24">
      <c r="A138" s="4" t="s">
        <v>26</v>
      </c>
      <c r="B138" s="4">
        <v>9935</v>
      </c>
      <c r="C138" s="4" t="s">
        <v>1766</v>
      </c>
      <c r="D138" s="4" t="s">
        <v>1767</v>
      </c>
      <c r="E138" s="4" t="s">
        <v>335</v>
      </c>
      <c r="F138" s="4" t="s">
        <v>1768</v>
      </c>
      <c r="G138" s="4" t="s">
        <v>1769</v>
      </c>
      <c r="H138" s="4" t="s">
        <v>343</v>
      </c>
      <c r="I138" s="4" t="s">
        <v>954</v>
      </c>
      <c r="J138" s="4" t="s">
        <v>124</v>
      </c>
      <c r="K138" s="4" t="s">
        <v>295</v>
      </c>
      <c r="L138" s="2" t="s">
        <v>349</v>
      </c>
      <c r="M138" s="2" t="s">
        <v>415</v>
      </c>
      <c r="N138" s="4" t="s">
        <v>589</v>
      </c>
      <c r="O138" s="4" t="s">
        <v>159</v>
      </c>
      <c r="P138" s="4" t="s">
        <v>1206</v>
      </c>
      <c r="Q138" s="154">
        <v>3257</v>
      </c>
      <c r="R138" s="154">
        <v>3.9790000000000001</v>
      </c>
      <c r="S138" s="154">
        <v>600</v>
      </c>
      <c r="U138" s="154">
        <v>77.760000000000005</v>
      </c>
      <c r="V138" s="169">
        <v>1.843E-3</v>
      </c>
      <c r="W138" s="169">
        <v>4.8084791322789799E-4</v>
      </c>
      <c r="X138" s="169">
        <v>7.0935652489345199E-5</v>
      </c>
    </row>
    <row r="139" spans="1:24">
      <c r="A139" s="4" t="s">
        <v>26</v>
      </c>
      <c r="B139" s="4">
        <v>9936</v>
      </c>
      <c r="C139" s="4" t="s">
        <v>1508</v>
      </c>
      <c r="D139" s="4" t="s">
        <v>1509</v>
      </c>
      <c r="E139" s="4" t="s">
        <v>1345</v>
      </c>
      <c r="F139" s="4" t="s">
        <v>1510</v>
      </c>
      <c r="G139" s="4" t="s">
        <v>1511</v>
      </c>
      <c r="H139" s="4" t="s">
        <v>343</v>
      </c>
      <c r="I139" s="4" t="s">
        <v>954</v>
      </c>
      <c r="J139" s="4" t="s">
        <v>31</v>
      </c>
      <c r="K139" s="4" t="s">
        <v>312</v>
      </c>
      <c r="L139" s="2" t="s">
        <v>349</v>
      </c>
      <c r="M139" s="2" t="s">
        <v>368</v>
      </c>
      <c r="N139" s="4" t="s">
        <v>478</v>
      </c>
      <c r="O139" s="4" t="s">
        <v>159</v>
      </c>
      <c r="P139" s="4" t="s">
        <v>35</v>
      </c>
      <c r="Q139" s="154">
        <v>45</v>
      </c>
      <c r="R139" s="154">
        <v>3.681</v>
      </c>
      <c r="S139" s="154">
        <v>177.38</v>
      </c>
      <c r="U139" s="154">
        <v>29.382000000000001</v>
      </c>
      <c r="V139" s="169">
        <v>1.9999999999999999E-6</v>
      </c>
      <c r="W139" s="169">
        <v>1.59505324558703E-2</v>
      </c>
      <c r="X139" s="169">
        <v>1.9301567516932601E-3</v>
      </c>
    </row>
    <row r="140" spans="1:24">
      <c r="A140" s="4" t="s">
        <v>26</v>
      </c>
      <c r="B140" s="4">
        <v>9936</v>
      </c>
      <c r="C140" s="4" t="s">
        <v>1683</v>
      </c>
      <c r="D140" s="4" t="s">
        <v>1684</v>
      </c>
      <c r="E140" s="4" t="s">
        <v>1345</v>
      </c>
      <c r="F140" s="4" t="s">
        <v>1685</v>
      </c>
      <c r="G140" s="4" t="s">
        <v>1686</v>
      </c>
      <c r="H140" s="4" t="s">
        <v>343</v>
      </c>
      <c r="I140" s="4" t="s">
        <v>954</v>
      </c>
      <c r="J140" s="4" t="s">
        <v>31</v>
      </c>
      <c r="K140" s="4" t="s">
        <v>31</v>
      </c>
      <c r="L140" s="2" t="s">
        <v>349</v>
      </c>
      <c r="M140" s="2" t="s">
        <v>49</v>
      </c>
      <c r="N140" s="4" t="s">
        <v>498</v>
      </c>
      <c r="O140" s="4" t="s">
        <v>159</v>
      </c>
      <c r="P140" s="4" t="s">
        <v>45</v>
      </c>
      <c r="Q140" s="154">
        <v>300</v>
      </c>
      <c r="R140" s="154">
        <v>1</v>
      </c>
      <c r="S140" s="154">
        <v>1050</v>
      </c>
      <c r="T140" s="153">
        <v>4.7E-2</v>
      </c>
      <c r="U140" s="154">
        <v>3.1970000000000001</v>
      </c>
      <c r="V140" s="169">
        <v>1.2999999999999999E-5</v>
      </c>
      <c r="W140" s="169">
        <v>1.73576342223714E-3</v>
      </c>
      <c r="X140" s="169">
        <v>2.1004286208265E-4</v>
      </c>
    </row>
    <row r="141" spans="1:24">
      <c r="A141" s="4" t="s">
        <v>26</v>
      </c>
      <c r="B141" s="4">
        <v>9936</v>
      </c>
      <c r="C141" s="4" t="s">
        <v>1516</v>
      </c>
      <c r="D141" s="4" t="s">
        <v>1517</v>
      </c>
      <c r="E141" s="4" t="s">
        <v>1345</v>
      </c>
      <c r="F141" s="4" t="s">
        <v>1518</v>
      </c>
      <c r="G141" s="4" t="s">
        <v>1519</v>
      </c>
      <c r="H141" s="4" t="s">
        <v>343</v>
      </c>
      <c r="I141" s="4" t="s">
        <v>954</v>
      </c>
      <c r="J141" s="4" t="s">
        <v>31</v>
      </c>
      <c r="K141" s="4" t="s">
        <v>31</v>
      </c>
      <c r="L141" s="2" t="s">
        <v>349</v>
      </c>
      <c r="M141" s="2" t="s">
        <v>49</v>
      </c>
      <c r="N141" s="4" t="s">
        <v>466</v>
      </c>
      <c r="O141" s="4" t="s">
        <v>159</v>
      </c>
      <c r="P141" s="4" t="s">
        <v>45</v>
      </c>
      <c r="Q141" s="154">
        <v>58</v>
      </c>
      <c r="R141" s="154">
        <v>1</v>
      </c>
      <c r="S141" s="154">
        <v>77500</v>
      </c>
      <c r="U141" s="154">
        <v>44.95</v>
      </c>
      <c r="V141" s="169">
        <v>9.9999999999999995E-7</v>
      </c>
      <c r="W141" s="169">
        <v>2.44018020302555E-2</v>
      </c>
      <c r="X141" s="169">
        <v>2.9528357797764799E-3</v>
      </c>
    </row>
    <row r="142" spans="1:24">
      <c r="A142" s="4" t="s">
        <v>26</v>
      </c>
      <c r="B142" s="4">
        <v>9936</v>
      </c>
      <c r="C142" s="4" t="s">
        <v>1524</v>
      </c>
      <c r="D142" s="4" t="s">
        <v>1525</v>
      </c>
      <c r="E142" s="4" t="s">
        <v>1345</v>
      </c>
      <c r="F142" s="4" t="s">
        <v>1526</v>
      </c>
      <c r="G142" s="4" t="s">
        <v>1527</v>
      </c>
      <c r="H142" s="4" t="s">
        <v>343</v>
      </c>
      <c r="I142" s="4" t="s">
        <v>954</v>
      </c>
      <c r="J142" s="4" t="s">
        <v>31</v>
      </c>
      <c r="K142" s="4" t="s">
        <v>31</v>
      </c>
      <c r="L142" s="2" t="s">
        <v>349</v>
      </c>
      <c r="M142" s="2" t="s">
        <v>49</v>
      </c>
      <c r="N142" s="4" t="s">
        <v>484</v>
      </c>
      <c r="O142" s="4" t="s">
        <v>159</v>
      </c>
      <c r="P142" s="4" t="s">
        <v>45</v>
      </c>
      <c r="Q142" s="154">
        <v>1248</v>
      </c>
      <c r="R142" s="154">
        <v>1</v>
      </c>
      <c r="S142" s="154">
        <v>1749</v>
      </c>
      <c r="U142" s="154">
        <v>21.827999999999999</v>
      </c>
      <c r="V142" s="169">
        <v>3.0000000000000001E-6</v>
      </c>
      <c r="W142" s="169">
        <v>1.18494064928019E-2</v>
      </c>
      <c r="X142" s="169">
        <v>1.4338839163467599E-3</v>
      </c>
    </row>
    <row r="143" spans="1:24">
      <c r="A143" s="4" t="s">
        <v>26</v>
      </c>
      <c r="B143" s="4">
        <v>9936</v>
      </c>
      <c r="C143" s="4" t="s">
        <v>1528</v>
      </c>
      <c r="D143" s="4" t="s">
        <v>1529</v>
      </c>
      <c r="E143" s="4" t="s">
        <v>1345</v>
      </c>
      <c r="F143" s="4" t="s">
        <v>1530</v>
      </c>
      <c r="G143" s="4" t="s">
        <v>1531</v>
      </c>
      <c r="H143" s="4" t="s">
        <v>343</v>
      </c>
      <c r="I143" s="4" t="s">
        <v>954</v>
      </c>
      <c r="J143" s="4" t="s">
        <v>31</v>
      </c>
      <c r="K143" s="4" t="s">
        <v>31</v>
      </c>
      <c r="L143" s="2" t="s">
        <v>349</v>
      </c>
      <c r="M143" s="2" t="s">
        <v>49</v>
      </c>
      <c r="N143" s="4" t="s">
        <v>461</v>
      </c>
      <c r="O143" s="4" t="s">
        <v>159</v>
      </c>
      <c r="P143" s="4" t="s">
        <v>45</v>
      </c>
      <c r="Q143" s="154">
        <v>424.1</v>
      </c>
      <c r="R143" s="154">
        <v>1</v>
      </c>
      <c r="S143" s="154">
        <v>6299</v>
      </c>
      <c r="U143" s="154">
        <v>26.713999999999999</v>
      </c>
      <c r="V143" s="169">
        <v>3.9999999999999998E-6</v>
      </c>
      <c r="W143" s="169">
        <v>1.4502139691714501E-2</v>
      </c>
      <c r="X143" s="169">
        <v>1.7548883034095601E-3</v>
      </c>
    </row>
    <row r="144" spans="1:24">
      <c r="A144" s="4" t="s">
        <v>26</v>
      </c>
      <c r="B144" s="4">
        <v>9936</v>
      </c>
      <c r="C144" s="4" t="s">
        <v>1532</v>
      </c>
      <c r="D144" s="4" t="s">
        <v>1533</v>
      </c>
      <c r="E144" s="4" t="s">
        <v>1345</v>
      </c>
      <c r="F144" s="4" t="s">
        <v>1534</v>
      </c>
      <c r="G144" s="4" t="s">
        <v>1535</v>
      </c>
      <c r="H144" s="4" t="s">
        <v>343</v>
      </c>
      <c r="I144" s="4" t="s">
        <v>954</v>
      </c>
      <c r="J144" s="4" t="s">
        <v>31</v>
      </c>
      <c r="K144" s="4" t="s">
        <v>31</v>
      </c>
      <c r="L144" s="2" t="s">
        <v>349</v>
      </c>
      <c r="M144" s="2" t="s">
        <v>49</v>
      </c>
      <c r="N144" s="4" t="s">
        <v>461</v>
      </c>
      <c r="O144" s="4" t="s">
        <v>159</v>
      </c>
      <c r="P144" s="4" t="s">
        <v>45</v>
      </c>
      <c r="Q144" s="154">
        <v>6217</v>
      </c>
      <c r="R144" s="154">
        <v>1</v>
      </c>
      <c r="S144" s="154">
        <v>1352</v>
      </c>
      <c r="U144" s="154">
        <v>84.054000000000002</v>
      </c>
      <c r="V144" s="169">
        <v>1.1E-5</v>
      </c>
      <c r="W144" s="169">
        <v>4.5629925774477699E-2</v>
      </c>
      <c r="X144" s="169">
        <v>5.5216281686230797E-3</v>
      </c>
    </row>
    <row r="145" spans="1:24">
      <c r="A145" s="4" t="s">
        <v>26</v>
      </c>
      <c r="B145" s="4">
        <v>9936</v>
      </c>
      <c r="C145" s="4" t="s">
        <v>1536</v>
      </c>
      <c r="D145" s="4" t="s">
        <v>1537</v>
      </c>
      <c r="E145" s="4" t="s">
        <v>1345</v>
      </c>
      <c r="F145" s="4" t="s">
        <v>1538</v>
      </c>
      <c r="G145" s="4" t="s">
        <v>1539</v>
      </c>
      <c r="H145" s="4" t="s">
        <v>343</v>
      </c>
      <c r="I145" s="4" t="s">
        <v>954</v>
      </c>
      <c r="J145" s="4" t="s">
        <v>31</v>
      </c>
      <c r="K145" s="4" t="s">
        <v>31</v>
      </c>
      <c r="L145" s="2" t="s">
        <v>349</v>
      </c>
      <c r="M145" s="2" t="s">
        <v>49</v>
      </c>
      <c r="N145" s="4" t="s">
        <v>505</v>
      </c>
      <c r="O145" s="4" t="s">
        <v>159</v>
      </c>
      <c r="P145" s="4" t="s">
        <v>45</v>
      </c>
      <c r="Q145" s="154">
        <v>15003</v>
      </c>
      <c r="R145" s="154">
        <v>1</v>
      </c>
      <c r="S145" s="154">
        <v>473</v>
      </c>
      <c r="U145" s="154">
        <v>70.963999999999999</v>
      </c>
      <c r="V145" s="169">
        <v>5.0000000000000004E-6</v>
      </c>
      <c r="W145" s="169">
        <v>3.8524007021522602E-2</v>
      </c>
      <c r="X145" s="169">
        <v>4.6617485943238404E-3</v>
      </c>
    </row>
    <row r="146" spans="1:24">
      <c r="A146" s="4" t="s">
        <v>26</v>
      </c>
      <c r="B146" s="4">
        <v>9936</v>
      </c>
      <c r="C146" s="4" t="s">
        <v>1354</v>
      </c>
      <c r="D146" s="4" t="s">
        <v>1355</v>
      </c>
      <c r="E146" s="4" t="s">
        <v>1345</v>
      </c>
      <c r="F146" s="4" t="s">
        <v>1540</v>
      </c>
      <c r="G146" s="4" t="s">
        <v>1541</v>
      </c>
      <c r="H146" s="4" t="s">
        <v>343</v>
      </c>
      <c r="I146" s="4" t="s">
        <v>954</v>
      </c>
      <c r="J146" s="4" t="s">
        <v>31</v>
      </c>
      <c r="K146" s="4" t="s">
        <v>31</v>
      </c>
      <c r="L146" s="2" t="s">
        <v>349</v>
      </c>
      <c r="M146" s="2" t="s">
        <v>49</v>
      </c>
      <c r="N146" s="4" t="s">
        <v>459</v>
      </c>
      <c r="O146" s="4" t="s">
        <v>159</v>
      </c>
      <c r="P146" s="4" t="s">
        <v>45</v>
      </c>
      <c r="Q146" s="154">
        <v>0.54</v>
      </c>
      <c r="R146" s="154">
        <v>1</v>
      </c>
      <c r="S146" s="154">
        <v>439.6</v>
      </c>
      <c r="U146" s="154">
        <v>2E-3</v>
      </c>
      <c r="V146" s="169">
        <v>0</v>
      </c>
      <c r="W146" s="169">
        <v>1.28867572261406E-6</v>
      </c>
      <c r="X146" s="169">
        <v>1.5594126112268301E-7</v>
      </c>
    </row>
    <row r="147" spans="1:24">
      <c r="A147" s="4" t="s">
        <v>26</v>
      </c>
      <c r="B147" s="4">
        <v>9936</v>
      </c>
      <c r="C147" s="4" t="s">
        <v>1542</v>
      </c>
      <c r="D147" s="4" t="s">
        <v>1543</v>
      </c>
      <c r="E147" s="4" t="s">
        <v>1345</v>
      </c>
      <c r="F147" s="4" t="s">
        <v>1544</v>
      </c>
      <c r="G147" s="4" t="s">
        <v>1545</v>
      </c>
      <c r="H147" s="4" t="s">
        <v>343</v>
      </c>
      <c r="I147" s="4" t="s">
        <v>954</v>
      </c>
      <c r="J147" s="4" t="s">
        <v>31</v>
      </c>
      <c r="K147" s="4" t="s">
        <v>31</v>
      </c>
      <c r="L147" s="2" t="s">
        <v>349</v>
      </c>
      <c r="M147" s="2" t="s">
        <v>49</v>
      </c>
      <c r="N147" s="4" t="s">
        <v>468</v>
      </c>
      <c r="O147" s="4" t="s">
        <v>159</v>
      </c>
      <c r="P147" s="4" t="s">
        <v>45</v>
      </c>
      <c r="Q147" s="154">
        <v>7020</v>
      </c>
      <c r="R147" s="154">
        <v>1</v>
      </c>
      <c r="S147" s="154">
        <v>1946</v>
      </c>
      <c r="T147" s="153">
        <v>1.0429999999999999</v>
      </c>
      <c r="U147" s="154">
        <v>137.65199999999999</v>
      </c>
      <c r="V147" s="169">
        <v>6.0000000000000002E-6</v>
      </c>
      <c r="W147" s="169">
        <v>7.4726656229972502E-2</v>
      </c>
      <c r="X147" s="169">
        <v>9.0425921800911004E-3</v>
      </c>
    </row>
    <row r="148" spans="1:24">
      <c r="A148" s="4" t="s">
        <v>26</v>
      </c>
      <c r="B148" s="4">
        <v>9936</v>
      </c>
      <c r="C148" s="4" t="s">
        <v>1546</v>
      </c>
      <c r="D148" s="4" t="s">
        <v>1547</v>
      </c>
      <c r="E148" s="4" t="s">
        <v>1345</v>
      </c>
      <c r="F148" s="4" t="s">
        <v>1548</v>
      </c>
      <c r="G148" s="4" t="s">
        <v>1549</v>
      </c>
      <c r="H148" s="4" t="s">
        <v>343</v>
      </c>
      <c r="I148" s="4" t="s">
        <v>954</v>
      </c>
      <c r="J148" s="4" t="s">
        <v>31</v>
      </c>
      <c r="K148" s="4" t="s">
        <v>31</v>
      </c>
      <c r="L148" s="2" t="s">
        <v>349</v>
      </c>
      <c r="M148" s="2" t="s">
        <v>49</v>
      </c>
      <c r="N148" s="4" t="s">
        <v>467</v>
      </c>
      <c r="O148" s="4" t="s">
        <v>159</v>
      </c>
      <c r="P148" s="4" t="s">
        <v>45</v>
      </c>
      <c r="Q148" s="154">
        <v>190</v>
      </c>
      <c r="R148" s="154">
        <v>1</v>
      </c>
      <c r="S148" s="154">
        <v>28600</v>
      </c>
      <c r="U148" s="154">
        <v>54.34</v>
      </c>
      <c r="V148" s="169">
        <v>1.0000000000000001E-5</v>
      </c>
      <c r="W148" s="169">
        <v>2.9499308616776101E-2</v>
      </c>
      <c r="X148" s="169">
        <v>3.5696795611357998E-3</v>
      </c>
    </row>
    <row r="149" spans="1:24">
      <c r="A149" s="4" t="s">
        <v>26</v>
      </c>
      <c r="B149" s="4">
        <v>9936</v>
      </c>
      <c r="C149" s="4" t="s">
        <v>1550</v>
      </c>
      <c r="D149" s="4" t="s">
        <v>1551</v>
      </c>
      <c r="E149" s="4" t="s">
        <v>1345</v>
      </c>
      <c r="F149" s="4" t="s">
        <v>1552</v>
      </c>
      <c r="G149" s="4" t="s">
        <v>1553</v>
      </c>
      <c r="H149" s="4" t="s">
        <v>343</v>
      </c>
      <c r="I149" s="4" t="s">
        <v>954</v>
      </c>
      <c r="J149" s="4" t="s">
        <v>31</v>
      </c>
      <c r="K149" s="4" t="s">
        <v>31</v>
      </c>
      <c r="L149" s="2" t="s">
        <v>349</v>
      </c>
      <c r="M149" s="2" t="s">
        <v>49</v>
      </c>
      <c r="N149" s="4" t="s">
        <v>465</v>
      </c>
      <c r="O149" s="4" t="s">
        <v>159</v>
      </c>
      <c r="P149" s="4" t="s">
        <v>45</v>
      </c>
      <c r="Q149" s="154">
        <v>914</v>
      </c>
      <c r="R149" s="154">
        <v>1</v>
      </c>
      <c r="S149" s="154">
        <v>3810</v>
      </c>
      <c r="U149" s="154">
        <v>34.823</v>
      </c>
      <c r="V149" s="169">
        <v>3.9999999999999998E-6</v>
      </c>
      <c r="W149" s="169">
        <v>1.8904420752400501E-2</v>
      </c>
      <c r="X149" s="169">
        <v>2.28760359273567E-3</v>
      </c>
    </row>
    <row r="150" spans="1:24">
      <c r="A150" s="4" t="s">
        <v>26</v>
      </c>
      <c r="B150" s="4">
        <v>9936</v>
      </c>
      <c r="C150" s="4" t="s">
        <v>1554</v>
      </c>
      <c r="D150" s="4" t="s">
        <v>1555</v>
      </c>
      <c r="E150" s="4" t="s">
        <v>1345</v>
      </c>
      <c r="F150" s="4" t="s">
        <v>1556</v>
      </c>
      <c r="G150" s="4" t="s">
        <v>1557</v>
      </c>
      <c r="H150" s="4" t="s">
        <v>343</v>
      </c>
      <c r="I150" s="4" t="s">
        <v>954</v>
      </c>
      <c r="J150" s="4" t="s">
        <v>31</v>
      </c>
      <c r="K150" s="4" t="s">
        <v>31</v>
      </c>
      <c r="L150" s="2" t="s">
        <v>349</v>
      </c>
      <c r="M150" s="2" t="s">
        <v>49</v>
      </c>
      <c r="N150" s="4" t="s">
        <v>467</v>
      </c>
      <c r="O150" s="4" t="s">
        <v>159</v>
      </c>
      <c r="P150" s="4" t="s">
        <v>45</v>
      </c>
      <c r="Q150" s="154">
        <v>2900</v>
      </c>
      <c r="R150" s="154">
        <v>1</v>
      </c>
      <c r="S150" s="154">
        <v>1475</v>
      </c>
      <c r="U150" s="154">
        <v>42.774999999999999</v>
      </c>
      <c r="V150" s="169">
        <v>1.0000000000000001E-5</v>
      </c>
      <c r="W150" s="169">
        <v>2.32210696739528E-2</v>
      </c>
      <c r="X150" s="169">
        <v>2.80995662914214E-3</v>
      </c>
    </row>
    <row r="151" spans="1:24">
      <c r="A151" s="4" t="s">
        <v>26</v>
      </c>
      <c r="B151" s="4">
        <v>9936</v>
      </c>
      <c r="C151" s="4" t="s">
        <v>1558</v>
      </c>
      <c r="D151" s="4" t="s">
        <v>1559</v>
      </c>
      <c r="E151" s="4" t="s">
        <v>1345</v>
      </c>
      <c r="F151" s="4" t="s">
        <v>1560</v>
      </c>
      <c r="G151" s="4" t="s">
        <v>1561</v>
      </c>
      <c r="H151" s="4" t="s">
        <v>343</v>
      </c>
      <c r="I151" s="4" t="s">
        <v>954</v>
      </c>
      <c r="J151" s="4" t="s">
        <v>31</v>
      </c>
      <c r="K151" s="4" t="s">
        <v>31</v>
      </c>
      <c r="L151" s="2" t="s">
        <v>349</v>
      </c>
      <c r="M151" s="2" t="s">
        <v>49</v>
      </c>
      <c r="N151" s="4" t="s">
        <v>465</v>
      </c>
      <c r="O151" s="4" t="s">
        <v>159</v>
      </c>
      <c r="P151" s="4" t="s">
        <v>45</v>
      </c>
      <c r="Q151" s="154">
        <v>450</v>
      </c>
      <c r="R151" s="154">
        <v>1</v>
      </c>
      <c r="S151" s="154">
        <v>6569</v>
      </c>
      <c r="U151" s="154">
        <v>29.561</v>
      </c>
      <c r="V151" s="169">
        <v>6.0000000000000002E-6</v>
      </c>
      <c r="W151" s="169">
        <v>1.6047374169418701E-2</v>
      </c>
      <c r="X151" s="169">
        <v>1.94187546313866E-3</v>
      </c>
    </row>
    <row r="152" spans="1:24">
      <c r="A152" s="4" t="s">
        <v>26</v>
      </c>
      <c r="B152" s="4">
        <v>9936</v>
      </c>
      <c r="C152" s="4" t="s">
        <v>1202</v>
      </c>
      <c r="D152" s="4" t="s">
        <v>1562</v>
      </c>
      <c r="E152" s="4" t="s">
        <v>1345</v>
      </c>
      <c r="F152" s="4" t="s">
        <v>1563</v>
      </c>
      <c r="G152" s="4" t="s">
        <v>1564</v>
      </c>
      <c r="H152" s="4" t="s">
        <v>343</v>
      </c>
      <c r="I152" s="4" t="s">
        <v>954</v>
      </c>
      <c r="J152" s="4" t="s">
        <v>31</v>
      </c>
      <c r="K152" s="4" t="s">
        <v>31</v>
      </c>
      <c r="L152" s="2" t="s">
        <v>349</v>
      </c>
      <c r="M152" s="2" t="s">
        <v>49</v>
      </c>
      <c r="N152" s="4" t="s">
        <v>468</v>
      </c>
      <c r="O152" s="4" t="s">
        <v>159</v>
      </c>
      <c r="P152" s="4" t="s">
        <v>45</v>
      </c>
      <c r="Q152" s="154">
        <v>5782</v>
      </c>
      <c r="R152" s="154">
        <v>1</v>
      </c>
      <c r="S152" s="154">
        <v>3100</v>
      </c>
      <c r="T152" s="153">
        <v>1.3859999999999999</v>
      </c>
      <c r="U152" s="154">
        <v>180.62799999999999</v>
      </c>
      <c r="V152" s="169">
        <v>3.9999999999999998E-6</v>
      </c>
      <c r="W152" s="169">
        <v>9.8056695285939396E-2</v>
      </c>
      <c r="X152" s="169">
        <v>1.1865735076776599E-2</v>
      </c>
    </row>
    <row r="153" spans="1:24">
      <c r="A153" s="4" t="s">
        <v>26</v>
      </c>
      <c r="B153" s="4">
        <v>9936</v>
      </c>
      <c r="C153" s="4" t="s">
        <v>1565</v>
      </c>
      <c r="D153" s="4" t="s">
        <v>1566</v>
      </c>
      <c r="E153" s="4" t="s">
        <v>1345</v>
      </c>
      <c r="F153" s="4" t="s">
        <v>1567</v>
      </c>
      <c r="G153" s="4" t="s">
        <v>1568</v>
      </c>
      <c r="H153" s="4" t="s">
        <v>343</v>
      </c>
      <c r="I153" s="4" t="s">
        <v>954</v>
      </c>
      <c r="J153" s="4" t="s">
        <v>31</v>
      </c>
      <c r="K153" s="4" t="s">
        <v>31</v>
      </c>
      <c r="L153" s="2" t="s">
        <v>349</v>
      </c>
      <c r="M153" s="2" t="s">
        <v>49</v>
      </c>
      <c r="N153" s="4" t="s">
        <v>468</v>
      </c>
      <c r="O153" s="4" t="s">
        <v>159</v>
      </c>
      <c r="P153" s="4" t="s">
        <v>45</v>
      </c>
      <c r="Q153" s="154">
        <v>414</v>
      </c>
      <c r="R153" s="154">
        <v>1</v>
      </c>
      <c r="S153" s="154">
        <v>14000</v>
      </c>
      <c r="U153" s="154">
        <v>57.96</v>
      </c>
      <c r="V153" s="169">
        <v>1.9999999999999999E-6</v>
      </c>
      <c r="W153" s="169">
        <v>3.1464481550024702E-2</v>
      </c>
      <c r="X153" s="169">
        <v>3.8074830210421602E-3</v>
      </c>
    </row>
    <row r="154" spans="1:24">
      <c r="A154" s="4" t="s">
        <v>26</v>
      </c>
      <c r="B154" s="4">
        <v>9936</v>
      </c>
      <c r="C154" s="4" t="s">
        <v>1569</v>
      </c>
      <c r="D154" s="4" t="s">
        <v>1570</v>
      </c>
      <c r="E154" s="4" t="s">
        <v>1345</v>
      </c>
      <c r="F154" s="4" t="s">
        <v>1571</v>
      </c>
      <c r="G154" s="4" t="s">
        <v>1572</v>
      </c>
      <c r="H154" s="4" t="s">
        <v>343</v>
      </c>
      <c r="I154" s="4" t="s">
        <v>954</v>
      </c>
      <c r="J154" s="4" t="s">
        <v>31</v>
      </c>
      <c r="K154" s="4" t="s">
        <v>31</v>
      </c>
      <c r="L154" s="2" t="s">
        <v>349</v>
      </c>
      <c r="M154" s="2" t="s">
        <v>49</v>
      </c>
      <c r="N154" s="4" t="s">
        <v>497</v>
      </c>
      <c r="O154" s="4" t="s">
        <v>159</v>
      </c>
      <c r="P154" s="4" t="s">
        <v>45</v>
      </c>
      <c r="Q154" s="154">
        <v>488</v>
      </c>
      <c r="R154" s="154">
        <v>1</v>
      </c>
      <c r="S154" s="154">
        <v>8160</v>
      </c>
      <c r="T154" s="153">
        <v>0.62</v>
      </c>
      <c r="U154" s="154">
        <v>40.441000000000003</v>
      </c>
      <c r="V154" s="169">
        <v>7.9999999999999996E-6</v>
      </c>
      <c r="W154" s="169">
        <v>2.1953782850115001E-2</v>
      </c>
      <c r="X154" s="169">
        <v>2.6566036156217502E-3</v>
      </c>
    </row>
    <row r="155" spans="1:24">
      <c r="A155" s="4" t="s">
        <v>26</v>
      </c>
      <c r="B155" s="4">
        <v>9936</v>
      </c>
      <c r="C155" s="4" t="s">
        <v>1573</v>
      </c>
      <c r="D155" s="4" t="s">
        <v>1574</v>
      </c>
      <c r="E155" s="4" t="s">
        <v>1345</v>
      </c>
      <c r="F155" s="4" t="s">
        <v>1575</v>
      </c>
      <c r="G155" s="4" t="s">
        <v>1576</v>
      </c>
      <c r="H155" s="4" t="s">
        <v>343</v>
      </c>
      <c r="I155" s="4" t="s">
        <v>954</v>
      </c>
      <c r="J155" s="4" t="s">
        <v>31</v>
      </c>
      <c r="K155" s="4" t="s">
        <v>31</v>
      </c>
      <c r="L155" s="2" t="s">
        <v>349</v>
      </c>
      <c r="M155" s="2" t="s">
        <v>49</v>
      </c>
      <c r="N155" s="4" t="s">
        <v>494</v>
      </c>
      <c r="O155" s="4" t="s">
        <v>159</v>
      </c>
      <c r="P155" s="4" t="s">
        <v>45</v>
      </c>
      <c r="Q155" s="154">
        <v>760</v>
      </c>
      <c r="R155" s="154">
        <v>1</v>
      </c>
      <c r="S155" s="154">
        <v>3622</v>
      </c>
      <c r="U155" s="154">
        <v>27.527000000000001</v>
      </c>
      <c r="V155" s="169">
        <v>6.9999999999999999E-6</v>
      </c>
      <c r="W155" s="169">
        <v>1.49435658475473E-2</v>
      </c>
      <c r="X155" s="169">
        <v>1.8083048070536901E-3</v>
      </c>
    </row>
    <row r="156" spans="1:24">
      <c r="A156" s="4" t="s">
        <v>26</v>
      </c>
      <c r="B156" s="4">
        <v>9936</v>
      </c>
      <c r="C156" s="4" t="s">
        <v>1577</v>
      </c>
      <c r="D156" s="4" t="s">
        <v>1578</v>
      </c>
      <c r="E156" s="4" t="s">
        <v>1345</v>
      </c>
      <c r="F156" s="4" t="s">
        <v>1579</v>
      </c>
      <c r="G156" s="4" t="s">
        <v>1580</v>
      </c>
      <c r="H156" s="4" t="s">
        <v>343</v>
      </c>
      <c r="I156" s="4" t="s">
        <v>954</v>
      </c>
      <c r="J156" s="4" t="s">
        <v>31</v>
      </c>
      <c r="K156" s="4" t="s">
        <v>31</v>
      </c>
      <c r="L156" s="2" t="s">
        <v>349</v>
      </c>
      <c r="M156" s="2" t="s">
        <v>49</v>
      </c>
      <c r="N156" s="4" t="s">
        <v>484</v>
      </c>
      <c r="O156" s="4" t="s">
        <v>159</v>
      </c>
      <c r="P156" s="4" t="s">
        <v>45</v>
      </c>
      <c r="Q156" s="154">
        <v>94</v>
      </c>
      <c r="R156" s="154">
        <v>1</v>
      </c>
      <c r="S156" s="154">
        <v>26900</v>
      </c>
      <c r="T156" s="153">
        <v>0.23699999999999999</v>
      </c>
      <c r="U156" s="154">
        <v>25.523</v>
      </c>
      <c r="V156" s="169">
        <v>1.9999999999999999E-6</v>
      </c>
      <c r="W156" s="169">
        <v>1.3855755770521999E-2</v>
      </c>
      <c r="X156" s="169">
        <v>1.6766700813453501E-3</v>
      </c>
    </row>
    <row r="157" spans="1:24">
      <c r="A157" s="4" t="s">
        <v>26</v>
      </c>
      <c r="B157" s="4">
        <v>9936</v>
      </c>
      <c r="C157" s="4" t="s">
        <v>1581</v>
      </c>
      <c r="D157" s="4" t="s">
        <v>1582</v>
      </c>
      <c r="E157" s="4" t="s">
        <v>1345</v>
      </c>
      <c r="F157" s="4" t="s">
        <v>1583</v>
      </c>
      <c r="G157" s="4" t="s">
        <v>1584</v>
      </c>
      <c r="H157" s="4" t="s">
        <v>343</v>
      </c>
      <c r="I157" s="4" t="s">
        <v>954</v>
      </c>
      <c r="J157" s="4" t="s">
        <v>124</v>
      </c>
      <c r="K157" s="4" t="s">
        <v>125</v>
      </c>
      <c r="L157" s="2" t="s">
        <v>349</v>
      </c>
      <c r="M157" s="2" t="s">
        <v>49</v>
      </c>
      <c r="N157" s="4" t="s">
        <v>474</v>
      </c>
      <c r="O157" s="4" t="s">
        <v>159</v>
      </c>
      <c r="P157" s="4" t="s">
        <v>45</v>
      </c>
      <c r="Q157" s="154">
        <v>791</v>
      </c>
      <c r="R157" s="154">
        <v>1</v>
      </c>
      <c r="S157" s="154">
        <v>4170</v>
      </c>
      <c r="U157" s="154">
        <v>32.984999999999999</v>
      </c>
      <c r="V157" s="169">
        <v>7.9999999999999996E-6</v>
      </c>
      <c r="W157" s="169">
        <v>1.7906254047327499E-2</v>
      </c>
      <c r="X157" s="169">
        <v>2.16681651490975E-3</v>
      </c>
    </row>
    <row r="158" spans="1:24">
      <c r="A158" s="4" t="s">
        <v>26</v>
      </c>
      <c r="B158" s="4">
        <v>9936</v>
      </c>
      <c r="C158" s="4" t="s">
        <v>1508</v>
      </c>
      <c r="D158" s="4" t="s">
        <v>1509</v>
      </c>
      <c r="E158" s="4" t="s">
        <v>1345</v>
      </c>
      <c r="F158" s="4" t="s">
        <v>1585</v>
      </c>
      <c r="G158" s="4" t="s">
        <v>1511</v>
      </c>
      <c r="H158" s="4" t="s">
        <v>343</v>
      </c>
      <c r="I158" s="4" t="s">
        <v>954</v>
      </c>
      <c r="J158" s="4" t="s">
        <v>31</v>
      </c>
      <c r="K158" s="4" t="s">
        <v>31</v>
      </c>
      <c r="L158" s="2" t="s">
        <v>349</v>
      </c>
      <c r="M158" s="2" t="s">
        <v>49</v>
      </c>
      <c r="N158" s="4" t="s">
        <v>478</v>
      </c>
      <c r="O158" s="4" t="s">
        <v>159</v>
      </c>
      <c r="P158" s="4" t="s">
        <v>45</v>
      </c>
      <c r="Q158" s="154">
        <v>22</v>
      </c>
      <c r="R158" s="154">
        <v>1</v>
      </c>
      <c r="S158" s="154">
        <v>64720</v>
      </c>
      <c r="U158" s="154">
        <v>14.238</v>
      </c>
      <c r="V158" s="169">
        <v>9.9999999999999995E-7</v>
      </c>
      <c r="W158" s="169">
        <v>7.7295354399908901E-3</v>
      </c>
      <c r="X158" s="169">
        <v>9.3534275788141196E-4</v>
      </c>
    </row>
    <row r="159" spans="1:24">
      <c r="A159" s="4" t="s">
        <v>26</v>
      </c>
      <c r="B159" s="4">
        <v>9936</v>
      </c>
      <c r="C159" s="4" t="s">
        <v>1586</v>
      </c>
      <c r="D159" s="4" t="s">
        <v>1587</v>
      </c>
      <c r="E159" s="4" t="s">
        <v>1345</v>
      </c>
      <c r="F159" s="4" t="s">
        <v>1588</v>
      </c>
      <c r="G159" s="4" t="s">
        <v>1589</v>
      </c>
      <c r="H159" s="4" t="s">
        <v>343</v>
      </c>
      <c r="I159" s="4" t="s">
        <v>954</v>
      </c>
      <c r="J159" s="4" t="s">
        <v>31</v>
      </c>
      <c r="K159" s="4" t="s">
        <v>31</v>
      </c>
      <c r="L159" s="2" t="s">
        <v>349</v>
      </c>
      <c r="M159" s="2" t="s">
        <v>49</v>
      </c>
      <c r="N159" s="4" t="s">
        <v>474</v>
      </c>
      <c r="O159" s="4" t="s">
        <v>159</v>
      </c>
      <c r="P159" s="4" t="s">
        <v>45</v>
      </c>
      <c r="Q159" s="154">
        <v>2886</v>
      </c>
      <c r="R159" s="154">
        <v>1</v>
      </c>
      <c r="S159" s="154">
        <v>935.3</v>
      </c>
      <c r="T159" s="153">
        <v>0.55300000000000005</v>
      </c>
      <c r="U159" s="154">
        <v>27.545999999999999</v>
      </c>
      <c r="V159" s="169">
        <v>1.9999999999999999E-6</v>
      </c>
      <c r="W159" s="169">
        <v>1.4953607772663099E-2</v>
      </c>
      <c r="X159" s="169">
        <v>1.8095199695954899E-3</v>
      </c>
    </row>
    <row r="160" spans="1:24">
      <c r="A160" s="4" t="s">
        <v>26</v>
      </c>
      <c r="B160" s="4">
        <v>9936</v>
      </c>
      <c r="C160" s="4" t="s">
        <v>1590</v>
      </c>
      <c r="D160" s="4" t="s">
        <v>1591</v>
      </c>
      <c r="E160" s="4" t="s">
        <v>1345</v>
      </c>
      <c r="F160" s="4" t="s">
        <v>1592</v>
      </c>
      <c r="G160" s="4" t="s">
        <v>1593</v>
      </c>
      <c r="H160" s="4" t="s">
        <v>343</v>
      </c>
      <c r="I160" s="4" t="s">
        <v>954</v>
      </c>
      <c r="J160" s="4" t="s">
        <v>31</v>
      </c>
      <c r="K160" s="4" t="s">
        <v>31</v>
      </c>
      <c r="L160" s="2" t="s">
        <v>349</v>
      </c>
      <c r="M160" s="2" t="s">
        <v>49</v>
      </c>
      <c r="N160" s="4" t="s">
        <v>501</v>
      </c>
      <c r="O160" s="4" t="s">
        <v>159</v>
      </c>
      <c r="P160" s="4" t="s">
        <v>45</v>
      </c>
      <c r="Q160" s="154">
        <v>40</v>
      </c>
      <c r="R160" s="154">
        <v>1</v>
      </c>
      <c r="S160" s="154">
        <v>95150</v>
      </c>
      <c r="U160" s="154">
        <v>38.06</v>
      </c>
      <c r="V160" s="169">
        <v>9.9999999999999995E-7</v>
      </c>
      <c r="W160" s="169">
        <v>2.0661459071669101E-2</v>
      </c>
      <c r="X160" s="169">
        <v>2.5002209071922801E-3</v>
      </c>
    </row>
    <row r="161" spans="1:24">
      <c r="A161" s="4" t="s">
        <v>26</v>
      </c>
      <c r="B161" s="4">
        <v>9936</v>
      </c>
      <c r="C161" s="4" t="s">
        <v>1594</v>
      </c>
      <c r="D161" s="4" t="s">
        <v>1595</v>
      </c>
      <c r="E161" s="4" t="s">
        <v>1345</v>
      </c>
      <c r="F161" s="4" t="s">
        <v>1596</v>
      </c>
      <c r="G161" s="4" t="s">
        <v>1597</v>
      </c>
      <c r="H161" s="4" t="s">
        <v>343</v>
      </c>
      <c r="I161" s="4" t="s">
        <v>954</v>
      </c>
      <c r="J161" s="4" t="s">
        <v>31</v>
      </c>
      <c r="K161" s="4" t="s">
        <v>31</v>
      </c>
      <c r="L161" s="2" t="s">
        <v>349</v>
      </c>
      <c r="M161" s="2" t="s">
        <v>49</v>
      </c>
      <c r="N161" s="4" t="s">
        <v>484</v>
      </c>
      <c r="O161" s="4" t="s">
        <v>159</v>
      </c>
      <c r="P161" s="4" t="s">
        <v>45</v>
      </c>
      <c r="Q161" s="154">
        <v>220</v>
      </c>
      <c r="R161" s="154">
        <v>1</v>
      </c>
      <c r="S161" s="154">
        <v>26610</v>
      </c>
      <c r="U161" s="154">
        <v>58.542000000000002</v>
      </c>
      <c r="V161" s="169">
        <v>1.9999999999999999E-6</v>
      </c>
      <c r="W161" s="169">
        <v>3.1780429242607801E-2</v>
      </c>
      <c r="X161" s="169">
        <v>3.845715511005E-3</v>
      </c>
    </row>
    <row r="162" spans="1:24">
      <c r="A162" s="4" t="s">
        <v>26</v>
      </c>
      <c r="B162" s="4">
        <v>9936</v>
      </c>
      <c r="C162" s="4" t="s">
        <v>1598</v>
      </c>
      <c r="D162" s="4" t="s">
        <v>1599</v>
      </c>
      <c r="E162" s="4" t="s">
        <v>1345</v>
      </c>
      <c r="F162" s="4" t="s">
        <v>1600</v>
      </c>
      <c r="G162" s="4" t="s">
        <v>1601</v>
      </c>
      <c r="H162" s="4" t="s">
        <v>343</v>
      </c>
      <c r="I162" s="4" t="s">
        <v>954</v>
      </c>
      <c r="J162" s="4" t="s">
        <v>31</v>
      </c>
      <c r="K162" s="4" t="s">
        <v>31</v>
      </c>
      <c r="L162" s="2" t="s">
        <v>349</v>
      </c>
      <c r="M162" s="2" t="s">
        <v>49</v>
      </c>
      <c r="N162" s="4" t="s">
        <v>468</v>
      </c>
      <c r="O162" s="4" t="s">
        <v>159</v>
      </c>
      <c r="P162" s="4" t="s">
        <v>45</v>
      </c>
      <c r="Q162" s="154">
        <v>3422</v>
      </c>
      <c r="R162" s="154">
        <v>1</v>
      </c>
      <c r="S162" s="154">
        <v>3500</v>
      </c>
      <c r="T162" s="153">
        <v>0.90100000000000002</v>
      </c>
      <c r="U162" s="154">
        <v>120.67100000000001</v>
      </c>
      <c r="V162" s="169">
        <v>3.0000000000000001E-6</v>
      </c>
      <c r="W162" s="169">
        <v>6.5507975713558098E-2</v>
      </c>
      <c r="X162" s="169">
        <v>7.9270495805140208E-3</v>
      </c>
    </row>
    <row r="163" spans="1:24">
      <c r="A163" s="4" t="s">
        <v>26</v>
      </c>
      <c r="B163" s="4">
        <v>9936</v>
      </c>
      <c r="C163" s="4" t="s">
        <v>1602</v>
      </c>
      <c r="D163" s="4" t="s">
        <v>1603</v>
      </c>
      <c r="E163" s="4" t="s">
        <v>1345</v>
      </c>
      <c r="F163" s="4" t="s">
        <v>1604</v>
      </c>
      <c r="G163" s="4" t="s">
        <v>1605</v>
      </c>
      <c r="H163" s="4" t="s">
        <v>343</v>
      </c>
      <c r="I163" s="4" t="s">
        <v>954</v>
      </c>
      <c r="J163" s="4" t="s">
        <v>31</v>
      </c>
      <c r="K163" s="4" t="s">
        <v>31</v>
      </c>
      <c r="L163" s="2" t="s">
        <v>349</v>
      </c>
      <c r="M163" s="2" t="s">
        <v>49</v>
      </c>
      <c r="N163" s="4" t="s">
        <v>496</v>
      </c>
      <c r="O163" s="4" t="s">
        <v>159</v>
      </c>
      <c r="P163" s="4" t="s">
        <v>45</v>
      </c>
      <c r="Q163" s="154">
        <v>101</v>
      </c>
      <c r="R163" s="154">
        <v>1</v>
      </c>
      <c r="S163" s="154">
        <v>34140</v>
      </c>
      <c r="U163" s="154">
        <v>34.481000000000002</v>
      </c>
      <c r="V163" s="169">
        <v>6.9999999999999999E-6</v>
      </c>
      <c r="W163" s="169">
        <v>1.8718760768099099E-2</v>
      </c>
      <c r="X163" s="169">
        <v>2.2651370780152301E-3</v>
      </c>
    </row>
    <row r="164" spans="1:24">
      <c r="A164" s="4" t="s">
        <v>26</v>
      </c>
      <c r="B164" s="4">
        <v>9936</v>
      </c>
      <c r="C164" s="4" t="s">
        <v>1606</v>
      </c>
      <c r="D164" s="4" t="s">
        <v>1607</v>
      </c>
      <c r="E164" s="4" t="s">
        <v>1345</v>
      </c>
      <c r="F164" s="4" t="s">
        <v>1608</v>
      </c>
      <c r="G164" s="4" t="s">
        <v>1609</v>
      </c>
      <c r="H164" s="4" t="s">
        <v>343</v>
      </c>
      <c r="I164" s="4" t="s">
        <v>954</v>
      </c>
      <c r="J164" s="4" t="s">
        <v>31</v>
      </c>
      <c r="K164" s="4" t="s">
        <v>31</v>
      </c>
      <c r="L164" s="2" t="s">
        <v>349</v>
      </c>
      <c r="M164" s="2" t="s">
        <v>49</v>
      </c>
      <c r="N164" s="4" t="s">
        <v>497</v>
      </c>
      <c r="O164" s="4" t="s">
        <v>159</v>
      </c>
      <c r="P164" s="4" t="s">
        <v>45</v>
      </c>
      <c r="Q164" s="154">
        <v>74</v>
      </c>
      <c r="R164" s="154">
        <v>1</v>
      </c>
      <c r="S164" s="154">
        <v>30030</v>
      </c>
      <c r="U164" s="154">
        <v>22.222000000000001</v>
      </c>
      <c r="V164" s="169">
        <v>5.0000000000000004E-6</v>
      </c>
      <c r="W164" s="169">
        <v>1.2063664629071101E-2</v>
      </c>
      <c r="X164" s="169">
        <v>1.4598110626329E-3</v>
      </c>
    </row>
    <row r="165" spans="1:24">
      <c r="A165" s="4" t="s">
        <v>26</v>
      </c>
      <c r="B165" s="4">
        <v>9936</v>
      </c>
      <c r="C165" s="4" t="s">
        <v>1610</v>
      </c>
      <c r="D165" s="4" t="s">
        <v>1611</v>
      </c>
      <c r="E165" s="4" t="s">
        <v>1345</v>
      </c>
      <c r="F165" s="4" t="s">
        <v>1612</v>
      </c>
      <c r="G165" s="4" t="s">
        <v>1613</v>
      </c>
      <c r="H165" s="4" t="s">
        <v>343</v>
      </c>
      <c r="I165" s="4" t="s">
        <v>954</v>
      </c>
      <c r="J165" s="4" t="s">
        <v>31</v>
      </c>
      <c r="K165" s="4" t="s">
        <v>31</v>
      </c>
      <c r="L165" s="2" t="s">
        <v>349</v>
      </c>
      <c r="M165" s="2" t="s">
        <v>49</v>
      </c>
      <c r="N165" s="4" t="s">
        <v>478</v>
      </c>
      <c r="O165" s="4" t="s">
        <v>159</v>
      </c>
      <c r="P165" s="4" t="s">
        <v>45</v>
      </c>
      <c r="Q165" s="154">
        <v>150</v>
      </c>
      <c r="R165" s="154">
        <v>1</v>
      </c>
      <c r="S165" s="154">
        <v>30800</v>
      </c>
      <c r="U165" s="154">
        <v>46.2</v>
      </c>
      <c r="V165" s="169">
        <v>3.0000000000000001E-6</v>
      </c>
      <c r="W165" s="169">
        <v>2.5080383844222599E-2</v>
      </c>
      <c r="X165" s="169">
        <v>3.03495023416404E-3</v>
      </c>
    </row>
    <row r="166" spans="1:24">
      <c r="A166" s="4" t="s">
        <v>26</v>
      </c>
      <c r="B166" s="4">
        <v>9936</v>
      </c>
      <c r="C166" s="4" t="s">
        <v>1614</v>
      </c>
      <c r="D166" s="4" t="s">
        <v>1615</v>
      </c>
      <c r="E166" s="4" t="s">
        <v>1345</v>
      </c>
      <c r="F166" s="4" t="s">
        <v>1616</v>
      </c>
      <c r="G166" s="4" t="s">
        <v>1617</v>
      </c>
      <c r="H166" s="4" t="s">
        <v>343</v>
      </c>
      <c r="I166" s="4" t="s">
        <v>954</v>
      </c>
      <c r="J166" s="4" t="s">
        <v>31</v>
      </c>
      <c r="K166" s="4" t="s">
        <v>31</v>
      </c>
      <c r="L166" s="2" t="s">
        <v>349</v>
      </c>
      <c r="M166" s="2" t="s">
        <v>49</v>
      </c>
      <c r="N166" s="4" t="s">
        <v>484</v>
      </c>
      <c r="O166" s="4" t="s">
        <v>159</v>
      </c>
      <c r="P166" s="4" t="s">
        <v>45</v>
      </c>
      <c r="Q166" s="154">
        <v>2607</v>
      </c>
      <c r="R166" s="154">
        <v>1</v>
      </c>
      <c r="S166" s="154">
        <v>1566</v>
      </c>
      <c r="U166" s="154">
        <v>40.826000000000001</v>
      </c>
      <c r="V166" s="169">
        <v>1.2999999999999999E-5</v>
      </c>
      <c r="W166" s="169">
        <v>2.2162818620743999E-2</v>
      </c>
      <c r="X166" s="169">
        <v>2.68189880906693E-3</v>
      </c>
    </row>
    <row r="167" spans="1:24">
      <c r="A167" s="4" t="s">
        <v>26</v>
      </c>
      <c r="B167" s="4">
        <v>9936</v>
      </c>
      <c r="C167" s="4" t="s">
        <v>1618</v>
      </c>
      <c r="D167" s="4" t="s">
        <v>1619</v>
      </c>
      <c r="E167" s="4" t="s">
        <v>1345</v>
      </c>
      <c r="F167" s="4" t="s">
        <v>1620</v>
      </c>
      <c r="G167" s="4" t="s">
        <v>1621</v>
      </c>
      <c r="H167" s="4" t="s">
        <v>343</v>
      </c>
      <c r="I167" s="4" t="s">
        <v>954</v>
      </c>
      <c r="J167" s="4" t="s">
        <v>31</v>
      </c>
      <c r="K167" s="4" t="s">
        <v>31</v>
      </c>
      <c r="L167" s="2" t="s">
        <v>349</v>
      </c>
      <c r="M167" s="2" t="s">
        <v>49</v>
      </c>
      <c r="N167" s="4" t="s">
        <v>482</v>
      </c>
      <c r="O167" s="4" t="s">
        <v>159</v>
      </c>
      <c r="P167" s="4" t="s">
        <v>45</v>
      </c>
      <c r="Q167" s="154">
        <v>40</v>
      </c>
      <c r="R167" s="154">
        <v>1</v>
      </c>
      <c r="S167" s="154">
        <v>30040</v>
      </c>
      <c r="T167" s="153">
        <v>0.106</v>
      </c>
      <c r="U167" s="154">
        <v>12.122</v>
      </c>
      <c r="V167" s="169">
        <v>5.0000000000000004E-6</v>
      </c>
      <c r="W167" s="169">
        <v>6.5804792827641803E-3</v>
      </c>
      <c r="X167" s="169">
        <v>7.9629670997787699E-4</v>
      </c>
    </row>
    <row r="168" spans="1:24">
      <c r="A168" s="4" t="s">
        <v>26</v>
      </c>
      <c r="B168" s="4">
        <v>9936</v>
      </c>
      <c r="C168" s="4" t="s">
        <v>1622</v>
      </c>
      <c r="D168" s="4" t="s">
        <v>1623</v>
      </c>
      <c r="E168" s="4" t="s">
        <v>335</v>
      </c>
      <c r="F168" s="4" t="s">
        <v>1624</v>
      </c>
      <c r="G168" s="4" t="s">
        <v>1625</v>
      </c>
      <c r="H168" s="4" t="s">
        <v>343</v>
      </c>
      <c r="I168" s="4" t="s">
        <v>954</v>
      </c>
      <c r="J168" s="4" t="s">
        <v>124</v>
      </c>
      <c r="K168" s="4" t="s">
        <v>125</v>
      </c>
      <c r="L168" s="2" t="s">
        <v>349</v>
      </c>
      <c r="M168" s="2" t="s">
        <v>368</v>
      </c>
      <c r="N168" s="4" t="s">
        <v>536</v>
      </c>
      <c r="O168" s="4" t="s">
        <v>159</v>
      </c>
      <c r="P168" s="4" t="s">
        <v>35</v>
      </c>
      <c r="Q168" s="154">
        <v>80</v>
      </c>
      <c r="R168" s="154">
        <v>3.681</v>
      </c>
      <c r="S168" s="154">
        <v>180.38</v>
      </c>
      <c r="U168" s="154">
        <v>53.118000000000002</v>
      </c>
      <c r="V168" s="169">
        <v>0</v>
      </c>
      <c r="W168" s="169">
        <v>2.88360911979543E-2</v>
      </c>
      <c r="X168" s="169">
        <v>3.48942433565533E-3</v>
      </c>
    </row>
    <row r="169" spans="1:24">
      <c r="A169" s="4" t="s">
        <v>26</v>
      </c>
      <c r="B169" s="4">
        <v>9936</v>
      </c>
      <c r="C169" s="4" t="s">
        <v>1626</v>
      </c>
      <c r="D169" s="4" t="s">
        <v>1627</v>
      </c>
      <c r="E169" s="4" t="s">
        <v>335</v>
      </c>
      <c r="F169" s="4" t="s">
        <v>1628</v>
      </c>
      <c r="G169" s="4" t="s">
        <v>1629</v>
      </c>
      <c r="H169" s="4" t="s">
        <v>343</v>
      </c>
      <c r="I169" s="4" t="s">
        <v>954</v>
      </c>
      <c r="J169" s="4" t="s">
        <v>124</v>
      </c>
      <c r="K169" s="4" t="s">
        <v>125</v>
      </c>
      <c r="L169" s="2" t="s">
        <v>349</v>
      </c>
      <c r="M169" s="2" t="s">
        <v>368</v>
      </c>
      <c r="N169" s="4" t="s">
        <v>569</v>
      </c>
      <c r="O169" s="4" t="s">
        <v>159</v>
      </c>
      <c r="P169" s="4" t="s">
        <v>35</v>
      </c>
      <c r="Q169" s="154">
        <v>15</v>
      </c>
      <c r="R169" s="154">
        <v>3.681</v>
      </c>
      <c r="S169" s="154">
        <v>97047</v>
      </c>
      <c r="U169" s="154">
        <v>53.585000000000001</v>
      </c>
      <c r="V169" s="169">
        <v>0</v>
      </c>
      <c r="W169" s="169">
        <v>2.9089174338423101E-2</v>
      </c>
      <c r="X169" s="169">
        <v>3.5200496538801002E-3</v>
      </c>
    </row>
    <row r="170" spans="1:24">
      <c r="A170" s="4" t="s">
        <v>26</v>
      </c>
      <c r="B170" s="4">
        <v>9936</v>
      </c>
      <c r="C170" s="4" t="s">
        <v>1630</v>
      </c>
      <c r="D170" s="4" t="s">
        <v>1631</v>
      </c>
      <c r="E170" s="4" t="s">
        <v>335</v>
      </c>
      <c r="F170" s="4" t="s">
        <v>1632</v>
      </c>
      <c r="G170" s="4" t="s">
        <v>1633</v>
      </c>
      <c r="H170" s="4" t="s">
        <v>343</v>
      </c>
      <c r="I170" s="4" t="s">
        <v>954</v>
      </c>
      <c r="J170" s="4" t="s">
        <v>124</v>
      </c>
      <c r="K170" s="4" t="s">
        <v>125</v>
      </c>
      <c r="L170" s="2" t="s">
        <v>349</v>
      </c>
      <c r="M170" s="2" t="s">
        <v>368</v>
      </c>
      <c r="N170" s="4" t="s">
        <v>569</v>
      </c>
      <c r="O170" s="4" t="s">
        <v>159</v>
      </c>
      <c r="P170" s="4" t="s">
        <v>35</v>
      </c>
      <c r="Q170" s="154">
        <v>5</v>
      </c>
      <c r="R170" s="154">
        <v>3.681</v>
      </c>
      <c r="S170" s="154">
        <v>132541</v>
      </c>
      <c r="U170" s="154">
        <v>24.393999999999998</v>
      </c>
      <c r="V170" s="169">
        <v>0</v>
      </c>
      <c r="W170" s="169">
        <v>1.32427526730654E-2</v>
      </c>
      <c r="X170" s="169">
        <v>1.60249123680595E-3</v>
      </c>
    </row>
    <row r="171" spans="1:24">
      <c r="A171" s="4" t="s">
        <v>26</v>
      </c>
      <c r="B171" s="4">
        <v>9936</v>
      </c>
      <c r="C171" s="4" t="s">
        <v>1634</v>
      </c>
      <c r="D171" s="4" t="s">
        <v>1635</v>
      </c>
      <c r="E171" s="4" t="s">
        <v>335</v>
      </c>
      <c r="F171" s="4" t="s">
        <v>1634</v>
      </c>
      <c r="G171" s="4" t="s">
        <v>1636</v>
      </c>
      <c r="H171" s="4" t="s">
        <v>343</v>
      </c>
      <c r="I171" s="4" t="s">
        <v>954</v>
      </c>
      <c r="J171" s="4" t="s">
        <v>124</v>
      </c>
      <c r="K171" s="4" t="s">
        <v>319</v>
      </c>
      <c r="L171" s="2" t="s">
        <v>349</v>
      </c>
      <c r="M171" s="2" t="s">
        <v>368</v>
      </c>
      <c r="N171" s="4" t="s">
        <v>1637</v>
      </c>
      <c r="O171" s="4" t="s">
        <v>159</v>
      </c>
      <c r="P171" s="4" t="s">
        <v>35</v>
      </c>
      <c r="Q171" s="154">
        <v>10</v>
      </c>
      <c r="R171" s="154">
        <v>3.681</v>
      </c>
      <c r="S171" s="154">
        <v>73263</v>
      </c>
      <c r="U171" s="154">
        <v>26.968</v>
      </c>
      <c r="V171" s="169">
        <v>0</v>
      </c>
      <c r="W171" s="169">
        <v>1.46400553653102E-2</v>
      </c>
      <c r="X171" s="169">
        <v>1.7715773305183201E-3</v>
      </c>
    </row>
    <row r="172" spans="1:24">
      <c r="A172" s="4" t="s">
        <v>26</v>
      </c>
      <c r="B172" s="4">
        <v>9936</v>
      </c>
      <c r="C172" s="4" t="s">
        <v>1758</v>
      </c>
      <c r="D172" s="4" t="s">
        <v>1759</v>
      </c>
      <c r="E172" s="4" t="s">
        <v>44</v>
      </c>
      <c r="F172" s="4" t="s">
        <v>1760</v>
      </c>
      <c r="G172" s="4" t="s">
        <v>1761</v>
      </c>
      <c r="H172" s="4" t="s">
        <v>343</v>
      </c>
      <c r="I172" s="4" t="s">
        <v>954</v>
      </c>
      <c r="J172" s="4" t="s">
        <v>124</v>
      </c>
      <c r="K172" s="4" t="s">
        <v>125</v>
      </c>
      <c r="L172" s="2" t="s">
        <v>349</v>
      </c>
      <c r="M172" s="2" t="s">
        <v>368</v>
      </c>
      <c r="N172" s="4" t="s">
        <v>551</v>
      </c>
      <c r="O172" s="4" t="s">
        <v>159</v>
      </c>
      <c r="P172" s="4" t="s">
        <v>35</v>
      </c>
      <c r="Q172" s="154">
        <v>0.02</v>
      </c>
      <c r="R172" s="154">
        <v>3.681</v>
      </c>
      <c r="S172" s="154">
        <v>1.53</v>
      </c>
      <c r="U172" s="154">
        <v>0</v>
      </c>
      <c r="V172" s="169">
        <v>0</v>
      </c>
      <c r="W172" s="169">
        <v>6.11476044085682E-8</v>
      </c>
      <c r="X172" s="169">
        <v>7.3994057455824503E-9</v>
      </c>
    </row>
    <row r="173" spans="1:24">
      <c r="A173" s="4" t="s">
        <v>26</v>
      </c>
      <c r="B173" s="4">
        <v>9936</v>
      </c>
      <c r="C173" s="4" t="s">
        <v>1638</v>
      </c>
      <c r="D173" s="4" t="s">
        <v>1639</v>
      </c>
      <c r="E173" s="4" t="s">
        <v>335</v>
      </c>
      <c r="F173" s="4" t="s">
        <v>1640</v>
      </c>
      <c r="G173" s="4" t="s">
        <v>1641</v>
      </c>
      <c r="H173" s="4" t="s">
        <v>343</v>
      </c>
      <c r="I173" s="4" t="s">
        <v>954</v>
      </c>
      <c r="J173" s="4" t="s">
        <v>124</v>
      </c>
      <c r="K173" s="4" t="s">
        <v>125</v>
      </c>
      <c r="L173" s="2" t="s">
        <v>349</v>
      </c>
      <c r="M173" s="2" t="s">
        <v>368</v>
      </c>
      <c r="N173" s="4" t="s">
        <v>570</v>
      </c>
      <c r="O173" s="4" t="s">
        <v>159</v>
      </c>
      <c r="P173" s="4" t="s">
        <v>35</v>
      </c>
      <c r="Q173" s="154">
        <v>366</v>
      </c>
      <c r="R173" s="154">
        <v>3.681</v>
      </c>
      <c r="S173" s="154">
        <v>15226</v>
      </c>
      <c r="U173" s="154">
        <v>205.13200000000001</v>
      </c>
      <c r="V173" s="169">
        <v>0</v>
      </c>
      <c r="W173" s="169">
        <v>0.111358899820032</v>
      </c>
      <c r="X173" s="169">
        <v>1.3475420519248099E-2</v>
      </c>
    </row>
    <row r="174" spans="1:24">
      <c r="A174" s="4" t="s">
        <v>26</v>
      </c>
      <c r="B174" s="4">
        <v>9936</v>
      </c>
      <c r="C174" s="4" t="s">
        <v>1642</v>
      </c>
      <c r="D174" s="4" t="s">
        <v>1643</v>
      </c>
      <c r="E174" s="4" t="s">
        <v>335</v>
      </c>
      <c r="F174" s="4" t="s">
        <v>1644</v>
      </c>
      <c r="G174" s="4" t="s">
        <v>1645</v>
      </c>
      <c r="H174" s="4" t="s">
        <v>343</v>
      </c>
      <c r="I174" s="4" t="s">
        <v>954</v>
      </c>
      <c r="J174" s="4" t="s">
        <v>124</v>
      </c>
      <c r="K174" s="4" t="s">
        <v>125</v>
      </c>
      <c r="L174" s="2" t="s">
        <v>349</v>
      </c>
      <c r="M174" s="2" t="s">
        <v>366</v>
      </c>
      <c r="N174" s="4" t="s">
        <v>1646</v>
      </c>
      <c r="O174" s="4" t="s">
        <v>159</v>
      </c>
      <c r="P174" s="4" t="s">
        <v>35</v>
      </c>
      <c r="Q174" s="154">
        <v>35</v>
      </c>
      <c r="R174" s="154">
        <v>3.681</v>
      </c>
      <c r="S174" s="154">
        <v>481.57</v>
      </c>
      <c r="U174" s="154">
        <v>62.042999999999999</v>
      </c>
      <c r="V174" s="169">
        <v>0</v>
      </c>
      <c r="W174" s="169">
        <v>3.36810397034705E-2</v>
      </c>
      <c r="X174" s="169">
        <v>4.0757063356701003E-3</v>
      </c>
    </row>
    <row r="175" spans="1:24">
      <c r="A175" s="4" t="s">
        <v>26</v>
      </c>
      <c r="B175" s="4">
        <v>9936</v>
      </c>
      <c r="C175" s="4" t="s">
        <v>1647</v>
      </c>
      <c r="D175" s="4" t="s">
        <v>1648</v>
      </c>
      <c r="E175" s="4" t="s">
        <v>335</v>
      </c>
      <c r="F175" s="4" t="s">
        <v>1649</v>
      </c>
      <c r="G175" s="4" t="s">
        <v>1650</v>
      </c>
      <c r="H175" s="4" t="s">
        <v>343</v>
      </c>
      <c r="I175" s="4" t="s">
        <v>954</v>
      </c>
      <c r="J175" s="4" t="s">
        <v>124</v>
      </c>
      <c r="K175" s="4" t="s">
        <v>125</v>
      </c>
      <c r="L175" s="2" t="s">
        <v>349</v>
      </c>
      <c r="M175" s="2" t="s">
        <v>368</v>
      </c>
      <c r="N175" s="4" t="s">
        <v>565</v>
      </c>
      <c r="O175" s="4" t="s">
        <v>159</v>
      </c>
      <c r="P175" s="4" t="s">
        <v>35</v>
      </c>
      <c r="Q175" s="154">
        <v>12</v>
      </c>
      <c r="R175" s="154">
        <v>3.681</v>
      </c>
      <c r="S175" s="154">
        <v>420.72</v>
      </c>
      <c r="U175" s="154">
        <v>18.584</v>
      </c>
      <c r="V175" s="169">
        <v>0</v>
      </c>
      <c r="W175" s="169">
        <v>1.0088635343832499E-2</v>
      </c>
      <c r="X175" s="169">
        <v>1.2208148961888E-3</v>
      </c>
    </row>
    <row r="176" spans="1:24">
      <c r="A176" s="4" t="s">
        <v>26</v>
      </c>
      <c r="B176" s="4">
        <v>9936</v>
      </c>
      <c r="C176" s="4" t="s">
        <v>1651</v>
      </c>
      <c r="D176" s="4" t="s">
        <v>1652</v>
      </c>
      <c r="E176" s="4" t="s">
        <v>335</v>
      </c>
      <c r="F176" s="4" t="s">
        <v>1653</v>
      </c>
      <c r="G176" s="4" t="s">
        <v>1654</v>
      </c>
      <c r="H176" s="4" t="s">
        <v>343</v>
      </c>
      <c r="I176" s="4" t="s">
        <v>954</v>
      </c>
      <c r="J176" s="4" t="s">
        <v>124</v>
      </c>
      <c r="K176" s="4" t="s">
        <v>31</v>
      </c>
      <c r="L176" s="2" t="s">
        <v>349</v>
      </c>
      <c r="M176" s="2" t="s">
        <v>368</v>
      </c>
      <c r="N176" s="4" t="s">
        <v>571</v>
      </c>
      <c r="O176" s="4" t="s">
        <v>159</v>
      </c>
      <c r="P176" s="4" t="s">
        <v>35</v>
      </c>
      <c r="Q176" s="154">
        <v>30</v>
      </c>
      <c r="R176" s="154">
        <v>3.681</v>
      </c>
      <c r="S176" s="154">
        <v>26062</v>
      </c>
      <c r="U176" s="154">
        <v>28.78</v>
      </c>
      <c r="V176" s="169">
        <v>9.9999999999999995E-7</v>
      </c>
      <c r="W176" s="169">
        <v>1.5623812412706901E-2</v>
      </c>
      <c r="X176" s="169">
        <v>1.8906207111898999E-3</v>
      </c>
    </row>
    <row r="177" spans="1:24">
      <c r="A177" s="4" t="s">
        <v>26</v>
      </c>
      <c r="B177" s="4">
        <v>9936</v>
      </c>
      <c r="C177" s="4" t="s">
        <v>1655</v>
      </c>
      <c r="D177" s="4" t="s">
        <v>1656</v>
      </c>
      <c r="E177" s="4" t="s">
        <v>335</v>
      </c>
      <c r="F177" s="4" t="s">
        <v>1657</v>
      </c>
      <c r="G177" s="4" t="s">
        <v>1658</v>
      </c>
      <c r="H177" s="4" t="s">
        <v>343</v>
      </c>
      <c r="I177" s="4" t="s">
        <v>954</v>
      </c>
      <c r="J177" s="4" t="s">
        <v>124</v>
      </c>
      <c r="K177" s="4" t="s">
        <v>125</v>
      </c>
      <c r="L177" s="2" t="s">
        <v>349</v>
      </c>
      <c r="M177" s="2" t="s">
        <v>366</v>
      </c>
      <c r="N177" s="4" t="s">
        <v>578</v>
      </c>
      <c r="O177" s="4" t="s">
        <v>159</v>
      </c>
      <c r="P177" s="4" t="s">
        <v>35</v>
      </c>
      <c r="Q177" s="154">
        <v>38</v>
      </c>
      <c r="R177" s="154">
        <v>3.681</v>
      </c>
      <c r="S177" s="154">
        <v>66.19</v>
      </c>
      <c r="U177" s="154">
        <v>9.2590000000000003</v>
      </c>
      <c r="V177" s="169">
        <v>9.9999999999999995E-7</v>
      </c>
      <c r="W177" s="169">
        <v>5.02613325361173E-3</v>
      </c>
      <c r="X177" s="169">
        <v>6.0820697122234996E-4</v>
      </c>
    </row>
    <row r="178" spans="1:24">
      <c r="A178" s="4" t="s">
        <v>26</v>
      </c>
      <c r="B178" s="4">
        <v>9937</v>
      </c>
      <c r="C178" s="4" t="s">
        <v>1508</v>
      </c>
      <c r="D178" s="4" t="s">
        <v>1509</v>
      </c>
      <c r="E178" s="4" t="s">
        <v>1345</v>
      </c>
      <c r="F178" s="4" t="s">
        <v>1510</v>
      </c>
      <c r="G178" s="4" t="s">
        <v>1511</v>
      </c>
      <c r="H178" s="4" t="s">
        <v>343</v>
      </c>
      <c r="I178" s="4" t="s">
        <v>954</v>
      </c>
      <c r="J178" s="4" t="s">
        <v>31</v>
      </c>
      <c r="K178" s="4" t="s">
        <v>312</v>
      </c>
      <c r="L178" s="2" t="s">
        <v>349</v>
      </c>
      <c r="M178" s="2" t="s">
        <v>368</v>
      </c>
      <c r="N178" s="4" t="s">
        <v>478</v>
      </c>
      <c r="O178" s="4" t="s">
        <v>159</v>
      </c>
      <c r="P178" s="4" t="s">
        <v>35</v>
      </c>
      <c r="Q178" s="154">
        <v>65</v>
      </c>
      <c r="R178" s="154">
        <v>3.681</v>
      </c>
      <c r="S178" s="154">
        <v>177.38</v>
      </c>
      <c r="U178" s="154">
        <v>42.441000000000003</v>
      </c>
      <c r="V178" s="169">
        <v>1.9999999999999999E-6</v>
      </c>
      <c r="W178" s="169">
        <v>1.8952147943706199E-2</v>
      </c>
      <c r="X178" s="169">
        <v>1.34992917180467E-3</v>
      </c>
    </row>
    <row r="179" spans="1:24">
      <c r="A179" s="4" t="s">
        <v>26</v>
      </c>
      <c r="B179" s="4">
        <v>9937</v>
      </c>
      <c r="C179" s="4" t="s">
        <v>1655</v>
      </c>
      <c r="D179" s="4" t="s">
        <v>1656</v>
      </c>
      <c r="E179" s="4" t="s">
        <v>335</v>
      </c>
      <c r="F179" s="4" t="s">
        <v>1770</v>
      </c>
      <c r="G179" s="4" t="s">
        <v>1658</v>
      </c>
      <c r="H179" s="4" t="s">
        <v>343</v>
      </c>
      <c r="I179" s="4" t="s">
        <v>954</v>
      </c>
      <c r="J179" s="4" t="s">
        <v>124</v>
      </c>
      <c r="K179" s="4" t="s">
        <v>125</v>
      </c>
      <c r="L179" s="2" t="s">
        <v>349</v>
      </c>
      <c r="M179" s="2" t="s">
        <v>49</v>
      </c>
      <c r="N179" s="4" t="s">
        <v>461</v>
      </c>
      <c r="O179" s="4" t="s">
        <v>159</v>
      </c>
      <c r="P179" s="4" t="s">
        <v>45</v>
      </c>
      <c r="Q179" s="154">
        <v>166</v>
      </c>
      <c r="R179" s="154">
        <v>1</v>
      </c>
      <c r="S179" s="154">
        <v>24060</v>
      </c>
      <c r="U179" s="154">
        <v>39.94</v>
      </c>
      <c r="V179" s="169">
        <v>3.0000000000000001E-6</v>
      </c>
      <c r="W179" s="169">
        <v>1.7835213983889299E-2</v>
      </c>
      <c r="X179" s="169">
        <v>1.27037187097446E-3</v>
      </c>
    </row>
    <row r="180" spans="1:24">
      <c r="A180" s="4" t="s">
        <v>26</v>
      </c>
      <c r="B180" s="4">
        <v>9937</v>
      </c>
      <c r="C180" s="4" t="s">
        <v>1516</v>
      </c>
      <c r="D180" s="4" t="s">
        <v>1517</v>
      </c>
      <c r="E180" s="4" t="s">
        <v>1345</v>
      </c>
      <c r="F180" s="4" t="s">
        <v>1518</v>
      </c>
      <c r="G180" s="4" t="s">
        <v>1519</v>
      </c>
      <c r="H180" s="4" t="s">
        <v>343</v>
      </c>
      <c r="I180" s="4" t="s">
        <v>954</v>
      </c>
      <c r="J180" s="4" t="s">
        <v>31</v>
      </c>
      <c r="K180" s="4" t="s">
        <v>31</v>
      </c>
      <c r="L180" s="2" t="s">
        <v>349</v>
      </c>
      <c r="M180" s="2" t="s">
        <v>49</v>
      </c>
      <c r="N180" s="4" t="s">
        <v>466</v>
      </c>
      <c r="O180" s="4" t="s">
        <v>159</v>
      </c>
      <c r="P180" s="4" t="s">
        <v>45</v>
      </c>
      <c r="Q180" s="154">
        <v>51</v>
      </c>
      <c r="R180" s="154">
        <v>1</v>
      </c>
      <c r="S180" s="154">
        <v>77500</v>
      </c>
      <c r="U180" s="154">
        <v>39.524999999999999</v>
      </c>
      <c r="V180" s="169">
        <v>9.9999999999999995E-7</v>
      </c>
      <c r="W180" s="169">
        <v>1.7650072427195702E-2</v>
      </c>
      <c r="X180" s="169">
        <v>1.2571845536826999E-3</v>
      </c>
    </row>
    <row r="181" spans="1:24">
      <c r="A181" s="4" t="s">
        <v>26</v>
      </c>
      <c r="B181" s="4">
        <v>9937</v>
      </c>
      <c r="C181" s="4" t="s">
        <v>1520</v>
      </c>
      <c r="D181" s="4" t="s">
        <v>1521</v>
      </c>
      <c r="E181" s="4" t="s">
        <v>1345</v>
      </c>
      <c r="F181" s="4" t="s">
        <v>1522</v>
      </c>
      <c r="G181" s="4" t="s">
        <v>1523</v>
      </c>
      <c r="H181" s="4" t="s">
        <v>343</v>
      </c>
      <c r="I181" s="4" t="s">
        <v>954</v>
      </c>
      <c r="J181" s="4" t="s">
        <v>31</v>
      </c>
      <c r="K181" s="4" t="s">
        <v>31</v>
      </c>
      <c r="L181" s="2" t="s">
        <v>349</v>
      </c>
      <c r="M181" s="2" t="s">
        <v>49</v>
      </c>
      <c r="N181" s="4" t="s">
        <v>484</v>
      </c>
      <c r="O181" s="4" t="s">
        <v>159</v>
      </c>
      <c r="P181" s="4" t="s">
        <v>45</v>
      </c>
      <c r="Q181" s="154">
        <v>1400</v>
      </c>
      <c r="R181" s="154">
        <v>1</v>
      </c>
      <c r="S181" s="154">
        <v>2653</v>
      </c>
      <c r="T181" s="153">
        <v>0.252</v>
      </c>
      <c r="U181" s="154">
        <v>37.393999999999998</v>
      </c>
      <c r="V181" s="169">
        <v>7.9999999999999996E-6</v>
      </c>
      <c r="W181" s="169">
        <v>1.6698464474194999E-2</v>
      </c>
      <c r="X181" s="169">
        <v>1.1894031423253799E-3</v>
      </c>
    </row>
    <row r="182" spans="1:24">
      <c r="A182" s="4" t="s">
        <v>26</v>
      </c>
      <c r="B182" s="4">
        <v>9937</v>
      </c>
      <c r="C182" s="4" t="s">
        <v>1524</v>
      </c>
      <c r="D182" s="4" t="s">
        <v>1525</v>
      </c>
      <c r="E182" s="4" t="s">
        <v>1345</v>
      </c>
      <c r="F182" s="4" t="s">
        <v>1526</v>
      </c>
      <c r="G182" s="4" t="s">
        <v>1527</v>
      </c>
      <c r="H182" s="4" t="s">
        <v>343</v>
      </c>
      <c r="I182" s="4" t="s">
        <v>954</v>
      </c>
      <c r="J182" s="4" t="s">
        <v>31</v>
      </c>
      <c r="K182" s="4" t="s">
        <v>31</v>
      </c>
      <c r="L182" s="2" t="s">
        <v>349</v>
      </c>
      <c r="M182" s="2" t="s">
        <v>49</v>
      </c>
      <c r="N182" s="4" t="s">
        <v>484</v>
      </c>
      <c r="O182" s="4" t="s">
        <v>159</v>
      </c>
      <c r="P182" s="4" t="s">
        <v>45</v>
      </c>
      <c r="Q182" s="154">
        <v>2839</v>
      </c>
      <c r="R182" s="154">
        <v>1</v>
      </c>
      <c r="S182" s="154">
        <v>1749</v>
      </c>
      <c r="U182" s="154">
        <v>49.654000000000003</v>
      </c>
      <c r="V182" s="169">
        <v>6.0000000000000002E-6</v>
      </c>
      <c r="W182" s="169">
        <v>2.2173273568828401E-2</v>
      </c>
      <c r="X182" s="169">
        <v>1.5793644558851801E-3</v>
      </c>
    </row>
    <row r="183" spans="1:24">
      <c r="A183" s="4" t="s">
        <v>26</v>
      </c>
      <c r="B183" s="4">
        <v>9937</v>
      </c>
      <c r="C183" s="4" t="s">
        <v>1528</v>
      </c>
      <c r="D183" s="4" t="s">
        <v>1529</v>
      </c>
      <c r="E183" s="4" t="s">
        <v>1345</v>
      </c>
      <c r="F183" s="4" t="s">
        <v>1530</v>
      </c>
      <c r="G183" s="4" t="s">
        <v>1531</v>
      </c>
      <c r="H183" s="4" t="s">
        <v>343</v>
      </c>
      <c r="I183" s="4" t="s">
        <v>954</v>
      </c>
      <c r="J183" s="4" t="s">
        <v>31</v>
      </c>
      <c r="K183" s="4" t="s">
        <v>31</v>
      </c>
      <c r="L183" s="2" t="s">
        <v>349</v>
      </c>
      <c r="M183" s="2" t="s">
        <v>49</v>
      </c>
      <c r="N183" s="4" t="s">
        <v>461</v>
      </c>
      <c r="O183" s="4" t="s">
        <v>159</v>
      </c>
      <c r="P183" s="4" t="s">
        <v>45</v>
      </c>
      <c r="Q183" s="154">
        <v>471</v>
      </c>
      <c r="R183" s="154">
        <v>1</v>
      </c>
      <c r="S183" s="154">
        <v>6299</v>
      </c>
      <c r="U183" s="154">
        <v>29.667999999999999</v>
      </c>
      <c r="V183" s="169">
        <v>3.9999999999999998E-6</v>
      </c>
      <c r="W183" s="169">
        <v>1.3248512771437E-2</v>
      </c>
      <c r="X183" s="169">
        <v>9.4366896703804897E-4</v>
      </c>
    </row>
    <row r="184" spans="1:24">
      <c r="A184" s="4" t="s">
        <v>26</v>
      </c>
      <c r="B184" s="4">
        <v>9937</v>
      </c>
      <c r="C184" s="4" t="s">
        <v>1532</v>
      </c>
      <c r="D184" s="4" t="s">
        <v>1533</v>
      </c>
      <c r="E184" s="4" t="s">
        <v>1345</v>
      </c>
      <c r="F184" s="4" t="s">
        <v>1534</v>
      </c>
      <c r="G184" s="4" t="s">
        <v>1535</v>
      </c>
      <c r="H184" s="4" t="s">
        <v>343</v>
      </c>
      <c r="I184" s="4" t="s">
        <v>954</v>
      </c>
      <c r="J184" s="4" t="s">
        <v>31</v>
      </c>
      <c r="K184" s="4" t="s">
        <v>31</v>
      </c>
      <c r="L184" s="2" t="s">
        <v>349</v>
      </c>
      <c r="M184" s="2" t="s">
        <v>49</v>
      </c>
      <c r="N184" s="4" t="s">
        <v>461</v>
      </c>
      <c r="O184" s="4" t="s">
        <v>159</v>
      </c>
      <c r="P184" s="4" t="s">
        <v>45</v>
      </c>
      <c r="Q184" s="154">
        <v>4641</v>
      </c>
      <c r="R184" s="154">
        <v>1</v>
      </c>
      <c r="S184" s="154">
        <v>1352</v>
      </c>
      <c r="U184" s="154">
        <v>62.746000000000002</v>
      </c>
      <c r="V184" s="169">
        <v>7.9999999999999996E-6</v>
      </c>
      <c r="W184" s="169">
        <v>2.8019660785325699E-2</v>
      </c>
      <c r="X184" s="169">
        <v>1.9957926452734199E-3</v>
      </c>
    </row>
    <row r="185" spans="1:24">
      <c r="A185" s="4" t="s">
        <v>26</v>
      </c>
      <c r="B185" s="4">
        <v>9937</v>
      </c>
      <c r="C185" s="4" t="s">
        <v>1536</v>
      </c>
      <c r="D185" s="4" t="s">
        <v>1537</v>
      </c>
      <c r="E185" s="4" t="s">
        <v>1345</v>
      </c>
      <c r="F185" s="4" t="s">
        <v>1538</v>
      </c>
      <c r="G185" s="4" t="s">
        <v>1539</v>
      </c>
      <c r="H185" s="4" t="s">
        <v>343</v>
      </c>
      <c r="I185" s="4" t="s">
        <v>954</v>
      </c>
      <c r="J185" s="4" t="s">
        <v>31</v>
      </c>
      <c r="K185" s="4" t="s">
        <v>31</v>
      </c>
      <c r="L185" s="2" t="s">
        <v>349</v>
      </c>
      <c r="M185" s="2" t="s">
        <v>49</v>
      </c>
      <c r="N185" s="4" t="s">
        <v>505</v>
      </c>
      <c r="O185" s="4" t="s">
        <v>159</v>
      </c>
      <c r="P185" s="4" t="s">
        <v>45</v>
      </c>
      <c r="Q185" s="154">
        <v>12353</v>
      </c>
      <c r="R185" s="154">
        <v>1</v>
      </c>
      <c r="S185" s="154">
        <v>473</v>
      </c>
      <c r="U185" s="154">
        <v>58.43</v>
      </c>
      <c r="V185" s="169">
        <v>3.9999999999999998E-6</v>
      </c>
      <c r="W185" s="169">
        <v>2.60920495989523E-2</v>
      </c>
      <c r="X185" s="169">
        <v>1.8584921883483499E-3</v>
      </c>
    </row>
    <row r="186" spans="1:24">
      <c r="A186" s="4" t="s">
        <v>26</v>
      </c>
      <c r="B186" s="4">
        <v>9937</v>
      </c>
      <c r="C186" s="4" t="s">
        <v>1542</v>
      </c>
      <c r="D186" s="4" t="s">
        <v>1543</v>
      </c>
      <c r="E186" s="4" t="s">
        <v>1345</v>
      </c>
      <c r="F186" s="4" t="s">
        <v>1544</v>
      </c>
      <c r="G186" s="4" t="s">
        <v>1545</v>
      </c>
      <c r="H186" s="4" t="s">
        <v>343</v>
      </c>
      <c r="I186" s="4" t="s">
        <v>954</v>
      </c>
      <c r="J186" s="4" t="s">
        <v>31</v>
      </c>
      <c r="K186" s="4" t="s">
        <v>31</v>
      </c>
      <c r="L186" s="2" t="s">
        <v>349</v>
      </c>
      <c r="M186" s="2" t="s">
        <v>49</v>
      </c>
      <c r="N186" s="4" t="s">
        <v>468</v>
      </c>
      <c r="O186" s="4" t="s">
        <v>159</v>
      </c>
      <c r="P186" s="4" t="s">
        <v>45</v>
      </c>
      <c r="Q186" s="154">
        <v>8531</v>
      </c>
      <c r="R186" s="154">
        <v>1</v>
      </c>
      <c r="S186" s="154">
        <v>1946</v>
      </c>
      <c r="T186" s="153">
        <v>1.268</v>
      </c>
      <c r="U186" s="154">
        <v>167.28100000000001</v>
      </c>
      <c r="V186" s="169">
        <v>6.9999999999999999E-6</v>
      </c>
      <c r="W186" s="169">
        <v>7.4700032009649794E-2</v>
      </c>
      <c r="X186" s="169">
        <v>5.3207558659891597E-3</v>
      </c>
    </row>
    <row r="187" spans="1:24">
      <c r="A187" s="4" t="s">
        <v>26</v>
      </c>
      <c r="B187" s="4">
        <v>9937</v>
      </c>
      <c r="C187" s="4" t="s">
        <v>1546</v>
      </c>
      <c r="D187" s="4" t="s">
        <v>1547</v>
      </c>
      <c r="E187" s="4" t="s">
        <v>1345</v>
      </c>
      <c r="F187" s="4" t="s">
        <v>1548</v>
      </c>
      <c r="G187" s="4" t="s">
        <v>1549</v>
      </c>
      <c r="H187" s="4" t="s">
        <v>343</v>
      </c>
      <c r="I187" s="4" t="s">
        <v>954</v>
      </c>
      <c r="J187" s="4" t="s">
        <v>31</v>
      </c>
      <c r="K187" s="4" t="s">
        <v>31</v>
      </c>
      <c r="L187" s="2" t="s">
        <v>349</v>
      </c>
      <c r="M187" s="2" t="s">
        <v>49</v>
      </c>
      <c r="N187" s="4" t="s">
        <v>467</v>
      </c>
      <c r="O187" s="4" t="s">
        <v>159</v>
      </c>
      <c r="P187" s="4" t="s">
        <v>45</v>
      </c>
      <c r="Q187" s="154">
        <v>230</v>
      </c>
      <c r="R187" s="154">
        <v>1</v>
      </c>
      <c r="S187" s="154">
        <v>28600</v>
      </c>
      <c r="U187" s="154">
        <v>65.78</v>
      </c>
      <c r="V187" s="169">
        <v>1.2E-5</v>
      </c>
      <c r="W187" s="169">
        <v>2.9374364687183602E-2</v>
      </c>
      <c r="X187" s="169">
        <v>2.09228589351671E-3</v>
      </c>
    </row>
    <row r="188" spans="1:24">
      <c r="A188" s="4" t="s">
        <v>26</v>
      </c>
      <c r="B188" s="4">
        <v>9937</v>
      </c>
      <c r="C188" s="4" t="s">
        <v>1550</v>
      </c>
      <c r="D188" s="4" t="s">
        <v>1551</v>
      </c>
      <c r="E188" s="4" t="s">
        <v>1345</v>
      </c>
      <c r="F188" s="4" t="s">
        <v>1552</v>
      </c>
      <c r="G188" s="4" t="s">
        <v>1553</v>
      </c>
      <c r="H188" s="4" t="s">
        <v>343</v>
      </c>
      <c r="I188" s="4" t="s">
        <v>954</v>
      </c>
      <c r="J188" s="4" t="s">
        <v>31</v>
      </c>
      <c r="K188" s="4" t="s">
        <v>31</v>
      </c>
      <c r="L188" s="2" t="s">
        <v>349</v>
      </c>
      <c r="M188" s="2" t="s">
        <v>49</v>
      </c>
      <c r="N188" s="4" t="s">
        <v>465</v>
      </c>
      <c r="O188" s="4" t="s">
        <v>159</v>
      </c>
      <c r="P188" s="4" t="s">
        <v>45</v>
      </c>
      <c r="Q188" s="154">
        <v>1245</v>
      </c>
      <c r="R188" s="154">
        <v>1</v>
      </c>
      <c r="S188" s="154">
        <v>3810</v>
      </c>
      <c r="U188" s="154">
        <v>47.433999999999997</v>
      </c>
      <c r="V188" s="169">
        <v>5.0000000000000004E-6</v>
      </c>
      <c r="W188" s="169">
        <v>2.1182096408546802E-2</v>
      </c>
      <c r="X188" s="169">
        <v>1.5087645973854999E-3</v>
      </c>
    </row>
    <row r="189" spans="1:24">
      <c r="A189" s="4" t="s">
        <v>26</v>
      </c>
      <c r="B189" s="4">
        <v>9937</v>
      </c>
      <c r="C189" s="4" t="s">
        <v>1667</v>
      </c>
      <c r="D189" s="4" t="s">
        <v>1668</v>
      </c>
      <c r="E189" s="4" t="s">
        <v>1345</v>
      </c>
      <c r="F189" s="4" t="s">
        <v>1669</v>
      </c>
      <c r="G189" s="4" t="s">
        <v>1670</v>
      </c>
      <c r="H189" s="4" t="s">
        <v>343</v>
      </c>
      <c r="I189" s="4" t="s">
        <v>954</v>
      </c>
      <c r="J189" s="4" t="s">
        <v>31</v>
      </c>
      <c r="K189" s="4" t="s">
        <v>31</v>
      </c>
      <c r="L189" s="2" t="s">
        <v>349</v>
      </c>
      <c r="M189" s="2" t="s">
        <v>49</v>
      </c>
      <c r="N189" s="4" t="s">
        <v>496</v>
      </c>
      <c r="O189" s="4" t="s">
        <v>159</v>
      </c>
      <c r="P189" s="4" t="s">
        <v>45</v>
      </c>
      <c r="Q189" s="154">
        <v>1830</v>
      </c>
      <c r="R189" s="154">
        <v>1</v>
      </c>
      <c r="S189" s="154">
        <v>283.8</v>
      </c>
      <c r="U189" s="154">
        <v>5.194</v>
      </c>
      <c r="V189" s="169">
        <v>1.5E-5</v>
      </c>
      <c r="W189" s="169">
        <v>2.31919942197439E-3</v>
      </c>
      <c r="X189" s="169">
        <v>1.6519261902424399E-4</v>
      </c>
    </row>
    <row r="190" spans="1:24">
      <c r="A190" s="4" t="s">
        <v>26</v>
      </c>
      <c r="B190" s="4">
        <v>9937</v>
      </c>
      <c r="C190" s="4" t="s">
        <v>1554</v>
      </c>
      <c r="D190" s="4" t="s">
        <v>1555</v>
      </c>
      <c r="E190" s="4" t="s">
        <v>1345</v>
      </c>
      <c r="F190" s="4" t="s">
        <v>1556</v>
      </c>
      <c r="G190" s="4" t="s">
        <v>1557</v>
      </c>
      <c r="H190" s="4" t="s">
        <v>343</v>
      </c>
      <c r="I190" s="4" t="s">
        <v>954</v>
      </c>
      <c r="J190" s="4" t="s">
        <v>31</v>
      </c>
      <c r="K190" s="4" t="s">
        <v>31</v>
      </c>
      <c r="L190" s="2" t="s">
        <v>349</v>
      </c>
      <c r="M190" s="2" t="s">
        <v>49</v>
      </c>
      <c r="N190" s="4" t="s">
        <v>467</v>
      </c>
      <c r="O190" s="4" t="s">
        <v>159</v>
      </c>
      <c r="P190" s="4" t="s">
        <v>45</v>
      </c>
      <c r="Q190" s="154">
        <v>3600</v>
      </c>
      <c r="R190" s="154">
        <v>1</v>
      </c>
      <c r="S190" s="154">
        <v>1475</v>
      </c>
      <c r="U190" s="154">
        <v>53.1</v>
      </c>
      <c r="V190" s="169">
        <v>1.2E-5</v>
      </c>
      <c r="W190" s="169">
        <v>2.3712051761773299E-2</v>
      </c>
      <c r="X190" s="169">
        <v>1.6889690019114801E-3</v>
      </c>
    </row>
    <row r="191" spans="1:24">
      <c r="A191" s="4" t="s">
        <v>26</v>
      </c>
      <c r="B191" s="4">
        <v>9937</v>
      </c>
      <c r="C191" s="4" t="s">
        <v>1558</v>
      </c>
      <c r="D191" s="4" t="s">
        <v>1559</v>
      </c>
      <c r="E191" s="4" t="s">
        <v>1345</v>
      </c>
      <c r="F191" s="4" t="s">
        <v>1560</v>
      </c>
      <c r="G191" s="4" t="s">
        <v>1561</v>
      </c>
      <c r="H191" s="4" t="s">
        <v>343</v>
      </c>
      <c r="I191" s="4" t="s">
        <v>954</v>
      </c>
      <c r="J191" s="4" t="s">
        <v>31</v>
      </c>
      <c r="K191" s="4" t="s">
        <v>31</v>
      </c>
      <c r="L191" s="2" t="s">
        <v>349</v>
      </c>
      <c r="M191" s="2" t="s">
        <v>49</v>
      </c>
      <c r="N191" s="4" t="s">
        <v>465</v>
      </c>
      <c r="O191" s="4" t="s">
        <v>159</v>
      </c>
      <c r="P191" s="4" t="s">
        <v>45</v>
      </c>
      <c r="Q191" s="154">
        <v>330</v>
      </c>
      <c r="R191" s="154">
        <v>1</v>
      </c>
      <c r="S191" s="154">
        <v>6569</v>
      </c>
      <c r="U191" s="154">
        <v>21.678000000000001</v>
      </c>
      <c r="V191" s="169">
        <v>3.9999999999999998E-6</v>
      </c>
      <c r="W191" s="169">
        <v>9.6802776737512902E-3</v>
      </c>
      <c r="X191" s="169">
        <v>6.8950966728317396E-4</v>
      </c>
    </row>
    <row r="192" spans="1:24">
      <c r="A192" s="4" t="s">
        <v>26</v>
      </c>
      <c r="B192" s="4">
        <v>9937</v>
      </c>
      <c r="C192" s="4" t="s">
        <v>1202</v>
      </c>
      <c r="D192" s="4" t="s">
        <v>1562</v>
      </c>
      <c r="E192" s="4" t="s">
        <v>1345</v>
      </c>
      <c r="F192" s="4" t="s">
        <v>1563</v>
      </c>
      <c r="G192" s="4" t="s">
        <v>1564</v>
      </c>
      <c r="H192" s="4" t="s">
        <v>343</v>
      </c>
      <c r="I192" s="4" t="s">
        <v>954</v>
      </c>
      <c r="J192" s="4" t="s">
        <v>31</v>
      </c>
      <c r="K192" s="4" t="s">
        <v>31</v>
      </c>
      <c r="L192" s="2" t="s">
        <v>349</v>
      </c>
      <c r="M192" s="2" t="s">
        <v>49</v>
      </c>
      <c r="N192" s="4" t="s">
        <v>468</v>
      </c>
      <c r="O192" s="4" t="s">
        <v>159</v>
      </c>
      <c r="P192" s="4" t="s">
        <v>45</v>
      </c>
      <c r="Q192" s="154">
        <v>4494</v>
      </c>
      <c r="R192" s="154">
        <v>1</v>
      </c>
      <c r="S192" s="154">
        <v>3100</v>
      </c>
      <c r="T192" s="153">
        <v>1.077</v>
      </c>
      <c r="U192" s="154">
        <v>140.39099999999999</v>
      </c>
      <c r="V192" s="169">
        <v>3.0000000000000001E-6</v>
      </c>
      <c r="W192" s="169">
        <v>6.2692365101695999E-2</v>
      </c>
      <c r="X192" s="169">
        <v>4.4654702333259003E-3</v>
      </c>
    </row>
    <row r="193" spans="1:24">
      <c r="A193" s="4" t="s">
        <v>26</v>
      </c>
      <c r="B193" s="4">
        <v>9937</v>
      </c>
      <c r="C193" s="4" t="s">
        <v>1675</v>
      </c>
      <c r="D193" s="4" t="s">
        <v>1676</v>
      </c>
      <c r="E193" s="4" t="s">
        <v>1345</v>
      </c>
      <c r="F193" s="4" t="s">
        <v>1677</v>
      </c>
      <c r="G193" s="4" t="s">
        <v>1678</v>
      </c>
      <c r="H193" s="4" t="s">
        <v>343</v>
      </c>
      <c r="I193" s="4" t="s">
        <v>954</v>
      </c>
      <c r="J193" s="4" t="s">
        <v>31</v>
      </c>
      <c r="K193" s="4" t="s">
        <v>31</v>
      </c>
      <c r="L193" s="2" t="s">
        <v>349</v>
      </c>
      <c r="M193" s="2" t="s">
        <v>49</v>
      </c>
      <c r="N193" s="4" t="s">
        <v>499</v>
      </c>
      <c r="O193" s="4" t="s">
        <v>362</v>
      </c>
      <c r="P193" s="4" t="s">
        <v>45</v>
      </c>
      <c r="Q193" s="154">
        <v>2150</v>
      </c>
      <c r="R193" s="154">
        <v>1</v>
      </c>
      <c r="S193" s="154">
        <v>848.3</v>
      </c>
      <c r="U193" s="154">
        <v>18.238</v>
      </c>
      <c r="V193" s="169">
        <v>3.0000000000000001E-5</v>
      </c>
      <c r="W193" s="169">
        <v>8.1444646036631808E-3</v>
      </c>
      <c r="X193" s="169">
        <v>5.8011632190042297E-4</v>
      </c>
    </row>
    <row r="194" spans="1:24">
      <c r="A194" s="4" t="s">
        <v>26</v>
      </c>
      <c r="B194" s="4">
        <v>9937</v>
      </c>
      <c r="C194" s="4" t="s">
        <v>1565</v>
      </c>
      <c r="D194" s="4" t="s">
        <v>1566</v>
      </c>
      <c r="E194" s="4" t="s">
        <v>1345</v>
      </c>
      <c r="F194" s="4" t="s">
        <v>1567</v>
      </c>
      <c r="G194" s="4" t="s">
        <v>1568</v>
      </c>
      <c r="H194" s="4" t="s">
        <v>343</v>
      </c>
      <c r="I194" s="4" t="s">
        <v>954</v>
      </c>
      <c r="J194" s="4" t="s">
        <v>31</v>
      </c>
      <c r="K194" s="4" t="s">
        <v>31</v>
      </c>
      <c r="L194" s="2" t="s">
        <v>349</v>
      </c>
      <c r="M194" s="2" t="s">
        <v>49</v>
      </c>
      <c r="N194" s="4" t="s">
        <v>468</v>
      </c>
      <c r="O194" s="4" t="s">
        <v>159</v>
      </c>
      <c r="P194" s="4" t="s">
        <v>45</v>
      </c>
      <c r="Q194" s="154">
        <v>355</v>
      </c>
      <c r="R194" s="154">
        <v>1</v>
      </c>
      <c r="S194" s="154">
        <v>14000</v>
      </c>
      <c r="U194" s="154">
        <v>49.7</v>
      </c>
      <c r="V194" s="169">
        <v>9.9999999999999995E-7</v>
      </c>
      <c r="W194" s="169">
        <v>2.21937659615845E-2</v>
      </c>
      <c r="X194" s="169">
        <v>1.58082409406781E-3</v>
      </c>
    </row>
    <row r="195" spans="1:24">
      <c r="A195" s="4" t="s">
        <v>26</v>
      </c>
      <c r="B195" s="4">
        <v>9937</v>
      </c>
      <c r="C195" s="4" t="s">
        <v>1569</v>
      </c>
      <c r="D195" s="4" t="s">
        <v>1570</v>
      </c>
      <c r="E195" s="4" t="s">
        <v>1345</v>
      </c>
      <c r="F195" s="4" t="s">
        <v>1571</v>
      </c>
      <c r="G195" s="4" t="s">
        <v>1572</v>
      </c>
      <c r="H195" s="4" t="s">
        <v>343</v>
      </c>
      <c r="I195" s="4" t="s">
        <v>954</v>
      </c>
      <c r="J195" s="4" t="s">
        <v>31</v>
      </c>
      <c r="K195" s="4" t="s">
        <v>31</v>
      </c>
      <c r="L195" s="2" t="s">
        <v>349</v>
      </c>
      <c r="M195" s="2" t="s">
        <v>49</v>
      </c>
      <c r="N195" s="4" t="s">
        <v>497</v>
      </c>
      <c r="O195" s="4" t="s">
        <v>159</v>
      </c>
      <c r="P195" s="4" t="s">
        <v>45</v>
      </c>
      <c r="Q195" s="154">
        <v>369</v>
      </c>
      <c r="R195" s="154">
        <v>1</v>
      </c>
      <c r="S195" s="154">
        <v>8160</v>
      </c>
      <c r="T195" s="153">
        <v>0.46899999999999997</v>
      </c>
      <c r="U195" s="154">
        <v>30.579000000000001</v>
      </c>
      <c r="V195" s="169">
        <v>6.0000000000000002E-6</v>
      </c>
      <c r="W195" s="169">
        <v>1.36552079507499E-2</v>
      </c>
      <c r="X195" s="169">
        <v>9.7263717097026805E-4</v>
      </c>
    </row>
    <row r="196" spans="1:24">
      <c r="A196" s="4" t="s">
        <v>26</v>
      </c>
      <c r="B196" s="4">
        <v>9937</v>
      </c>
      <c r="C196" s="4" t="s">
        <v>1573</v>
      </c>
      <c r="D196" s="4" t="s">
        <v>1574</v>
      </c>
      <c r="E196" s="4" t="s">
        <v>1345</v>
      </c>
      <c r="F196" s="4" t="s">
        <v>1575</v>
      </c>
      <c r="G196" s="4" t="s">
        <v>1576</v>
      </c>
      <c r="H196" s="4" t="s">
        <v>343</v>
      </c>
      <c r="I196" s="4" t="s">
        <v>954</v>
      </c>
      <c r="J196" s="4" t="s">
        <v>31</v>
      </c>
      <c r="K196" s="4" t="s">
        <v>31</v>
      </c>
      <c r="L196" s="2" t="s">
        <v>349</v>
      </c>
      <c r="M196" s="2" t="s">
        <v>49</v>
      </c>
      <c r="N196" s="4" t="s">
        <v>494</v>
      </c>
      <c r="O196" s="4" t="s">
        <v>159</v>
      </c>
      <c r="P196" s="4" t="s">
        <v>45</v>
      </c>
      <c r="Q196" s="154">
        <v>538</v>
      </c>
      <c r="R196" s="154">
        <v>1</v>
      </c>
      <c r="S196" s="154">
        <v>3622</v>
      </c>
      <c r="U196" s="154">
        <v>19.486000000000001</v>
      </c>
      <c r="V196" s="169">
        <v>5.0000000000000004E-6</v>
      </c>
      <c r="W196" s="169">
        <v>8.7017246133436806E-3</v>
      </c>
      <c r="X196" s="169">
        <v>6.1980900188489299E-4</v>
      </c>
    </row>
    <row r="197" spans="1:24">
      <c r="A197" s="4" t="s">
        <v>26</v>
      </c>
      <c r="B197" s="4">
        <v>9937</v>
      </c>
      <c r="C197" s="4" t="s">
        <v>1577</v>
      </c>
      <c r="D197" s="4" t="s">
        <v>1578</v>
      </c>
      <c r="E197" s="4" t="s">
        <v>1345</v>
      </c>
      <c r="F197" s="4" t="s">
        <v>1579</v>
      </c>
      <c r="G197" s="4" t="s">
        <v>1580</v>
      </c>
      <c r="H197" s="4" t="s">
        <v>343</v>
      </c>
      <c r="I197" s="4" t="s">
        <v>954</v>
      </c>
      <c r="J197" s="4" t="s">
        <v>31</v>
      </c>
      <c r="K197" s="4" t="s">
        <v>31</v>
      </c>
      <c r="L197" s="2" t="s">
        <v>349</v>
      </c>
      <c r="M197" s="2" t="s">
        <v>49</v>
      </c>
      <c r="N197" s="4" t="s">
        <v>484</v>
      </c>
      <c r="O197" s="4" t="s">
        <v>159</v>
      </c>
      <c r="P197" s="4" t="s">
        <v>45</v>
      </c>
      <c r="Q197" s="154">
        <v>77</v>
      </c>
      <c r="R197" s="154">
        <v>1</v>
      </c>
      <c r="S197" s="154">
        <v>26900</v>
      </c>
      <c r="T197" s="153">
        <v>0.19400000000000001</v>
      </c>
      <c r="U197" s="154">
        <v>20.907</v>
      </c>
      <c r="V197" s="169">
        <v>1.9999999999999999E-6</v>
      </c>
      <c r="W197" s="169">
        <v>9.3363144912649697E-3</v>
      </c>
      <c r="X197" s="169">
        <v>6.6500975648444804E-4</v>
      </c>
    </row>
    <row r="198" spans="1:24">
      <c r="A198" s="4" t="s">
        <v>26</v>
      </c>
      <c r="B198" s="4">
        <v>9937</v>
      </c>
      <c r="C198" s="4" t="s">
        <v>1586</v>
      </c>
      <c r="D198" s="4" t="s">
        <v>1587</v>
      </c>
      <c r="E198" s="4" t="s">
        <v>1345</v>
      </c>
      <c r="F198" s="4" t="s">
        <v>1588</v>
      </c>
      <c r="G198" s="4" t="s">
        <v>1589</v>
      </c>
      <c r="H198" s="4" t="s">
        <v>343</v>
      </c>
      <c r="I198" s="4" t="s">
        <v>954</v>
      </c>
      <c r="J198" s="4" t="s">
        <v>31</v>
      </c>
      <c r="K198" s="4" t="s">
        <v>31</v>
      </c>
      <c r="L198" s="2" t="s">
        <v>349</v>
      </c>
      <c r="M198" s="2" t="s">
        <v>49</v>
      </c>
      <c r="N198" s="4" t="s">
        <v>474</v>
      </c>
      <c r="O198" s="4" t="s">
        <v>159</v>
      </c>
      <c r="P198" s="4" t="s">
        <v>45</v>
      </c>
      <c r="Q198" s="154">
        <v>2000</v>
      </c>
      <c r="R198" s="154">
        <v>1</v>
      </c>
      <c r="S198" s="154">
        <v>935.3</v>
      </c>
      <c r="T198" s="153">
        <v>0.38300000000000001</v>
      </c>
      <c r="U198" s="154">
        <v>19.088999999999999</v>
      </c>
      <c r="V198" s="169">
        <v>1.9999999999999999E-6</v>
      </c>
      <c r="W198" s="169">
        <v>8.5243709696957298E-3</v>
      </c>
      <c r="X198" s="169">
        <v>6.0717640435571803E-4</v>
      </c>
    </row>
    <row r="199" spans="1:24">
      <c r="A199" s="4" t="s">
        <v>26</v>
      </c>
      <c r="B199" s="4">
        <v>9937</v>
      </c>
      <c r="C199" s="4" t="s">
        <v>1590</v>
      </c>
      <c r="D199" s="4" t="s">
        <v>1591</v>
      </c>
      <c r="E199" s="4" t="s">
        <v>1345</v>
      </c>
      <c r="F199" s="4" t="s">
        <v>1592</v>
      </c>
      <c r="G199" s="4" t="s">
        <v>1593</v>
      </c>
      <c r="H199" s="4" t="s">
        <v>343</v>
      </c>
      <c r="I199" s="4" t="s">
        <v>954</v>
      </c>
      <c r="J199" s="4" t="s">
        <v>31</v>
      </c>
      <c r="K199" s="4" t="s">
        <v>31</v>
      </c>
      <c r="L199" s="2" t="s">
        <v>349</v>
      </c>
      <c r="M199" s="2" t="s">
        <v>49</v>
      </c>
      <c r="N199" s="4" t="s">
        <v>501</v>
      </c>
      <c r="O199" s="4" t="s">
        <v>159</v>
      </c>
      <c r="P199" s="4" t="s">
        <v>45</v>
      </c>
      <c r="Q199" s="154">
        <v>56</v>
      </c>
      <c r="R199" s="154">
        <v>1</v>
      </c>
      <c r="S199" s="154">
        <v>95150</v>
      </c>
      <c r="U199" s="154">
        <v>53.283999999999999</v>
      </c>
      <c r="V199" s="169">
        <v>9.9999999999999995E-7</v>
      </c>
      <c r="W199" s="169">
        <v>2.3794217816842399E-2</v>
      </c>
      <c r="X199" s="169">
        <v>1.69482154986537E-3</v>
      </c>
    </row>
    <row r="200" spans="1:24">
      <c r="A200" s="4" t="s">
        <v>26</v>
      </c>
      <c r="B200" s="4">
        <v>9937</v>
      </c>
      <c r="C200" s="4" t="s">
        <v>1594</v>
      </c>
      <c r="D200" s="4" t="s">
        <v>1595</v>
      </c>
      <c r="E200" s="4" t="s">
        <v>1345</v>
      </c>
      <c r="F200" s="4" t="s">
        <v>1596</v>
      </c>
      <c r="G200" s="4" t="s">
        <v>1597</v>
      </c>
      <c r="H200" s="4" t="s">
        <v>343</v>
      </c>
      <c r="I200" s="4" t="s">
        <v>954</v>
      </c>
      <c r="J200" s="4" t="s">
        <v>31</v>
      </c>
      <c r="K200" s="4" t="s">
        <v>31</v>
      </c>
      <c r="L200" s="2" t="s">
        <v>349</v>
      </c>
      <c r="M200" s="2" t="s">
        <v>49</v>
      </c>
      <c r="N200" s="4" t="s">
        <v>484</v>
      </c>
      <c r="O200" s="4" t="s">
        <v>159</v>
      </c>
      <c r="P200" s="4" t="s">
        <v>45</v>
      </c>
      <c r="Q200" s="154">
        <v>213</v>
      </c>
      <c r="R200" s="154">
        <v>1</v>
      </c>
      <c r="S200" s="154">
        <v>26610</v>
      </c>
      <c r="U200" s="154">
        <v>56.679000000000002</v>
      </c>
      <c r="V200" s="169">
        <v>1.9999999999999999E-6</v>
      </c>
      <c r="W200" s="169">
        <v>2.5310404810189799E-2</v>
      </c>
      <c r="X200" s="169">
        <v>1.80281696327762E-3</v>
      </c>
    </row>
    <row r="201" spans="1:24">
      <c r="A201" s="4" t="s">
        <v>26</v>
      </c>
      <c r="B201" s="4">
        <v>9937</v>
      </c>
      <c r="C201" s="4" t="s">
        <v>1598</v>
      </c>
      <c r="D201" s="4" t="s">
        <v>1599</v>
      </c>
      <c r="E201" s="4" t="s">
        <v>1345</v>
      </c>
      <c r="F201" s="4" t="s">
        <v>1600</v>
      </c>
      <c r="G201" s="4" t="s">
        <v>1601</v>
      </c>
      <c r="H201" s="4" t="s">
        <v>343</v>
      </c>
      <c r="I201" s="4" t="s">
        <v>954</v>
      </c>
      <c r="J201" s="4" t="s">
        <v>31</v>
      </c>
      <c r="K201" s="4" t="s">
        <v>31</v>
      </c>
      <c r="L201" s="2" t="s">
        <v>349</v>
      </c>
      <c r="M201" s="2" t="s">
        <v>49</v>
      </c>
      <c r="N201" s="4" t="s">
        <v>468</v>
      </c>
      <c r="O201" s="4" t="s">
        <v>159</v>
      </c>
      <c r="P201" s="4" t="s">
        <v>45</v>
      </c>
      <c r="Q201" s="154">
        <v>4540</v>
      </c>
      <c r="R201" s="154">
        <v>1</v>
      </c>
      <c r="S201" s="154">
        <v>3500</v>
      </c>
      <c r="T201" s="153">
        <v>1.1950000000000001</v>
      </c>
      <c r="U201" s="154">
        <v>160.095</v>
      </c>
      <c r="V201" s="169">
        <v>3.0000000000000001E-6</v>
      </c>
      <c r="W201" s="169">
        <v>7.1491175160868795E-2</v>
      </c>
      <c r="X201" s="169">
        <v>5.0921944659208804E-3</v>
      </c>
    </row>
    <row r="202" spans="1:24">
      <c r="A202" s="4" t="s">
        <v>26</v>
      </c>
      <c r="B202" s="4">
        <v>9937</v>
      </c>
      <c r="C202" s="4" t="s">
        <v>1602</v>
      </c>
      <c r="D202" s="4" t="s">
        <v>1603</v>
      </c>
      <c r="E202" s="4" t="s">
        <v>1345</v>
      </c>
      <c r="F202" s="4" t="s">
        <v>1604</v>
      </c>
      <c r="G202" s="4" t="s">
        <v>1605</v>
      </c>
      <c r="H202" s="4" t="s">
        <v>343</v>
      </c>
      <c r="I202" s="4" t="s">
        <v>954</v>
      </c>
      <c r="J202" s="4" t="s">
        <v>31</v>
      </c>
      <c r="K202" s="4" t="s">
        <v>31</v>
      </c>
      <c r="L202" s="2" t="s">
        <v>349</v>
      </c>
      <c r="M202" s="2" t="s">
        <v>49</v>
      </c>
      <c r="N202" s="4" t="s">
        <v>496</v>
      </c>
      <c r="O202" s="4" t="s">
        <v>159</v>
      </c>
      <c r="P202" s="4" t="s">
        <v>45</v>
      </c>
      <c r="Q202" s="154">
        <v>72</v>
      </c>
      <c r="R202" s="154">
        <v>1</v>
      </c>
      <c r="S202" s="154">
        <v>34140</v>
      </c>
      <c r="U202" s="154">
        <v>24.581</v>
      </c>
      <c r="V202" s="169">
        <v>5.0000000000000004E-6</v>
      </c>
      <c r="W202" s="169">
        <v>1.0976670469789E-2</v>
      </c>
      <c r="X202" s="169">
        <v>7.8184951491875199E-4</v>
      </c>
    </row>
    <row r="203" spans="1:24">
      <c r="A203" s="4" t="s">
        <v>26</v>
      </c>
      <c r="B203" s="4">
        <v>9937</v>
      </c>
      <c r="C203" s="4" t="s">
        <v>1606</v>
      </c>
      <c r="D203" s="4" t="s">
        <v>1607</v>
      </c>
      <c r="E203" s="4" t="s">
        <v>1345</v>
      </c>
      <c r="F203" s="4" t="s">
        <v>1608</v>
      </c>
      <c r="G203" s="4" t="s">
        <v>1609</v>
      </c>
      <c r="H203" s="4" t="s">
        <v>343</v>
      </c>
      <c r="I203" s="4" t="s">
        <v>954</v>
      </c>
      <c r="J203" s="4" t="s">
        <v>31</v>
      </c>
      <c r="K203" s="4" t="s">
        <v>31</v>
      </c>
      <c r="L203" s="2" t="s">
        <v>349</v>
      </c>
      <c r="M203" s="2" t="s">
        <v>49</v>
      </c>
      <c r="N203" s="4" t="s">
        <v>497</v>
      </c>
      <c r="O203" s="4" t="s">
        <v>159</v>
      </c>
      <c r="P203" s="4" t="s">
        <v>45</v>
      </c>
      <c r="Q203" s="154">
        <v>91</v>
      </c>
      <c r="R203" s="154">
        <v>1</v>
      </c>
      <c r="S203" s="154">
        <v>30030</v>
      </c>
      <c r="U203" s="154">
        <v>27.327000000000002</v>
      </c>
      <c r="V203" s="169">
        <v>6.0000000000000002E-6</v>
      </c>
      <c r="W203" s="169">
        <v>1.22031328080887E-2</v>
      </c>
      <c r="X203" s="169">
        <v>8.6920833532835395E-4</v>
      </c>
    </row>
    <row r="204" spans="1:24">
      <c r="A204" s="4" t="s">
        <v>26</v>
      </c>
      <c r="B204" s="4">
        <v>9937</v>
      </c>
      <c r="C204" s="4" t="s">
        <v>1618</v>
      </c>
      <c r="D204" s="4" t="s">
        <v>1619</v>
      </c>
      <c r="E204" s="4" t="s">
        <v>1345</v>
      </c>
      <c r="F204" s="4" t="s">
        <v>1620</v>
      </c>
      <c r="G204" s="4" t="s">
        <v>1621</v>
      </c>
      <c r="H204" s="4" t="s">
        <v>343</v>
      </c>
      <c r="I204" s="4" t="s">
        <v>954</v>
      </c>
      <c r="J204" s="4" t="s">
        <v>31</v>
      </c>
      <c r="K204" s="4" t="s">
        <v>31</v>
      </c>
      <c r="L204" s="2" t="s">
        <v>349</v>
      </c>
      <c r="M204" s="2" t="s">
        <v>49</v>
      </c>
      <c r="N204" s="4" t="s">
        <v>482</v>
      </c>
      <c r="O204" s="4" t="s">
        <v>159</v>
      </c>
      <c r="P204" s="4" t="s">
        <v>45</v>
      </c>
      <c r="Q204" s="154">
        <v>100</v>
      </c>
      <c r="R204" s="154">
        <v>1</v>
      </c>
      <c r="S204" s="154">
        <v>30040</v>
      </c>
      <c r="T204" s="153">
        <v>0.26400000000000001</v>
      </c>
      <c r="U204" s="154">
        <v>30.303999999999998</v>
      </c>
      <c r="V204" s="169">
        <v>1.2E-5</v>
      </c>
      <c r="W204" s="169">
        <v>1.35325617169199E-2</v>
      </c>
      <c r="X204" s="169">
        <v>9.6390128892930797E-4</v>
      </c>
    </row>
    <row r="205" spans="1:24">
      <c r="A205" s="4" t="s">
        <v>26</v>
      </c>
      <c r="B205" s="4">
        <v>9937</v>
      </c>
      <c r="C205" s="4" t="s">
        <v>1703</v>
      </c>
      <c r="D205" s="4" t="s">
        <v>1704</v>
      </c>
      <c r="E205" s="4" t="s">
        <v>335</v>
      </c>
      <c r="F205" s="4" t="s">
        <v>1705</v>
      </c>
      <c r="G205" s="4" t="s">
        <v>1706</v>
      </c>
      <c r="H205" s="4" t="s">
        <v>343</v>
      </c>
      <c r="I205" s="4" t="s">
        <v>954</v>
      </c>
      <c r="J205" s="4" t="s">
        <v>124</v>
      </c>
      <c r="K205" s="4" t="s">
        <v>125</v>
      </c>
      <c r="L205" s="2" t="s">
        <v>349</v>
      </c>
      <c r="M205" s="2" t="s">
        <v>368</v>
      </c>
      <c r="N205" s="4" t="s">
        <v>569</v>
      </c>
      <c r="O205" s="4" t="s">
        <v>159</v>
      </c>
      <c r="P205" s="4" t="s">
        <v>35</v>
      </c>
      <c r="Q205" s="154">
        <v>44</v>
      </c>
      <c r="R205" s="154">
        <v>3.681</v>
      </c>
      <c r="S205" s="154">
        <v>18049</v>
      </c>
      <c r="U205" s="154">
        <v>29.233000000000001</v>
      </c>
      <c r="V205" s="169">
        <v>0</v>
      </c>
      <c r="W205" s="169">
        <v>1.3054079466405801E-2</v>
      </c>
      <c r="X205" s="169">
        <v>9.2981981436092204E-4</v>
      </c>
    </row>
    <row r="206" spans="1:24">
      <c r="A206" s="4" t="s">
        <v>26</v>
      </c>
      <c r="B206" s="4">
        <v>9937</v>
      </c>
      <c r="C206" s="4" t="s">
        <v>1622</v>
      </c>
      <c r="D206" s="4" t="s">
        <v>1623</v>
      </c>
      <c r="E206" s="4" t="s">
        <v>335</v>
      </c>
      <c r="F206" s="4" t="s">
        <v>1624</v>
      </c>
      <c r="G206" s="4" t="s">
        <v>1625</v>
      </c>
      <c r="H206" s="4" t="s">
        <v>343</v>
      </c>
      <c r="I206" s="4" t="s">
        <v>954</v>
      </c>
      <c r="J206" s="4" t="s">
        <v>124</v>
      </c>
      <c r="K206" s="4" t="s">
        <v>125</v>
      </c>
      <c r="L206" s="2" t="s">
        <v>349</v>
      </c>
      <c r="M206" s="2" t="s">
        <v>368</v>
      </c>
      <c r="N206" s="4" t="s">
        <v>536</v>
      </c>
      <c r="O206" s="4" t="s">
        <v>159</v>
      </c>
      <c r="P206" s="4" t="s">
        <v>35</v>
      </c>
      <c r="Q206" s="154">
        <v>65</v>
      </c>
      <c r="R206" s="154">
        <v>3.681</v>
      </c>
      <c r="S206" s="154">
        <v>180.38</v>
      </c>
      <c r="U206" s="154">
        <v>43.158999999999999</v>
      </c>
      <c r="V206" s="169">
        <v>0</v>
      </c>
      <c r="W206" s="169">
        <v>1.9272682636631702E-2</v>
      </c>
      <c r="X206" s="169">
        <v>1.37276031125339E-3</v>
      </c>
    </row>
    <row r="207" spans="1:24">
      <c r="A207" s="4" t="s">
        <v>26</v>
      </c>
      <c r="B207" s="4">
        <v>9937</v>
      </c>
      <c r="C207" s="4" t="s">
        <v>1626</v>
      </c>
      <c r="D207" s="4" t="s">
        <v>1627</v>
      </c>
      <c r="E207" s="4" t="s">
        <v>335</v>
      </c>
      <c r="F207" s="4" t="s">
        <v>1628</v>
      </c>
      <c r="G207" s="4" t="s">
        <v>1629</v>
      </c>
      <c r="H207" s="4" t="s">
        <v>343</v>
      </c>
      <c r="I207" s="4" t="s">
        <v>954</v>
      </c>
      <c r="J207" s="4" t="s">
        <v>124</v>
      </c>
      <c r="K207" s="4" t="s">
        <v>125</v>
      </c>
      <c r="L207" s="2" t="s">
        <v>349</v>
      </c>
      <c r="M207" s="2" t="s">
        <v>368</v>
      </c>
      <c r="N207" s="4" t="s">
        <v>569</v>
      </c>
      <c r="O207" s="4" t="s">
        <v>159</v>
      </c>
      <c r="P207" s="4" t="s">
        <v>35</v>
      </c>
      <c r="Q207" s="154">
        <v>26</v>
      </c>
      <c r="R207" s="154">
        <v>3.681</v>
      </c>
      <c r="S207" s="154">
        <v>97047</v>
      </c>
      <c r="U207" s="154">
        <v>92.88</v>
      </c>
      <c r="V207" s="169">
        <v>0</v>
      </c>
      <c r="W207" s="169">
        <v>4.1475907125783203E-2</v>
      </c>
      <c r="X207" s="169">
        <v>2.9542581201066199E-3</v>
      </c>
    </row>
    <row r="208" spans="1:24">
      <c r="A208" s="4" t="s">
        <v>26</v>
      </c>
      <c r="B208" s="4">
        <v>9937</v>
      </c>
      <c r="C208" s="4" t="s">
        <v>1630</v>
      </c>
      <c r="D208" s="4" t="s">
        <v>1631</v>
      </c>
      <c r="E208" s="4" t="s">
        <v>335</v>
      </c>
      <c r="F208" s="4" t="s">
        <v>1632</v>
      </c>
      <c r="G208" s="4" t="s">
        <v>1633</v>
      </c>
      <c r="H208" s="4" t="s">
        <v>343</v>
      </c>
      <c r="I208" s="4" t="s">
        <v>954</v>
      </c>
      <c r="J208" s="4" t="s">
        <v>124</v>
      </c>
      <c r="K208" s="4" t="s">
        <v>125</v>
      </c>
      <c r="L208" s="2" t="s">
        <v>349</v>
      </c>
      <c r="M208" s="2" t="s">
        <v>368</v>
      </c>
      <c r="N208" s="4" t="s">
        <v>569</v>
      </c>
      <c r="O208" s="4" t="s">
        <v>159</v>
      </c>
      <c r="P208" s="4" t="s">
        <v>35</v>
      </c>
      <c r="Q208" s="154">
        <v>12</v>
      </c>
      <c r="R208" s="154">
        <v>3.681</v>
      </c>
      <c r="S208" s="154">
        <v>132541</v>
      </c>
      <c r="U208" s="154">
        <v>58.545999999999999</v>
      </c>
      <c r="V208" s="169">
        <v>0</v>
      </c>
      <c r="W208" s="169">
        <v>2.61439930677131E-2</v>
      </c>
      <c r="X208" s="169">
        <v>1.86219203302944E-3</v>
      </c>
    </row>
    <row r="209" spans="1:24">
      <c r="A209" s="4" t="s">
        <v>26</v>
      </c>
      <c r="B209" s="4">
        <v>9937</v>
      </c>
      <c r="C209" s="4" t="s">
        <v>1610</v>
      </c>
      <c r="D209" s="4" t="s">
        <v>1611</v>
      </c>
      <c r="E209" s="4" t="s">
        <v>1345</v>
      </c>
      <c r="F209" s="4" t="s">
        <v>1753</v>
      </c>
      <c r="G209" s="4" t="s">
        <v>1613</v>
      </c>
      <c r="H209" s="4" t="s">
        <v>343</v>
      </c>
      <c r="I209" s="4" t="s">
        <v>954</v>
      </c>
      <c r="J209" s="4" t="s">
        <v>124</v>
      </c>
      <c r="K209" s="4" t="s">
        <v>312</v>
      </c>
      <c r="L209" s="2" t="s">
        <v>349</v>
      </c>
      <c r="M209" s="2" t="s">
        <v>368</v>
      </c>
      <c r="N209" s="4" t="s">
        <v>569</v>
      </c>
      <c r="O209" s="4" t="s">
        <v>159</v>
      </c>
      <c r="P209" s="4" t="s">
        <v>35</v>
      </c>
      <c r="Q209" s="154">
        <v>100</v>
      </c>
      <c r="R209" s="154">
        <v>3.681</v>
      </c>
      <c r="S209" s="154">
        <v>8377</v>
      </c>
      <c r="U209" s="154">
        <v>30.835999999999999</v>
      </c>
      <c r="V209" s="169">
        <v>1.9999999999999999E-6</v>
      </c>
      <c r="W209" s="169">
        <v>1.37698416545467E-2</v>
      </c>
      <c r="X209" s="169">
        <v>9.8080233416374596E-4</v>
      </c>
    </row>
    <row r="210" spans="1:24">
      <c r="A210" s="4" t="s">
        <v>26</v>
      </c>
      <c r="B210" s="4">
        <v>9937</v>
      </c>
      <c r="C210" s="4" t="s">
        <v>1634</v>
      </c>
      <c r="D210" s="4" t="s">
        <v>1635</v>
      </c>
      <c r="E210" s="4" t="s">
        <v>335</v>
      </c>
      <c r="F210" s="4" t="s">
        <v>1634</v>
      </c>
      <c r="G210" s="4" t="s">
        <v>1636</v>
      </c>
      <c r="H210" s="4" t="s">
        <v>343</v>
      </c>
      <c r="I210" s="4" t="s">
        <v>954</v>
      </c>
      <c r="J210" s="4" t="s">
        <v>124</v>
      </c>
      <c r="K210" s="4" t="s">
        <v>319</v>
      </c>
      <c r="L210" s="2" t="s">
        <v>349</v>
      </c>
      <c r="M210" s="2" t="s">
        <v>368</v>
      </c>
      <c r="N210" s="4" t="s">
        <v>1637</v>
      </c>
      <c r="O210" s="4" t="s">
        <v>159</v>
      </c>
      <c r="P210" s="4" t="s">
        <v>35</v>
      </c>
      <c r="Q210" s="154">
        <v>20</v>
      </c>
      <c r="R210" s="154">
        <v>3.681</v>
      </c>
      <c r="S210" s="154">
        <v>73263</v>
      </c>
      <c r="U210" s="154">
        <v>53.936</v>
      </c>
      <c r="V210" s="169">
        <v>0</v>
      </c>
      <c r="W210" s="169">
        <v>2.40854699567161E-2</v>
      </c>
      <c r="X210" s="169">
        <v>1.7155669430067701E-3</v>
      </c>
    </row>
    <row r="211" spans="1:24">
      <c r="A211" s="4" t="s">
        <v>26</v>
      </c>
      <c r="B211" s="4">
        <v>9937</v>
      </c>
      <c r="C211" s="4" t="s">
        <v>1638</v>
      </c>
      <c r="D211" s="4" t="s">
        <v>1639</v>
      </c>
      <c r="E211" s="4" t="s">
        <v>335</v>
      </c>
      <c r="F211" s="4" t="s">
        <v>1711</v>
      </c>
      <c r="G211" s="4" t="s">
        <v>1712</v>
      </c>
      <c r="H211" s="4" t="s">
        <v>343</v>
      </c>
      <c r="I211" s="4" t="s">
        <v>954</v>
      </c>
      <c r="J211" s="4" t="s">
        <v>124</v>
      </c>
      <c r="K211" s="4" t="s">
        <v>125</v>
      </c>
      <c r="L211" s="2" t="s">
        <v>349</v>
      </c>
      <c r="M211" s="2" t="s">
        <v>368</v>
      </c>
      <c r="N211" s="4" t="s">
        <v>570</v>
      </c>
      <c r="O211" s="4" t="s">
        <v>159</v>
      </c>
      <c r="P211" s="4" t="s">
        <v>35</v>
      </c>
      <c r="Q211" s="154">
        <v>40</v>
      </c>
      <c r="R211" s="154">
        <v>3.681</v>
      </c>
      <c r="S211" s="154">
        <v>150.93</v>
      </c>
      <c r="U211" s="154">
        <v>22.222999999999999</v>
      </c>
      <c r="V211" s="169">
        <v>0</v>
      </c>
      <c r="W211" s="169">
        <v>9.9237540929723398E-3</v>
      </c>
      <c r="X211" s="169">
        <v>7.0685207733238301E-4</v>
      </c>
    </row>
    <row r="212" spans="1:24">
      <c r="A212" s="4" t="s">
        <v>26</v>
      </c>
      <c r="B212" s="4">
        <v>9937</v>
      </c>
      <c r="C212" s="4" t="s">
        <v>1638</v>
      </c>
      <c r="D212" s="4" t="s">
        <v>1639</v>
      </c>
      <c r="E212" s="4" t="s">
        <v>335</v>
      </c>
      <c r="F212" s="4" t="s">
        <v>1640</v>
      </c>
      <c r="G212" s="4" t="s">
        <v>1641</v>
      </c>
      <c r="H212" s="4" t="s">
        <v>343</v>
      </c>
      <c r="I212" s="4" t="s">
        <v>954</v>
      </c>
      <c r="J212" s="4" t="s">
        <v>124</v>
      </c>
      <c r="K212" s="4" t="s">
        <v>125</v>
      </c>
      <c r="L212" s="2" t="s">
        <v>349</v>
      </c>
      <c r="M212" s="2" t="s">
        <v>368</v>
      </c>
      <c r="N212" s="4" t="s">
        <v>570</v>
      </c>
      <c r="O212" s="4" t="s">
        <v>159</v>
      </c>
      <c r="P212" s="4" t="s">
        <v>35</v>
      </c>
      <c r="Q212" s="154">
        <v>200</v>
      </c>
      <c r="R212" s="154">
        <v>3.681</v>
      </c>
      <c r="S212" s="154">
        <v>15226</v>
      </c>
      <c r="U212" s="154">
        <v>112.09399999999999</v>
      </c>
      <c r="V212" s="169">
        <v>0</v>
      </c>
      <c r="W212" s="169">
        <v>5.0056012661365099E-2</v>
      </c>
      <c r="X212" s="169">
        <v>3.5654044025252999E-3</v>
      </c>
    </row>
    <row r="213" spans="1:24">
      <c r="A213" s="4" t="s">
        <v>26</v>
      </c>
      <c r="B213" s="4">
        <v>9937</v>
      </c>
      <c r="C213" s="4" t="s">
        <v>1771</v>
      </c>
      <c r="D213" s="4" t="s">
        <v>1772</v>
      </c>
      <c r="E213" s="4" t="s">
        <v>335</v>
      </c>
      <c r="F213" s="4" t="s">
        <v>1773</v>
      </c>
      <c r="G213" s="4" t="s">
        <v>1774</v>
      </c>
      <c r="H213" s="4" t="s">
        <v>343</v>
      </c>
      <c r="I213" s="4" t="s">
        <v>954</v>
      </c>
      <c r="J213" s="4" t="s">
        <v>124</v>
      </c>
      <c r="K213" s="4" t="s">
        <v>291</v>
      </c>
      <c r="L213" s="2" t="s">
        <v>349</v>
      </c>
      <c r="M213" s="2" t="s">
        <v>392</v>
      </c>
      <c r="N213" s="4" t="s">
        <v>536</v>
      </c>
      <c r="O213" s="4" t="s">
        <v>159</v>
      </c>
      <c r="P213" s="4" t="s">
        <v>1205</v>
      </c>
      <c r="Q213" s="154">
        <v>6</v>
      </c>
      <c r="R213" s="154">
        <v>0.47</v>
      </c>
      <c r="S213" s="154">
        <v>10790</v>
      </c>
      <c r="U213" s="154">
        <v>0.30499999999999999</v>
      </c>
      <c r="V213" s="169">
        <v>0</v>
      </c>
      <c r="W213" s="169">
        <v>1.3599239470608499E-4</v>
      </c>
      <c r="X213" s="169">
        <v>9.6865063159389196E-6</v>
      </c>
    </row>
    <row r="214" spans="1:24">
      <c r="A214" s="4" t="s">
        <v>26</v>
      </c>
      <c r="B214" s="4">
        <v>9937</v>
      </c>
      <c r="C214" s="4" t="s">
        <v>1642</v>
      </c>
      <c r="D214" s="4" t="s">
        <v>1643</v>
      </c>
      <c r="E214" s="4" t="s">
        <v>335</v>
      </c>
      <c r="F214" s="4" t="s">
        <v>1644</v>
      </c>
      <c r="G214" s="4" t="s">
        <v>1645</v>
      </c>
      <c r="H214" s="4" t="s">
        <v>343</v>
      </c>
      <c r="I214" s="4" t="s">
        <v>954</v>
      </c>
      <c r="J214" s="4" t="s">
        <v>124</v>
      </c>
      <c r="K214" s="4" t="s">
        <v>125</v>
      </c>
      <c r="L214" s="2" t="s">
        <v>349</v>
      </c>
      <c r="M214" s="2" t="s">
        <v>366</v>
      </c>
      <c r="N214" s="4" t="s">
        <v>1646</v>
      </c>
      <c r="O214" s="4" t="s">
        <v>159</v>
      </c>
      <c r="P214" s="4" t="s">
        <v>35</v>
      </c>
      <c r="Q214" s="154">
        <v>41</v>
      </c>
      <c r="R214" s="154">
        <v>3.681</v>
      </c>
      <c r="S214" s="154">
        <v>481.57</v>
      </c>
      <c r="U214" s="154">
        <v>72.679000000000002</v>
      </c>
      <c r="V214" s="169">
        <v>0</v>
      </c>
      <c r="W214" s="169">
        <v>3.24551567946499E-2</v>
      </c>
      <c r="X214" s="169">
        <v>2.3117254604981098E-3</v>
      </c>
    </row>
    <row r="215" spans="1:24">
      <c r="A215" s="4" t="s">
        <v>26</v>
      </c>
      <c r="B215" s="4">
        <v>9937</v>
      </c>
      <c r="C215" s="4" t="s">
        <v>1647</v>
      </c>
      <c r="D215" s="4" t="s">
        <v>1648</v>
      </c>
      <c r="E215" s="4" t="s">
        <v>335</v>
      </c>
      <c r="F215" s="4" t="s">
        <v>1649</v>
      </c>
      <c r="G215" s="4" t="s">
        <v>1650</v>
      </c>
      <c r="H215" s="4" t="s">
        <v>343</v>
      </c>
      <c r="I215" s="4" t="s">
        <v>954</v>
      </c>
      <c r="J215" s="4" t="s">
        <v>124</v>
      </c>
      <c r="K215" s="4" t="s">
        <v>125</v>
      </c>
      <c r="L215" s="2" t="s">
        <v>349</v>
      </c>
      <c r="M215" s="2" t="s">
        <v>368</v>
      </c>
      <c r="N215" s="4" t="s">
        <v>565</v>
      </c>
      <c r="O215" s="4" t="s">
        <v>159</v>
      </c>
      <c r="P215" s="4" t="s">
        <v>35</v>
      </c>
      <c r="Q215" s="154">
        <v>79</v>
      </c>
      <c r="R215" s="154">
        <v>3.681</v>
      </c>
      <c r="S215" s="154">
        <v>420.72</v>
      </c>
      <c r="U215" s="154">
        <v>122.345</v>
      </c>
      <c r="V215" s="169">
        <v>0</v>
      </c>
      <c r="W215" s="169">
        <v>5.4633708331284399E-2</v>
      </c>
      <c r="X215" s="169">
        <v>3.8914658570276201E-3</v>
      </c>
    </row>
    <row r="216" spans="1:24">
      <c r="A216" s="4" t="s">
        <v>26</v>
      </c>
      <c r="B216" s="4">
        <v>9937</v>
      </c>
      <c r="C216" s="4" t="s">
        <v>1716</v>
      </c>
      <c r="D216" s="4" t="s">
        <v>1717</v>
      </c>
      <c r="E216" s="4" t="s">
        <v>335</v>
      </c>
      <c r="F216" s="4" t="s">
        <v>1718</v>
      </c>
      <c r="G216" s="4" t="s">
        <v>1719</v>
      </c>
      <c r="H216" s="4" t="s">
        <v>343</v>
      </c>
      <c r="I216" s="4" t="s">
        <v>954</v>
      </c>
      <c r="J216" s="4" t="s">
        <v>124</v>
      </c>
      <c r="K216" s="4" t="s">
        <v>305</v>
      </c>
      <c r="L216" s="2" t="s">
        <v>349</v>
      </c>
      <c r="M216" s="2" t="s">
        <v>366</v>
      </c>
      <c r="N216" s="4" t="s">
        <v>510</v>
      </c>
      <c r="O216" s="4" t="s">
        <v>159</v>
      </c>
      <c r="P216" s="4" t="s">
        <v>35</v>
      </c>
      <c r="Q216" s="154">
        <v>185</v>
      </c>
      <c r="R216" s="154">
        <v>3.681</v>
      </c>
      <c r="S216" s="154">
        <v>54.31</v>
      </c>
      <c r="T216" s="153">
        <v>7.5999999999999998E-2</v>
      </c>
      <c r="U216" s="154">
        <v>37.265000000000001</v>
      </c>
      <c r="V216" s="169">
        <v>0</v>
      </c>
      <c r="W216" s="169">
        <v>1.6640901503702801E-2</v>
      </c>
      <c r="X216" s="169">
        <v>1.18530303012101E-3</v>
      </c>
    </row>
    <row r="217" spans="1:24">
      <c r="A217" s="4" t="s">
        <v>26</v>
      </c>
      <c r="B217" s="4">
        <v>9937</v>
      </c>
      <c r="C217" s="4" t="s">
        <v>1720</v>
      </c>
      <c r="D217" s="4" t="s">
        <v>1721</v>
      </c>
      <c r="E217" s="4" t="s">
        <v>335</v>
      </c>
      <c r="F217" s="4" t="s">
        <v>1722</v>
      </c>
      <c r="G217" s="4" t="s">
        <v>1723</v>
      </c>
      <c r="H217" s="4" t="s">
        <v>343</v>
      </c>
      <c r="I217" s="4" t="s">
        <v>954</v>
      </c>
      <c r="J217" s="4" t="s">
        <v>124</v>
      </c>
      <c r="K217" s="4" t="s">
        <v>125</v>
      </c>
      <c r="L217" s="2" t="s">
        <v>349</v>
      </c>
      <c r="M217" s="2" t="s">
        <v>368</v>
      </c>
      <c r="N217" s="4" t="s">
        <v>569</v>
      </c>
      <c r="O217" s="4" t="s">
        <v>159</v>
      </c>
      <c r="P217" s="4" t="s">
        <v>35</v>
      </c>
      <c r="Q217" s="154">
        <v>22</v>
      </c>
      <c r="R217" s="154">
        <v>3.681</v>
      </c>
      <c r="S217" s="154">
        <v>90356</v>
      </c>
      <c r="U217" s="154">
        <v>73.171999999999997</v>
      </c>
      <c r="V217" s="169">
        <v>0</v>
      </c>
      <c r="W217" s="169">
        <v>3.2675339472174797E-2</v>
      </c>
      <c r="X217" s="169">
        <v>2.3274086970578802E-3</v>
      </c>
    </row>
    <row r="218" spans="1:24">
      <c r="A218" s="4" t="s">
        <v>26</v>
      </c>
      <c r="B218" s="4">
        <v>9937</v>
      </c>
      <c r="C218" s="4" t="s">
        <v>1655</v>
      </c>
      <c r="D218" s="4" t="s">
        <v>1656</v>
      </c>
      <c r="E218" s="4" t="s">
        <v>335</v>
      </c>
      <c r="F218" s="4" t="s">
        <v>1657</v>
      </c>
      <c r="G218" s="4" t="s">
        <v>1658</v>
      </c>
      <c r="H218" s="4" t="s">
        <v>343</v>
      </c>
      <c r="I218" s="4" t="s">
        <v>954</v>
      </c>
      <c r="J218" s="4" t="s">
        <v>124</v>
      </c>
      <c r="K218" s="4" t="s">
        <v>125</v>
      </c>
      <c r="L218" s="2" t="s">
        <v>349</v>
      </c>
      <c r="M218" s="2" t="s">
        <v>366</v>
      </c>
      <c r="N218" s="4" t="s">
        <v>578</v>
      </c>
      <c r="O218" s="4" t="s">
        <v>159</v>
      </c>
      <c r="P218" s="4" t="s">
        <v>35</v>
      </c>
      <c r="Q218" s="154">
        <v>162</v>
      </c>
      <c r="R218" s="154">
        <v>3.681</v>
      </c>
      <c r="S218" s="154">
        <v>66.19</v>
      </c>
      <c r="U218" s="154">
        <v>39.470999999999997</v>
      </c>
      <c r="V218" s="169">
        <v>3.0000000000000001E-6</v>
      </c>
      <c r="W218" s="169">
        <v>1.7625758946704099E-2</v>
      </c>
      <c r="X218" s="169">
        <v>1.2554527459382001E-3</v>
      </c>
    </row>
    <row r="219" spans="1:24">
      <c r="A219" s="4" t="s">
        <v>26</v>
      </c>
      <c r="B219" s="4">
        <v>9937</v>
      </c>
      <c r="C219" s="4" t="s">
        <v>1728</v>
      </c>
      <c r="D219" s="4" t="s">
        <v>1729</v>
      </c>
      <c r="E219" s="4" t="s">
        <v>335</v>
      </c>
      <c r="F219" s="4" t="s">
        <v>1730</v>
      </c>
      <c r="G219" s="4" t="s">
        <v>1731</v>
      </c>
      <c r="H219" s="4" t="s">
        <v>343</v>
      </c>
      <c r="I219" s="4" t="s">
        <v>954</v>
      </c>
      <c r="J219" s="4" t="s">
        <v>124</v>
      </c>
      <c r="K219" s="4" t="s">
        <v>125</v>
      </c>
      <c r="L219" s="2" t="s">
        <v>349</v>
      </c>
      <c r="M219" s="2" t="s">
        <v>32</v>
      </c>
      <c r="N219" s="4" t="s">
        <v>567</v>
      </c>
      <c r="O219" s="4" t="s">
        <v>159</v>
      </c>
      <c r="P219" s="4" t="s">
        <v>35</v>
      </c>
      <c r="Q219" s="154">
        <v>6</v>
      </c>
      <c r="R219" s="154">
        <v>3.681</v>
      </c>
      <c r="S219" s="154">
        <v>148700</v>
      </c>
      <c r="U219" s="154">
        <v>32.841999999999999</v>
      </c>
      <c r="V219" s="169">
        <v>0</v>
      </c>
      <c r="W219" s="169">
        <v>1.4665695027081999E-2</v>
      </c>
      <c r="X219" s="169">
        <v>1.0446124418537601E-3</v>
      </c>
    </row>
    <row r="220" spans="1:24">
      <c r="A220" s="4" t="s">
        <v>26</v>
      </c>
      <c r="B220" s="4">
        <v>9937</v>
      </c>
      <c r="C220" s="4" t="s">
        <v>1732</v>
      </c>
      <c r="D220" s="4" t="s">
        <v>1733</v>
      </c>
      <c r="E220" s="4" t="s">
        <v>335</v>
      </c>
      <c r="F220" s="4" t="s">
        <v>1732</v>
      </c>
      <c r="G220" s="4" t="s">
        <v>1734</v>
      </c>
      <c r="H220" s="4" t="s">
        <v>343</v>
      </c>
      <c r="I220" s="4" t="s">
        <v>954</v>
      </c>
      <c r="J220" s="4" t="s">
        <v>124</v>
      </c>
      <c r="K220" s="4" t="s">
        <v>125</v>
      </c>
      <c r="L220" s="2" t="s">
        <v>349</v>
      </c>
      <c r="M220" s="2" t="s">
        <v>368</v>
      </c>
      <c r="N220" s="4" t="s">
        <v>533</v>
      </c>
      <c r="O220" s="4" t="s">
        <v>159</v>
      </c>
      <c r="P220" s="4" t="s">
        <v>35</v>
      </c>
      <c r="Q220" s="154">
        <v>40</v>
      </c>
      <c r="R220" s="154">
        <v>3.681</v>
      </c>
      <c r="S220" s="154">
        <v>17579</v>
      </c>
      <c r="U220" s="154">
        <v>25.882999999999999</v>
      </c>
      <c r="V220" s="169">
        <v>0</v>
      </c>
      <c r="W220" s="169">
        <v>1.1558316650126599E-2</v>
      </c>
      <c r="X220" s="169">
        <v>8.2327918024421604E-4</v>
      </c>
    </row>
    <row r="221" spans="1:24">
      <c r="A221" s="4" t="s">
        <v>26</v>
      </c>
      <c r="B221" s="4">
        <v>9937</v>
      </c>
      <c r="C221" s="4" t="s">
        <v>1735</v>
      </c>
      <c r="D221" s="4" t="s">
        <v>1736</v>
      </c>
      <c r="E221" s="4" t="s">
        <v>335</v>
      </c>
      <c r="F221" s="4" t="s">
        <v>1737</v>
      </c>
      <c r="G221" s="4" t="s">
        <v>1738</v>
      </c>
      <c r="H221" s="4" t="s">
        <v>343</v>
      </c>
      <c r="I221" s="4" t="s">
        <v>954</v>
      </c>
      <c r="J221" s="4" t="s">
        <v>124</v>
      </c>
      <c r="K221" s="4" t="s">
        <v>125</v>
      </c>
      <c r="L221" s="2" t="s">
        <v>349</v>
      </c>
      <c r="M221" s="2" t="s">
        <v>366</v>
      </c>
      <c r="N221" s="4" t="s">
        <v>1646</v>
      </c>
      <c r="O221" s="4" t="s">
        <v>159</v>
      </c>
      <c r="P221" s="4" t="s">
        <v>35</v>
      </c>
      <c r="Q221" s="154">
        <v>21</v>
      </c>
      <c r="R221" s="154">
        <v>3.681</v>
      </c>
      <c r="S221" s="154">
        <v>27908</v>
      </c>
      <c r="U221" s="154">
        <v>21.573</v>
      </c>
      <c r="V221" s="169">
        <v>0</v>
      </c>
      <c r="W221" s="169">
        <v>9.63359622633027E-3</v>
      </c>
      <c r="X221" s="169">
        <v>6.86184627406803E-4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12"/>
  <sheetViews>
    <sheetView rightToLeft="1" zoomScale="70" zoomScaleNormal="70" workbookViewId="0">
      <selection activeCell="A2" sqref="A2"/>
    </sheetView>
  </sheetViews>
  <sheetFormatPr defaultColWidth="9" defaultRowHeight="14"/>
  <cols>
    <col min="1" max="4" width="11.58203125" style="2" customWidth="1"/>
    <col min="5" max="5" width="11.58203125" style="4" customWidth="1"/>
    <col min="6" max="15" width="11.58203125" style="2" customWidth="1"/>
    <col min="16" max="16" width="11.58203125" style="4" customWidth="1"/>
    <col min="17" max="18" width="11.58203125" style="2" customWidth="1"/>
    <col min="19" max="19" width="11.58203125" style="136" customWidth="1"/>
    <col min="20" max="24" width="11.582031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591</v>
      </c>
      <c r="N1" s="22" t="s">
        <v>145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3" t="s">
        <v>26</v>
      </c>
      <c r="B2" s="23">
        <v>1441</v>
      </c>
      <c r="C2" s="23" t="s">
        <v>1379</v>
      </c>
      <c r="D2" s="23" t="s">
        <v>1380</v>
      </c>
      <c r="E2" s="21" t="s">
        <v>1345</v>
      </c>
      <c r="F2" s="23" t="s">
        <v>1391</v>
      </c>
      <c r="G2" s="23" t="s">
        <v>1392</v>
      </c>
      <c r="H2" s="21" t="s">
        <v>343</v>
      </c>
      <c r="I2" s="23" t="s">
        <v>1006</v>
      </c>
      <c r="J2" s="21" t="s">
        <v>31</v>
      </c>
      <c r="K2" s="21" t="s">
        <v>31</v>
      </c>
      <c r="L2" s="21" t="s">
        <v>49</v>
      </c>
      <c r="M2" s="23" t="s">
        <v>1393</v>
      </c>
      <c r="N2" s="23" t="s">
        <v>159</v>
      </c>
      <c r="O2" s="21" t="s">
        <v>45</v>
      </c>
      <c r="P2" s="155">
        <v>10100</v>
      </c>
      <c r="Q2" s="156">
        <v>1</v>
      </c>
      <c r="R2" s="156">
        <v>3844.3</v>
      </c>
      <c r="S2" s="135"/>
      <c r="T2" s="156">
        <v>388.274</v>
      </c>
      <c r="U2" s="173">
        <v>2.8899999999999998E-4</v>
      </c>
      <c r="V2" s="173">
        <v>0.72978206565013604</v>
      </c>
      <c r="W2" s="173">
        <v>3.5401583482602098E-2</v>
      </c>
    </row>
    <row r="3" spans="1:23">
      <c r="A3" s="23" t="s">
        <v>26</v>
      </c>
      <c r="B3" s="23">
        <v>1441</v>
      </c>
      <c r="C3" s="23" t="s">
        <v>1379</v>
      </c>
      <c r="D3" s="23" t="s">
        <v>1380</v>
      </c>
      <c r="E3" s="21" t="s">
        <v>1345</v>
      </c>
      <c r="F3" s="23" t="s">
        <v>1394</v>
      </c>
      <c r="G3" s="23" t="s">
        <v>1395</v>
      </c>
      <c r="H3" s="21" t="s">
        <v>343</v>
      </c>
      <c r="I3" s="23" t="s">
        <v>1006</v>
      </c>
      <c r="J3" s="21" t="s">
        <v>31</v>
      </c>
      <c r="K3" s="21" t="s">
        <v>31</v>
      </c>
      <c r="L3" s="21" t="s">
        <v>49</v>
      </c>
      <c r="M3" s="23" t="s">
        <v>1393</v>
      </c>
      <c r="N3" s="23" t="s">
        <v>159</v>
      </c>
      <c r="O3" s="21" t="s">
        <v>45</v>
      </c>
      <c r="P3" s="155">
        <v>300</v>
      </c>
      <c r="Q3" s="156">
        <v>1</v>
      </c>
      <c r="R3" s="156">
        <v>3874.92</v>
      </c>
      <c r="S3" s="135"/>
      <c r="T3" s="156">
        <v>11.625</v>
      </c>
      <c r="U3" s="173">
        <v>1.2999999999999999E-5</v>
      </c>
      <c r="V3" s="173">
        <v>2.1849350743757899E-2</v>
      </c>
      <c r="W3" s="173">
        <v>1.05990767765266E-3</v>
      </c>
    </row>
    <row r="4" spans="1:23">
      <c r="A4" s="23" t="s">
        <v>26</v>
      </c>
      <c r="B4" s="23">
        <v>1441</v>
      </c>
      <c r="C4" s="23" t="s">
        <v>1396</v>
      </c>
      <c r="D4" s="23" t="s">
        <v>1397</v>
      </c>
      <c r="E4" s="21" t="s">
        <v>335</v>
      </c>
      <c r="F4" s="23" t="s">
        <v>1398</v>
      </c>
      <c r="G4" s="23" t="s">
        <v>1399</v>
      </c>
      <c r="H4" s="21" t="s">
        <v>343</v>
      </c>
      <c r="I4" s="23" t="s">
        <v>1007</v>
      </c>
      <c r="J4" s="21" t="s">
        <v>124</v>
      </c>
      <c r="K4" s="21" t="s">
        <v>125</v>
      </c>
      <c r="L4" s="21" t="s">
        <v>32</v>
      </c>
      <c r="M4" s="23" t="s">
        <v>754</v>
      </c>
      <c r="N4" s="23" t="s">
        <v>159</v>
      </c>
      <c r="O4" s="21" t="s">
        <v>35</v>
      </c>
      <c r="P4" s="155">
        <v>700</v>
      </c>
      <c r="Q4" s="156">
        <v>3.681</v>
      </c>
      <c r="R4" s="156">
        <v>27.605</v>
      </c>
      <c r="S4" s="135"/>
      <c r="T4" s="156">
        <v>71.13</v>
      </c>
      <c r="U4" s="173">
        <v>0</v>
      </c>
      <c r="V4" s="173">
        <v>0.133692224614192</v>
      </c>
      <c r="W4" s="173">
        <v>6.4853833403507102E-3</v>
      </c>
    </row>
    <row r="5" spans="1:23">
      <c r="A5" s="23" t="s">
        <v>26</v>
      </c>
      <c r="B5" s="23">
        <v>1441</v>
      </c>
      <c r="C5" s="23" t="s">
        <v>1400</v>
      </c>
      <c r="D5" s="23" t="s">
        <v>1401</v>
      </c>
      <c r="E5" s="21" t="s">
        <v>335</v>
      </c>
      <c r="F5" s="23" t="s">
        <v>1402</v>
      </c>
      <c r="G5" s="23" t="s">
        <v>1403</v>
      </c>
      <c r="H5" s="21" t="s">
        <v>343</v>
      </c>
      <c r="I5" s="23" t="s">
        <v>1007</v>
      </c>
      <c r="J5" s="21" t="s">
        <v>124</v>
      </c>
      <c r="K5" s="21" t="s">
        <v>125</v>
      </c>
      <c r="L5" s="21" t="s">
        <v>32</v>
      </c>
      <c r="M5" s="23" t="s">
        <v>754</v>
      </c>
      <c r="N5" s="23" t="s">
        <v>159</v>
      </c>
      <c r="O5" s="21" t="s">
        <v>35</v>
      </c>
      <c r="P5" s="155">
        <v>300</v>
      </c>
      <c r="Q5" s="156">
        <v>3.681</v>
      </c>
      <c r="R5" s="156">
        <v>5525</v>
      </c>
      <c r="S5" s="135"/>
      <c r="T5" s="156">
        <v>61.012999999999998</v>
      </c>
      <c r="U5" s="173">
        <v>0</v>
      </c>
      <c r="V5" s="173">
        <v>0.114676358991913</v>
      </c>
      <c r="W5" s="173">
        <v>5.5629274648129499E-3</v>
      </c>
    </row>
    <row r="6" spans="1:23">
      <c r="A6" s="23" t="s">
        <v>26</v>
      </c>
      <c r="B6" s="23">
        <v>1522</v>
      </c>
      <c r="C6" s="23" t="s">
        <v>1404</v>
      </c>
      <c r="D6" s="23" t="s">
        <v>1405</v>
      </c>
      <c r="E6" s="21" t="s">
        <v>335</v>
      </c>
      <c r="F6" s="23" t="s">
        <v>1406</v>
      </c>
      <c r="G6" s="23" t="s">
        <v>1407</v>
      </c>
      <c r="H6" s="21" t="s">
        <v>343</v>
      </c>
      <c r="I6" s="23" t="s">
        <v>1005</v>
      </c>
      <c r="J6" s="21" t="s">
        <v>124</v>
      </c>
      <c r="K6" s="21" t="s">
        <v>125</v>
      </c>
      <c r="L6" s="21" t="s">
        <v>366</v>
      </c>
      <c r="M6" s="23" t="s">
        <v>1383</v>
      </c>
      <c r="N6" s="23" t="s">
        <v>159</v>
      </c>
      <c r="O6" s="21" t="s">
        <v>35</v>
      </c>
      <c r="P6" s="155">
        <v>270</v>
      </c>
      <c r="Q6" s="156">
        <v>3.681</v>
      </c>
      <c r="R6" s="156">
        <v>115.77</v>
      </c>
      <c r="S6" s="135"/>
      <c r="T6" s="156">
        <v>115.06</v>
      </c>
      <c r="U6" s="173">
        <v>6.9999999999999999E-6</v>
      </c>
      <c r="V6" s="173">
        <v>2.9247138718940899E-2</v>
      </c>
      <c r="W6" s="173">
        <v>1.1406051387028601E-2</v>
      </c>
    </row>
    <row r="7" spans="1:23">
      <c r="A7" s="23" t="s">
        <v>26</v>
      </c>
      <c r="B7" s="23">
        <v>1522</v>
      </c>
      <c r="C7" s="23" t="s">
        <v>1374</v>
      </c>
      <c r="D7" s="23" t="s">
        <v>1375</v>
      </c>
      <c r="E7" s="21" t="s">
        <v>1345</v>
      </c>
      <c r="F7" s="23" t="s">
        <v>1408</v>
      </c>
      <c r="G7" s="23" t="s">
        <v>1409</v>
      </c>
      <c r="H7" s="21" t="s">
        <v>343</v>
      </c>
      <c r="I7" s="23" t="s">
        <v>1004</v>
      </c>
      <c r="J7" s="21" t="s">
        <v>31</v>
      </c>
      <c r="K7" s="21" t="s">
        <v>31</v>
      </c>
      <c r="L7" s="21" t="s">
        <v>49</v>
      </c>
      <c r="M7" s="23" t="s">
        <v>1388</v>
      </c>
      <c r="N7" s="23" t="s">
        <v>159</v>
      </c>
      <c r="O7" s="21" t="s">
        <v>45</v>
      </c>
      <c r="P7" s="155">
        <v>8600</v>
      </c>
      <c r="Q7" s="156">
        <v>1</v>
      </c>
      <c r="R7" s="156">
        <v>3091</v>
      </c>
      <c r="S7" s="135"/>
      <c r="T7" s="156">
        <v>265.82600000000002</v>
      </c>
      <c r="U7" s="173">
        <v>2.3900000000000001E-4</v>
      </c>
      <c r="V7" s="173">
        <v>6.7570203421615405E-2</v>
      </c>
      <c r="W7" s="173">
        <v>2.63516106606284E-2</v>
      </c>
    </row>
    <row r="8" spans="1:23">
      <c r="A8" s="23" t="s">
        <v>26</v>
      </c>
      <c r="B8" s="23">
        <v>1522</v>
      </c>
      <c r="C8" s="23" t="s">
        <v>1379</v>
      </c>
      <c r="D8" s="23" t="s">
        <v>1380</v>
      </c>
      <c r="E8" s="21" t="s">
        <v>1345</v>
      </c>
      <c r="F8" s="23" t="s">
        <v>1410</v>
      </c>
      <c r="G8" s="23" t="s">
        <v>1411</v>
      </c>
      <c r="H8" s="21" t="s">
        <v>343</v>
      </c>
      <c r="I8" s="23" t="s">
        <v>1004</v>
      </c>
      <c r="J8" s="21" t="s">
        <v>31</v>
      </c>
      <c r="K8" s="21" t="s">
        <v>31</v>
      </c>
      <c r="L8" s="21" t="s">
        <v>49</v>
      </c>
      <c r="M8" s="23" t="s">
        <v>1388</v>
      </c>
      <c r="N8" s="23" t="s">
        <v>159</v>
      </c>
      <c r="O8" s="21" t="s">
        <v>45</v>
      </c>
      <c r="P8" s="155">
        <v>550</v>
      </c>
      <c r="Q8" s="156">
        <v>1</v>
      </c>
      <c r="R8" s="156">
        <v>20050</v>
      </c>
      <c r="S8" s="135"/>
      <c r="T8" s="156">
        <v>110.27500000000001</v>
      </c>
      <c r="U8" s="173">
        <v>1.5999999999999999E-5</v>
      </c>
      <c r="V8" s="173">
        <v>2.80307576471776E-2</v>
      </c>
      <c r="W8" s="173">
        <v>1.0931676606505E-2</v>
      </c>
    </row>
    <row r="9" spans="1:23">
      <c r="A9" s="23" t="s">
        <v>26</v>
      </c>
      <c r="B9" s="23">
        <v>1522</v>
      </c>
      <c r="C9" s="23" t="s">
        <v>1379</v>
      </c>
      <c r="D9" s="23" t="s">
        <v>1380</v>
      </c>
      <c r="E9" s="21" t="s">
        <v>1345</v>
      </c>
      <c r="F9" s="23" t="s">
        <v>1412</v>
      </c>
      <c r="G9" s="23" t="s">
        <v>1413</v>
      </c>
      <c r="H9" s="21" t="s">
        <v>343</v>
      </c>
      <c r="I9" s="23" t="s">
        <v>1004</v>
      </c>
      <c r="J9" s="21" t="s">
        <v>31</v>
      </c>
      <c r="K9" s="21" t="s">
        <v>31</v>
      </c>
      <c r="L9" s="21" t="s">
        <v>49</v>
      </c>
      <c r="M9" s="23" t="s">
        <v>1388</v>
      </c>
      <c r="N9" s="23" t="s">
        <v>159</v>
      </c>
      <c r="O9" s="21" t="s">
        <v>45</v>
      </c>
      <c r="P9" s="155">
        <v>1900</v>
      </c>
      <c r="Q9" s="156">
        <v>1</v>
      </c>
      <c r="R9" s="156">
        <v>8947</v>
      </c>
      <c r="S9" s="135"/>
      <c r="T9" s="156">
        <v>169.99299999999999</v>
      </c>
      <c r="U9" s="173">
        <v>1.7960000000000001E-3</v>
      </c>
      <c r="V9" s="173">
        <v>4.3210451913095999E-2</v>
      </c>
      <c r="W9" s="173">
        <v>1.68515846870969E-2</v>
      </c>
    </row>
    <row r="10" spans="1:23">
      <c r="A10" s="23" t="s">
        <v>26</v>
      </c>
      <c r="B10" s="23">
        <v>1522</v>
      </c>
      <c r="C10" s="23" t="s">
        <v>1414</v>
      </c>
      <c r="D10" s="23" t="s">
        <v>1415</v>
      </c>
      <c r="E10" s="21" t="s">
        <v>335</v>
      </c>
      <c r="F10" s="23" t="s">
        <v>1416</v>
      </c>
      <c r="G10" s="23" t="s">
        <v>1417</v>
      </c>
      <c r="H10" s="21" t="s">
        <v>343</v>
      </c>
      <c r="I10" s="23" t="s">
        <v>1005</v>
      </c>
      <c r="J10" s="21" t="s">
        <v>124</v>
      </c>
      <c r="K10" s="21" t="s">
        <v>316</v>
      </c>
      <c r="L10" s="21" t="s">
        <v>390</v>
      </c>
      <c r="M10" s="23" t="s">
        <v>757</v>
      </c>
      <c r="N10" s="23" t="s">
        <v>159</v>
      </c>
      <c r="O10" s="21" t="s">
        <v>1206</v>
      </c>
      <c r="P10" s="155">
        <v>410</v>
      </c>
      <c r="Q10" s="156">
        <v>3.9790000000000001</v>
      </c>
      <c r="R10" s="156">
        <v>5115</v>
      </c>
      <c r="S10" s="135"/>
      <c r="T10" s="156">
        <v>83.447999999999993</v>
      </c>
      <c r="U10" s="173">
        <v>3.9999999999999998E-6</v>
      </c>
      <c r="V10" s="173">
        <v>2.1211536005264899E-2</v>
      </c>
      <c r="W10" s="173">
        <v>8.2722577411367508E-3</v>
      </c>
    </row>
    <row r="11" spans="1:23">
      <c r="A11" s="23" t="s">
        <v>26</v>
      </c>
      <c r="B11" s="23">
        <v>1522</v>
      </c>
      <c r="C11" s="23" t="s">
        <v>1414</v>
      </c>
      <c r="D11" s="23" t="s">
        <v>1415</v>
      </c>
      <c r="E11" s="21" t="s">
        <v>335</v>
      </c>
      <c r="F11" s="23" t="s">
        <v>1418</v>
      </c>
      <c r="G11" s="23" t="s">
        <v>1419</v>
      </c>
      <c r="H11" s="21" t="s">
        <v>343</v>
      </c>
      <c r="I11" s="23" t="s">
        <v>1005</v>
      </c>
      <c r="J11" s="21" t="s">
        <v>124</v>
      </c>
      <c r="K11" s="21" t="s">
        <v>125</v>
      </c>
      <c r="L11" s="21" t="s">
        <v>368</v>
      </c>
      <c r="M11" s="23" t="s">
        <v>757</v>
      </c>
      <c r="N11" s="23" t="s">
        <v>159</v>
      </c>
      <c r="O11" s="21" t="s">
        <v>35</v>
      </c>
      <c r="P11" s="155">
        <v>60</v>
      </c>
      <c r="Q11" s="156">
        <v>3.681</v>
      </c>
      <c r="R11" s="156">
        <v>22592</v>
      </c>
      <c r="S11" s="135"/>
      <c r="T11" s="156">
        <v>49.896999999999998</v>
      </c>
      <c r="U11" s="173">
        <v>3.0000000000000001E-6</v>
      </c>
      <c r="V11" s="173">
        <v>1.26832197544617E-2</v>
      </c>
      <c r="W11" s="173">
        <v>4.9463114208392099E-3</v>
      </c>
    </row>
    <row r="12" spans="1:23">
      <c r="A12" s="23" t="s">
        <v>26</v>
      </c>
      <c r="B12" s="23">
        <v>1522</v>
      </c>
      <c r="C12" s="23" t="s">
        <v>1420</v>
      </c>
      <c r="D12" s="23" t="s">
        <v>1421</v>
      </c>
      <c r="E12" s="21" t="s">
        <v>335</v>
      </c>
      <c r="F12" s="23" t="s">
        <v>1422</v>
      </c>
      <c r="G12" s="23" t="s">
        <v>1423</v>
      </c>
      <c r="H12" s="21" t="s">
        <v>343</v>
      </c>
      <c r="I12" s="23" t="s">
        <v>1005</v>
      </c>
      <c r="J12" s="21" t="s">
        <v>124</v>
      </c>
      <c r="K12" s="21" t="s">
        <v>125</v>
      </c>
      <c r="L12" s="21" t="s">
        <v>368</v>
      </c>
      <c r="M12" s="23" t="s">
        <v>757</v>
      </c>
      <c r="N12" s="23" t="s">
        <v>159</v>
      </c>
      <c r="O12" s="21" t="s">
        <v>35</v>
      </c>
      <c r="P12" s="155">
        <v>410</v>
      </c>
      <c r="Q12" s="156">
        <v>3.681</v>
      </c>
      <c r="R12" s="156">
        <v>444.01</v>
      </c>
      <c r="S12" s="157">
        <v>0.18</v>
      </c>
      <c r="T12" s="156">
        <v>670.76499999999999</v>
      </c>
      <c r="U12" s="173">
        <v>9.9999999999999995E-7</v>
      </c>
      <c r="V12" s="173">
        <v>0.17050153795994399</v>
      </c>
      <c r="W12" s="173">
        <v>6.6493660191076304E-2</v>
      </c>
    </row>
    <row r="13" spans="1:23">
      <c r="A13" s="23" t="s">
        <v>26</v>
      </c>
      <c r="B13" s="23">
        <v>1522</v>
      </c>
      <c r="C13" s="23" t="s">
        <v>1420</v>
      </c>
      <c r="D13" s="23" t="s">
        <v>1421</v>
      </c>
      <c r="E13" s="21" t="s">
        <v>335</v>
      </c>
      <c r="F13" s="23" t="s">
        <v>1424</v>
      </c>
      <c r="G13" s="23" t="s">
        <v>1425</v>
      </c>
      <c r="H13" s="21" t="s">
        <v>343</v>
      </c>
      <c r="I13" s="23" t="s">
        <v>1005</v>
      </c>
      <c r="J13" s="21" t="s">
        <v>124</v>
      </c>
      <c r="K13" s="21" t="s">
        <v>125</v>
      </c>
      <c r="L13" s="21" t="s">
        <v>32</v>
      </c>
      <c r="M13" s="23" t="s">
        <v>757</v>
      </c>
      <c r="N13" s="23" t="s">
        <v>159</v>
      </c>
      <c r="O13" s="21" t="s">
        <v>35</v>
      </c>
      <c r="P13" s="155">
        <v>74</v>
      </c>
      <c r="Q13" s="156">
        <v>3.681</v>
      </c>
      <c r="R13" s="156">
        <v>102524</v>
      </c>
      <c r="S13" s="135"/>
      <c r="T13" s="156">
        <v>279.26900000000001</v>
      </c>
      <c r="U13" s="173">
        <v>1.5E-5</v>
      </c>
      <c r="V13" s="173">
        <v>7.09873312351538E-2</v>
      </c>
      <c r="W13" s="173">
        <v>2.7684251634906801E-2</v>
      </c>
    </row>
    <row r="14" spans="1:23">
      <c r="A14" s="23" t="s">
        <v>26</v>
      </c>
      <c r="B14" s="23">
        <v>1522</v>
      </c>
      <c r="C14" s="23" t="s">
        <v>1426</v>
      </c>
      <c r="D14" s="23" t="s">
        <v>1427</v>
      </c>
      <c r="E14" s="21" t="s">
        <v>335</v>
      </c>
      <c r="F14" s="23" t="s">
        <v>1428</v>
      </c>
      <c r="G14" s="23" t="s">
        <v>1429</v>
      </c>
      <c r="H14" s="21" t="s">
        <v>343</v>
      </c>
      <c r="I14" s="23" t="s">
        <v>1005</v>
      </c>
      <c r="J14" s="21" t="s">
        <v>124</v>
      </c>
      <c r="K14" s="21" t="s">
        <v>125</v>
      </c>
      <c r="L14" s="21" t="s">
        <v>366</v>
      </c>
      <c r="M14" s="23" t="s">
        <v>757</v>
      </c>
      <c r="N14" s="23" t="s">
        <v>159</v>
      </c>
      <c r="O14" s="21" t="s">
        <v>35</v>
      </c>
      <c r="P14" s="155">
        <v>350</v>
      </c>
      <c r="Q14" s="156">
        <v>3.681</v>
      </c>
      <c r="R14" s="156">
        <v>523.07000000000005</v>
      </c>
      <c r="S14" s="157">
        <v>0.42599999999999999</v>
      </c>
      <c r="T14" s="156">
        <v>675.46600000000001</v>
      </c>
      <c r="U14" s="173">
        <v>0</v>
      </c>
      <c r="V14" s="173">
        <v>0.171696534696509</v>
      </c>
      <c r="W14" s="173">
        <v>6.6959695324139396E-2</v>
      </c>
    </row>
    <row r="15" spans="1:23">
      <c r="A15" s="23" t="s">
        <v>26</v>
      </c>
      <c r="B15" s="23">
        <v>1522</v>
      </c>
      <c r="C15" s="23" t="s">
        <v>1430</v>
      </c>
      <c r="D15" s="23" t="s">
        <v>1431</v>
      </c>
      <c r="E15" s="21" t="s">
        <v>335</v>
      </c>
      <c r="F15" s="23" t="s">
        <v>1432</v>
      </c>
      <c r="G15" s="23" t="s">
        <v>1433</v>
      </c>
      <c r="H15" s="21" t="s">
        <v>343</v>
      </c>
      <c r="I15" s="23" t="s">
        <v>1005</v>
      </c>
      <c r="J15" s="21" t="s">
        <v>124</v>
      </c>
      <c r="K15" s="21" t="s">
        <v>125</v>
      </c>
      <c r="L15" s="21" t="s">
        <v>32</v>
      </c>
      <c r="M15" s="23" t="s">
        <v>757</v>
      </c>
      <c r="N15" s="23" t="s">
        <v>159</v>
      </c>
      <c r="O15" s="21" t="s">
        <v>35</v>
      </c>
      <c r="P15" s="155">
        <v>8700</v>
      </c>
      <c r="Q15" s="156">
        <v>3.681</v>
      </c>
      <c r="R15" s="156">
        <v>1267.5999999999999</v>
      </c>
      <c r="S15" s="135"/>
      <c r="T15" s="156">
        <v>405.94499999999999</v>
      </c>
      <c r="U15" s="173">
        <v>0</v>
      </c>
      <c r="V15" s="173">
        <v>0.103187020065048</v>
      </c>
      <c r="W15" s="173">
        <v>4.02417639772083E-2</v>
      </c>
    </row>
    <row r="16" spans="1:23">
      <c r="A16" s="23" t="s">
        <v>26</v>
      </c>
      <c r="B16" s="23">
        <v>1522</v>
      </c>
      <c r="C16" s="23" t="s">
        <v>1434</v>
      </c>
      <c r="D16" s="23" t="s">
        <v>1435</v>
      </c>
      <c r="E16" s="21" t="s">
        <v>335</v>
      </c>
      <c r="F16" s="23" t="s">
        <v>1436</v>
      </c>
      <c r="G16" s="23" t="s">
        <v>1437</v>
      </c>
      <c r="H16" s="21" t="s">
        <v>343</v>
      </c>
      <c r="I16" s="23" t="s">
        <v>1005</v>
      </c>
      <c r="J16" s="21" t="s">
        <v>124</v>
      </c>
      <c r="K16" s="21" t="s">
        <v>125</v>
      </c>
      <c r="L16" s="21" t="s">
        <v>368</v>
      </c>
      <c r="M16" s="23" t="s">
        <v>757</v>
      </c>
      <c r="N16" s="23" t="s">
        <v>159</v>
      </c>
      <c r="O16" s="21" t="s">
        <v>35</v>
      </c>
      <c r="P16" s="155">
        <v>55</v>
      </c>
      <c r="Q16" s="156">
        <v>3.681</v>
      </c>
      <c r="R16" s="156">
        <v>22499</v>
      </c>
      <c r="S16" s="135"/>
      <c r="T16" s="156">
        <v>45.55</v>
      </c>
      <c r="U16" s="173">
        <v>1.9999999999999999E-6</v>
      </c>
      <c r="V16" s="173">
        <v>1.15784251571794E-2</v>
      </c>
      <c r="W16" s="173">
        <v>4.5154540959634502E-3</v>
      </c>
    </row>
    <row r="17" spans="1:23">
      <c r="A17" s="23" t="s">
        <v>26</v>
      </c>
      <c r="B17" s="23">
        <v>1522</v>
      </c>
      <c r="C17" s="23" t="s">
        <v>1400</v>
      </c>
      <c r="D17" s="23" t="s">
        <v>1401</v>
      </c>
      <c r="E17" s="21" t="s">
        <v>335</v>
      </c>
      <c r="F17" s="23" t="s">
        <v>1438</v>
      </c>
      <c r="G17" s="23" t="s">
        <v>1439</v>
      </c>
      <c r="H17" s="21" t="s">
        <v>343</v>
      </c>
      <c r="I17" s="23" t="s">
        <v>1005</v>
      </c>
      <c r="J17" s="21" t="s">
        <v>124</v>
      </c>
      <c r="K17" s="21" t="s">
        <v>1440</v>
      </c>
      <c r="L17" s="21" t="s">
        <v>32</v>
      </c>
      <c r="M17" s="23" t="s">
        <v>757</v>
      </c>
      <c r="N17" s="23" t="s">
        <v>159</v>
      </c>
      <c r="O17" s="21" t="s">
        <v>35</v>
      </c>
      <c r="P17" s="155">
        <v>500</v>
      </c>
      <c r="Q17" s="156">
        <v>3.681</v>
      </c>
      <c r="R17" s="156">
        <v>5682.5</v>
      </c>
      <c r="S17" s="135"/>
      <c r="T17" s="156">
        <v>104.586</v>
      </c>
      <c r="U17" s="173">
        <v>0</v>
      </c>
      <c r="V17" s="173">
        <v>2.6584777891410099E-2</v>
      </c>
      <c r="W17" s="173">
        <v>1.0367760951118001E-2</v>
      </c>
    </row>
    <row r="18" spans="1:23">
      <c r="A18" s="23" t="s">
        <v>26</v>
      </c>
      <c r="B18" s="23">
        <v>1522</v>
      </c>
      <c r="C18" s="23" t="s">
        <v>1400</v>
      </c>
      <c r="D18" s="23" t="s">
        <v>1401</v>
      </c>
      <c r="E18" s="21" t="s">
        <v>335</v>
      </c>
      <c r="F18" s="23" t="s">
        <v>1441</v>
      </c>
      <c r="G18" s="23" t="s">
        <v>1442</v>
      </c>
      <c r="H18" s="21" t="s">
        <v>343</v>
      </c>
      <c r="I18" s="23" t="s">
        <v>1005</v>
      </c>
      <c r="J18" s="21" t="s">
        <v>124</v>
      </c>
      <c r="K18" s="21" t="s">
        <v>125</v>
      </c>
      <c r="L18" s="21" t="s">
        <v>366</v>
      </c>
      <c r="M18" s="23" t="s">
        <v>757</v>
      </c>
      <c r="N18" s="23" t="s">
        <v>159</v>
      </c>
      <c r="O18" s="21" t="s">
        <v>35</v>
      </c>
      <c r="P18" s="155">
        <v>439</v>
      </c>
      <c r="Q18" s="156">
        <v>3.681</v>
      </c>
      <c r="R18" s="156">
        <v>480.7</v>
      </c>
      <c r="S18" s="135"/>
      <c r="T18" s="156">
        <v>776.79100000000005</v>
      </c>
      <c r="U18" s="173">
        <v>9.9999999999999995E-7</v>
      </c>
      <c r="V18" s="173">
        <v>0.19745231498544499</v>
      </c>
      <c r="W18" s="173">
        <v>7.7004156640909996E-2</v>
      </c>
    </row>
    <row r="19" spans="1:23">
      <c r="A19" s="23" t="s">
        <v>26</v>
      </c>
      <c r="B19" s="23">
        <v>1522</v>
      </c>
      <c r="C19" s="23" t="s">
        <v>1443</v>
      </c>
      <c r="D19" s="23" t="s">
        <v>1444</v>
      </c>
      <c r="E19" s="21" t="s">
        <v>335</v>
      </c>
      <c r="F19" s="23" t="s">
        <v>1445</v>
      </c>
      <c r="G19" s="23" t="s">
        <v>1446</v>
      </c>
      <c r="H19" s="21" t="s">
        <v>343</v>
      </c>
      <c r="I19" s="23" t="s">
        <v>1005</v>
      </c>
      <c r="J19" s="21" t="s">
        <v>124</v>
      </c>
      <c r="K19" s="21" t="s">
        <v>274</v>
      </c>
      <c r="L19" s="21" t="s">
        <v>366</v>
      </c>
      <c r="M19" s="23" t="s">
        <v>757</v>
      </c>
      <c r="N19" s="23" t="s">
        <v>159</v>
      </c>
      <c r="O19" s="21" t="s">
        <v>35</v>
      </c>
      <c r="P19" s="155">
        <v>260</v>
      </c>
      <c r="Q19" s="156">
        <v>3.681</v>
      </c>
      <c r="R19" s="156">
        <v>108.5</v>
      </c>
      <c r="S19" s="135"/>
      <c r="T19" s="156">
        <v>103.84099999999999</v>
      </c>
      <c r="U19" s="173">
        <v>9.0000000000000002E-6</v>
      </c>
      <c r="V19" s="173">
        <v>2.63953043314273E-2</v>
      </c>
      <c r="W19" s="173">
        <v>1.0293868418162299E-2</v>
      </c>
    </row>
    <row r="20" spans="1:23">
      <c r="A20" s="2" t="s">
        <v>26</v>
      </c>
      <c r="B20" s="2">
        <v>1522</v>
      </c>
      <c r="C20" s="2" t="s">
        <v>1447</v>
      </c>
      <c r="D20" s="2" t="s">
        <v>1448</v>
      </c>
      <c r="E20" s="21" t="s">
        <v>1345</v>
      </c>
      <c r="F20" s="2" t="s">
        <v>1449</v>
      </c>
      <c r="G20" s="2" t="s">
        <v>1450</v>
      </c>
      <c r="H20" s="21" t="s">
        <v>343</v>
      </c>
      <c r="I20" s="23" t="s">
        <v>1005</v>
      </c>
      <c r="J20" s="21" t="s">
        <v>124</v>
      </c>
      <c r="K20" s="21" t="s">
        <v>125</v>
      </c>
      <c r="L20" s="21" t="s">
        <v>49</v>
      </c>
      <c r="M20" s="23" t="s">
        <v>1378</v>
      </c>
      <c r="N20" s="23" t="s">
        <v>362</v>
      </c>
      <c r="O20" s="2" t="s">
        <v>45</v>
      </c>
      <c r="P20" s="155">
        <v>930</v>
      </c>
      <c r="Q20" s="153">
        <v>1</v>
      </c>
      <c r="R20" s="153">
        <v>8318</v>
      </c>
      <c r="T20" s="153">
        <v>77.356999999999999</v>
      </c>
      <c r="U20" s="167">
        <v>6.8999999999999997E-5</v>
      </c>
      <c r="V20" s="167">
        <v>1.96634462173274E-2</v>
      </c>
      <c r="W20" s="167">
        <v>7.6685203347998197E-3</v>
      </c>
    </row>
    <row r="21" spans="1:23">
      <c r="A21" s="2" t="s">
        <v>26</v>
      </c>
      <c r="B21" s="2">
        <v>9935</v>
      </c>
      <c r="C21" s="2" t="s">
        <v>1404</v>
      </c>
      <c r="D21" s="2" t="s">
        <v>1405</v>
      </c>
      <c r="E21" s="4" t="s">
        <v>335</v>
      </c>
      <c r="F21" s="2" t="s">
        <v>1406</v>
      </c>
      <c r="G21" s="2" t="s">
        <v>1407</v>
      </c>
      <c r="H21" s="4" t="s">
        <v>343</v>
      </c>
      <c r="I21" s="2" t="s">
        <v>1005</v>
      </c>
      <c r="J21" s="2" t="s">
        <v>124</v>
      </c>
      <c r="K21" s="2" t="s">
        <v>125</v>
      </c>
      <c r="L21" s="4" t="s">
        <v>366</v>
      </c>
      <c r="M21" s="2" t="s">
        <v>1383</v>
      </c>
      <c r="N21" s="2" t="s">
        <v>159</v>
      </c>
      <c r="O21" s="2" t="s">
        <v>35</v>
      </c>
      <c r="P21" s="154">
        <v>8900</v>
      </c>
      <c r="Q21" s="153">
        <v>3.681</v>
      </c>
      <c r="R21" s="153">
        <v>115.77</v>
      </c>
      <c r="T21" s="153">
        <v>3792.7289999999998</v>
      </c>
      <c r="U21" s="167">
        <v>2.42E-4</v>
      </c>
      <c r="V21" s="167">
        <v>1.6318181788228501E-2</v>
      </c>
      <c r="W21" s="167">
        <v>3.4598921598487601E-3</v>
      </c>
    </row>
    <row r="22" spans="1:23">
      <c r="A22" s="2" t="s">
        <v>26</v>
      </c>
      <c r="B22" s="2">
        <v>9935</v>
      </c>
      <c r="C22" s="2" t="s">
        <v>1374</v>
      </c>
      <c r="D22" s="2" t="s">
        <v>1375</v>
      </c>
      <c r="E22" s="4" t="s">
        <v>1345</v>
      </c>
      <c r="F22" s="2" t="s">
        <v>1408</v>
      </c>
      <c r="G22" s="2" t="s">
        <v>1409</v>
      </c>
      <c r="H22" s="2" t="s">
        <v>343</v>
      </c>
      <c r="I22" s="2" t="s">
        <v>1004</v>
      </c>
      <c r="J22" s="2" t="s">
        <v>31</v>
      </c>
      <c r="K22" s="2" t="s">
        <v>31</v>
      </c>
      <c r="L22" s="4" t="s">
        <v>49</v>
      </c>
      <c r="M22" s="2" t="s">
        <v>1388</v>
      </c>
      <c r="N22" s="2" t="s">
        <v>159</v>
      </c>
      <c r="O22" s="2" t="s">
        <v>45</v>
      </c>
      <c r="P22" s="154">
        <v>144297</v>
      </c>
      <c r="Q22" s="153">
        <v>1</v>
      </c>
      <c r="R22" s="153">
        <v>3091</v>
      </c>
      <c r="T22" s="153">
        <v>4460.22</v>
      </c>
      <c r="U22" s="167">
        <v>4.006E-3</v>
      </c>
      <c r="V22" s="167">
        <v>1.9190054875977199E-2</v>
      </c>
      <c r="W22" s="167">
        <v>4.0688062722990899E-3</v>
      </c>
    </row>
    <row r="23" spans="1:23">
      <c r="A23" s="2" t="s">
        <v>26</v>
      </c>
      <c r="B23" s="2">
        <v>9935</v>
      </c>
      <c r="C23" s="2" t="s">
        <v>1451</v>
      </c>
      <c r="D23" s="2" t="s">
        <v>1452</v>
      </c>
      <c r="E23" s="4" t="s">
        <v>1345</v>
      </c>
      <c r="F23" s="2" t="s">
        <v>1453</v>
      </c>
      <c r="G23" s="2" t="s">
        <v>1454</v>
      </c>
      <c r="H23" s="2" t="s">
        <v>343</v>
      </c>
      <c r="I23" s="2" t="s">
        <v>1004</v>
      </c>
      <c r="J23" s="2" t="s">
        <v>31</v>
      </c>
      <c r="K23" s="2" t="s">
        <v>31</v>
      </c>
      <c r="L23" s="2" t="s">
        <v>49</v>
      </c>
      <c r="M23" s="2" t="s">
        <v>1388</v>
      </c>
      <c r="N23" s="2" t="s">
        <v>159</v>
      </c>
      <c r="O23" s="2" t="s">
        <v>45</v>
      </c>
      <c r="P23" s="154">
        <v>155000</v>
      </c>
      <c r="Q23" s="153">
        <v>1</v>
      </c>
      <c r="R23" s="153">
        <v>2053</v>
      </c>
      <c r="T23" s="153">
        <v>3182.15</v>
      </c>
      <c r="U23" s="167">
        <v>3.1770000000000001E-3</v>
      </c>
      <c r="V23" s="167">
        <v>1.3691169813815201E-2</v>
      </c>
      <c r="W23" s="167">
        <v>2.90289517010704E-3</v>
      </c>
    </row>
    <row r="24" spans="1:23">
      <c r="A24" s="2" t="s">
        <v>26</v>
      </c>
      <c r="B24" s="2">
        <v>9935</v>
      </c>
      <c r="C24" s="2" t="s">
        <v>1451</v>
      </c>
      <c r="D24" s="2" t="s">
        <v>1452</v>
      </c>
      <c r="E24" s="4" t="s">
        <v>1345</v>
      </c>
      <c r="F24" s="2" t="s">
        <v>1455</v>
      </c>
      <c r="G24" s="2" t="s">
        <v>1456</v>
      </c>
      <c r="H24" s="2" t="s">
        <v>343</v>
      </c>
      <c r="I24" s="2" t="s">
        <v>1004</v>
      </c>
      <c r="J24" s="2" t="s">
        <v>31</v>
      </c>
      <c r="K24" s="2" t="s">
        <v>31</v>
      </c>
      <c r="L24" s="2" t="s">
        <v>49</v>
      </c>
      <c r="M24" s="2" t="s">
        <v>1388</v>
      </c>
      <c r="N24" s="2" t="s">
        <v>159</v>
      </c>
      <c r="O24" s="2" t="s">
        <v>45</v>
      </c>
      <c r="P24" s="154">
        <v>165000</v>
      </c>
      <c r="Q24" s="153">
        <v>1</v>
      </c>
      <c r="R24" s="153">
        <v>907.2</v>
      </c>
      <c r="T24" s="153">
        <v>1496.88</v>
      </c>
      <c r="U24" s="167">
        <v>9.3349999999999995E-3</v>
      </c>
      <c r="V24" s="167">
        <v>6.4403118240509601E-3</v>
      </c>
      <c r="W24" s="167">
        <v>1.3655188228807E-3</v>
      </c>
    </row>
    <row r="25" spans="1:23">
      <c r="A25" s="2" t="s">
        <v>26</v>
      </c>
      <c r="B25" s="2">
        <v>9935</v>
      </c>
      <c r="C25" s="2" t="s">
        <v>1451</v>
      </c>
      <c r="D25" s="2" t="s">
        <v>1452</v>
      </c>
      <c r="E25" s="4" t="s">
        <v>1345</v>
      </c>
      <c r="F25" s="2" t="s">
        <v>1457</v>
      </c>
      <c r="G25" s="2" t="s">
        <v>1458</v>
      </c>
      <c r="H25" s="2" t="s">
        <v>343</v>
      </c>
      <c r="I25" s="2" t="s">
        <v>1006</v>
      </c>
      <c r="J25" s="2" t="s">
        <v>31</v>
      </c>
      <c r="K25" s="2" t="s">
        <v>31</v>
      </c>
      <c r="L25" s="2" t="s">
        <v>49</v>
      </c>
      <c r="M25" s="2" t="s">
        <v>1393</v>
      </c>
      <c r="N25" s="2" t="s">
        <v>159</v>
      </c>
      <c r="O25" s="2" t="s">
        <v>45</v>
      </c>
      <c r="P25" s="154">
        <v>1753000</v>
      </c>
      <c r="Q25" s="153">
        <v>1</v>
      </c>
      <c r="R25" s="153">
        <v>385.54</v>
      </c>
      <c r="T25" s="153">
        <v>6758.5159999999996</v>
      </c>
      <c r="U25" s="167">
        <v>7.6909999999999999E-3</v>
      </c>
      <c r="V25" s="167">
        <v>2.9078451042100901E-2</v>
      </c>
      <c r="W25" s="167">
        <v>6.1654114463712299E-3</v>
      </c>
    </row>
    <row r="26" spans="1:23">
      <c r="A26" s="2" t="s">
        <v>26</v>
      </c>
      <c r="B26" s="2">
        <v>9935</v>
      </c>
      <c r="C26" s="2" t="s">
        <v>1451</v>
      </c>
      <c r="D26" s="2" t="s">
        <v>1452</v>
      </c>
      <c r="E26" s="4" t="s">
        <v>1345</v>
      </c>
      <c r="F26" s="2" t="s">
        <v>1459</v>
      </c>
      <c r="G26" s="11" t="s">
        <v>1460</v>
      </c>
      <c r="H26" s="2" t="s">
        <v>343</v>
      </c>
      <c r="I26" s="2" t="s">
        <v>1004</v>
      </c>
      <c r="J26" s="2" t="s">
        <v>31</v>
      </c>
      <c r="K26" s="2" t="s">
        <v>31</v>
      </c>
      <c r="L26" s="2" t="s">
        <v>49</v>
      </c>
      <c r="M26" s="2" t="s">
        <v>1388</v>
      </c>
      <c r="N26" s="2" t="s">
        <v>159</v>
      </c>
      <c r="O26" s="2" t="s">
        <v>45</v>
      </c>
      <c r="P26" s="154">
        <v>72000</v>
      </c>
      <c r="Q26" s="153">
        <v>1</v>
      </c>
      <c r="R26" s="153">
        <v>2014</v>
      </c>
      <c r="T26" s="153">
        <v>1450.08</v>
      </c>
      <c r="U26" s="167">
        <v>1.263E-3</v>
      </c>
      <c r="V26" s="167">
        <v>6.2389552735154499E-3</v>
      </c>
      <c r="W26" s="167">
        <v>1.32282583419035E-3</v>
      </c>
    </row>
    <row r="27" spans="1:23">
      <c r="A27" s="2" t="s">
        <v>26</v>
      </c>
      <c r="B27" s="2">
        <v>9935</v>
      </c>
      <c r="C27" s="2" t="s">
        <v>1379</v>
      </c>
      <c r="D27" s="2" t="s">
        <v>1380</v>
      </c>
      <c r="E27" s="4" t="s">
        <v>1345</v>
      </c>
      <c r="F27" s="2" t="s">
        <v>1410</v>
      </c>
      <c r="G27" s="2" t="s">
        <v>1411</v>
      </c>
      <c r="H27" s="2" t="s">
        <v>343</v>
      </c>
      <c r="I27" s="2" t="s">
        <v>1004</v>
      </c>
      <c r="J27" s="2" t="s">
        <v>31</v>
      </c>
      <c r="K27" s="2" t="s">
        <v>31</v>
      </c>
      <c r="L27" s="2" t="s">
        <v>49</v>
      </c>
      <c r="M27" s="2" t="s">
        <v>1388</v>
      </c>
      <c r="N27" s="2" t="s">
        <v>159</v>
      </c>
      <c r="O27" s="2" t="s">
        <v>45</v>
      </c>
      <c r="P27" s="154">
        <v>9200</v>
      </c>
      <c r="Q27" s="153">
        <v>1</v>
      </c>
      <c r="R27" s="153">
        <v>20050</v>
      </c>
      <c r="T27" s="153">
        <v>1844.6</v>
      </c>
      <c r="U27" s="167">
        <v>2.5999999999999998E-4</v>
      </c>
      <c r="V27" s="167">
        <v>7.9363737845681605E-3</v>
      </c>
      <c r="W27" s="167">
        <v>1.68272407987664E-3</v>
      </c>
    </row>
    <row r="28" spans="1:23">
      <c r="A28" s="2" t="s">
        <v>26</v>
      </c>
      <c r="B28" s="2">
        <v>9935</v>
      </c>
      <c r="C28" s="2" t="s">
        <v>1379</v>
      </c>
      <c r="D28" s="2" t="s">
        <v>1380</v>
      </c>
      <c r="E28" s="4" t="s">
        <v>1345</v>
      </c>
      <c r="F28" s="2" t="s">
        <v>1394</v>
      </c>
      <c r="G28" s="2" t="s">
        <v>1395</v>
      </c>
      <c r="H28" s="2" t="s">
        <v>343</v>
      </c>
      <c r="I28" s="2" t="s">
        <v>1006</v>
      </c>
      <c r="J28" s="2" t="s">
        <v>31</v>
      </c>
      <c r="K28" s="2" t="s">
        <v>31</v>
      </c>
      <c r="L28" s="2" t="s">
        <v>49</v>
      </c>
      <c r="M28" s="2" t="s">
        <v>1393</v>
      </c>
      <c r="N28" s="2" t="s">
        <v>159</v>
      </c>
      <c r="O28" s="2" t="s">
        <v>45</v>
      </c>
      <c r="P28" s="154">
        <v>187912</v>
      </c>
      <c r="Q28" s="153">
        <v>1</v>
      </c>
      <c r="R28" s="153">
        <v>3874.92</v>
      </c>
      <c r="T28" s="153">
        <v>7281.44</v>
      </c>
      <c r="U28" s="167">
        <v>8.0649999999999993E-3</v>
      </c>
      <c r="V28" s="167">
        <v>3.1328324251370103E-2</v>
      </c>
      <c r="W28" s="167">
        <v>6.64244490380089E-3</v>
      </c>
    </row>
    <row r="29" spans="1:23">
      <c r="A29" s="2" t="s">
        <v>26</v>
      </c>
      <c r="B29" s="2">
        <v>9935</v>
      </c>
      <c r="C29" s="2" t="s">
        <v>1461</v>
      </c>
      <c r="D29" s="2" t="s">
        <v>1462</v>
      </c>
      <c r="E29" s="4" t="s">
        <v>1345</v>
      </c>
      <c r="F29" s="2" t="s">
        <v>1463</v>
      </c>
      <c r="G29" s="2" t="s">
        <v>1464</v>
      </c>
      <c r="H29" s="2" t="s">
        <v>343</v>
      </c>
      <c r="I29" s="2" t="s">
        <v>1006</v>
      </c>
      <c r="J29" s="2" t="s">
        <v>31</v>
      </c>
      <c r="K29" s="2" t="s">
        <v>31</v>
      </c>
      <c r="L29" s="2" t="s">
        <v>49</v>
      </c>
      <c r="M29" s="2" t="s">
        <v>1393</v>
      </c>
      <c r="N29" s="2" t="s">
        <v>159</v>
      </c>
      <c r="O29" s="2" t="s">
        <v>45</v>
      </c>
      <c r="P29" s="154">
        <v>900000</v>
      </c>
      <c r="Q29" s="153">
        <v>1</v>
      </c>
      <c r="R29" s="153">
        <v>386.95</v>
      </c>
      <c r="T29" s="153">
        <v>3482.55</v>
      </c>
      <c r="U29" s="167">
        <v>3.9150000000000001E-3</v>
      </c>
      <c r="V29" s="167">
        <v>1.4983637928791E-2</v>
      </c>
      <c r="W29" s="167">
        <v>3.17693307187162E-3</v>
      </c>
    </row>
    <row r="30" spans="1:23">
      <c r="A30" s="2" t="s">
        <v>26</v>
      </c>
      <c r="B30" s="2">
        <v>9935</v>
      </c>
      <c r="C30" s="2" t="s">
        <v>1404</v>
      </c>
      <c r="D30" s="2" t="s">
        <v>1405</v>
      </c>
      <c r="E30" s="4" t="s">
        <v>335</v>
      </c>
      <c r="F30" s="2" t="s">
        <v>1406</v>
      </c>
      <c r="G30" s="2" t="s">
        <v>1407</v>
      </c>
      <c r="H30" s="2" t="s">
        <v>343</v>
      </c>
      <c r="I30" s="2" t="s">
        <v>1005</v>
      </c>
      <c r="J30" s="2" t="s">
        <v>124</v>
      </c>
      <c r="K30" s="2" t="s">
        <v>125</v>
      </c>
      <c r="L30" s="2" t="s">
        <v>366</v>
      </c>
      <c r="M30" s="2" t="s">
        <v>1383</v>
      </c>
      <c r="N30" s="2" t="s">
        <v>159</v>
      </c>
      <c r="O30" s="2" t="s">
        <v>35</v>
      </c>
      <c r="P30" s="154">
        <v>7000</v>
      </c>
      <c r="Q30" s="153">
        <v>3.681</v>
      </c>
      <c r="R30" s="153">
        <v>115.77</v>
      </c>
      <c r="T30" s="153">
        <v>2983.0459999999998</v>
      </c>
      <c r="U30" s="167">
        <v>1.9000000000000001E-4</v>
      </c>
      <c r="V30" s="167">
        <v>1.2834525001977499E-2</v>
      </c>
      <c r="W30" s="167">
        <v>2.7212634965102598E-3</v>
      </c>
    </row>
    <row r="31" spans="1:23">
      <c r="A31" s="2" t="s">
        <v>26</v>
      </c>
      <c r="B31" s="2">
        <v>9935</v>
      </c>
      <c r="C31" s="2" t="s">
        <v>1374</v>
      </c>
      <c r="D31" s="2" t="s">
        <v>1375</v>
      </c>
      <c r="E31" s="4" t="s">
        <v>1345</v>
      </c>
      <c r="F31" s="2" t="s">
        <v>1408</v>
      </c>
      <c r="G31" s="2" t="s">
        <v>1409</v>
      </c>
      <c r="H31" s="2" t="s">
        <v>343</v>
      </c>
      <c r="I31" s="2" t="s">
        <v>1004</v>
      </c>
      <c r="J31" s="2" t="s">
        <v>31</v>
      </c>
      <c r="K31" s="2" t="s">
        <v>31</v>
      </c>
      <c r="L31" s="2" t="s">
        <v>49</v>
      </c>
      <c r="M31" s="2" t="s">
        <v>1388</v>
      </c>
      <c r="N31" s="2" t="s">
        <v>159</v>
      </c>
      <c r="O31" s="2" t="s">
        <v>45</v>
      </c>
      <c r="P31" s="154">
        <v>230000</v>
      </c>
      <c r="Q31" s="153">
        <v>1</v>
      </c>
      <c r="R31" s="153">
        <v>3091</v>
      </c>
      <c r="T31" s="153">
        <v>7109.3</v>
      </c>
      <c r="U31" s="167">
        <v>6.3850000000000001E-3</v>
      </c>
      <c r="V31" s="167">
        <v>3.0587694972693501E-2</v>
      </c>
      <c r="W31" s="167">
        <v>6.4854116345370296E-3</v>
      </c>
    </row>
    <row r="32" spans="1:23">
      <c r="A32" s="2" t="s">
        <v>26</v>
      </c>
      <c r="B32" s="2">
        <v>9935</v>
      </c>
      <c r="C32" s="2" t="s">
        <v>1379</v>
      </c>
      <c r="D32" s="2" t="s">
        <v>1380</v>
      </c>
      <c r="E32" s="4" t="s">
        <v>1345</v>
      </c>
      <c r="F32" s="2" t="s">
        <v>1410</v>
      </c>
      <c r="G32" s="2" t="s">
        <v>1411</v>
      </c>
      <c r="H32" s="2" t="s">
        <v>343</v>
      </c>
      <c r="I32" s="2" t="s">
        <v>1004</v>
      </c>
      <c r="J32" s="2" t="s">
        <v>31</v>
      </c>
      <c r="K32" s="2" t="s">
        <v>31</v>
      </c>
      <c r="L32" s="2" t="s">
        <v>49</v>
      </c>
      <c r="M32" s="2" t="s">
        <v>1388</v>
      </c>
      <c r="N32" s="2" t="s">
        <v>159</v>
      </c>
      <c r="O32" s="2" t="s">
        <v>45</v>
      </c>
      <c r="P32" s="154">
        <v>33000</v>
      </c>
      <c r="Q32" s="153">
        <v>1</v>
      </c>
      <c r="R32" s="153">
        <v>20050</v>
      </c>
      <c r="T32" s="153">
        <v>6616.5</v>
      </c>
      <c r="U32" s="167">
        <v>9.3199999999999999E-4</v>
      </c>
      <c r="V32" s="167">
        <v>2.8467427705516201E-2</v>
      </c>
      <c r="W32" s="167">
        <v>6.0358581126010004E-3</v>
      </c>
    </row>
    <row r="33" spans="1:23">
      <c r="A33" s="2" t="s">
        <v>26</v>
      </c>
      <c r="B33" s="2">
        <v>9935</v>
      </c>
      <c r="C33" s="2" t="s">
        <v>1379</v>
      </c>
      <c r="D33" s="2" t="s">
        <v>1380</v>
      </c>
      <c r="E33" s="4" t="s">
        <v>1345</v>
      </c>
      <c r="F33" s="2" t="s">
        <v>1412</v>
      </c>
      <c r="G33" s="2" t="s">
        <v>1413</v>
      </c>
      <c r="H33" s="2" t="s">
        <v>343</v>
      </c>
      <c r="I33" s="2" t="s">
        <v>1004</v>
      </c>
      <c r="J33" s="2" t="s">
        <v>31</v>
      </c>
      <c r="K33" s="2" t="s">
        <v>31</v>
      </c>
      <c r="L33" s="2" t="s">
        <v>49</v>
      </c>
      <c r="M33" s="2" t="s">
        <v>1388</v>
      </c>
      <c r="N33" s="2" t="s">
        <v>159</v>
      </c>
      <c r="O33" s="2" t="s">
        <v>45</v>
      </c>
      <c r="P33" s="154">
        <v>12000</v>
      </c>
      <c r="Q33" s="153">
        <v>1</v>
      </c>
      <c r="R33" s="153">
        <v>8947</v>
      </c>
      <c r="T33" s="153">
        <v>1073.6400000000001</v>
      </c>
      <c r="U33" s="167">
        <v>1.1346E-2</v>
      </c>
      <c r="V33" s="167">
        <v>4.6193257888234697E-3</v>
      </c>
      <c r="W33" s="167">
        <v>9.7942094823742711E-4</v>
      </c>
    </row>
    <row r="34" spans="1:23">
      <c r="A34" s="2" t="s">
        <v>26</v>
      </c>
      <c r="B34" s="2">
        <v>9935</v>
      </c>
      <c r="C34" s="2" t="s">
        <v>1465</v>
      </c>
      <c r="D34" s="2" t="s">
        <v>1466</v>
      </c>
      <c r="E34" s="4" t="s">
        <v>335</v>
      </c>
      <c r="F34" s="2" t="s">
        <v>1467</v>
      </c>
      <c r="G34" s="2" t="s">
        <v>1468</v>
      </c>
      <c r="H34" s="2" t="s">
        <v>343</v>
      </c>
      <c r="I34" s="2" t="s">
        <v>1005</v>
      </c>
      <c r="J34" s="2" t="s">
        <v>124</v>
      </c>
      <c r="K34" s="2" t="s">
        <v>125</v>
      </c>
      <c r="L34" s="2" t="s">
        <v>386</v>
      </c>
      <c r="M34" s="2" t="s">
        <v>757</v>
      </c>
      <c r="N34" s="2" t="s">
        <v>159</v>
      </c>
      <c r="O34" s="2" t="s">
        <v>35</v>
      </c>
      <c r="P34" s="154">
        <v>7250</v>
      </c>
      <c r="Q34" s="153">
        <v>3.681</v>
      </c>
      <c r="R34" s="153">
        <v>10227.780000000001</v>
      </c>
      <c r="T34" s="153">
        <v>2729.5129999999999</v>
      </c>
      <c r="U34" s="167">
        <v>0</v>
      </c>
      <c r="V34" s="167">
        <v>1.1743704406572899E-2</v>
      </c>
      <c r="W34" s="167">
        <v>2.48998027667479E-3</v>
      </c>
    </row>
    <row r="35" spans="1:23">
      <c r="A35" s="2" t="s">
        <v>26</v>
      </c>
      <c r="B35" s="2">
        <v>9935</v>
      </c>
      <c r="C35" s="2" t="s">
        <v>1414</v>
      </c>
      <c r="D35" s="2" t="s">
        <v>1415</v>
      </c>
      <c r="E35" s="4" t="s">
        <v>335</v>
      </c>
      <c r="F35" s="2" t="s">
        <v>1416</v>
      </c>
      <c r="G35" s="2" t="s">
        <v>1417</v>
      </c>
      <c r="H35" s="2" t="s">
        <v>343</v>
      </c>
      <c r="I35" s="2" t="s">
        <v>1005</v>
      </c>
      <c r="J35" s="2" t="s">
        <v>124</v>
      </c>
      <c r="K35" s="2" t="s">
        <v>316</v>
      </c>
      <c r="L35" s="2" t="s">
        <v>390</v>
      </c>
      <c r="M35" s="2" t="s">
        <v>757</v>
      </c>
      <c r="N35" s="2" t="s">
        <v>159</v>
      </c>
      <c r="O35" s="2" t="s">
        <v>1206</v>
      </c>
      <c r="P35" s="154">
        <v>56800</v>
      </c>
      <c r="Q35" s="153">
        <v>3.9790000000000001</v>
      </c>
      <c r="R35" s="153">
        <v>5115</v>
      </c>
      <c r="T35" s="153">
        <v>11560.558999999999</v>
      </c>
      <c r="U35" s="167">
        <v>5.8200000000000005E-4</v>
      </c>
      <c r="V35" s="167">
        <v>4.9739193261691003E-2</v>
      </c>
      <c r="W35" s="167">
        <v>1.05460428763865E-2</v>
      </c>
    </row>
    <row r="36" spans="1:23">
      <c r="A36" s="2" t="s">
        <v>26</v>
      </c>
      <c r="B36" s="2">
        <v>9935</v>
      </c>
      <c r="C36" s="2" t="s">
        <v>1414</v>
      </c>
      <c r="D36" s="2" t="s">
        <v>1415</v>
      </c>
      <c r="E36" s="4" t="s">
        <v>335</v>
      </c>
      <c r="F36" s="2" t="s">
        <v>1418</v>
      </c>
      <c r="G36" s="2" t="s">
        <v>1419</v>
      </c>
      <c r="H36" s="2" t="s">
        <v>343</v>
      </c>
      <c r="I36" s="2" t="s">
        <v>1005</v>
      </c>
      <c r="J36" s="2" t="s">
        <v>124</v>
      </c>
      <c r="K36" s="2" t="s">
        <v>125</v>
      </c>
      <c r="L36" s="2" t="s">
        <v>368</v>
      </c>
      <c r="M36" s="2" t="s">
        <v>757</v>
      </c>
      <c r="N36" s="2" t="s">
        <v>159</v>
      </c>
      <c r="O36" s="2" t="s">
        <v>35</v>
      </c>
      <c r="P36" s="154">
        <v>2475</v>
      </c>
      <c r="Q36" s="153">
        <v>3.681</v>
      </c>
      <c r="R36" s="153">
        <v>22592</v>
      </c>
      <c r="T36" s="153">
        <v>2058.239</v>
      </c>
      <c r="U36" s="167">
        <v>1.4300000000000001E-4</v>
      </c>
      <c r="V36" s="167">
        <v>8.8555514306762392E-3</v>
      </c>
      <c r="W36" s="167">
        <v>1.8776143913433101E-3</v>
      </c>
    </row>
    <row r="37" spans="1:23">
      <c r="A37" s="2" t="s">
        <v>26</v>
      </c>
      <c r="B37" s="2">
        <v>9935</v>
      </c>
      <c r="C37" s="2" t="s">
        <v>1404</v>
      </c>
      <c r="D37" s="2" t="s">
        <v>1405</v>
      </c>
      <c r="E37" s="4" t="s">
        <v>335</v>
      </c>
      <c r="F37" s="2" t="s">
        <v>1404</v>
      </c>
      <c r="G37" s="2" t="s">
        <v>1469</v>
      </c>
      <c r="H37" s="2" t="s">
        <v>343</v>
      </c>
      <c r="I37" s="2" t="s">
        <v>1005</v>
      </c>
      <c r="J37" s="2" t="s">
        <v>124</v>
      </c>
      <c r="K37" s="2" t="s">
        <v>125</v>
      </c>
      <c r="L37" s="2" t="s">
        <v>32</v>
      </c>
      <c r="M37" s="2" t="s">
        <v>757</v>
      </c>
      <c r="N37" s="2" t="s">
        <v>159</v>
      </c>
      <c r="O37" s="2" t="s">
        <v>35</v>
      </c>
      <c r="P37" s="154">
        <v>185000</v>
      </c>
      <c r="Q37" s="153">
        <v>3.681</v>
      </c>
      <c r="R37" s="153">
        <v>574.29999999999995</v>
      </c>
      <c r="T37" s="153">
        <v>3910.8969999999999</v>
      </c>
      <c r="U37" s="167">
        <v>0</v>
      </c>
      <c r="V37" s="167">
        <v>1.6826596158609999E-2</v>
      </c>
      <c r="W37" s="167">
        <v>3.5676896410182799E-3</v>
      </c>
    </row>
    <row r="38" spans="1:23">
      <c r="A38" s="2" t="s">
        <v>26</v>
      </c>
      <c r="B38" s="2">
        <v>9935</v>
      </c>
      <c r="C38" s="2" t="s">
        <v>1414</v>
      </c>
      <c r="D38" s="2" t="s">
        <v>1415</v>
      </c>
      <c r="E38" s="4" t="s">
        <v>335</v>
      </c>
      <c r="F38" s="2" t="s">
        <v>1470</v>
      </c>
      <c r="G38" s="2" t="s">
        <v>1471</v>
      </c>
      <c r="H38" s="2" t="s">
        <v>343</v>
      </c>
      <c r="I38" s="2" t="s">
        <v>1005</v>
      </c>
      <c r="J38" s="2" t="s">
        <v>124</v>
      </c>
      <c r="K38" s="2" t="s">
        <v>125</v>
      </c>
      <c r="L38" s="2" t="s">
        <v>366</v>
      </c>
      <c r="M38" s="2" t="s">
        <v>757</v>
      </c>
      <c r="N38" s="2" t="s">
        <v>159</v>
      </c>
      <c r="O38" s="2" t="s">
        <v>35</v>
      </c>
      <c r="P38" s="154">
        <v>10975</v>
      </c>
      <c r="Q38" s="153">
        <v>3.681</v>
      </c>
      <c r="R38" s="153">
        <v>52573</v>
      </c>
      <c r="T38" s="153">
        <v>21238.953000000001</v>
      </c>
      <c r="U38" s="167">
        <v>1.5E-5</v>
      </c>
      <c r="V38" s="167">
        <v>9.1380391850163098E-2</v>
      </c>
      <c r="W38" s="167">
        <v>1.9375093710155899E-2</v>
      </c>
    </row>
    <row r="39" spans="1:23">
      <c r="A39" s="2" t="s">
        <v>26</v>
      </c>
      <c r="B39" s="2">
        <v>9935</v>
      </c>
      <c r="C39" s="2" t="s">
        <v>1472</v>
      </c>
      <c r="D39" s="2" t="s">
        <v>1473</v>
      </c>
      <c r="E39" s="4" t="s">
        <v>335</v>
      </c>
      <c r="F39" s="2" t="s">
        <v>1474</v>
      </c>
      <c r="G39" s="2" t="s">
        <v>1475</v>
      </c>
      <c r="H39" s="2" t="s">
        <v>343</v>
      </c>
      <c r="I39" s="2" t="s">
        <v>1005</v>
      </c>
      <c r="J39" s="2" t="s">
        <v>124</v>
      </c>
      <c r="K39" s="2" t="s">
        <v>291</v>
      </c>
      <c r="L39" s="2" t="s">
        <v>366</v>
      </c>
      <c r="M39" s="2" t="s">
        <v>757</v>
      </c>
      <c r="N39" s="2" t="s">
        <v>159</v>
      </c>
      <c r="O39" s="2" t="s">
        <v>35</v>
      </c>
      <c r="P39" s="154">
        <v>16652</v>
      </c>
      <c r="Q39" s="153">
        <v>3.681</v>
      </c>
      <c r="R39" s="153">
        <v>26.25</v>
      </c>
      <c r="T39" s="153">
        <v>1609.02</v>
      </c>
      <c r="U39" s="167">
        <v>6.7000000000000002E-5</v>
      </c>
      <c r="V39" s="167">
        <v>6.9227944523493502E-3</v>
      </c>
      <c r="W39" s="167">
        <v>1.46781807929155E-3</v>
      </c>
    </row>
    <row r="40" spans="1:23">
      <c r="A40" s="2" t="s">
        <v>26</v>
      </c>
      <c r="B40" s="2">
        <v>9935</v>
      </c>
      <c r="C40" s="2" t="s">
        <v>1476</v>
      </c>
      <c r="D40" s="2" t="s">
        <v>1477</v>
      </c>
      <c r="E40" s="4" t="s">
        <v>335</v>
      </c>
      <c r="F40" s="2" t="s">
        <v>1478</v>
      </c>
      <c r="G40" s="2" t="s">
        <v>1479</v>
      </c>
      <c r="H40" s="2" t="s">
        <v>343</v>
      </c>
      <c r="I40" s="2" t="s">
        <v>1005</v>
      </c>
      <c r="J40" s="2" t="s">
        <v>124</v>
      </c>
      <c r="K40" s="2" t="s">
        <v>125</v>
      </c>
      <c r="L40" s="2" t="s">
        <v>32</v>
      </c>
      <c r="M40" s="2" t="s">
        <v>757</v>
      </c>
      <c r="N40" s="2" t="s">
        <v>159</v>
      </c>
      <c r="O40" s="2" t="s">
        <v>35</v>
      </c>
      <c r="P40" s="154">
        <v>6420</v>
      </c>
      <c r="Q40" s="153">
        <v>3.681</v>
      </c>
      <c r="R40" s="153">
        <v>37152.5</v>
      </c>
      <c r="T40" s="153">
        <v>8779.8860000000004</v>
      </c>
      <c r="U40" s="167">
        <v>7.2400000000000003E-4</v>
      </c>
      <c r="V40" s="167">
        <v>3.77753761852061E-2</v>
      </c>
      <c r="W40" s="167">
        <v>8.0093928107121907E-3</v>
      </c>
    </row>
    <row r="41" spans="1:23">
      <c r="A41" s="2" t="s">
        <v>26</v>
      </c>
      <c r="B41" s="2">
        <v>9935</v>
      </c>
      <c r="C41" s="2" t="s">
        <v>1480</v>
      </c>
      <c r="D41" s="2" t="s">
        <v>1481</v>
      </c>
      <c r="E41" s="4" t="s">
        <v>335</v>
      </c>
      <c r="F41" s="2" t="s">
        <v>1480</v>
      </c>
      <c r="G41" s="2" t="s">
        <v>1482</v>
      </c>
      <c r="H41" s="2" t="s">
        <v>343</v>
      </c>
      <c r="I41" s="2" t="s">
        <v>1005</v>
      </c>
      <c r="J41" s="2" t="s">
        <v>124</v>
      </c>
      <c r="K41" s="2" t="s">
        <v>274</v>
      </c>
      <c r="L41" s="2" t="s">
        <v>370</v>
      </c>
      <c r="M41" s="2" t="s">
        <v>757</v>
      </c>
      <c r="N41" s="2" t="s">
        <v>159</v>
      </c>
      <c r="O41" s="2" t="s">
        <v>1207</v>
      </c>
      <c r="P41" s="154">
        <v>42730</v>
      </c>
      <c r="Q41" s="153">
        <v>2.4329999999999998</v>
      </c>
      <c r="R41" s="153">
        <v>292550</v>
      </c>
      <c r="T41" s="153">
        <v>3041.9110000000001</v>
      </c>
      <c r="U41" s="167">
        <v>0</v>
      </c>
      <c r="V41" s="167">
        <v>1.3087792731549299E-2</v>
      </c>
      <c r="W41" s="167">
        <v>2.7749630473095001E-3</v>
      </c>
    </row>
    <row r="42" spans="1:23">
      <c r="A42" s="2" t="s">
        <v>26</v>
      </c>
      <c r="B42" s="2">
        <v>9935</v>
      </c>
      <c r="C42" s="2" t="s">
        <v>1420</v>
      </c>
      <c r="D42" s="2" t="s">
        <v>1421</v>
      </c>
      <c r="E42" s="4" t="s">
        <v>335</v>
      </c>
      <c r="F42" s="2" t="s">
        <v>1424</v>
      </c>
      <c r="G42" s="2" t="s">
        <v>1425</v>
      </c>
      <c r="H42" s="2" t="s">
        <v>343</v>
      </c>
      <c r="I42" s="2" t="s">
        <v>1005</v>
      </c>
      <c r="J42" s="2" t="s">
        <v>124</v>
      </c>
      <c r="K42" s="2" t="s">
        <v>125</v>
      </c>
      <c r="L42" s="2" t="s">
        <v>32</v>
      </c>
      <c r="M42" s="2" t="s">
        <v>757</v>
      </c>
      <c r="N42" s="2" t="s">
        <v>159</v>
      </c>
      <c r="O42" s="2" t="s">
        <v>35</v>
      </c>
      <c r="P42" s="154">
        <v>1395</v>
      </c>
      <c r="Q42" s="153">
        <v>3.681</v>
      </c>
      <c r="R42" s="153">
        <v>102524</v>
      </c>
      <c r="T42" s="153">
        <v>5264.6019999999999</v>
      </c>
      <c r="U42" s="167">
        <v>2.7500000000000002E-4</v>
      </c>
      <c r="V42" s="167">
        <v>2.2650900722088401E-2</v>
      </c>
      <c r="W42" s="167">
        <v>4.8025984045845004E-3</v>
      </c>
    </row>
    <row r="43" spans="1:23">
      <c r="A43" s="2" t="s">
        <v>26</v>
      </c>
      <c r="B43" s="2">
        <v>9935</v>
      </c>
      <c r="C43" s="2" t="s">
        <v>1396</v>
      </c>
      <c r="D43" s="2" t="s">
        <v>1397</v>
      </c>
      <c r="E43" s="4" t="s">
        <v>335</v>
      </c>
      <c r="F43" s="2" t="s">
        <v>1398</v>
      </c>
      <c r="G43" s="2" t="s">
        <v>1399</v>
      </c>
      <c r="H43" s="2" t="s">
        <v>343</v>
      </c>
      <c r="I43" s="2" t="s">
        <v>1007</v>
      </c>
      <c r="J43" s="2" t="s">
        <v>124</v>
      </c>
      <c r="K43" s="2" t="s">
        <v>125</v>
      </c>
      <c r="L43" s="2" t="s">
        <v>32</v>
      </c>
      <c r="M43" s="2" t="s">
        <v>754</v>
      </c>
      <c r="N43" s="2" t="s">
        <v>159</v>
      </c>
      <c r="O43" s="2" t="s">
        <v>35</v>
      </c>
      <c r="P43" s="154">
        <v>39750</v>
      </c>
      <c r="Q43" s="153">
        <v>3.681</v>
      </c>
      <c r="R43" s="153">
        <v>27.605</v>
      </c>
      <c r="T43" s="153">
        <v>4039.1570000000002</v>
      </c>
      <c r="U43" s="167">
        <v>0</v>
      </c>
      <c r="V43" s="167">
        <v>1.73784329045443E-2</v>
      </c>
      <c r="W43" s="167">
        <v>3.6846938303055801E-3</v>
      </c>
    </row>
    <row r="44" spans="1:23">
      <c r="A44" s="2" t="s">
        <v>26</v>
      </c>
      <c r="B44" s="2">
        <v>9935</v>
      </c>
      <c r="C44" s="2" t="s">
        <v>1426</v>
      </c>
      <c r="D44" s="2" t="s">
        <v>1427</v>
      </c>
      <c r="E44" s="4" t="s">
        <v>335</v>
      </c>
      <c r="F44" s="2" t="s">
        <v>1483</v>
      </c>
      <c r="G44" s="2" t="s">
        <v>1484</v>
      </c>
      <c r="H44" s="2" t="s">
        <v>343</v>
      </c>
      <c r="I44" s="2" t="s">
        <v>1005</v>
      </c>
      <c r="J44" s="2" t="s">
        <v>124</v>
      </c>
      <c r="K44" s="2" t="s">
        <v>125</v>
      </c>
      <c r="L44" s="2" t="s">
        <v>366</v>
      </c>
      <c r="M44" s="2" t="s">
        <v>757</v>
      </c>
      <c r="N44" s="2" t="s">
        <v>159</v>
      </c>
      <c r="O44" s="2" t="s">
        <v>35</v>
      </c>
      <c r="P44" s="154">
        <v>84950</v>
      </c>
      <c r="Q44" s="153">
        <v>3.681</v>
      </c>
      <c r="R44" s="153">
        <v>6153</v>
      </c>
      <c r="T44" s="153">
        <v>19240.489000000001</v>
      </c>
      <c r="U44" s="167">
        <v>2.81E-4</v>
      </c>
      <c r="V44" s="167">
        <v>8.27820210891346E-2</v>
      </c>
      <c r="W44" s="167">
        <v>1.7552008517845101E-2</v>
      </c>
    </row>
    <row r="45" spans="1:23">
      <c r="A45" s="2" t="s">
        <v>26</v>
      </c>
      <c r="B45" s="2">
        <v>9935</v>
      </c>
      <c r="C45" s="2" t="s">
        <v>1430</v>
      </c>
      <c r="D45" s="2" t="s">
        <v>1431</v>
      </c>
      <c r="E45" s="4" t="s">
        <v>335</v>
      </c>
      <c r="F45" s="2" t="s">
        <v>1432</v>
      </c>
      <c r="G45" s="2" t="s">
        <v>1433</v>
      </c>
      <c r="H45" s="2" t="s">
        <v>343</v>
      </c>
      <c r="I45" s="2" t="s">
        <v>1005</v>
      </c>
      <c r="J45" s="2" t="s">
        <v>124</v>
      </c>
      <c r="K45" s="2" t="s">
        <v>125</v>
      </c>
      <c r="L45" s="2" t="s">
        <v>32</v>
      </c>
      <c r="M45" s="2" t="s">
        <v>757</v>
      </c>
      <c r="N45" s="2" t="s">
        <v>159</v>
      </c>
      <c r="O45" s="2" t="s">
        <v>35</v>
      </c>
      <c r="P45" s="154">
        <v>156600</v>
      </c>
      <c r="Q45" s="153">
        <v>3.681</v>
      </c>
      <c r="R45" s="153">
        <v>1267.5999999999999</v>
      </c>
      <c r="T45" s="153">
        <v>7307.0119999999997</v>
      </c>
      <c r="U45" s="167">
        <v>0</v>
      </c>
      <c r="V45" s="167">
        <v>3.1438347876535301E-2</v>
      </c>
      <c r="W45" s="167">
        <v>6.6657728629477796E-3</v>
      </c>
    </row>
    <row r="46" spans="1:23">
      <c r="A46" s="2" t="s">
        <v>26</v>
      </c>
      <c r="B46" s="2">
        <v>9935</v>
      </c>
      <c r="C46" s="2" t="s">
        <v>1485</v>
      </c>
      <c r="D46" s="2" t="s">
        <v>1486</v>
      </c>
      <c r="E46" s="4" t="s">
        <v>335</v>
      </c>
      <c r="F46" s="2" t="s">
        <v>1487</v>
      </c>
      <c r="G46" s="2" t="s">
        <v>1488</v>
      </c>
      <c r="H46" s="2" t="s">
        <v>343</v>
      </c>
      <c r="I46" s="2" t="s">
        <v>1005</v>
      </c>
      <c r="J46" s="2" t="s">
        <v>124</v>
      </c>
      <c r="K46" s="2" t="s">
        <v>125</v>
      </c>
      <c r="L46" s="2" t="s">
        <v>32</v>
      </c>
      <c r="M46" s="2" t="s">
        <v>757</v>
      </c>
      <c r="N46" s="2" t="s">
        <v>159</v>
      </c>
      <c r="O46" s="2" t="s">
        <v>35</v>
      </c>
      <c r="P46" s="154">
        <v>32400</v>
      </c>
      <c r="Q46" s="153">
        <v>3.681</v>
      </c>
      <c r="R46" s="153">
        <v>3552.75</v>
      </c>
      <c r="T46" s="153">
        <v>4237.1660000000002</v>
      </c>
      <c r="U46" s="167">
        <v>0</v>
      </c>
      <c r="V46" s="167">
        <v>1.82303658967303E-2</v>
      </c>
      <c r="W46" s="167">
        <v>3.8653264717746902E-3</v>
      </c>
    </row>
    <row r="47" spans="1:23">
      <c r="A47" s="2" t="s">
        <v>26</v>
      </c>
      <c r="B47" s="2">
        <v>9935</v>
      </c>
      <c r="C47" s="2" t="s">
        <v>1426</v>
      </c>
      <c r="D47" s="2" t="s">
        <v>1427</v>
      </c>
      <c r="E47" s="4" t="s">
        <v>335</v>
      </c>
      <c r="F47" s="2" t="s">
        <v>1489</v>
      </c>
      <c r="G47" s="2" t="s">
        <v>1490</v>
      </c>
      <c r="H47" s="2" t="s">
        <v>343</v>
      </c>
      <c r="I47" s="2" t="s">
        <v>1005</v>
      </c>
      <c r="J47" s="2" t="s">
        <v>124</v>
      </c>
      <c r="K47" s="2" t="s">
        <v>125</v>
      </c>
      <c r="L47" s="2" t="s">
        <v>32</v>
      </c>
      <c r="M47" s="2" t="s">
        <v>757</v>
      </c>
      <c r="N47" s="2" t="s">
        <v>159</v>
      </c>
      <c r="O47" s="2" t="s">
        <v>35</v>
      </c>
      <c r="P47" s="154">
        <v>10800</v>
      </c>
      <c r="Q47" s="153">
        <v>3.681</v>
      </c>
      <c r="R47" s="153">
        <v>4855.875</v>
      </c>
      <c r="T47" s="153">
        <v>1930.443</v>
      </c>
      <c r="U47" s="167">
        <v>0</v>
      </c>
      <c r="V47" s="167">
        <v>8.3057141649694206E-3</v>
      </c>
      <c r="W47" s="167">
        <v>1.7610341454862601E-3</v>
      </c>
    </row>
    <row r="48" spans="1:23">
      <c r="A48" s="2" t="s">
        <v>26</v>
      </c>
      <c r="B48" s="2">
        <v>9935</v>
      </c>
      <c r="C48" s="2" t="s">
        <v>1434</v>
      </c>
      <c r="D48" s="2" t="s">
        <v>1435</v>
      </c>
      <c r="E48" s="4" t="s">
        <v>335</v>
      </c>
      <c r="F48" s="2" t="s">
        <v>1436</v>
      </c>
      <c r="G48" s="2" t="s">
        <v>1437</v>
      </c>
      <c r="H48" s="2" t="s">
        <v>343</v>
      </c>
      <c r="I48" s="2" t="s">
        <v>1005</v>
      </c>
      <c r="J48" s="2" t="s">
        <v>124</v>
      </c>
      <c r="K48" s="2" t="s">
        <v>125</v>
      </c>
      <c r="L48" s="2" t="s">
        <v>368</v>
      </c>
      <c r="M48" s="2" t="s">
        <v>757</v>
      </c>
      <c r="N48" s="2" t="s">
        <v>159</v>
      </c>
      <c r="O48" s="2" t="s">
        <v>35</v>
      </c>
      <c r="P48" s="154">
        <v>1455</v>
      </c>
      <c r="Q48" s="153">
        <v>3.681</v>
      </c>
      <c r="R48" s="153">
        <v>22499</v>
      </c>
      <c r="T48" s="153">
        <v>1205.0139999999999</v>
      </c>
      <c r="U48" s="167">
        <v>6.3999999999999997E-5</v>
      </c>
      <c r="V48" s="167">
        <v>5.1845603723930499E-3</v>
      </c>
      <c r="W48" s="167">
        <v>1.0992658384064099E-3</v>
      </c>
    </row>
    <row r="49" spans="1:23">
      <c r="A49" s="2" t="s">
        <v>26</v>
      </c>
      <c r="B49" s="2">
        <v>9935</v>
      </c>
      <c r="C49" s="2" t="s">
        <v>1400</v>
      </c>
      <c r="D49" s="2" t="s">
        <v>1401</v>
      </c>
      <c r="E49" s="4" t="s">
        <v>335</v>
      </c>
      <c r="F49" s="2" t="s">
        <v>1438</v>
      </c>
      <c r="G49" s="2" t="s">
        <v>1439</v>
      </c>
      <c r="H49" s="2" t="s">
        <v>343</v>
      </c>
      <c r="I49" s="2" t="s">
        <v>1005</v>
      </c>
      <c r="J49" s="2" t="s">
        <v>124</v>
      </c>
      <c r="K49" s="2" t="s">
        <v>1440</v>
      </c>
      <c r="L49" s="2" t="s">
        <v>32</v>
      </c>
      <c r="M49" s="2" t="s">
        <v>757</v>
      </c>
      <c r="N49" s="2" t="s">
        <v>159</v>
      </c>
      <c r="O49" s="2" t="s">
        <v>35</v>
      </c>
      <c r="P49" s="154">
        <v>21100</v>
      </c>
      <c r="Q49" s="153">
        <v>3.681</v>
      </c>
      <c r="R49" s="153">
        <v>5682.5</v>
      </c>
      <c r="T49" s="153">
        <v>4413.5469999999996</v>
      </c>
      <c r="U49" s="167">
        <v>0</v>
      </c>
      <c r="V49" s="167">
        <v>1.89892418913221E-2</v>
      </c>
      <c r="W49" s="167">
        <v>4.0262285341527201E-3</v>
      </c>
    </row>
    <row r="50" spans="1:23">
      <c r="A50" s="2" t="s">
        <v>26</v>
      </c>
      <c r="B50" s="2">
        <v>9935</v>
      </c>
      <c r="C50" s="2" t="s">
        <v>1400</v>
      </c>
      <c r="D50" s="2" t="s">
        <v>1401</v>
      </c>
      <c r="E50" s="4" t="s">
        <v>335</v>
      </c>
      <c r="F50" s="2" t="s">
        <v>1491</v>
      </c>
      <c r="G50" s="2" t="s">
        <v>1439</v>
      </c>
      <c r="H50" s="2" t="s">
        <v>343</v>
      </c>
      <c r="I50" s="2" t="s">
        <v>1005</v>
      </c>
      <c r="J50" s="2" t="s">
        <v>124</v>
      </c>
      <c r="K50" s="2" t="s">
        <v>1440</v>
      </c>
      <c r="L50" s="2" t="s">
        <v>32</v>
      </c>
      <c r="M50" s="2" t="s">
        <v>757</v>
      </c>
      <c r="N50" s="2" t="s">
        <v>159</v>
      </c>
      <c r="O50" s="2" t="s">
        <v>1206</v>
      </c>
      <c r="P50" s="154">
        <v>8000</v>
      </c>
      <c r="Q50" s="153">
        <v>3.9790000000000001</v>
      </c>
      <c r="R50" s="153">
        <v>5272</v>
      </c>
      <c r="T50" s="153">
        <v>1678.2249999999999</v>
      </c>
      <c r="U50" s="167">
        <v>0</v>
      </c>
      <c r="V50" s="167">
        <v>7.2205478742619804E-3</v>
      </c>
      <c r="W50" s="167">
        <v>1.53094978988365E-3</v>
      </c>
    </row>
    <row r="51" spans="1:23">
      <c r="A51" s="2" t="s">
        <v>26</v>
      </c>
      <c r="B51" s="2">
        <v>9935</v>
      </c>
      <c r="C51" s="2" t="s">
        <v>1400</v>
      </c>
      <c r="D51" s="2" t="s">
        <v>1401</v>
      </c>
      <c r="E51" s="4" t="s">
        <v>335</v>
      </c>
      <c r="F51" s="2" t="s">
        <v>1441</v>
      </c>
      <c r="G51" s="2" t="s">
        <v>1442</v>
      </c>
      <c r="H51" s="2" t="s">
        <v>343</v>
      </c>
      <c r="I51" s="2" t="s">
        <v>1005</v>
      </c>
      <c r="J51" s="2" t="s">
        <v>124</v>
      </c>
      <c r="K51" s="2" t="s">
        <v>125</v>
      </c>
      <c r="L51" s="2" t="s">
        <v>366</v>
      </c>
      <c r="M51" s="2" t="s">
        <v>757</v>
      </c>
      <c r="N51" s="2" t="s">
        <v>159</v>
      </c>
      <c r="O51" s="2" t="s">
        <v>35</v>
      </c>
      <c r="P51" s="154">
        <v>12624</v>
      </c>
      <c r="Q51" s="153">
        <v>3.681</v>
      </c>
      <c r="R51" s="153">
        <v>480.7</v>
      </c>
      <c r="T51" s="153">
        <v>22337.620999999999</v>
      </c>
      <c r="U51" s="167">
        <v>1.8E-5</v>
      </c>
      <c r="V51" s="167">
        <v>9.6107401461666797E-2</v>
      </c>
      <c r="W51" s="167">
        <v>2.0377346516664601E-2</v>
      </c>
    </row>
    <row r="52" spans="1:23">
      <c r="A52" s="2" t="s">
        <v>26</v>
      </c>
      <c r="B52" s="2">
        <v>9935</v>
      </c>
      <c r="C52" s="2" t="s">
        <v>1400</v>
      </c>
      <c r="D52" s="2" t="s">
        <v>1401</v>
      </c>
      <c r="E52" s="4" t="s">
        <v>335</v>
      </c>
      <c r="F52" s="2" t="s">
        <v>1402</v>
      </c>
      <c r="G52" s="2" t="s">
        <v>1403</v>
      </c>
      <c r="H52" s="2" t="s">
        <v>343</v>
      </c>
      <c r="I52" s="2" t="s">
        <v>1007</v>
      </c>
      <c r="J52" s="2" t="s">
        <v>124</v>
      </c>
      <c r="K52" s="2" t="s">
        <v>125</v>
      </c>
      <c r="L52" s="2" t="s">
        <v>32</v>
      </c>
      <c r="M52" s="2" t="s">
        <v>754</v>
      </c>
      <c r="N52" s="2" t="s">
        <v>159</v>
      </c>
      <c r="O52" s="2" t="s">
        <v>35</v>
      </c>
      <c r="P52" s="154">
        <v>14100</v>
      </c>
      <c r="Q52" s="153">
        <v>3.681</v>
      </c>
      <c r="R52" s="153">
        <v>5525</v>
      </c>
      <c r="T52" s="153">
        <v>2867.5909999999999</v>
      </c>
      <c r="U52" s="167">
        <v>0</v>
      </c>
      <c r="V52" s="167">
        <v>1.2337782844884E-2</v>
      </c>
      <c r="W52" s="167">
        <v>2.6159408375830201E-3</v>
      </c>
    </row>
    <row r="53" spans="1:23">
      <c r="A53" s="2" t="s">
        <v>26</v>
      </c>
      <c r="B53" s="2">
        <v>9935</v>
      </c>
      <c r="C53" s="2" t="s">
        <v>1443</v>
      </c>
      <c r="D53" s="2" t="s">
        <v>1444</v>
      </c>
      <c r="E53" s="4" t="s">
        <v>335</v>
      </c>
      <c r="F53" s="2" t="s">
        <v>1492</v>
      </c>
      <c r="G53" s="2" t="s">
        <v>1493</v>
      </c>
      <c r="H53" s="2" t="s">
        <v>343</v>
      </c>
      <c r="I53" s="2" t="s">
        <v>1005</v>
      </c>
      <c r="J53" s="2" t="s">
        <v>124</v>
      </c>
      <c r="K53" s="2" t="s">
        <v>125</v>
      </c>
      <c r="L53" s="2" t="s">
        <v>32</v>
      </c>
      <c r="M53" s="2" t="s">
        <v>757</v>
      </c>
      <c r="N53" s="2" t="s">
        <v>159</v>
      </c>
      <c r="O53" s="2" t="s">
        <v>35</v>
      </c>
      <c r="P53" s="154">
        <v>11500</v>
      </c>
      <c r="Q53" s="153">
        <v>3.681</v>
      </c>
      <c r="R53" s="153">
        <v>4107</v>
      </c>
      <c r="T53" s="153">
        <v>1738.5550000000001</v>
      </c>
      <c r="U53" s="167">
        <v>0</v>
      </c>
      <c r="V53" s="167">
        <v>7.4801149212835498E-3</v>
      </c>
      <c r="W53" s="167">
        <v>1.58598496491723E-3</v>
      </c>
    </row>
    <row r="54" spans="1:23">
      <c r="A54" s="2" t="s">
        <v>26</v>
      </c>
      <c r="B54" s="2">
        <v>9935</v>
      </c>
      <c r="C54" s="2" t="s">
        <v>1443</v>
      </c>
      <c r="D54" s="2" t="s">
        <v>1444</v>
      </c>
      <c r="E54" s="4" t="s">
        <v>335</v>
      </c>
      <c r="F54" s="2" t="s">
        <v>1445</v>
      </c>
      <c r="G54" s="2" t="s">
        <v>1446</v>
      </c>
      <c r="H54" s="2" t="s">
        <v>343</v>
      </c>
      <c r="I54" s="2" t="s">
        <v>1005</v>
      </c>
      <c r="J54" s="2" t="s">
        <v>124</v>
      </c>
      <c r="K54" s="2" t="s">
        <v>274</v>
      </c>
      <c r="L54" s="2" t="s">
        <v>366</v>
      </c>
      <c r="M54" s="2" t="s">
        <v>757</v>
      </c>
      <c r="N54" s="2" t="s">
        <v>159</v>
      </c>
      <c r="O54" s="2" t="s">
        <v>35</v>
      </c>
      <c r="P54" s="154">
        <v>4200</v>
      </c>
      <c r="Q54" s="153">
        <v>3.681</v>
      </c>
      <c r="R54" s="153">
        <v>108.5</v>
      </c>
      <c r="T54" s="153">
        <v>1677.432</v>
      </c>
      <c r="U54" s="167">
        <v>1.3999999999999999E-4</v>
      </c>
      <c r="V54" s="167">
        <v>7.21713377929286E-3</v>
      </c>
      <c r="W54" s="167">
        <v>1.53022591019105E-3</v>
      </c>
    </row>
    <row r="55" spans="1:23">
      <c r="A55" s="2" t="s">
        <v>26</v>
      </c>
      <c r="B55" s="2">
        <v>9935</v>
      </c>
      <c r="C55" s="2" t="s">
        <v>1414</v>
      </c>
      <c r="D55" s="2" t="s">
        <v>1415</v>
      </c>
      <c r="E55" s="4" t="s">
        <v>335</v>
      </c>
      <c r="F55" s="2" t="s">
        <v>1416</v>
      </c>
      <c r="G55" s="2" t="s">
        <v>1417</v>
      </c>
      <c r="H55" s="2" t="s">
        <v>343</v>
      </c>
      <c r="I55" s="2" t="s">
        <v>1005</v>
      </c>
      <c r="J55" s="2" t="s">
        <v>124</v>
      </c>
      <c r="K55" s="2" t="s">
        <v>316</v>
      </c>
      <c r="L55" s="2" t="s">
        <v>390</v>
      </c>
      <c r="M55" s="2" t="s">
        <v>757</v>
      </c>
      <c r="N55" s="2" t="s">
        <v>159</v>
      </c>
      <c r="O55" s="2" t="s">
        <v>1206</v>
      </c>
      <c r="P55" s="154">
        <v>59000</v>
      </c>
      <c r="Q55" s="153">
        <v>3.9790000000000001</v>
      </c>
      <c r="R55" s="153">
        <v>5115</v>
      </c>
      <c r="T55" s="153">
        <v>12008.326999999999</v>
      </c>
      <c r="U55" s="167">
        <v>6.0499999999999996E-4</v>
      </c>
      <c r="V55" s="167">
        <v>5.1665711310559401E-2</v>
      </c>
      <c r="W55" s="167">
        <v>1.09545163680775E-2</v>
      </c>
    </row>
    <row r="56" spans="1:23">
      <c r="A56" s="2" t="s">
        <v>26</v>
      </c>
      <c r="B56" s="2">
        <v>9935</v>
      </c>
      <c r="C56" s="2" t="s">
        <v>1414</v>
      </c>
      <c r="D56" s="2" t="s">
        <v>1415</v>
      </c>
      <c r="E56" s="4" t="s">
        <v>335</v>
      </c>
      <c r="F56" s="2" t="s">
        <v>1418</v>
      </c>
      <c r="G56" s="2" t="s">
        <v>1419</v>
      </c>
      <c r="H56" s="2" t="s">
        <v>343</v>
      </c>
      <c r="I56" s="2" t="s">
        <v>1005</v>
      </c>
      <c r="J56" s="2" t="s">
        <v>124</v>
      </c>
      <c r="K56" s="2" t="s">
        <v>125</v>
      </c>
      <c r="L56" s="2" t="s">
        <v>368</v>
      </c>
      <c r="M56" s="2" t="s">
        <v>757</v>
      </c>
      <c r="N56" s="2" t="s">
        <v>159</v>
      </c>
      <c r="O56" s="2" t="s">
        <v>35</v>
      </c>
      <c r="P56" s="154">
        <v>2400</v>
      </c>
      <c r="Q56" s="153">
        <v>3.681</v>
      </c>
      <c r="R56" s="153">
        <v>22592</v>
      </c>
      <c r="T56" s="153">
        <v>1995.8679999999999</v>
      </c>
      <c r="U56" s="167">
        <v>1.3799999999999999E-4</v>
      </c>
      <c r="V56" s="167">
        <v>8.5872013873224094E-3</v>
      </c>
      <c r="W56" s="167">
        <v>1.8207169855450299E-3</v>
      </c>
    </row>
    <row r="57" spans="1:23">
      <c r="A57" s="2" t="s">
        <v>26</v>
      </c>
      <c r="B57" s="2">
        <v>9935</v>
      </c>
      <c r="C57" s="2" t="s">
        <v>1404</v>
      </c>
      <c r="D57" s="2" t="s">
        <v>1405</v>
      </c>
      <c r="E57" s="4" t="s">
        <v>335</v>
      </c>
      <c r="F57" s="2" t="s">
        <v>1404</v>
      </c>
      <c r="G57" s="2" t="s">
        <v>1469</v>
      </c>
      <c r="H57" s="2" t="s">
        <v>343</v>
      </c>
      <c r="I57" s="2" t="s">
        <v>1005</v>
      </c>
      <c r="J57" s="2" t="s">
        <v>124</v>
      </c>
      <c r="K57" s="2" t="s">
        <v>125</v>
      </c>
      <c r="L57" s="2" t="s">
        <v>32</v>
      </c>
      <c r="M57" s="2" t="s">
        <v>757</v>
      </c>
      <c r="N57" s="2" t="s">
        <v>159</v>
      </c>
      <c r="O57" s="2" t="s">
        <v>35</v>
      </c>
      <c r="P57" s="154">
        <v>210000</v>
      </c>
      <c r="Q57" s="153">
        <v>3.681</v>
      </c>
      <c r="R57" s="153">
        <v>574.29999999999995</v>
      </c>
      <c r="T57" s="153">
        <v>4439.3959999999997</v>
      </c>
      <c r="U57" s="167">
        <v>0</v>
      </c>
      <c r="V57" s="167">
        <v>1.91004605043682E-2</v>
      </c>
      <c r="W57" s="167">
        <v>4.0498098627775097E-3</v>
      </c>
    </row>
    <row r="58" spans="1:23">
      <c r="A58" s="2" t="s">
        <v>26</v>
      </c>
      <c r="B58" s="2">
        <v>9935</v>
      </c>
      <c r="C58" s="2" t="s">
        <v>1420</v>
      </c>
      <c r="D58" s="2" t="s">
        <v>1421</v>
      </c>
      <c r="E58" s="4" t="s">
        <v>335</v>
      </c>
      <c r="F58" s="2" t="s">
        <v>1422</v>
      </c>
      <c r="G58" s="2" t="s">
        <v>1423</v>
      </c>
      <c r="H58" s="2" t="s">
        <v>343</v>
      </c>
      <c r="I58" s="2" t="s">
        <v>1005</v>
      </c>
      <c r="J58" s="2" t="s">
        <v>124</v>
      </c>
      <c r="K58" s="2" t="s">
        <v>125</v>
      </c>
      <c r="L58" s="2" t="s">
        <v>368</v>
      </c>
      <c r="M58" s="2" t="s">
        <v>757</v>
      </c>
      <c r="N58" s="2" t="s">
        <v>159</v>
      </c>
      <c r="O58" s="2" t="s">
        <v>35</v>
      </c>
      <c r="P58" s="154">
        <v>3630</v>
      </c>
      <c r="Q58" s="153">
        <v>3.681</v>
      </c>
      <c r="R58" s="153">
        <v>444.01</v>
      </c>
      <c r="S58" s="158">
        <v>1.59</v>
      </c>
      <c r="T58" s="153">
        <v>5938.7259999999997</v>
      </c>
      <c r="U58" s="167">
        <v>6.9999999999999999E-6</v>
      </c>
      <c r="V58" s="167">
        <v>2.5551313130005901E-2</v>
      </c>
      <c r="W58" s="167">
        <v>5.4175636182776602E-3</v>
      </c>
    </row>
    <row r="59" spans="1:23">
      <c r="A59" s="2" t="s">
        <v>26</v>
      </c>
      <c r="B59" s="2">
        <v>9935</v>
      </c>
      <c r="C59" s="2" t="s">
        <v>1420</v>
      </c>
      <c r="D59" s="2" t="s">
        <v>1421</v>
      </c>
      <c r="E59" s="4" t="s">
        <v>335</v>
      </c>
      <c r="F59" s="2" t="s">
        <v>1424</v>
      </c>
      <c r="G59" s="2" t="s">
        <v>1425</v>
      </c>
      <c r="H59" s="2" t="s">
        <v>343</v>
      </c>
      <c r="I59" s="2" t="s">
        <v>1005</v>
      </c>
      <c r="J59" s="2" t="s">
        <v>124</v>
      </c>
      <c r="K59" s="2" t="s">
        <v>125</v>
      </c>
      <c r="L59" s="2" t="s">
        <v>32</v>
      </c>
      <c r="M59" s="2" t="s">
        <v>757</v>
      </c>
      <c r="N59" s="2" t="s">
        <v>159</v>
      </c>
      <c r="O59" s="2" t="s">
        <v>35</v>
      </c>
      <c r="P59" s="154">
        <v>214</v>
      </c>
      <c r="Q59" s="153">
        <v>3.681</v>
      </c>
      <c r="R59" s="153">
        <v>102524</v>
      </c>
      <c r="T59" s="153">
        <v>807.61599999999999</v>
      </c>
      <c r="U59" s="167">
        <v>4.1999999999999998E-5</v>
      </c>
      <c r="V59" s="167">
        <v>3.4747618312020901E-3</v>
      </c>
      <c r="W59" s="167">
        <v>7.3674269432335801E-4</v>
      </c>
    </row>
    <row r="60" spans="1:23">
      <c r="A60" s="2" t="s">
        <v>26</v>
      </c>
      <c r="B60" s="2">
        <v>9935</v>
      </c>
      <c r="C60" s="2" t="s">
        <v>1430</v>
      </c>
      <c r="D60" s="2" t="s">
        <v>1431</v>
      </c>
      <c r="E60" s="4" t="s">
        <v>335</v>
      </c>
      <c r="F60" s="2" t="s">
        <v>1432</v>
      </c>
      <c r="G60" s="2" t="s">
        <v>1433</v>
      </c>
      <c r="H60" s="2" t="s">
        <v>343</v>
      </c>
      <c r="I60" s="2" t="s">
        <v>1005</v>
      </c>
      <c r="J60" s="2" t="s">
        <v>124</v>
      </c>
      <c r="K60" s="2" t="s">
        <v>125</v>
      </c>
      <c r="L60" s="2" t="s">
        <v>32</v>
      </c>
      <c r="M60" s="2" t="s">
        <v>757</v>
      </c>
      <c r="N60" s="2" t="s">
        <v>159</v>
      </c>
      <c r="O60" s="2" t="s">
        <v>35</v>
      </c>
      <c r="P60" s="154">
        <v>280000</v>
      </c>
      <c r="Q60" s="153">
        <v>3.681</v>
      </c>
      <c r="R60" s="153">
        <v>1267.5999999999999</v>
      </c>
      <c r="T60" s="153">
        <v>13064.9</v>
      </c>
      <c r="U60" s="167">
        <v>0</v>
      </c>
      <c r="V60" s="167">
        <v>5.6211605398658299E-2</v>
      </c>
      <c r="W60" s="167">
        <v>1.1918367826471101E-2</v>
      </c>
    </row>
    <row r="61" spans="1:23">
      <c r="A61" s="2" t="s">
        <v>26</v>
      </c>
      <c r="B61" s="2">
        <v>9935</v>
      </c>
      <c r="C61" s="2" t="s">
        <v>1400</v>
      </c>
      <c r="D61" s="2" t="s">
        <v>1401</v>
      </c>
      <c r="E61" s="4" t="s">
        <v>335</v>
      </c>
      <c r="F61" s="2" t="s">
        <v>1438</v>
      </c>
      <c r="G61" s="2" t="s">
        <v>1439</v>
      </c>
      <c r="H61" s="2" t="s">
        <v>343</v>
      </c>
      <c r="I61" s="2" t="s">
        <v>1005</v>
      </c>
      <c r="J61" s="2" t="s">
        <v>124</v>
      </c>
      <c r="K61" s="2" t="s">
        <v>1440</v>
      </c>
      <c r="L61" s="2" t="s">
        <v>32</v>
      </c>
      <c r="M61" s="2" t="s">
        <v>757</v>
      </c>
      <c r="N61" s="2" t="s">
        <v>159</v>
      </c>
      <c r="O61" s="2" t="s">
        <v>35</v>
      </c>
      <c r="P61" s="154">
        <v>11000</v>
      </c>
      <c r="Q61" s="153">
        <v>3.681</v>
      </c>
      <c r="R61" s="153">
        <v>5682.5</v>
      </c>
      <c r="T61" s="153">
        <v>2300.9009999999998</v>
      </c>
      <c r="U61" s="167">
        <v>0</v>
      </c>
      <c r="V61" s="167">
        <v>9.8996047774665002E-3</v>
      </c>
      <c r="W61" s="167">
        <v>2.0989817002691901E-3</v>
      </c>
    </row>
    <row r="62" spans="1:23">
      <c r="A62" s="2" t="s">
        <v>26</v>
      </c>
      <c r="B62" s="2">
        <v>9935</v>
      </c>
      <c r="C62" s="2" t="s">
        <v>1443</v>
      </c>
      <c r="D62" s="2" t="s">
        <v>1444</v>
      </c>
      <c r="E62" s="4" t="s">
        <v>335</v>
      </c>
      <c r="F62" s="2" t="s">
        <v>1445</v>
      </c>
      <c r="G62" s="2" t="s">
        <v>1446</v>
      </c>
      <c r="H62" s="2" t="s">
        <v>343</v>
      </c>
      <c r="I62" s="2" t="s">
        <v>1005</v>
      </c>
      <c r="J62" s="2" t="s">
        <v>124</v>
      </c>
      <c r="K62" s="2" t="s">
        <v>274</v>
      </c>
      <c r="L62" s="2" t="s">
        <v>366</v>
      </c>
      <c r="M62" s="2" t="s">
        <v>757</v>
      </c>
      <c r="N62" s="2" t="s">
        <v>159</v>
      </c>
      <c r="O62" s="2" t="s">
        <v>35</v>
      </c>
      <c r="P62" s="154">
        <v>6000</v>
      </c>
      <c r="Q62" s="153">
        <v>3.681</v>
      </c>
      <c r="R62" s="153">
        <v>108.5</v>
      </c>
      <c r="T62" s="153">
        <v>2396.3310000000001</v>
      </c>
      <c r="U62" s="167">
        <v>1.9900000000000001E-4</v>
      </c>
      <c r="V62" s="167">
        <v>1.03101911132755E-2</v>
      </c>
      <c r="W62" s="167">
        <v>2.1860370145586399E-3</v>
      </c>
    </row>
    <row r="63" spans="1:23">
      <c r="A63" s="2" t="s">
        <v>26</v>
      </c>
      <c r="B63" s="2">
        <v>9935</v>
      </c>
      <c r="C63" s="2" t="s">
        <v>1447</v>
      </c>
      <c r="D63" s="2" t="s">
        <v>1448</v>
      </c>
      <c r="E63" s="4" t="s">
        <v>1345</v>
      </c>
      <c r="F63" s="2" t="s">
        <v>1449</v>
      </c>
      <c r="G63" s="2" t="s">
        <v>1450</v>
      </c>
      <c r="H63" s="2" t="s">
        <v>343</v>
      </c>
      <c r="I63" s="2" t="s">
        <v>1005</v>
      </c>
      <c r="J63" s="2" t="s">
        <v>124</v>
      </c>
      <c r="K63" s="2" t="s">
        <v>125</v>
      </c>
      <c r="L63" s="2" t="s">
        <v>49</v>
      </c>
      <c r="M63" s="2" t="s">
        <v>1378</v>
      </c>
      <c r="N63" s="2" t="s">
        <v>362</v>
      </c>
      <c r="O63" s="2" t="s">
        <v>45</v>
      </c>
      <c r="P63" s="154">
        <v>61000</v>
      </c>
      <c r="Q63" s="153">
        <v>1</v>
      </c>
      <c r="R63" s="153">
        <v>8318</v>
      </c>
      <c r="T63" s="153">
        <v>5073.9799999999996</v>
      </c>
      <c r="U63" s="167">
        <v>4.5189999999999996E-3</v>
      </c>
      <c r="V63" s="167">
        <v>2.18307502197892E-2</v>
      </c>
      <c r="W63" s="167">
        <v>4.6287045033137197E-3</v>
      </c>
    </row>
    <row r="64" spans="1:23">
      <c r="A64" s="2" t="s">
        <v>26</v>
      </c>
      <c r="B64" s="2">
        <v>9936</v>
      </c>
      <c r="C64" s="2" t="s">
        <v>1404</v>
      </c>
      <c r="D64" s="2" t="s">
        <v>1405</v>
      </c>
      <c r="E64" s="4" t="s">
        <v>335</v>
      </c>
      <c r="F64" s="2" t="s">
        <v>1406</v>
      </c>
      <c r="G64" s="2" t="s">
        <v>1407</v>
      </c>
      <c r="H64" s="2" t="s">
        <v>343</v>
      </c>
      <c r="I64" s="2" t="s">
        <v>1005</v>
      </c>
      <c r="J64" s="2" t="s">
        <v>124</v>
      </c>
      <c r="K64" s="2" t="s">
        <v>125</v>
      </c>
      <c r="L64" s="2" t="s">
        <v>366</v>
      </c>
      <c r="M64" s="2" t="s">
        <v>1383</v>
      </c>
      <c r="N64" s="2" t="s">
        <v>159</v>
      </c>
      <c r="O64" s="2" t="s">
        <v>35</v>
      </c>
      <c r="P64" s="154">
        <v>240</v>
      </c>
      <c r="Q64" s="153">
        <v>3.681</v>
      </c>
      <c r="R64" s="153">
        <v>115.77</v>
      </c>
      <c r="T64" s="153">
        <v>102.276</v>
      </c>
      <c r="U64" s="167">
        <v>6.9999999999999999E-6</v>
      </c>
      <c r="V64" s="167">
        <v>2.4763071415062302E-2</v>
      </c>
      <c r="W64" s="167">
        <v>6.7186604169888701E-3</v>
      </c>
    </row>
    <row r="65" spans="1:23">
      <c r="A65" s="2" t="s">
        <v>26</v>
      </c>
      <c r="B65" s="2">
        <v>9936</v>
      </c>
      <c r="C65" s="2" t="s">
        <v>1374</v>
      </c>
      <c r="D65" s="2" t="s">
        <v>1375</v>
      </c>
      <c r="E65" s="4" t="s">
        <v>1345</v>
      </c>
      <c r="F65" s="2" t="s">
        <v>1408</v>
      </c>
      <c r="G65" s="2" t="s">
        <v>1409</v>
      </c>
      <c r="H65" s="2" t="s">
        <v>343</v>
      </c>
      <c r="I65" s="2" t="s">
        <v>1004</v>
      </c>
      <c r="J65" s="2" t="s">
        <v>31</v>
      </c>
      <c r="K65" s="2" t="s">
        <v>31</v>
      </c>
      <c r="L65" s="2" t="s">
        <v>49</v>
      </c>
      <c r="M65" s="2" t="s">
        <v>1388</v>
      </c>
      <c r="N65" s="2" t="s">
        <v>159</v>
      </c>
      <c r="O65" s="2" t="s">
        <v>45</v>
      </c>
      <c r="P65" s="154">
        <v>8400</v>
      </c>
      <c r="Q65" s="153">
        <v>1</v>
      </c>
      <c r="R65" s="153">
        <v>3091</v>
      </c>
      <c r="T65" s="153">
        <v>259.64400000000001</v>
      </c>
      <c r="U65" s="167">
        <v>2.33E-4</v>
      </c>
      <c r="V65" s="167">
        <v>6.2865114197834304E-2</v>
      </c>
      <c r="W65" s="167">
        <v>1.7056420316001901E-2</v>
      </c>
    </row>
    <row r="66" spans="1:23">
      <c r="A66" s="2" t="s">
        <v>26</v>
      </c>
      <c r="B66" s="2">
        <v>9936</v>
      </c>
      <c r="C66" s="2" t="s">
        <v>1451</v>
      </c>
      <c r="D66" s="2" t="s">
        <v>1452</v>
      </c>
      <c r="E66" s="4" t="s">
        <v>1345</v>
      </c>
      <c r="F66" s="2" t="s">
        <v>1453</v>
      </c>
      <c r="G66" s="2" t="s">
        <v>1454</v>
      </c>
      <c r="H66" s="2" t="s">
        <v>343</v>
      </c>
      <c r="I66" s="2" t="s">
        <v>1004</v>
      </c>
      <c r="J66" s="2" t="s">
        <v>31</v>
      </c>
      <c r="K66" s="2" t="s">
        <v>31</v>
      </c>
      <c r="L66" s="2" t="s">
        <v>49</v>
      </c>
      <c r="M66" s="2" t="s">
        <v>1388</v>
      </c>
      <c r="N66" s="2" t="s">
        <v>159</v>
      </c>
      <c r="O66" s="2" t="s">
        <v>45</v>
      </c>
      <c r="P66" s="154">
        <v>3500</v>
      </c>
      <c r="Q66" s="153">
        <v>1</v>
      </c>
      <c r="R66" s="153">
        <v>2053</v>
      </c>
      <c r="T66" s="153">
        <v>71.855000000000004</v>
      </c>
      <c r="U66" s="167">
        <v>7.2000000000000002E-5</v>
      </c>
      <c r="V66" s="167">
        <v>1.7397562742391098E-2</v>
      </c>
      <c r="W66" s="167">
        <v>4.7202672960142203E-3</v>
      </c>
    </row>
    <row r="67" spans="1:23">
      <c r="A67" s="2" t="s">
        <v>26</v>
      </c>
      <c r="B67" s="2">
        <v>9936</v>
      </c>
      <c r="C67" s="2" t="s">
        <v>1379</v>
      </c>
      <c r="D67" s="2" t="s">
        <v>1380</v>
      </c>
      <c r="E67" s="4" t="s">
        <v>1345</v>
      </c>
      <c r="F67" s="2" t="s">
        <v>1410</v>
      </c>
      <c r="G67" s="2" t="s">
        <v>1411</v>
      </c>
      <c r="H67" s="2" t="s">
        <v>343</v>
      </c>
      <c r="I67" s="2" t="s">
        <v>1004</v>
      </c>
      <c r="J67" s="2" t="s">
        <v>31</v>
      </c>
      <c r="K67" s="2" t="s">
        <v>31</v>
      </c>
      <c r="L67" s="2" t="s">
        <v>49</v>
      </c>
      <c r="M67" s="2" t="s">
        <v>1388</v>
      </c>
      <c r="N67" s="2" t="s">
        <v>159</v>
      </c>
      <c r="O67" s="2" t="s">
        <v>45</v>
      </c>
      <c r="P67" s="154">
        <v>390</v>
      </c>
      <c r="Q67" s="153">
        <v>1</v>
      </c>
      <c r="R67" s="153">
        <v>20050</v>
      </c>
      <c r="T67" s="153">
        <v>78.194999999999993</v>
      </c>
      <c r="U67" s="167">
        <v>1.1E-5</v>
      </c>
      <c r="V67" s="167">
        <v>1.8932606201952099E-2</v>
      </c>
      <c r="W67" s="167">
        <v>5.1367518086679002E-3</v>
      </c>
    </row>
    <row r="68" spans="1:23">
      <c r="A68" s="2" t="s">
        <v>26</v>
      </c>
      <c r="B68" s="2">
        <v>9936</v>
      </c>
      <c r="C68" s="2" t="s">
        <v>1379</v>
      </c>
      <c r="D68" s="2" t="s">
        <v>1380</v>
      </c>
      <c r="E68" s="4" t="s">
        <v>1345</v>
      </c>
      <c r="F68" s="2" t="s">
        <v>1412</v>
      </c>
      <c r="G68" s="2" t="s">
        <v>1413</v>
      </c>
      <c r="H68" s="2" t="s">
        <v>343</v>
      </c>
      <c r="I68" s="2" t="s">
        <v>1004</v>
      </c>
      <c r="J68" s="2" t="s">
        <v>31</v>
      </c>
      <c r="K68" s="2" t="s">
        <v>31</v>
      </c>
      <c r="L68" s="2" t="s">
        <v>49</v>
      </c>
      <c r="M68" s="2" t="s">
        <v>1388</v>
      </c>
      <c r="N68" s="2" t="s">
        <v>159</v>
      </c>
      <c r="O68" s="2" t="s">
        <v>45</v>
      </c>
      <c r="P68" s="154">
        <v>360</v>
      </c>
      <c r="Q68" s="153">
        <v>1</v>
      </c>
      <c r="R68" s="153">
        <v>8947</v>
      </c>
      <c r="T68" s="153">
        <v>32.209000000000003</v>
      </c>
      <c r="U68" s="167">
        <v>3.4000000000000002E-4</v>
      </c>
      <c r="V68" s="167">
        <v>7.79850501540912E-3</v>
      </c>
      <c r="W68" s="167">
        <v>2.1158727074077101E-3</v>
      </c>
    </row>
    <row r="69" spans="1:23">
      <c r="A69" s="2" t="s">
        <v>26</v>
      </c>
      <c r="B69" s="2">
        <v>9936</v>
      </c>
      <c r="C69" s="2" t="s">
        <v>1414</v>
      </c>
      <c r="D69" s="2" t="s">
        <v>1415</v>
      </c>
      <c r="E69" s="4" t="s">
        <v>335</v>
      </c>
      <c r="F69" s="2" t="s">
        <v>1416</v>
      </c>
      <c r="G69" s="2" t="s">
        <v>1417</v>
      </c>
      <c r="H69" s="2" t="s">
        <v>343</v>
      </c>
      <c r="I69" s="2" t="s">
        <v>1005</v>
      </c>
      <c r="J69" s="2" t="s">
        <v>124</v>
      </c>
      <c r="K69" s="2" t="s">
        <v>316</v>
      </c>
      <c r="L69" s="2" t="s">
        <v>390</v>
      </c>
      <c r="M69" s="2" t="s">
        <v>757</v>
      </c>
      <c r="N69" s="2" t="s">
        <v>159</v>
      </c>
      <c r="O69" s="2" t="s">
        <v>1206</v>
      </c>
      <c r="P69" s="154">
        <v>1000</v>
      </c>
      <c r="Q69" s="153">
        <v>3.9790000000000001</v>
      </c>
      <c r="R69" s="153">
        <v>5115</v>
      </c>
      <c r="T69" s="153">
        <v>203.53100000000001</v>
      </c>
      <c r="U69" s="167">
        <v>1.0000000000000001E-5</v>
      </c>
      <c r="V69" s="167">
        <v>4.9279002624826401E-2</v>
      </c>
      <c r="W69" s="167">
        <v>1.33702673135581E-2</v>
      </c>
    </row>
    <row r="70" spans="1:23">
      <c r="A70" s="2" t="s">
        <v>26</v>
      </c>
      <c r="B70" s="2">
        <v>9936</v>
      </c>
      <c r="C70" s="2" t="s">
        <v>1404</v>
      </c>
      <c r="D70" s="2" t="s">
        <v>1405</v>
      </c>
      <c r="E70" s="4" t="s">
        <v>335</v>
      </c>
      <c r="F70" s="2" t="s">
        <v>1404</v>
      </c>
      <c r="G70" s="2" t="s">
        <v>1469</v>
      </c>
      <c r="H70" s="2" t="s">
        <v>343</v>
      </c>
      <c r="I70" s="2" t="s">
        <v>1005</v>
      </c>
      <c r="J70" s="2" t="s">
        <v>124</v>
      </c>
      <c r="K70" s="2" t="s">
        <v>125</v>
      </c>
      <c r="L70" s="2" t="s">
        <v>32</v>
      </c>
      <c r="M70" s="2" t="s">
        <v>757</v>
      </c>
      <c r="N70" s="2" t="s">
        <v>159</v>
      </c>
      <c r="O70" s="2" t="s">
        <v>35</v>
      </c>
      <c r="P70" s="154">
        <v>7000</v>
      </c>
      <c r="Q70" s="153">
        <v>3.681</v>
      </c>
      <c r="R70" s="153">
        <v>574.29999999999995</v>
      </c>
      <c r="T70" s="153">
        <v>147.97999999999999</v>
      </c>
      <c r="U70" s="167">
        <v>0</v>
      </c>
      <c r="V70" s="167">
        <v>3.58289508636708E-2</v>
      </c>
      <c r="W70" s="167">
        <v>9.7210297509202695E-3</v>
      </c>
    </row>
    <row r="71" spans="1:23">
      <c r="A71" s="2" t="s">
        <v>26</v>
      </c>
      <c r="B71" s="2">
        <v>9936</v>
      </c>
      <c r="C71" s="2" t="s">
        <v>1476</v>
      </c>
      <c r="D71" s="2" t="s">
        <v>1477</v>
      </c>
      <c r="E71" s="4" t="s">
        <v>335</v>
      </c>
      <c r="F71" s="2" t="s">
        <v>1478</v>
      </c>
      <c r="G71" s="2" t="s">
        <v>1479</v>
      </c>
      <c r="H71" s="2" t="s">
        <v>343</v>
      </c>
      <c r="I71" s="2" t="s">
        <v>1005</v>
      </c>
      <c r="J71" s="2" t="s">
        <v>124</v>
      </c>
      <c r="K71" s="2" t="s">
        <v>125</v>
      </c>
      <c r="L71" s="2" t="s">
        <v>32</v>
      </c>
      <c r="M71" s="2" t="s">
        <v>757</v>
      </c>
      <c r="N71" s="2" t="s">
        <v>159</v>
      </c>
      <c r="O71" s="2" t="s">
        <v>35</v>
      </c>
      <c r="P71" s="154">
        <v>25</v>
      </c>
      <c r="Q71" s="153">
        <v>3.681</v>
      </c>
      <c r="R71" s="153">
        <v>37152.5</v>
      </c>
      <c r="T71" s="153">
        <v>34.19</v>
      </c>
      <c r="U71" s="167">
        <v>3.0000000000000001E-6</v>
      </c>
      <c r="V71" s="167">
        <v>8.2779974189854007E-3</v>
      </c>
      <c r="W71" s="167">
        <v>2.24596749969569E-3</v>
      </c>
    </row>
    <row r="72" spans="1:23">
      <c r="A72" s="2" t="s">
        <v>26</v>
      </c>
      <c r="B72" s="2">
        <v>9936</v>
      </c>
      <c r="C72" s="2" t="s">
        <v>1420</v>
      </c>
      <c r="D72" s="2" t="s">
        <v>1421</v>
      </c>
      <c r="E72" s="4" t="s">
        <v>335</v>
      </c>
      <c r="F72" s="2" t="s">
        <v>1422</v>
      </c>
      <c r="G72" s="2" t="s">
        <v>1423</v>
      </c>
      <c r="H72" s="2" t="s">
        <v>343</v>
      </c>
      <c r="I72" s="2" t="s">
        <v>1005</v>
      </c>
      <c r="J72" s="2" t="s">
        <v>124</v>
      </c>
      <c r="K72" s="2" t="s">
        <v>125</v>
      </c>
      <c r="L72" s="2" t="s">
        <v>368</v>
      </c>
      <c r="M72" s="2" t="s">
        <v>757</v>
      </c>
      <c r="N72" s="2" t="s">
        <v>159</v>
      </c>
      <c r="O72" s="2" t="s">
        <v>35</v>
      </c>
      <c r="P72" s="154">
        <v>55</v>
      </c>
      <c r="Q72" s="153">
        <v>3.681</v>
      </c>
      <c r="R72" s="153">
        <v>444.01</v>
      </c>
      <c r="S72" s="158">
        <v>2.4E-2</v>
      </c>
      <c r="T72" s="153">
        <v>89.980999999999995</v>
      </c>
      <c r="U72" s="167">
        <v>0</v>
      </c>
      <c r="V72" s="167">
        <v>2.1786161089164601E-2</v>
      </c>
      <c r="W72" s="167">
        <v>5.9109718537935698E-3</v>
      </c>
    </row>
    <row r="73" spans="1:23">
      <c r="A73" s="2" t="s">
        <v>26</v>
      </c>
      <c r="B73" s="2">
        <v>9936</v>
      </c>
      <c r="C73" s="2" t="s">
        <v>1420</v>
      </c>
      <c r="D73" s="2" t="s">
        <v>1421</v>
      </c>
      <c r="E73" s="4" t="s">
        <v>335</v>
      </c>
      <c r="F73" s="2" t="s">
        <v>1424</v>
      </c>
      <c r="G73" s="2" t="s">
        <v>1425</v>
      </c>
      <c r="H73" s="2" t="s">
        <v>343</v>
      </c>
      <c r="I73" s="2" t="s">
        <v>1005</v>
      </c>
      <c r="J73" s="2" t="s">
        <v>124</v>
      </c>
      <c r="K73" s="2" t="s">
        <v>125</v>
      </c>
      <c r="L73" s="2" t="s">
        <v>32</v>
      </c>
      <c r="M73" s="2" t="s">
        <v>757</v>
      </c>
      <c r="N73" s="2" t="s">
        <v>159</v>
      </c>
      <c r="O73" s="2" t="s">
        <v>35</v>
      </c>
      <c r="P73" s="154">
        <v>109</v>
      </c>
      <c r="Q73" s="153">
        <v>3.681</v>
      </c>
      <c r="R73" s="153">
        <v>102524</v>
      </c>
      <c r="T73" s="153">
        <v>411.35599999999999</v>
      </c>
      <c r="U73" s="167">
        <v>2.0999999999999999E-5</v>
      </c>
      <c r="V73" s="167">
        <v>9.9597692112092004E-2</v>
      </c>
      <c r="W73" s="167">
        <v>2.7022620110441299E-2</v>
      </c>
    </row>
    <row r="74" spans="1:23">
      <c r="A74" s="2" t="s">
        <v>26</v>
      </c>
      <c r="B74" s="2">
        <v>9936</v>
      </c>
      <c r="C74" s="2" t="s">
        <v>1426</v>
      </c>
      <c r="D74" s="2" t="s">
        <v>1427</v>
      </c>
      <c r="E74" s="4" t="s">
        <v>335</v>
      </c>
      <c r="F74" s="2" t="s">
        <v>1428</v>
      </c>
      <c r="G74" s="2" t="s">
        <v>1429</v>
      </c>
      <c r="H74" s="2" t="s">
        <v>343</v>
      </c>
      <c r="I74" s="2" t="s">
        <v>1005</v>
      </c>
      <c r="J74" s="2" t="s">
        <v>124</v>
      </c>
      <c r="K74" s="2" t="s">
        <v>125</v>
      </c>
      <c r="L74" s="2" t="s">
        <v>366</v>
      </c>
      <c r="M74" s="2" t="s">
        <v>757</v>
      </c>
      <c r="N74" s="2" t="s">
        <v>159</v>
      </c>
      <c r="O74" s="2" t="s">
        <v>35</v>
      </c>
      <c r="P74" s="154">
        <v>85</v>
      </c>
      <c r="Q74" s="153">
        <v>3.681</v>
      </c>
      <c r="R74" s="153">
        <v>523.07000000000005</v>
      </c>
      <c r="S74" s="158">
        <v>0.104</v>
      </c>
      <c r="T74" s="153">
        <v>164.042</v>
      </c>
      <c r="U74" s="167">
        <v>0</v>
      </c>
      <c r="V74" s="167">
        <v>3.9717883218508998E-2</v>
      </c>
      <c r="W74" s="167">
        <v>1.07761660641365E-2</v>
      </c>
    </row>
    <row r="75" spans="1:23">
      <c r="A75" s="2" t="s">
        <v>26</v>
      </c>
      <c r="B75" s="2">
        <v>9936</v>
      </c>
      <c r="C75" s="2" t="s">
        <v>1430</v>
      </c>
      <c r="D75" s="2" t="s">
        <v>1431</v>
      </c>
      <c r="E75" s="4" t="s">
        <v>335</v>
      </c>
      <c r="F75" s="2" t="s">
        <v>1432</v>
      </c>
      <c r="G75" s="2" t="s">
        <v>1433</v>
      </c>
      <c r="H75" s="2" t="s">
        <v>343</v>
      </c>
      <c r="I75" s="2" t="s">
        <v>1005</v>
      </c>
      <c r="J75" s="2" t="s">
        <v>124</v>
      </c>
      <c r="K75" s="2" t="s">
        <v>125</v>
      </c>
      <c r="L75" s="2" t="s">
        <v>32</v>
      </c>
      <c r="M75" s="2" t="s">
        <v>757</v>
      </c>
      <c r="N75" s="2" t="s">
        <v>159</v>
      </c>
      <c r="O75" s="2" t="s">
        <v>35</v>
      </c>
      <c r="P75" s="154">
        <v>11000</v>
      </c>
      <c r="Q75" s="153">
        <v>3.681</v>
      </c>
      <c r="R75" s="153">
        <v>1267.5999999999999</v>
      </c>
      <c r="T75" s="153">
        <v>513.26400000000001</v>
      </c>
      <c r="U75" s="167">
        <v>0</v>
      </c>
      <c r="V75" s="167">
        <v>0.124271674650551</v>
      </c>
      <c r="W75" s="167">
        <v>3.3717109135327897E-2</v>
      </c>
    </row>
    <row r="76" spans="1:23">
      <c r="A76" s="2" t="s">
        <v>26</v>
      </c>
      <c r="B76" s="2">
        <v>9936</v>
      </c>
      <c r="C76" s="2" t="s">
        <v>1434</v>
      </c>
      <c r="D76" s="2" t="s">
        <v>1435</v>
      </c>
      <c r="E76" s="4" t="s">
        <v>335</v>
      </c>
      <c r="F76" s="2" t="s">
        <v>1436</v>
      </c>
      <c r="G76" s="2" t="s">
        <v>1437</v>
      </c>
      <c r="H76" s="2" t="s">
        <v>343</v>
      </c>
      <c r="I76" s="2" t="s">
        <v>1005</v>
      </c>
      <c r="J76" s="2" t="s">
        <v>124</v>
      </c>
      <c r="K76" s="2" t="s">
        <v>125</v>
      </c>
      <c r="L76" s="2" t="s">
        <v>368</v>
      </c>
      <c r="M76" s="2" t="s">
        <v>757</v>
      </c>
      <c r="N76" s="2" t="s">
        <v>159</v>
      </c>
      <c r="O76" s="2" t="s">
        <v>35</v>
      </c>
      <c r="P76" s="154">
        <v>40</v>
      </c>
      <c r="Q76" s="153">
        <v>3.681</v>
      </c>
      <c r="R76" s="153">
        <v>22499</v>
      </c>
      <c r="T76" s="153">
        <v>33.128</v>
      </c>
      <c r="U76" s="167">
        <v>1.9999999999999999E-6</v>
      </c>
      <c r="V76" s="167">
        <v>8.02085087914956E-3</v>
      </c>
      <c r="W76" s="167">
        <v>2.1761990832661398E-3</v>
      </c>
    </row>
    <row r="77" spans="1:23">
      <c r="A77" s="2" t="s">
        <v>26</v>
      </c>
      <c r="B77" s="2">
        <v>9936</v>
      </c>
      <c r="C77" s="2" t="s">
        <v>1400</v>
      </c>
      <c r="D77" s="2" t="s">
        <v>1401</v>
      </c>
      <c r="E77" s="4" t="s">
        <v>335</v>
      </c>
      <c r="F77" s="2" t="s">
        <v>1438</v>
      </c>
      <c r="G77" s="2" t="s">
        <v>1439</v>
      </c>
      <c r="H77" s="2" t="s">
        <v>343</v>
      </c>
      <c r="I77" s="2" t="s">
        <v>1005</v>
      </c>
      <c r="J77" s="2" t="s">
        <v>124</v>
      </c>
      <c r="K77" s="2" t="s">
        <v>1440</v>
      </c>
      <c r="L77" s="2" t="s">
        <v>32</v>
      </c>
      <c r="M77" s="2" t="s">
        <v>757</v>
      </c>
      <c r="N77" s="2" t="s">
        <v>159</v>
      </c>
      <c r="O77" s="2" t="s">
        <v>35</v>
      </c>
      <c r="P77" s="154">
        <v>370</v>
      </c>
      <c r="Q77" s="153">
        <v>3.681</v>
      </c>
      <c r="R77" s="153">
        <v>5682.5</v>
      </c>
      <c r="T77" s="153">
        <v>77.394000000000005</v>
      </c>
      <c r="U77" s="167">
        <v>0</v>
      </c>
      <c r="V77" s="167">
        <v>1.8738654489848398E-2</v>
      </c>
      <c r="W77" s="167">
        <v>5.0841292696832503E-3</v>
      </c>
    </row>
    <row r="78" spans="1:23">
      <c r="A78" s="2" t="s">
        <v>26</v>
      </c>
      <c r="B78" s="2">
        <v>9936</v>
      </c>
      <c r="C78" s="2" t="s">
        <v>1400</v>
      </c>
      <c r="D78" s="2" t="s">
        <v>1401</v>
      </c>
      <c r="E78" s="4" t="s">
        <v>335</v>
      </c>
      <c r="F78" s="2" t="s">
        <v>1441</v>
      </c>
      <c r="G78" s="2" t="s">
        <v>1442</v>
      </c>
      <c r="H78" s="2" t="s">
        <v>343</v>
      </c>
      <c r="I78" s="2" t="s">
        <v>1005</v>
      </c>
      <c r="J78" s="2" t="s">
        <v>124</v>
      </c>
      <c r="K78" s="2" t="s">
        <v>125</v>
      </c>
      <c r="L78" s="2" t="s">
        <v>366</v>
      </c>
      <c r="M78" s="2" t="s">
        <v>757</v>
      </c>
      <c r="N78" s="2" t="s">
        <v>159</v>
      </c>
      <c r="O78" s="2" t="s">
        <v>35</v>
      </c>
      <c r="P78" s="154">
        <v>633</v>
      </c>
      <c r="Q78" s="153">
        <v>3.681</v>
      </c>
      <c r="R78" s="153">
        <v>480.7</v>
      </c>
      <c r="T78" s="153">
        <v>1120.066</v>
      </c>
      <c r="U78" s="167">
        <v>9.9999999999999995E-7</v>
      </c>
      <c r="V78" s="167">
        <v>0.27119087183267598</v>
      </c>
      <c r="W78" s="167">
        <v>7.3578892758942499E-2</v>
      </c>
    </row>
    <row r="79" spans="1:23">
      <c r="A79" s="2" t="s">
        <v>26</v>
      </c>
      <c r="B79" s="2">
        <v>9936</v>
      </c>
      <c r="C79" s="2" t="s">
        <v>1443</v>
      </c>
      <c r="D79" s="2" t="s">
        <v>1444</v>
      </c>
      <c r="E79" s="4" t="s">
        <v>335</v>
      </c>
      <c r="F79" s="2" t="s">
        <v>1445</v>
      </c>
      <c r="G79" s="2" t="s">
        <v>1446</v>
      </c>
      <c r="H79" s="2" t="s">
        <v>343</v>
      </c>
      <c r="I79" s="2" t="s">
        <v>1005</v>
      </c>
      <c r="J79" s="2" t="s">
        <v>124</v>
      </c>
      <c r="K79" s="2" t="s">
        <v>274</v>
      </c>
      <c r="L79" s="2" t="s">
        <v>366</v>
      </c>
      <c r="M79" s="2" t="s">
        <v>757</v>
      </c>
      <c r="N79" s="2" t="s">
        <v>159</v>
      </c>
      <c r="O79" s="2" t="s">
        <v>35</v>
      </c>
      <c r="P79" s="154">
        <v>200</v>
      </c>
      <c r="Q79" s="153">
        <v>3.681</v>
      </c>
      <c r="R79" s="153">
        <v>108.5</v>
      </c>
      <c r="T79" s="153">
        <v>79.878</v>
      </c>
      <c r="U79" s="167">
        <v>6.9999999999999999E-6</v>
      </c>
      <c r="V79" s="167">
        <v>1.9340022231826501E-2</v>
      </c>
      <c r="W79" s="167">
        <v>5.2472910025862501E-3</v>
      </c>
    </row>
    <row r="80" spans="1:23">
      <c r="A80" s="2" t="s">
        <v>26</v>
      </c>
      <c r="B80" s="2">
        <v>9936</v>
      </c>
      <c r="C80" s="2" t="s">
        <v>1447</v>
      </c>
      <c r="D80" s="2" t="s">
        <v>1448</v>
      </c>
      <c r="E80" s="4" t="s">
        <v>1345</v>
      </c>
      <c r="F80" s="2" t="s">
        <v>1449</v>
      </c>
      <c r="G80" s="2" t="s">
        <v>1450</v>
      </c>
      <c r="H80" s="2" t="s">
        <v>343</v>
      </c>
      <c r="I80" s="2" t="s">
        <v>1005</v>
      </c>
      <c r="J80" s="2" t="s">
        <v>124</v>
      </c>
      <c r="K80" s="2" t="s">
        <v>125</v>
      </c>
      <c r="L80" s="2" t="s">
        <v>49</v>
      </c>
      <c r="M80" s="2" t="s">
        <v>1378</v>
      </c>
      <c r="N80" s="2" t="s">
        <v>362</v>
      </c>
      <c r="O80" s="2" t="s">
        <v>45</v>
      </c>
      <c r="P80" s="154">
        <v>8550</v>
      </c>
      <c r="Q80" s="153">
        <v>1</v>
      </c>
      <c r="R80" s="153">
        <v>8318</v>
      </c>
      <c r="T80" s="153">
        <v>711.18899999999996</v>
      </c>
      <c r="U80" s="167">
        <v>6.3299999999999999E-4</v>
      </c>
      <c r="V80" s="167">
        <v>0.172193379016051</v>
      </c>
      <c r="W80" s="167">
        <v>4.6719117361144702E-2</v>
      </c>
    </row>
    <row r="81" spans="1:23">
      <c r="A81" s="2" t="s">
        <v>26</v>
      </c>
      <c r="B81" s="2">
        <v>9937</v>
      </c>
      <c r="C81" s="2" t="s">
        <v>1404</v>
      </c>
      <c r="D81" s="2" t="s">
        <v>1405</v>
      </c>
      <c r="E81" s="4" t="s">
        <v>335</v>
      </c>
      <c r="F81" s="2" t="s">
        <v>1406</v>
      </c>
      <c r="G81" s="2" t="s">
        <v>1407</v>
      </c>
      <c r="H81" s="2" t="s">
        <v>343</v>
      </c>
      <c r="I81" s="2" t="s">
        <v>1005</v>
      </c>
      <c r="J81" s="2" t="s">
        <v>124</v>
      </c>
      <c r="K81" s="2" t="s">
        <v>125</v>
      </c>
      <c r="L81" s="2" t="s">
        <v>366</v>
      </c>
      <c r="M81" s="2" t="s">
        <v>1383</v>
      </c>
      <c r="N81" s="2" t="s">
        <v>159</v>
      </c>
      <c r="O81" s="2" t="s">
        <v>35</v>
      </c>
      <c r="P81" s="154">
        <v>265</v>
      </c>
      <c r="Q81" s="153">
        <v>3.681</v>
      </c>
      <c r="R81" s="153">
        <v>115.77</v>
      </c>
      <c r="T81" s="153">
        <v>112.93</v>
      </c>
      <c r="U81" s="167">
        <v>6.9999999999999999E-6</v>
      </c>
      <c r="V81" s="167">
        <v>1.18615210534481E-2</v>
      </c>
      <c r="W81" s="167">
        <v>3.59198804463726E-3</v>
      </c>
    </row>
    <row r="82" spans="1:23">
      <c r="A82" s="2" t="s">
        <v>26</v>
      </c>
      <c r="B82" s="2">
        <v>9937</v>
      </c>
      <c r="C82" s="2" t="s">
        <v>1374</v>
      </c>
      <c r="D82" s="2" t="s">
        <v>1375</v>
      </c>
      <c r="E82" s="4" t="s">
        <v>1345</v>
      </c>
      <c r="F82" s="2" t="s">
        <v>1408</v>
      </c>
      <c r="G82" s="2" t="s">
        <v>1409</v>
      </c>
      <c r="H82" s="2" t="s">
        <v>343</v>
      </c>
      <c r="I82" s="2" t="s">
        <v>1004</v>
      </c>
      <c r="J82" s="2" t="s">
        <v>31</v>
      </c>
      <c r="K82" s="2" t="s">
        <v>31</v>
      </c>
      <c r="L82" s="2" t="s">
        <v>49</v>
      </c>
      <c r="M82" s="2" t="s">
        <v>1388</v>
      </c>
      <c r="N82" s="2" t="s">
        <v>159</v>
      </c>
      <c r="O82" s="2" t="s">
        <v>45</v>
      </c>
      <c r="P82" s="154">
        <v>11059</v>
      </c>
      <c r="Q82" s="153">
        <v>1</v>
      </c>
      <c r="R82" s="153">
        <v>3091</v>
      </c>
      <c r="T82" s="153">
        <v>341.834</v>
      </c>
      <c r="U82" s="167">
        <v>3.0699999999999998E-4</v>
      </c>
      <c r="V82" s="167">
        <v>3.5904387505952401E-2</v>
      </c>
      <c r="W82" s="167">
        <v>1.0872815559680201E-2</v>
      </c>
    </row>
    <row r="83" spans="1:23">
      <c r="A83" s="2" t="s">
        <v>26</v>
      </c>
      <c r="B83" s="2">
        <v>9937</v>
      </c>
      <c r="C83" s="2" t="s">
        <v>1374</v>
      </c>
      <c r="D83" s="2" t="s">
        <v>1375</v>
      </c>
      <c r="E83" s="4" t="s">
        <v>1345</v>
      </c>
      <c r="F83" s="2" t="s">
        <v>1494</v>
      </c>
      <c r="G83" s="2" t="s">
        <v>1495</v>
      </c>
      <c r="H83" s="2" t="s">
        <v>343</v>
      </c>
      <c r="I83" s="2" t="s">
        <v>1006</v>
      </c>
      <c r="J83" s="2" t="s">
        <v>31</v>
      </c>
      <c r="K83" s="2" t="s">
        <v>31</v>
      </c>
      <c r="L83" s="2" t="s">
        <v>49</v>
      </c>
      <c r="M83" s="2" t="s">
        <v>1393</v>
      </c>
      <c r="N83" s="2" t="s">
        <v>159</v>
      </c>
      <c r="O83" s="2" t="s">
        <v>45</v>
      </c>
      <c r="P83" s="154">
        <v>54466</v>
      </c>
      <c r="Q83" s="153">
        <v>1</v>
      </c>
      <c r="R83" s="153">
        <v>457.01</v>
      </c>
      <c r="T83" s="153">
        <v>248.91499999999999</v>
      </c>
      <c r="U83" s="167">
        <v>3.7599999999999998E-4</v>
      </c>
      <c r="V83" s="167">
        <v>2.6144710918565E-2</v>
      </c>
      <c r="W83" s="167">
        <v>7.91732262892904E-3</v>
      </c>
    </row>
    <row r="84" spans="1:23">
      <c r="A84" s="2" t="s">
        <v>26</v>
      </c>
      <c r="B84" s="2">
        <v>9937</v>
      </c>
      <c r="C84" s="2" t="s">
        <v>1374</v>
      </c>
      <c r="D84" s="2" t="s">
        <v>1375</v>
      </c>
      <c r="E84" s="4" t="s">
        <v>1345</v>
      </c>
      <c r="F84" s="2" t="s">
        <v>1496</v>
      </c>
      <c r="G84" s="2" t="s">
        <v>1497</v>
      </c>
      <c r="H84" s="2" t="s">
        <v>343</v>
      </c>
      <c r="I84" s="2" t="s">
        <v>1005</v>
      </c>
      <c r="J84" s="2" t="s">
        <v>31</v>
      </c>
      <c r="K84" s="2" t="s">
        <v>125</v>
      </c>
      <c r="L84" s="2" t="s">
        <v>49</v>
      </c>
      <c r="M84" s="2" t="s">
        <v>1378</v>
      </c>
      <c r="N84" s="2" t="s">
        <v>159</v>
      </c>
      <c r="O84" s="2" t="s">
        <v>45</v>
      </c>
      <c r="P84" s="154">
        <v>4900</v>
      </c>
      <c r="Q84" s="153">
        <v>1</v>
      </c>
      <c r="R84" s="153">
        <v>6781</v>
      </c>
      <c r="T84" s="153">
        <v>332.26900000000001</v>
      </c>
      <c r="U84" s="167">
        <v>2.0100000000000001E-4</v>
      </c>
      <c r="V84" s="167">
        <v>3.4899763485030703E-2</v>
      </c>
      <c r="W84" s="167">
        <v>1.05685883483263E-2</v>
      </c>
    </row>
    <row r="85" spans="1:23">
      <c r="A85" s="2" t="s">
        <v>26</v>
      </c>
      <c r="B85" s="2">
        <v>9937</v>
      </c>
      <c r="C85" s="2" t="s">
        <v>1451</v>
      </c>
      <c r="D85" s="2" t="s">
        <v>1452</v>
      </c>
      <c r="E85" s="4" t="s">
        <v>1345</v>
      </c>
      <c r="F85" s="2" t="s">
        <v>1455</v>
      </c>
      <c r="G85" s="2" t="s">
        <v>1456</v>
      </c>
      <c r="H85" s="2" t="s">
        <v>343</v>
      </c>
      <c r="I85" s="2" t="s">
        <v>1004</v>
      </c>
      <c r="J85" s="2" t="s">
        <v>31</v>
      </c>
      <c r="K85" s="2" t="s">
        <v>31</v>
      </c>
      <c r="L85" s="2" t="s">
        <v>49</v>
      </c>
      <c r="M85" s="2" t="s">
        <v>1388</v>
      </c>
      <c r="N85" s="2" t="s">
        <v>159</v>
      </c>
      <c r="O85" s="2" t="s">
        <v>45</v>
      </c>
      <c r="P85" s="154">
        <v>3700</v>
      </c>
      <c r="Q85" s="153">
        <v>1</v>
      </c>
      <c r="R85" s="153">
        <v>907.2</v>
      </c>
      <c r="T85" s="153">
        <v>33.566000000000003</v>
      </c>
      <c r="U85" s="167">
        <v>2.0900000000000001E-4</v>
      </c>
      <c r="V85" s="167">
        <v>3.52563561765899E-3</v>
      </c>
      <c r="W85" s="167">
        <v>1.06765742195408E-3</v>
      </c>
    </row>
    <row r="86" spans="1:23">
      <c r="A86" s="2" t="s">
        <v>26</v>
      </c>
      <c r="B86" s="2">
        <v>9937</v>
      </c>
      <c r="C86" s="2" t="s">
        <v>1451</v>
      </c>
      <c r="D86" s="2" t="s">
        <v>1452</v>
      </c>
      <c r="E86" s="4" t="s">
        <v>1345</v>
      </c>
      <c r="F86" s="2" t="s">
        <v>1459</v>
      </c>
      <c r="G86" s="2" t="s">
        <v>1460</v>
      </c>
      <c r="H86" s="2" t="s">
        <v>343</v>
      </c>
      <c r="I86" s="2" t="s">
        <v>1004</v>
      </c>
      <c r="J86" s="2" t="s">
        <v>31</v>
      </c>
      <c r="K86" s="2" t="s">
        <v>31</v>
      </c>
      <c r="L86" s="2" t="s">
        <v>49</v>
      </c>
      <c r="M86" s="2" t="s">
        <v>1388</v>
      </c>
      <c r="N86" s="2" t="s">
        <v>159</v>
      </c>
      <c r="O86" s="2" t="s">
        <v>45</v>
      </c>
      <c r="P86" s="154">
        <v>15600</v>
      </c>
      <c r="Q86" s="153">
        <v>1</v>
      </c>
      <c r="R86" s="153">
        <v>2014</v>
      </c>
      <c r="T86" s="153">
        <v>314.18400000000003</v>
      </c>
      <c r="U86" s="167">
        <v>2.7399999999999999E-4</v>
      </c>
      <c r="V86" s="167">
        <v>3.3000211547814802E-2</v>
      </c>
      <c r="W86" s="167">
        <v>9.9933528605754603E-3</v>
      </c>
    </row>
    <row r="87" spans="1:23">
      <c r="A87" s="2" t="s">
        <v>26</v>
      </c>
      <c r="B87" s="2">
        <v>9937</v>
      </c>
      <c r="C87" s="2" t="s">
        <v>1379</v>
      </c>
      <c r="D87" s="2" t="s">
        <v>1380</v>
      </c>
      <c r="E87" s="4" t="s">
        <v>1345</v>
      </c>
      <c r="F87" s="2" t="s">
        <v>1498</v>
      </c>
      <c r="G87" s="2" t="s">
        <v>1499</v>
      </c>
      <c r="H87" s="2" t="s">
        <v>343</v>
      </c>
      <c r="I87" s="2" t="s">
        <v>1005</v>
      </c>
      <c r="J87" s="2" t="s">
        <v>31</v>
      </c>
      <c r="K87" s="2" t="s">
        <v>125</v>
      </c>
      <c r="L87" s="2" t="s">
        <v>49</v>
      </c>
      <c r="M87" s="2" t="s">
        <v>1383</v>
      </c>
      <c r="N87" s="2" t="s">
        <v>159</v>
      </c>
      <c r="O87" s="2" t="s">
        <v>45</v>
      </c>
      <c r="P87" s="154">
        <v>2359</v>
      </c>
      <c r="Q87" s="153">
        <v>1</v>
      </c>
      <c r="R87" s="153">
        <v>21080</v>
      </c>
      <c r="T87" s="153">
        <v>497.27699999999999</v>
      </c>
      <c r="U87" s="167">
        <v>1.5100000000000001E-4</v>
      </c>
      <c r="V87" s="167">
        <v>5.2231344683067997E-2</v>
      </c>
      <c r="W87" s="167">
        <v>1.5817057931399901E-2</v>
      </c>
    </row>
    <row r="88" spans="1:23">
      <c r="A88" s="2" t="s">
        <v>26</v>
      </c>
      <c r="B88" s="2">
        <v>9937</v>
      </c>
      <c r="C88" s="2" t="s">
        <v>1379</v>
      </c>
      <c r="D88" s="2" t="s">
        <v>1380</v>
      </c>
      <c r="E88" s="4" t="s">
        <v>1345</v>
      </c>
      <c r="F88" s="2" t="s">
        <v>1410</v>
      </c>
      <c r="G88" s="2" t="s">
        <v>1411</v>
      </c>
      <c r="H88" s="2" t="s">
        <v>343</v>
      </c>
      <c r="I88" s="2" t="s">
        <v>1004</v>
      </c>
      <c r="J88" s="2" t="s">
        <v>31</v>
      </c>
      <c r="K88" s="2" t="s">
        <v>31</v>
      </c>
      <c r="L88" s="2" t="s">
        <v>49</v>
      </c>
      <c r="M88" s="2" t="s">
        <v>1388</v>
      </c>
      <c r="N88" s="2" t="s">
        <v>159</v>
      </c>
      <c r="O88" s="2" t="s">
        <v>45</v>
      </c>
      <c r="P88" s="154">
        <v>754</v>
      </c>
      <c r="Q88" s="153">
        <v>1</v>
      </c>
      <c r="R88" s="153">
        <v>20050</v>
      </c>
      <c r="T88" s="153">
        <v>151.17699999999999</v>
      </c>
      <c r="U88" s="167">
        <v>2.0999999999999999E-5</v>
      </c>
      <c r="V88" s="167">
        <v>1.5878825723665099E-2</v>
      </c>
      <c r="W88" s="167">
        <v>4.8085360979655701E-3</v>
      </c>
    </row>
    <row r="89" spans="1:23">
      <c r="A89" s="2" t="s">
        <v>26</v>
      </c>
      <c r="B89" s="2">
        <v>9937</v>
      </c>
      <c r="C89" s="2" t="s">
        <v>1379</v>
      </c>
      <c r="D89" s="2" t="s">
        <v>1380</v>
      </c>
      <c r="E89" s="4" t="s">
        <v>1345</v>
      </c>
      <c r="F89" s="2" t="s">
        <v>1500</v>
      </c>
      <c r="G89" s="2" t="s">
        <v>1501</v>
      </c>
      <c r="H89" s="2" t="s">
        <v>343</v>
      </c>
      <c r="I89" s="2" t="s">
        <v>1006</v>
      </c>
      <c r="J89" s="2" t="s">
        <v>31</v>
      </c>
      <c r="K89" s="2" t="s">
        <v>31</v>
      </c>
      <c r="L89" s="2" t="s">
        <v>49</v>
      </c>
      <c r="M89" s="2" t="s">
        <v>1393</v>
      </c>
      <c r="N89" s="2" t="s">
        <v>159</v>
      </c>
      <c r="O89" s="2" t="s">
        <v>45</v>
      </c>
      <c r="P89" s="154">
        <v>14695</v>
      </c>
      <c r="Q89" s="153">
        <v>1</v>
      </c>
      <c r="R89" s="153">
        <v>3568.71</v>
      </c>
      <c r="T89" s="153">
        <v>524.42200000000003</v>
      </c>
      <c r="U89" s="167">
        <v>6.0800000000000003E-4</v>
      </c>
      <c r="V89" s="167">
        <v>5.50824828088455E-2</v>
      </c>
      <c r="W89" s="167">
        <v>1.6680459346383299E-2</v>
      </c>
    </row>
    <row r="90" spans="1:23">
      <c r="A90" s="2" t="s">
        <v>26</v>
      </c>
      <c r="B90" s="2">
        <v>9937</v>
      </c>
      <c r="C90" s="2" t="s">
        <v>1379</v>
      </c>
      <c r="D90" s="2" t="s">
        <v>1380</v>
      </c>
      <c r="E90" s="4" t="s">
        <v>1345</v>
      </c>
      <c r="F90" s="2" t="s">
        <v>1394</v>
      </c>
      <c r="G90" s="2" t="s">
        <v>1395</v>
      </c>
      <c r="H90" s="2" t="s">
        <v>343</v>
      </c>
      <c r="I90" s="2" t="s">
        <v>1006</v>
      </c>
      <c r="J90" s="2" t="s">
        <v>31</v>
      </c>
      <c r="K90" s="2" t="s">
        <v>31</v>
      </c>
      <c r="L90" s="2" t="s">
        <v>49</v>
      </c>
      <c r="M90" s="2" t="s">
        <v>1393</v>
      </c>
      <c r="N90" s="2" t="s">
        <v>159</v>
      </c>
      <c r="O90" s="2" t="s">
        <v>45</v>
      </c>
      <c r="P90" s="154">
        <v>18400</v>
      </c>
      <c r="Q90" s="153">
        <v>1</v>
      </c>
      <c r="R90" s="153">
        <v>3874.92</v>
      </c>
      <c r="T90" s="153">
        <v>712.98500000000001</v>
      </c>
      <c r="U90" s="167">
        <v>7.9000000000000001E-4</v>
      </c>
      <c r="V90" s="167">
        <v>7.48881708504507E-2</v>
      </c>
      <c r="W90" s="167">
        <v>2.26781551174986E-2</v>
      </c>
    </row>
    <row r="91" spans="1:23">
      <c r="A91" s="2" t="s">
        <v>26</v>
      </c>
      <c r="B91" s="2">
        <v>9937</v>
      </c>
      <c r="C91" s="2" t="s">
        <v>1461</v>
      </c>
      <c r="D91" s="2" t="s">
        <v>1462</v>
      </c>
      <c r="E91" s="4" t="s">
        <v>1345</v>
      </c>
      <c r="F91" s="2" t="s">
        <v>1502</v>
      </c>
      <c r="G91" s="2" t="s">
        <v>1503</v>
      </c>
      <c r="H91" s="2" t="s">
        <v>343</v>
      </c>
      <c r="I91" s="2" t="s">
        <v>1006</v>
      </c>
      <c r="J91" s="2" t="s">
        <v>31</v>
      </c>
      <c r="K91" s="2" t="s">
        <v>31</v>
      </c>
      <c r="L91" s="2" t="s">
        <v>49</v>
      </c>
      <c r="M91" s="2" t="s">
        <v>1393</v>
      </c>
      <c r="N91" s="2" t="s">
        <v>159</v>
      </c>
      <c r="O91" s="2" t="s">
        <v>45</v>
      </c>
      <c r="P91" s="154">
        <v>240753</v>
      </c>
      <c r="Q91" s="153">
        <v>1</v>
      </c>
      <c r="R91" s="153">
        <v>358.93</v>
      </c>
      <c r="T91" s="153">
        <v>864.13499999999999</v>
      </c>
      <c r="U91" s="167">
        <v>6.0499999999999996E-4</v>
      </c>
      <c r="V91" s="167">
        <v>9.0764104224010794E-2</v>
      </c>
      <c r="W91" s="167">
        <v>2.7485815333951901E-2</v>
      </c>
    </row>
    <row r="92" spans="1:23">
      <c r="A92" s="2" t="s">
        <v>26</v>
      </c>
      <c r="B92" s="2">
        <v>9937</v>
      </c>
      <c r="C92" s="2" t="s">
        <v>1465</v>
      </c>
      <c r="D92" s="2" t="s">
        <v>1466</v>
      </c>
      <c r="E92" s="4" t="s">
        <v>335</v>
      </c>
      <c r="F92" s="2" t="s">
        <v>1467</v>
      </c>
      <c r="G92" s="2" t="s">
        <v>1468</v>
      </c>
      <c r="H92" s="2" t="s">
        <v>343</v>
      </c>
      <c r="I92" s="2" t="s">
        <v>1005</v>
      </c>
      <c r="J92" s="2" t="s">
        <v>124</v>
      </c>
      <c r="K92" s="2" t="s">
        <v>125</v>
      </c>
      <c r="L92" s="2" t="s">
        <v>386</v>
      </c>
      <c r="M92" s="2" t="s">
        <v>757</v>
      </c>
      <c r="N92" s="2" t="s">
        <v>159</v>
      </c>
      <c r="O92" s="2" t="s">
        <v>35</v>
      </c>
      <c r="P92" s="154">
        <v>215</v>
      </c>
      <c r="Q92" s="153">
        <v>3.681</v>
      </c>
      <c r="R92" s="153">
        <v>10227.780000000001</v>
      </c>
      <c r="T92" s="153">
        <v>80.944000000000003</v>
      </c>
      <c r="U92" s="167">
        <v>0</v>
      </c>
      <c r="V92" s="167">
        <v>8.5019454569184999E-3</v>
      </c>
      <c r="W92" s="167">
        <v>2.5746180696220099E-3</v>
      </c>
    </row>
    <row r="93" spans="1:23">
      <c r="A93" s="2" t="s">
        <v>26</v>
      </c>
      <c r="B93" s="2">
        <v>9937</v>
      </c>
      <c r="C93" s="2" t="s">
        <v>1414</v>
      </c>
      <c r="D93" s="2" t="s">
        <v>1415</v>
      </c>
      <c r="E93" s="4" t="s">
        <v>335</v>
      </c>
      <c r="F93" s="2" t="s">
        <v>1504</v>
      </c>
      <c r="G93" s="2" t="s">
        <v>1505</v>
      </c>
      <c r="H93" s="2" t="s">
        <v>343</v>
      </c>
      <c r="I93" s="2" t="s">
        <v>1005</v>
      </c>
      <c r="J93" s="2" t="s">
        <v>124</v>
      </c>
      <c r="K93" s="2" t="s">
        <v>125</v>
      </c>
      <c r="L93" s="2" t="s">
        <v>366</v>
      </c>
      <c r="M93" s="2" t="s">
        <v>757</v>
      </c>
      <c r="N93" s="2" t="s">
        <v>159</v>
      </c>
      <c r="O93" s="2" t="s">
        <v>35</v>
      </c>
      <c r="P93" s="154">
        <v>127</v>
      </c>
      <c r="Q93" s="153">
        <v>3.681</v>
      </c>
      <c r="R93" s="153">
        <v>210.3</v>
      </c>
      <c r="T93" s="153">
        <v>98.313000000000002</v>
      </c>
      <c r="U93" s="167">
        <v>0</v>
      </c>
      <c r="V93" s="167">
        <v>1.0326222306348999E-2</v>
      </c>
      <c r="W93" s="167">
        <v>3.12705823338651E-3</v>
      </c>
    </row>
    <row r="94" spans="1:23">
      <c r="A94" s="2" t="s">
        <v>26</v>
      </c>
      <c r="B94" s="2">
        <v>9937</v>
      </c>
      <c r="C94" s="2" t="s">
        <v>1414</v>
      </c>
      <c r="D94" s="2" t="s">
        <v>1415</v>
      </c>
      <c r="E94" s="4" t="s">
        <v>335</v>
      </c>
      <c r="F94" s="2" t="s">
        <v>1416</v>
      </c>
      <c r="G94" s="2" t="s">
        <v>1417</v>
      </c>
      <c r="H94" s="2" t="s">
        <v>343</v>
      </c>
      <c r="I94" s="2" t="s">
        <v>1005</v>
      </c>
      <c r="J94" s="2" t="s">
        <v>124</v>
      </c>
      <c r="K94" s="2" t="s">
        <v>316</v>
      </c>
      <c r="L94" s="2" t="s">
        <v>390</v>
      </c>
      <c r="M94" s="2" t="s">
        <v>757</v>
      </c>
      <c r="N94" s="2" t="s">
        <v>159</v>
      </c>
      <c r="O94" s="2" t="s">
        <v>1206</v>
      </c>
      <c r="P94" s="154">
        <v>1813</v>
      </c>
      <c r="Q94" s="153">
        <v>3.9790000000000001</v>
      </c>
      <c r="R94" s="153">
        <v>5115</v>
      </c>
      <c r="T94" s="153">
        <v>369.00200000000001</v>
      </c>
      <c r="U94" s="167">
        <v>1.9000000000000001E-5</v>
      </c>
      <c r="V94" s="167">
        <v>3.8757964016231002E-2</v>
      </c>
      <c r="W94" s="167">
        <v>1.17369553831642E-2</v>
      </c>
    </row>
    <row r="95" spans="1:23">
      <c r="A95" s="2" t="s">
        <v>26</v>
      </c>
      <c r="B95" s="2">
        <v>9937</v>
      </c>
      <c r="C95" s="2" t="s">
        <v>1404</v>
      </c>
      <c r="D95" s="2" t="s">
        <v>1405</v>
      </c>
      <c r="E95" s="4" t="s">
        <v>335</v>
      </c>
      <c r="F95" s="2" t="s">
        <v>1404</v>
      </c>
      <c r="G95" s="2" t="s">
        <v>1469</v>
      </c>
      <c r="H95" s="2" t="s">
        <v>343</v>
      </c>
      <c r="I95" s="2" t="s">
        <v>1005</v>
      </c>
      <c r="J95" s="2" t="s">
        <v>124</v>
      </c>
      <c r="K95" s="2" t="s">
        <v>125</v>
      </c>
      <c r="L95" s="2" t="s">
        <v>32</v>
      </c>
      <c r="M95" s="2" t="s">
        <v>757</v>
      </c>
      <c r="N95" s="2" t="s">
        <v>159</v>
      </c>
      <c r="O95" s="2" t="s">
        <v>35</v>
      </c>
      <c r="P95" s="154">
        <v>8600</v>
      </c>
      <c r="Q95" s="153">
        <v>3.681</v>
      </c>
      <c r="R95" s="153">
        <v>574.29999999999995</v>
      </c>
      <c r="T95" s="153">
        <v>181.804</v>
      </c>
      <c r="U95" s="167">
        <v>0</v>
      </c>
      <c r="V95" s="167">
        <v>1.9095707087592E-2</v>
      </c>
      <c r="W95" s="167">
        <v>5.78269441612518E-3</v>
      </c>
    </row>
    <row r="96" spans="1:23">
      <c r="A96" s="2" t="s">
        <v>26</v>
      </c>
      <c r="B96" s="2">
        <v>9937</v>
      </c>
      <c r="C96" s="2" t="s">
        <v>1414</v>
      </c>
      <c r="D96" s="2" t="s">
        <v>1415</v>
      </c>
      <c r="E96" s="4" t="s">
        <v>335</v>
      </c>
      <c r="F96" s="2" t="s">
        <v>1470</v>
      </c>
      <c r="G96" s="2" t="s">
        <v>1471</v>
      </c>
      <c r="H96" s="2" t="s">
        <v>343</v>
      </c>
      <c r="I96" s="2" t="s">
        <v>1005</v>
      </c>
      <c r="J96" s="2" t="s">
        <v>124</v>
      </c>
      <c r="K96" s="2" t="s">
        <v>125</v>
      </c>
      <c r="L96" s="2" t="s">
        <v>366</v>
      </c>
      <c r="M96" s="2" t="s">
        <v>757</v>
      </c>
      <c r="N96" s="2" t="s">
        <v>159</v>
      </c>
      <c r="O96" s="2" t="s">
        <v>35</v>
      </c>
      <c r="P96" s="154">
        <v>98</v>
      </c>
      <c r="Q96" s="153">
        <v>3.681</v>
      </c>
      <c r="R96" s="153">
        <v>52573</v>
      </c>
      <c r="T96" s="153">
        <v>189.65100000000001</v>
      </c>
      <c r="U96" s="167">
        <v>0</v>
      </c>
      <c r="V96" s="167">
        <v>1.9919907279269299E-2</v>
      </c>
      <c r="W96" s="167">
        <v>6.0322844325785899E-3</v>
      </c>
    </row>
    <row r="97" spans="1:23">
      <c r="A97" s="2" t="s">
        <v>26</v>
      </c>
      <c r="B97" s="2">
        <v>9937</v>
      </c>
      <c r="C97" s="2" t="s">
        <v>1476</v>
      </c>
      <c r="D97" s="2" t="s">
        <v>1477</v>
      </c>
      <c r="E97" s="4" t="s">
        <v>335</v>
      </c>
      <c r="F97" s="2" t="s">
        <v>1478</v>
      </c>
      <c r="G97" s="2" t="s">
        <v>1479</v>
      </c>
      <c r="H97" s="2" t="s">
        <v>343</v>
      </c>
      <c r="I97" s="2" t="s">
        <v>1005</v>
      </c>
      <c r="J97" s="2" t="s">
        <v>124</v>
      </c>
      <c r="K97" s="2" t="s">
        <v>125</v>
      </c>
      <c r="L97" s="2" t="s">
        <v>32</v>
      </c>
      <c r="M97" s="2" t="s">
        <v>757</v>
      </c>
      <c r="N97" s="2" t="s">
        <v>159</v>
      </c>
      <c r="O97" s="2" t="s">
        <v>35</v>
      </c>
      <c r="P97" s="154">
        <v>332</v>
      </c>
      <c r="Q97" s="153">
        <v>3.681</v>
      </c>
      <c r="R97" s="153">
        <v>37152.5</v>
      </c>
      <c r="T97" s="153">
        <v>454.03800000000001</v>
      </c>
      <c r="U97" s="167">
        <v>3.6999999999999998E-5</v>
      </c>
      <c r="V97" s="167">
        <v>4.7689701418881E-2</v>
      </c>
      <c r="W97" s="167">
        <v>1.444172602966E-2</v>
      </c>
    </row>
    <row r="98" spans="1:23">
      <c r="A98" s="2" t="s">
        <v>26</v>
      </c>
      <c r="B98" s="2">
        <v>9937</v>
      </c>
      <c r="C98" s="2" t="s">
        <v>1420</v>
      </c>
      <c r="D98" s="2" t="s">
        <v>1421</v>
      </c>
      <c r="E98" s="4" t="s">
        <v>335</v>
      </c>
      <c r="F98" s="2" t="s">
        <v>1422</v>
      </c>
      <c r="G98" s="2" t="s">
        <v>1423</v>
      </c>
      <c r="H98" s="2" t="s">
        <v>343</v>
      </c>
      <c r="I98" s="2" t="s">
        <v>1005</v>
      </c>
      <c r="J98" s="2" t="s">
        <v>124</v>
      </c>
      <c r="K98" s="2" t="s">
        <v>125</v>
      </c>
      <c r="L98" s="2" t="s">
        <v>368</v>
      </c>
      <c r="M98" s="2" t="s">
        <v>757</v>
      </c>
      <c r="N98" s="2" t="s">
        <v>159</v>
      </c>
      <c r="O98" s="2" t="s">
        <v>35</v>
      </c>
      <c r="P98" s="154">
        <v>141</v>
      </c>
      <c r="Q98" s="153">
        <v>3.681</v>
      </c>
      <c r="R98" s="153">
        <v>444.01</v>
      </c>
      <c r="S98" s="158">
        <v>6.2E-2</v>
      </c>
      <c r="T98" s="153">
        <v>230.678</v>
      </c>
      <c r="U98" s="167">
        <v>0</v>
      </c>
      <c r="V98" s="167">
        <v>2.4229165101702501E-2</v>
      </c>
      <c r="W98" s="167">
        <v>7.3372437636535903E-3</v>
      </c>
    </row>
    <row r="99" spans="1:23">
      <c r="A99" s="2" t="s">
        <v>26</v>
      </c>
      <c r="B99" s="2">
        <v>9937</v>
      </c>
      <c r="C99" s="2" t="s">
        <v>1420</v>
      </c>
      <c r="D99" s="2" t="s">
        <v>1421</v>
      </c>
      <c r="E99" s="4" t="s">
        <v>335</v>
      </c>
      <c r="F99" s="2" t="s">
        <v>1424</v>
      </c>
      <c r="G99" s="2" t="s">
        <v>1425</v>
      </c>
      <c r="H99" s="2" t="s">
        <v>343</v>
      </c>
      <c r="I99" s="2" t="s">
        <v>1005</v>
      </c>
      <c r="J99" s="2" t="s">
        <v>124</v>
      </c>
      <c r="K99" s="2" t="s">
        <v>125</v>
      </c>
      <c r="L99" s="2" t="s">
        <v>32</v>
      </c>
      <c r="M99" s="2" t="s">
        <v>757</v>
      </c>
      <c r="N99" s="2" t="s">
        <v>159</v>
      </c>
      <c r="O99" s="2" t="s">
        <v>35</v>
      </c>
      <c r="P99" s="154">
        <v>35</v>
      </c>
      <c r="Q99" s="153">
        <v>3.681</v>
      </c>
      <c r="R99" s="153">
        <v>102524</v>
      </c>
      <c r="T99" s="153">
        <v>132.08699999999999</v>
      </c>
      <c r="U99" s="167">
        <v>6.9999999999999999E-6</v>
      </c>
      <c r="V99" s="167">
        <v>1.38736924568818E-2</v>
      </c>
      <c r="W99" s="167">
        <v>4.2013277399703198E-3</v>
      </c>
    </row>
    <row r="100" spans="1:23">
      <c r="A100" s="2" t="s">
        <v>26</v>
      </c>
      <c r="B100" s="2">
        <v>9937</v>
      </c>
      <c r="C100" s="2" t="s">
        <v>1396</v>
      </c>
      <c r="D100" s="2" t="s">
        <v>1397</v>
      </c>
      <c r="E100" s="4" t="s">
        <v>335</v>
      </c>
      <c r="F100" s="2" t="s">
        <v>1398</v>
      </c>
      <c r="G100" s="2" t="s">
        <v>1399</v>
      </c>
      <c r="H100" s="2" t="s">
        <v>343</v>
      </c>
      <c r="I100" s="2" t="s">
        <v>1007</v>
      </c>
      <c r="J100" s="2" t="s">
        <v>124</v>
      </c>
      <c r="K100" s="2" t="s">
        <v>125</v>
      </c>
      <c r="L100" s="2" t="s">
        <v>32</v>
      </c>
      <c r="M100" s="2" t="s">
        <v>754</v>
      </c>
      <c r="N100" s="2" t="s">
        <v>159</v>
      </c>
      <c r="O100" s="2" t="s">
        <v>35</v>
      </c>
      <c r="P100" s="154">
        <v>2400</v>
      </c>
      <c r="Q100" s="153">
        <v>3.681</v>
      </c>
      <c r="R100" s="153">
        <v>27.605</v>
      </c>
      <c r="T100" s="153">
        <v>243.874</v>
      </c>
      <c r="U100" s="167">
        <v>0</v>
      </c>
      <c r="V100" s="167">
        <v>2.5615183417773399E-2</v>
      </c>
      <c r="W100" s="167">
        <v>7.7569674397775503E-3</v>
      </c>
    </row>
    <row r="101" spans="1:23">
      <c r="A101" s="2" t="s">
        <v>26</v>
      </c>
      <c r="B101" s="2">
        <v>9937</v>
      </c>
      <c r="C101" s="2" t="s">
        <v>1426</v>
      </c>
      <c r="D101" s="2" t="s">
        <v>1427</v>
      </c>
      <c r="E101" s="4" t="s">
        <v>335</v>
      </c>
      <c r="F101" s="2" t="s">
        <v>1483</v>
      </c>
      <c r="G101" s="2" t="s">
        <v>1484</v>
      </c>
      <c r="H101" s="2" t="s">
        <v>343</v>
      </c>
      <c r="I101" s="2" t="s">
        <v>1005</v>
      </c>
      <c r="J101" s="2" t="s">
        <v>124</v>
      </c>
      <c r="K101" s="2" t="s">
        <v>125</v>
      </c>
      <c r="L101" s="2" t="s">
        <v>366</v>
      </c>
      <c r="M101" s="2" t="s">
        <v>757</v>
      </c>
      <c r="N101" s="2" t="s">
        <v>159</v>
      </c>
      <c r="O101" s="2" t="s">
        <v>35</v>
      </c>
      <c r="P101" s="154">
        <v>4610</v>
      </c>
      <c r="Q101" s="153">
        <v>3.681</v>
      </c>
      <c r="R101" s="153">
        <v>6153</v>
      </c>
      <c r="T101" s="153">
        <v>1044.1279999999999</v>
      </c>
      <c r="U101" s="167">
        <v>1.5E-5</v>
      </c>
      <c r="V101" s="167">
        <v>0.10966961460117</v>
      </c>
      <c r="W101" s="167">
        <v>3.3210913063536997E-2</v>
      </c>
    </row>
    <row r="102" spans="1:23">
      <c r="A102" s="2" t="s">
        <v>26</v>
      </c>
      <c r="B102" s="2">
        <v>9937</v>
      </c>
      <c r="C102" s="2" t="s">
        <v>1426</v>
      </c>
      <c r="D102" s="2" t="s">
        <v>1427</v>
      </c>
      <c r="E102" s="4" t="s">
        <v>335</v>
      </c>
      <c r="F102" s="2" t="s">
        <v>1428</v>
      </c>
      <c r="G102" s="2" t="s">
        <v>1429</v>
      </c>
      <c r="H102" s="2" t="s">
        <v>343</v>
      </c>
      <c r="I102" s="2" t="s">
        <v>1005</v>
      </c>
      <c r="J102" s="2" t="s">
        <v>124</v>
      </c>
      <c r="K102" s="2" t="s">
        <v>125</v>
      </c>
      <c r="L102" s="2" t="s">
        <v>366</v>
      </c>
      <c r="M102" s="2" t="s">
        <v>757</v>
      </c>
      <c r="N102" s="2" t="s">
        <v>159</v>
      </c>
      <c r="O102" s="2" t="s">
        <v>35</v>
      </c>
      <c r="P102" s="154">
        <v>103</v>
      </c>
      <c r="Q102" s="153">
        <v>3.681</v>
      </c>
      <c r="R102" s="153">
        <v>523.07000000000005</v>
      </c>
      <c r="S102" s="158">
        <v>0.125</v>
      </c>
      <c r="T102" s="153">
        <v>198.78</v>
      </c>
      <c r="U102" s="167">
        <v>0</v>
      </c>
      <c r="V102" s="167">
        <v>2.0878803436297898E-2</v>
      </c>
      <c r="W102" s="167">
        <v>6.3226640151443497E-3</v>
      </c>
    </row>
    <row r="103" spans="1:23">
      <c r="A103" s="2" t="s">
        <v>26</v>
      </c>
      <c r="B103" s="2">
        <v>9937</v>
      </c>
      <c r="C103" s="2" t="s">
        <v>1430</v>
      </c>
      <c r="D103" s="2" t="s">
        <v>1431</v>
      </c>
      <c r="E103" s="4" t="s">
        <v>335</v>
      </c>
      <c r="F103" s="2" t="s">
        <v>1432</v>
      </c>
      <c r="G103" s="2" t="s">
        <v>1433</v>
      </c>
      <c r="H103" s="2" t="s">
        <v>343</v>
      </c>
      <c r="I103" s="2" t="s">
        <v>1005</v>
      </c>
      <c r="J103" s="2" t="s">
        <v>124</v>
      </c>
      <c r="K103" s="2" t="s">
        <v>125</v>
      </c>
      <c r="L103" s="2" t="s">
        <v>32</v>
      </c>
      <c r="M103" s="2" t="s">
        <v>757</v>
      </c>
      <c r="N103" s="2" t="s">
        <v>159</v>
      </c>
      <c r="O103" s="2" t="s">
        <v>35</v>
      </c>
      <c r="P103" s="154">
        <v>4000</v>
      </c>
      <c r="Q103" s="153">
        <v>3.681</v>
      </c>
      <c r="R103" s="153">
        <v>1267.5999999999999</v>
      </c>
      <c r="T103" s="153">
        <v>186.64099999999999</v>
      </c>
      <c r="U103" s="167">
        <v>0</v>
      </c>
      <c r="V103" s="167">
        <v>1.9603819658497602E-2</v>
      </c>
      <c r="W103" s="167">
        <v>5.9365645877329102E-3</v>
      </c>
    </row>
    <row r="104" spans="1:23">
      <c r="A104" s="2" t="s">
        <v>26</v>
      </c>
      <c r="B104" s="2">
        <v>9937</v>
      </c>
      <c r="C104" s="2" t="s">
        <v>1485</v>
      </c>
      <c r="D104" s="2" t="s">
        <v>1486</v>
      </c>
      <c r="E104" s="4" t="s">
        <v>335</v>
      </c>
      <c r="F104" s="2" t="s">
        <v>1487</v>
      </c>
      <c r="G104" s="2" t="s">
        <v>1488</v>
      </c>
      <c r="H104" s="2" t="s">
        <v>343</v>
      </c>
      <c r="I104" s="2" t="s">
        <v>1005</v>
      </c>
      <c r="J104" s="2" t="s">
        <v>124</v>
      </c>
      <c r="K104" s="2" t="s">
        <v>125</v>
      </c>
      <c r="L104" s="2" t="s">
        <v>32</v>
      </c>
      <c r="M104" s="2" t="s">
        <v>757</v>
      </c>
      <c r="N104" s="2" t="s">
        <v>159</v>
      </c>
      <c r="O104" s="2" t="s">
        <v>35</v>
      </c>
      <c r="P104" s="154">
        <v>670</v>
      </c>
      <c r="Q104" s="153">
        <v>3.681</v>
      </c>
      <c r="R104" s="153">
        <v>3552.75</v>
      </c>
      <c r="T104" s="153">
        <v>87.62</v>
      </c>
      <c r="U104" s="167">
        <v>0</v>
      </c>
      <c r="V104" s="167">
        <v>9.2031802412940403E-3</v>
      </c>
      <c r="W104" s="167">
        <v>2.78697084888285E-3</v>
      </c>
    </row>
    <row r="105" spans="1:23">
      <c r="A105" s="2" t="s">
        <v>26</v>
      </c>
      <c r="B105" s="2">
        <v>9937</v>
      </c>
      <c r="C105" s="2" t="s">
        <v>1426</v>
      </c>
      <c r="D105" s="2" t="s">
        <v>1427</v>
      </c>
      <c r="E105" s="4" t="s">
        <v>335</v>
      </c>
      <c r="F105" s="2" t="s">
        <v>1489</v>
      </c>
      <c r="G105" s="2" t="s">
        <v>1490</v>
      </c>
      <c r="H105" s="2" t="s">
        <v>343</v>
      </c>
      <c r="I105" s="2" t="s">
        <v>1005</v>
      </c>
      <c r="J105" s="2" t="s">
        <v>124</v>
      </c>
      <c r="K105" s="2" t="s">
        <v>125</v>
      </c>
      <c r="L105" s="2" t="s">
        <v>32</v>
      </c>
      <c r="M105" s="2" t="s">
        <v>757</v>
      </c>
      <c r="N105" s="2" t="s">
        <v>159</v>
      </c>
      <c r="O105" s="2" t="s">
        <v>35</v>
      </c>
      <c r="P105" s="154">
        <v>240</v>
      </c>
      <c r="Q105" s="153">
        <v>3.681</v>
      </c>
      <c r="R105" s="153">
        <v>4855.875</v>
      </c>
      <c r="T105" s="153">
        <v>42.899000000000001</v>
      </c>
      <c r="U105" s="167">
        <v>0</v>
      </c>
      <c r="V105" s="167">
        <v>4.5058550544749302E-3</v>
      </c>
      <c r="W105" s="167">
        <v>1.36449426794529E-3</v>
      </c>
    </row>
    <row r="106" spans="1:23">
      <c r="A106" s="2" t="s">
        <v>26</v>
      </c>
      <c r="B106" s="2">
        <v>9937</v>
      </c>
      <c r="C106" s="2" t="s">
        <v>1396</v>
      </c>
      <c r="D106" s="2" t="s">
        <v>1397</v>
      </c>
      <c r="E106" s="4" t="s">
        <v>335</v>
      </c>
      <c r="F106" s="2" t="s">
        <v>1506</v>
      </c>
      <c r="G106" s="2" t="s">
        <v>1507</v>
      </c>
      <c r="H106" s="2" t="s">
        <v>343</v>
      </c>
      <c r="I106" s="2" t="s">
        <v>1005</v>
      </c>
      <c r="J106" s="2" t="s">
        <v>124</v>
      </c>
      <c r="K106" s="2" t="s">
        <v>125</v>
      </c>
      <c r="L106" s="2" t="s">
        <v>32</v>
      </c>
      <c r="M106" s="2" t="s">
        <v>757</v>
      </c>
      <c r="N106" s="2" t="s">
        <v>159</v>
      </c>
      <c r="O106" s="2" t="s">
        <v>35</v>
      </c>
      <c r="P106" s="154">
        <v>200</v>
      </c>
      <c r="Q106" s="153">
        <v>3.681</v>
      </c>
      <c r="R106" s="153">
        <v>10869.5</v>
      </c>
      <c r="T106" s="153">
        <v>80.021000000000001</v>
      </c>
      <c r="U106" s="167">
        <v>0</v>
      </c>
      <c r="V106" s="167">
        <v>8.4050062234947796E-3</v>
      </c>
      <c r="W106" s="167">
        <v>2.5452622588499102E-3</v>
      </c>
    </row>
    <row r="107" spans="1:23">
      <c r="A107" s="2" t="s">
        <v>26</v>
      </c>
      <c r="B107" s="2">
        <v>9937</v>
      </c>
      <c r="C107" s="2" t="s">
        <v>1434</v>
      </c>
      <c r="D107" s="2" t="s">
        <v>1435</v>
      </c>
      <c r="E107" s="4" t="s">
        <v>335</v>
      </c>
      <c r="F107" s="2" t="s">
        <v>1436</v>
      </c>
      <c r="G107" s="2" t="s">
        <v>1437</v>
      </c>
      <c r="H107" s="2" t="s">
        <v>343</v>
      </c>
      <c r="I107" s="2" t="s">
        <v>1005</v>
      </c>
      <c r="J107" s="2" t="s">
        <v>124</v>
      </c>
      <c r="K107" s="2" t="s">
        <v>125</v>
      </c>
      <c r="L107" s="2" t="s">
        <v>368</v>
      </c>
      <c r="M107" s="2" t="s">
        <v>757</v>
      </c>
      <c r="N107" s="2" t="s">
        <v>159</v>
      </c>
      <c r="O107" s="2" t="s">
        <v>35</v>
      </c>
      <c r="P107" s="154">
        <v>45</v>
      </c>
      <c r="Q107" s="153">
        <v>3.681</v>
      </c>
      <c r="R107" s="153">
        <v>22499</v>
      </c>
      <c r="T107" s="153">
        <v>37.268000000000001</v>
      </c>
      <c r="U107" s="167">
        <v>1.9999999999999999E-6</v>
      </c>
      <c r="V107" s="167">
        <v>3.9144811518507803E-3</v>
      </c>
      <c r="W107" s="167">
        <v>1.18541032259252E-3</v>
      </c>
    </row>
    <row r="108" spans="1:23">
      <c r="A108" s="2" t="s">
        <v>26</v>
      </c>
      <c r="B108" s="2">
        <v>9937</v>
      </c>
      <c r="C108" s="2" t="s">
        <v>1400</v>
      </c>
      <c r="D108" s="2" t="s">
        <v>1401</v>
      </c>
      <c r="E108" s="4" t="s">
        <v>335</v>
      </c>
      <c r="F108" s="2" t="s">
        <v>1438</v>
      </c>
      <c r="G108" s="2" t="s">
        <v>1439</v>
      </c>
      <c r="H108" s="2" t="s">
        <v>343</v>
      </c>
      <c r="I108" s="2" t="s">
        <v>1005</v>
      </c>
      <c r="J108" s="2" t="s">
        <v>124</v>
      </c>
      <c r="K108" s="2" t="s">
        <v>1440</v>
      </c>
      <c r="L108" s="2" t="s">
        <v>32</v>
      </c>
      <c r="M108" s="2" t="s">
        <v>757</v>
      </c>
      <c r="N108" s="2" t="s">
        <v>159</v>
      </c>
      <c r="O108" s="2" t="s">
        <v>35</v>
      </c>
      <c r="P108" s="154">
        <v>1020</v>
      </c>
      <c r="Q108" s="153">
        <v>3.681</v>
      </c>
      <c r="R108" s="153">
        <v>5682.5</v>
      </c>
      <c r="T108" s="153">
        <v>213.35599999999999</v>
      </c>
      <c r="U108" s="167">
        <v>0</v>
      </c>
      <c r="V108" s="167">
        <v>2.2409805797097001E-2</v>
      </c>
      <c r="W108" s="167">
        <v>6.7862927649077198E-3</v>
      </c>
    </row>
    <row r="109" spans="1:23">
      <c r="A109" s="2" t="s">
        <v>26</v>
      </c>
      <c r="B109" s="2">
        <v>9937</v>
      </c>
      <c r="C109" s="2" t="s">
        <v>1400</v>
      </c>
      <c r="D109" s="2" t="s">
        <v>1401</v>
      </c>
      <c r="E109" s="4" t="s">
        <v>335</v>
      </c>
      <c r="F109" s="2" t="s">
        <v>1441</v>
      </c>
      <c r="G109" s="2" t="s">
        <v>1442</v>
      </c>
      <c r="H109" s="2" t="s">
        <v>343</v>
      </c>
      <c r="I109" s="2" t="s">
        <v>1005</v>
      </c>
      <c r="J109" s="2" t="s">
        <v>124</v>
      </c>
      <c r="K109" s="2" t="s">
        <v>125</v>
      </c>
      <c r="L109" s="2" t="s">
        <v>366</v>
      </c>
      <c r="M109" s="2" t="s">
        <v>757</v>
      </c>
      <c r="N109" s="2" t="s">
        <v>159</v>
      </c>
      <c r="O109" s="2" t="s">
        <v>35</v>
      </c>
      <c r="P109" s="154">
        <v>438</v>
      </c>
      <c r="Q109" s="153">
        <v>3.681</v>
      </c>
      <c r="R109" s="153">
        <v>480.7</v>
      </c>
      <c r="T109" s="153">
        <v>775.02200000000005</v>
      </c>
      <c r="U109" s="167">
        <v>9.9999999999999995E-7</v>
      </c>
      <c r="V109" s="167">
        <v>8.1404180658524602E-2</v>
      </c>
      <c r="W109" s="167">
        <v>2.4651378384891998E-2</v>
      </c>
    </row>
    <row r="110" spans="1:23">
      <c r="A110" s="2" t="s">
        <v>26</v>
      </c>
      <c r="B110" s="2">
        <v>9937</v>
      </c>
      <c r="C110" s="2" t="s">
        <v>1400</v>
      </c>
      <c r="D110" s="2" t="s">
        <v>1401</v>
      </c>
      <c r="E110" s="4" t="s">
        <v>335</v>
      </c>
      <c r="F110" s="2" t="s">
        <v>1402</v>
      </c>
      <c r="G110" s="2" t="s">
        <v>1403</v>
      </c>
      <c r="H110" s="2" t="s">
        <v>343</v>
      </c>
      <c r="I110" s="2" t="s">
        <v>1007</v>
      </c>
      <c r="J110" s="2" t="s">
        <v>124</v>
      </c>
      <c r="K110" s="2" t="s">
        <v>125</v>
      </c>
      <c r="L110" s="2" t="s">
        <v>32</v>
      </c>
      <c r="M110" s="2" t="s">
        <v>754</v>
      </c>
      <c r="N110" s="2" t="s">
        <v>159</v>
      </c>
      <c r="O110" s="2" t="s">
        <v>35</v>
      </c>
      <c r="P110" s="154">
        <v>1500</v>
      </c>
      <c r="Q110" s="153">
        <v>3.681</v>
      </c>
      <c r="R110" s="153">
        <v>5525</v>
      </c>
      <c r="T110" s="153">
        <v>305.06299999999999</v>
      </c>
      <c r="U110" s="167">
        <v>0</v>
      </c>
      <c r="V110" s="167">
        <v>3.2042177228581298E-2</v>
      </c>
      <c r="W110" s="167">
        <v>9.70323426570616E-3</v>
      </c>
    </row>
    <row r="111" spans="1:23">
      <c r="A111" s="2" t="s">
        <v>26</v>
      </c>
      <c r="B111" s="2">
        <v>9937</v>
      </c>
      <c r="C111" s="2" t="s">
        <v>1443</v>
      </c>
      <c r="D111" s="2" t="s">
        <v>1444</v>
      </c>
      <c r="E111" s="4" t="s">
        <v>335</v>
      </c>
      <c r="F111" s="2" t="s">
        <v>1492</v>
      </c>
      <c r="G111" s="2" t="s">
        <v>1493</v>
      </c>
      <c r="H111" s="2" t="s">
        <v>343</v>
      </c>
      <c r="I111" s="2" t="s">
        <v>1005</v>
      </c>
      <c r="J111" s="2" t="s">
        <v>124</v>
      </c>
      <c r="K111" s="2" t="s">
        <v>125</v>
      </c>
      <c r="L111" s="2" t="s">
        <v>32</v>
      </c>
      <c r="M111" s="2" t="s">
        <v>757</v>
      </c>
      <c r="N111" s="2" t="s">
        <v>159</v>
      </c>
      <c r="O111" s="2" t="s">
        <v>35</v>
      </c>
      <c r="P111" s="154">
        <v>320</v>
      </c>
      <c r="Q111" s="153">
        <v>3.681</v>
      </c>
      <c r="R111" s="153">
        <v>4107</v>
      </c>
      <c r="T111" s="153">
        <v>48.377000000000002</v>
      </c>
      <c r="U111" s="167">
        <v>0</v>
      </c>
      <c r="V111" s="167">
        <v>5.0812803620984299E-3</v>
      </c>
      <c r="W111" s="167">
        <v>1.5387485491839101E-3</v>
      </c>
    </row>
    <row r="112" spans="1:23">
      <c r="A112" s="2" t="s">
        <v>26</v>
      </c>
      <c r="B112" s="2">
        <v>9937</v>
      </c>
      <c r="C112" s="2" t="s">
        <v>1443</v>
      </c>
      <c r="D112" s="2" t="s">
        <v>1444</v>
      </c>
      <c r="E112" s="4" t="s">
        <v>335</v>
      </c>
      <c r="F112" s="2" t="s">
        <v>1445</v>
      </c>
      <c r="G112" s="2" t="s">
        <v>1446</v>
      </c>
      <c r="H112" s="2" t="s">
        <v>343</v>
      </c>
      <c r="I112" s="2" t="s">
        <v>1005</v>
      </c>
      <c r="J112" s="2" t="s">
        <v>124</v>
      </c>
      <c r="K112" s="2" t="s">
        <v>274</v>
      </c>
      <c r="L112" s="2" t="s">
        <v>366</v>
      </c>
      <c r="M112" s="2" t="s">
        <v>757</v>
      </c>
      <c r="N112" s="2" t="s">
        <v>159</v>
      </c>
      <c r="O112" s="2" t="s">
        <v>35</v>
      </c>
      <c r="P112" s="154">
        <v>970</v>
      </c>
      <c r="Q112" s="153">
        <v>3.681</v>
      </c>
      <c r="R112" s="153">
        <v>108.5</v>
      </c>
      <c r="T112" s="153">
        <v>387.40699999999998</v>
      </c>
      <c r="U112" s="167">
        <v>3.1999999999999999E-5</v>
      </c>
      <c r="V112" s="167">
        <v>4.0691148626510298E-2</v>
      </c>
      <c r="W112" s="167">
        <v>1.23223757501568E-2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"/>
  <cols>
    <col min="1" max="12" width="11.58203125" style="4" customWidth="1"/>
    <col min="13" max="13" width="11.58203125" style="2" customWidth="1"/>
    <col min="14" max="24" width="11.582031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1135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348</v>
      </c>
      <c r="M1" s="22" t="s">
        <v>8</v>
      </c>
      <c r="N1" s="22" t="s">
        <v>591</v>
      </c>
      <c r="O1" s="22" t="s">
        <v>145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1" t="s">
        <v>26</v>
      </c>
      <c r="B2" s="21">
        <v>1522</v>
      </c>
      <c r="C2" s="21" t="s">
        <v>1374</v>
      </c>
      <c r="D2" s="21" t="s">
        <v>1375</v>
      </c>
      <c r="E2" s="21" t="s">
        <v>1345</v>
      </c>
      <c r="F2" s="21" t="s">
        <v>1376</v>
      </c>
      <c r="G2" s="21" t="s">
        <v>1377</v>
      </c>
      <c r="H2" s="21" t="s">
        <v>343</v>
      </c>
      <c r="I2" s="21" t="s">
        <v>954</v>
      </c>
      <c r="J2" s="21" t="s">
        <v>124</v>
      </c>
      <c r="K2" s="21" t="s">
        <v>125</v>
      </c>
      <c r="L2" s="4" t="s">
        <v>349</v>
      </c>
      <c r="M2" s="21" t="s">
        <v>49</v>
      </c>
      <c r="N2" s="23" t="s">
        <v>1378</v>
      </c>
      <c r="O2" s="23" t="s">
        <v>159</v>
      </c>
      <c r="P2" s="21" t="s">
        <v>45</v>
      </c>
      <c r="Q2" s="155">
        <v>350000</v>
      </c>
      <c r="R2" s="155">
        <v>1</v>
      </c>
      <c r="S2" s="155">
        <v>183.98</v>
      </c>
      <c r="T2" s="155">
        <v>643.92999999999995</v>
      </c>
      <c r="U2" s="171">
        <v>0</v>
      </c>
      <c r="V2" s="171">
        <v>0.468374041692731</v>
      </c>
      <c r="W2" s="171">
        <v>6.3833457422142595E-2</v>
      </c>
    </row>
    <row r="3" spans="1:23">
      <c r="A3" s="21" t="s">
        <v>26</v>
      </c>
      <c r="B3" s="21">
        <v>1522</v>
      </c>
      <c r="C3" s="21" t="s">
        <v>1379</v>
      </c>
      <c r="D3" s="21" t="s">
        <v>1380</v>
      </c>
      <c r="E3" s="21" t="s">
        <v>1345</v>
      </c>
      <c r="F3" s="21" t="s">
        <v>1381</v>
      </c>
      <c r="G3" s="21" t="s">
        <v>1382</v>
      </c>
      <c r="H3" s="21" t="s">
        <v>343</v>
      </c>
      <c r="I3" s="21" t="s">
        <v>954</v>
      </c>
      <c r="J3" s="21" t="s">
        <v>124</v>
      </c>
      <c r="K3" s="21" t="s">
        <v>125</v>
      </c>
      <c r="L3" s="4" t="s">
        <v>349</v>
      </c>
      <c r="M3" s="21" t="s">
        <v>49</v>
      </c>
      <c r="N3" s="23" t="s">
        <v>1383</v>
      </c>
      <c r="O3" s="23" t="s">
        <v>159</v>
      </c>
      <c r="P3" s="21" t="s">
        <v>45</v>
      </c>
      <c r="Q3" s="155">
        <v>300000</v>
      </c>
      <c r="R3" s="155">
        <v>1</v>
      </c>
      <c r="S3" s="155">
        <v>243.63</v>
      </c>
      <c r="T3" s="155">
        <v>730.89</v>
      </c>
      <c r="U3" s="171">
        <v>0</v>
      </c>
      <c r="V3" s="171">
        <v>0.531625958307269</v>
      </c>
      <c r="W3" s="171">
        <v>7.2453893583572404E-2</v>
      </c>
    </row>
    <row r="4" spans="1:23">
      <c r="A4" s="21" t="s">
        <v>26</v>
      </c>
      <c r="B4" s="21">
        <v>9935</v>
      </c>
      <c r="C4" s="21" t="s">
        <v>1384</v>
      </c>
      <c r="D4" s="21" t="s">
        <v>1385</v>
      </c>
      <c r="E4" s="21" t="s">
        <v>1345</v>
      </c>
      <c r="F4" s="21" t="s">
        <v>1386</v>
      </c>
      <c r="G4" s="21" t="s">
        <v>1387</v>
      </c>
      <c r="H4" s="21" t="s">
        <v>343</v>
      </c>
      <c r="I4" s="21" t="s">
        <v>954</v>
      </c>
      <c r="J4" s="21" t="s">
        <v>31</v>
      </c>
      <c r="K4" s="21" t="s">
        <v>31</v>
      </c>
      <c r="L4" s="4" t="s">
        <v>349</v>
      </c>
      <c r="M4" s="21" t="s">
        <v>49</v>
      </c>
      <c r="N4" s="23" t="s">
        <v>1388</v>
      </c>
      <c r="O4" s="23" t="s">
        <v>159</v>
      </c>
      <c r="P4" s="21" t="s">
        <v>45</v>
      </c>
      <c r="Q4" s="155">
        <v>8209517.25</v>
      </c>
      <c r="R4" s="155">
        <v>1</v>
      </c>
      <c r="S4" s="155">
        <v>62.3</v>
      </c>
      <c r="T4" s="155">
        <v>5114.5290000000005</v>
      </c>
      <c r="U4" s="171">
        <v>2.2415999999999998E-2</v>
      </c>
      <c r="V4" s="171">
        <v>0.77734406883500895</v>
      </c>
      <c r="W4" s="171">
        <v>4.6656952839312397E-3</v>
      </c>
    </row>
    <row r="5" spans="1:23">
      <c r="A5" s="21" t="s">
        <v>26</v>
      </c>
      <c r="B5" s="21">
        <v>9935</v>
      </c>
      <c r="C5" s="21" t="s">
        <v>1379</v>
      </c>
      <c r="D5" s="21" t="s">
        <v>1380</v>
      </c>
      <c r="E5" s="21" t="s">
        <v>1345</v>
      </c>
      <c r="F5" s="21" t="s">
        <v>1389</v>
      </c>
      <c r="G5" s="21" t="s">
        <v>1390</v>
      </c>
      <c r="H5" s="21" t="s">
        <v>343</v>
      </c>
      <c r="I5" s="21" t="s">
        <v>954</v>
      </c>
      <c r="J5" s="21" t="s">
        <v>31</v>
      </c>
      <c r="K5" s="21"/>
      <c r="L5" s="4" t="s">
        <v>349</v>
      </c>
      <c r="M5" s="21" t="s">
        <v>49</v>
      </c>
      <c r="N5" s="23" t="s">
        <v>1388</v>
      </c>
      <c r="O5" s="23" t="s">
        <v>159</v>
      </c>
      <c r="P5" s="21" t="s">
        <v>45</v>
      </c>
      <c r="Q5" s="155">
        <v>721550</v>
      </c>
      <c r="R5" s="155">
        <v>1</v>
      </c>
      <c r="S5" s="155">
        <v>203.03</v>
      </c>
      <c r="T5" s="155">
        <v>1464.963</v>
      </c>
      <c r="U5" s="171">
        <v>6.1900000000000002E-3</v>
      </c>
      <c r="V5" s="171">
        <v>0.22265593116499099</v>
      </c>
      <c r="W5" s="171">
        <v>1.33640272001137E-3</v>
      </c>
    </row>
    <row r="6" spans="1:23">
      <c r="A6" s="21" t="s">
        <v>26</v>
      </c>
      <c r="B6" s="21">
        <v>9936</v>
      </c>
      <c r="C6" s="21" t="s">
        <v>1379</v>
      </c>
      <c r="D6" s="21" t="s">
        <v>1380</v>
      </c>
      <c r="E6" s="21" t="s">
        <v>1345</v>
      </c>
      <c r="F6" s="21" t="s">
        <v>1389</v>
      </c>
      <c r="G6" s="21" t="s">
        <v>1390</v>
      </c>
      <c r="H6" s="21" t="s">
        <v>343</v>
      </c>
      <c r="I6" s="21" t="s">
        <v>954</v>
      </c>
      <c r="J6" s="21" t="s">
        <v>31</v>
      </c>
      <c r="K6" s="21"/>
      <c r="L6" s="4" t="s">
        <v>349</v>
      </c>
      <c r="M6" s="21" t="s">
        <v>49</v>
      </c>
      <c r="N6" s="23" t="s">
        <v>1388</v>
      </c>
      <c r="O6" s="23" t="s">
        <v>159</v>
      </c>
      <c r="P6" s="21" t="s">
        <v>45</v>
      </c>
      <c r="Q6" s="155">
        <v>34813</v>
      </c>
      <c r="R6" s="155">
        <v>1</v>
      </c>
      <c r="S6" s="155">
        <v>203.03</v>
      </c>
      <c r="T6" s="155">
        <v>70.680999999999997</v>
      </c>
      <c r="U6" s="171">
        <v>2.99E-4</v>
      </c>
      <c r="V6" s="171">
        <v>1</v>
      </c>
      <c r="W6" s="171">
        <v>4.6431344890847303E-3</v>
      </c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6"/>
  <sheetViews>
    <sheetView rightToLeft="1" zoomScale="70" zoomScaleNormal="70" workbookViewId="0"/>
  </sheetViews>
  <sheetFormatPr defaultColWidth="9" defaultRowHeight="14"/>
  <cols>
    <col min="1" max="4" width="11.58203125" style="2" customWidth="1"/>
    <col min="5" max="5" width="11.58203125" style="4" customWidth="1"/>
    <col min="6" max="27" width="11.582031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6</v>
      </c>
      <c r="J1" s="22" t="s">
        <v>7</v>
      </c>
      <c r="K1" s="22" t="s">
        <v>348</v>
      </c>
      <c r="L1" s="22" t="s">
        <v>8</v>
      </c>
      <c r="M1" s="22" t="s">
        <v>1141</v>
      </c>
      <c r="N1" s="22" t="s">
        <v>172</v>
      </c>
      <c r="O1" s="22" t="s">
        <v>1142</v>
      </c>
      <c r="P1" s="22" t="s">
        <v>145</v>
      </c>
      <c r="Q1" s="22" t="s">
        <v>11</v>
      </c>
      <c r="R1" s="22" t="s">
        <v>1143</v>
      </c>
      <c r="S1" s="22" t="s">
        <v>1144</v>
      </c>
      <c r="T1" s="22" t="s">
        <v>17</v>
      </c>
      <c r="U1" s="22" t="s">
        <v>18</v>
      </c>
      <c r="V1" s="22" t="s">
        <v>19</v>
      </c>
      <c r="W1" s="22" t="s">
        <v>20</v>
      </c>
      <c r="X1" s="166" t="s">
        <v>24</v>
      </c>
      <c r="Y1" s="166" t="s">
        <v>25</v>
      </c>
    </row>
    <row r="2" spans="1:25">
      <c r="A2" s="30" t="s">
        <v>26</v>
      </c>
      <c r="B2" s="23">
        <v>1522</v>
      </c>
      <c r="C2" s="23" t="s">
        <v>1947</v>
      </c>
      <c r="D2" s="23" t="s">
        <v>1948</v>
      </c>
      <c r="E2" s="21" t="s">
        <v>1345</v>
      </c>
      <c r="F2" s="23" t="s">
        <v>2510</v>
      </c>
      <c r="G2" s="23" t="s">
        <v>2511</v>
      </c>
      <c r="H2" s="21" t="s">
        <v>343</v>
      </c>
      <c r="I2" s="21" t="s">
        <v>31</v>
      </c>
      <c r="J2" s="21" t="s">
        <v>31</v>
      </c>
      <c r="K2" s="23" t="s">
        <v>349</v>
      </c>
      <c r="L2" s="21" t="s">
        <v>49</v>
      </c>
      <c r="M2" s="23" t="s">
        <v>336</v>
      </c>
      <c r="N2" s="23" t="s">
        <v>461</v>
      </c>
      <c r="O2" s="23" t="s">
        <v>2512</v>
      </c>
      <c r="P2" s="23" t="s">
        <v>159</v>
      </c>
      <c r="Q2" s="21" t="s">
        <v>45</v>
      </c>
      <c r="R2" s="155">
        <v>8000</v>
      </c>
      <c r="S2" s="155">
        <v>0</v>
      </c>
      <c r="T2" s="156">
        <v>108</v>
      </c>
      <c r="U2" s="156">
        <v>1</v>
      </c>
      <c r="V2" s="156">
        <v>827.5</v>
      </c>
      <c r="W2" s="156">
        <v>0.89400000000000002</v>
      </c>
      <c r="X2" s="173">
        <v>8.3991867985722807E-2</v>
      </c>
      <c r="Y2" s="173">
        <v>8.8593419934105905E-5</v>
      </c>
    </row>
    <row r="3" spans="1:25">
      <c r="A3" s="23" t="s">
        <v>26</v>
      </c>
      <c r="B3" s="23">
        <v>1522</v>
      </c>
      <c r="C3" s="23" t="s">
        <v>2513</v>
      </c>
      <c r="D3" s="23" t="s">
        <v>2514</v>
      </c>
      <c r="E3" s="21" t="s">
        <v>1345</v>
      </c>
      <c r="F3" s="23" t="s">
        <v>2515</v>
      </c>
      <c r="G3" s="23" t="s">
        <v>2516</v>
      </c>
      <c r="H3" s="21" t="s">
        <v>343</v>
      </c>
      <c r="I3" s="21" t="s">
        <v>31</v>
      </c>
      <c r="J3" s="21" t="s">
        <v>31</v>
      </c>
      <c r="K3" s="23" t="s">
        <v>349</v>
      </c>
      <c r="L3" s="21" t="s">
        <v>49</v>
      </c>
      <c r="M3" s="23" t="s">
        <v>336</v>
      </c>
      <c r="N3" s="23" t="s">
        <v>484</v>
      </c>
      <c r="O3" s="23" t="s">
        <v>2517</v>
      </c>
      <c r="P3" s="23" t="s">
        <v>159</v>
      </c>
      <c r="Q3" s="21" t="s">
        <v>45</v>
      </c>
      <c r="R3" s="155">
        <v>20</v>
      </c>
      <c r="S3" s="155">
        <v>0</v>
      </c>
      <c r="T3" s="156">
        <v>975</v>
      </c>
      <c r="U3" s="156">
        <v>1</v>
      </c>
      <c r="V3" s="156">
        <v>21.9</v>
      </c>
      <c r="W3" s="156">
        <v>0.214</v>
      </c>
      <c r="X3" s="173">
        <v>2.0067543484000701E-2</v>
      </c>
      <c r="Y3" s="173">
        <v>2.1166957582443698E-5</v>
      </c>
    </row>
    <row r="4" spans="1:25">
      <c r="A4" s="23" t="s">
        <v>26</v>
      </c>
      <c r="B4" s="23">
        <v>1522</v>
      </c>
      <c r="C4" s="23" t="s">
        <v>2518</v>
      </c>
      <c r="D4" s="23" t="s">
        <v>2519</v>
      </c>
      <c r="E4" s="21" t="s">
        <v>1345</v>
      </c>
      <c r="F4" s="23" t="s">
        <v>2520</v>
      </c>
      <c r="G4" s="23" t="s">
        <v>2521</v>
      </c>
      <c r="H4" s="21" t="s">
        <v>343</v>
      </c>
      <c r="I4" s="21" t="s">
        <v>31</v>
      </c>
      <c r="J4" s="21" t="s">
        <v>31</v>
      </c>
      <c r="K4" s="23" t="s">
        <v>349</v>
      </c>
      <c r="L4" s="21" t="s">
        <v>49</v>
      </c>
      <c r="M4" s="23" t="s">
        <v>336</v>
      </c>
      <c r="N4" s="23" t="s">
        <v>501</v>
      </c>
      <c r="O4" s="23" t="s">
        <v>2414</v>
      </c>
      <c r="P4" s="23" t="s">
        <v>159</v>
      </c>
      <c r="Q4" s="21" t="s">
        <v>45</v>
      </c>
      <c r="R4" s="155">
        <v>514</v>
      </c>
      <c r="S4" s="155">
        <v>1</v>
      </c>
      <c r="T4" s="156">
        <v>5570</v>
      </c>
      <c r="U4" s="156">
        <v>1</v>
      </c>
      <c r="V4" s="156">
        <v>1.1000000000000001</v>
      </c>
      <c r="W4" s="156">
        <v>6.0999999999999999E-2</v>
      </c>
      <c r="X4" s="173">
        <v>5.7582877380387499E-3</v>
      </c>
      <c r="Y4" s="173">
        <v>6.0737594711454299E-6</v>
      </c>
    </row>
    <row r="5" spans="1:25">
      <c r="A5" s="23" t="s">
        <v>26</v>
      </c>
      <c r="B5" s="23">
        <v>1522</v>
      </c>
      <c r="C5" s="23" t="s">
        <v>2522</v>
      </c>
      <c r="D5" s="23" t="s">
        <v>2523</v>
      </c>
      <c r="E5" s="21" t="s">
        <v>1345</v>
      </c>
      <c r="F5" s="23" t="s">
        <v>2524</v>
      </c>
      <c r="G5" s="23" t="s">
        <v>2525</v>
      </c>
      <c r="H5" s="21" t="s">
        <v>343</v>
      </c>
      <c r="I5" s="21" t="s">
        <v>31</v>
      </c>
      <c r="J5" s="21" t="s">
        <v>31</v>
      </c>
      <c r="K5" s="23" t="s">
        <v>349</v>
      </c>
      <c r="L5" s="21" t="s">
        <v>49</v>
      </c>
      <c r="M5" s="23" t="s">
        <v>336</v>
      </c>
      <c r="N5" s="23" t="s">
        <v>491</v>
      </c>
      <c r="O5" s="23" t="s">
        <v>2526</v>
      </c>
      <c r="P5" s="23" t="s">
        <v>159</v>
      </c>
      <c r="Q5" s="21" t="s">
        <v>45</v>
      </c>
      <c r="R5" s="155">
        <v>4117.3940000000002</v>
      </c>
      <c r="S5" s="155">
        <v>1</v>
      </c>
      <c r="T5" s="156">
        <v>1057.08</v>
      </c>
      <c r="U5" s="156">
        <v>1</v>
      </c>
      <c r="V5" s="156">
        <v>226</v>
      </c>
      <c r="W5" s="156">
        <v>2.3889999999999998</v>
      </c>
      <c r="X5" s="173">
        <v>0.224523486417574</v>
      </c>
      <c r="Y5" s="173">
        <v>2.3682415922268599E-4</v>
      </c>
    </row>
    <row r="6" spans="1:25">
      <c r="A6" s="23" t="s">
        <v>26</v>
      </c>
      <c r="B6" s="23">
        <v>1522</v>
      </c>
      <c r="C6" s="23" t="s">
        <v>2527</v>
      </c>
      <c r="D6" s="23" t="s">
        <v>2528</v>
      </c>
      <c r="E6" s="21" t="s">
        <v>1345</v>
      </c>
      <c r="F6" s="23" t="s">
        <v>2529</v>
      </c>
      <c r="G6" s="23" t="s">
        <v>2530</v>
      </c>
      <c r="H6" s="21" t="s">
        <v>343</v>
      </c>
      <c r="I6" s="21" t="s">
        <v>31</v>
      </c>
      <c r="J6" s="21" t="s">
        <v>31</v>
      </c>
      <c r="K6" s="23" t="s">
        <v>349</v>
      </c>
      <c r="L6" s="21" t="s">
        <v>49</v>
      </c>
      <c r="M6" s="23" t="s">
        <v>336</v>
      </c>
      <c r="N6" s="23" t="s">
        <v>501</v>
      </c>
      <c r="O6" s="23" t="s">
        <v>2531</v>
      </c>
      <c r="P6" s="23" t="s">
        <v>159</v>
      </c>
      <c r="Q6" s="21" t="s">
        <v>45</v>
      </c>
      <c r="R6" s="155">
        <v>0</v>
      </c>
      <c r="S6" s="155">
        <v>0</v>
      </c>
      <c r="T6" s="156">
        <v>4450</v>
      </c>
      <c r="U6" s="156">
        <v>1</v>
      </c>
      <c r="V6" s="156">
        <v>47.9</v>
      </c>
      <c r="W6" s="156">
        <v>2.1320000000000001</v>
      </c>
      <c r="X6" s="173">
        <v>0.200327700800008</v>
      </c>
      <c r="Y6" s="173">
        <v>2.1130279093716401E-4</v>
      </c>
    </row>
    <row r="7" spans="1:25">
      <c r="A7" s="23" t="s">
        <v>26</v>
      </c>
      <c r="B7" s="23">
        <v>1522</v>
      </c>
      <c r="C7" s="23" t="s">
        <v>2532</v>
      </c>
      <c r="D7" s="23" t="s">
        <v>2533</v>
      </c>
      <c r="E7" s="21" t="s">
        <v>1345</v>
      </c>
      <c r="F7" s="23" t="s">
        <v>2534</v>
      </c>
      <c r="G7" s="23" t="s">
        <v>2535</v>
      </c>
      <c r="H7" s="21" t="s">
        <v>343</v>
      </c>
      <c r="I7" s="21" t="s">
        <v>31</v>
      </c>
      <c r="J7" s="21" t="s">
        <v>31</v>
      </c>
      <c r="K7" s="23" t="s">
        <v>349</v>
      </c>
      <c r="L7" s="21" t="s">
        <v>49</v>
      </c>
      <c r="M7" s="23" t="s">
        <v>336</v>
      </c>
      <c r="N7" s="23" t="s">
        <v>501</v>
      </c>
      <c r="O7" s="23" t="s">
        <v>2536</v>
      </c>
      <c r="P7" s="23" t="s">
        <v>159</v>
      </c>
      <c r="Q7" s="21" t="s">
        <v>45</v>
      </c>
      <c r="R7" s="155">
        <v>0</v>
      </c>
      <c r="S7" s="155">
        <v>0</v>
      </c>
      <c r="T7" s="156">
        <v>3900</v>
      </c>
      <c r="U7" s="156">
        <v>1</v>
      </c>
      <c r="V7" s="156">
        <v>49.8</v>
      </c>
      <c r="W7" s="156">
        <v>1.9419999999999999</v>
      </c>
      <c r="X7" s="173">
        <v>0.182532176347623</v>
      </c>
      <c r="Y7" s="173">
        <v>1.92532326503324E-4</v>
      </c>
    </row>
    <row r="8" spans="1:25">
      <c r="A8" s="23" t="s">
        <v>26</v>
      </c>
      <c r="B8" s="23">
        <v>1522</v>
      </c>
      <c r="C8" s="23" t="s">
        <v>2537</v>
      </c>
      <c r="D8" s="23" t="s">
        <v>2538</v>
      </c>
      <c r="E8" s="21" t="s">
        <v>1345</v>
      </c>
      <c r="F8" s="23" t="s">
        <v>2539</v>
      </c>
      <c r="G8" s="23" t="s">
        <v>2540</v>
      </c>
      <c r="H8" s="21" t="s">
        <v>343</v>
      </c>
      <c r="I8" s="21" t="s">
        <v>31</v>
      </c>
      <c r="J8" s="21" t="s">
        <v>31</v>
      </c>
      <c r="K8" s="23" t="s">
        <v>349</v>
      </c>
      <c r="L8" s="21" t="s">
        <v>49</v>
      </c>
      <c r="M8" s="23" t="s">
        <v>336</v>
      </c>
      <c r="N8" s="23" t="s">
        <v>501</v>
      </c>
      <c r="O8" s="23" t="s">
        <v>2541</v>
      </c>
      <c r="P8" s="23" t="s">
        <v>159</v>
      </c>
      <c r="Q8" s="21" t="s">
        <v>45</v>
      </c>
      <c r="R8" s="155">
        <v>1656</v>
      </c>
      <c r="S8" s="155">
        <v>1</v>
      </c>
      <c r="T8" s="156">
        <v>3727</v>
      </c>
      <c r="U8" s="156">
        <v>1</v>
      </c>
      <c r="V8" s="156">
        <v>1</v>
      </c>
      <c r="W8" s="156">
        <v>3.6999999999999998E-2</v>
      </c>
      <c r="X8" s="173">
        <v>3.5027155866934E-3</v>
      </c>
      <c r="Y8" s="173">
        <v>3.6946142563993801E-6</v>
      </c>
    </row>
    <row r="9" spans="1:25">
      <c r="A9" s="23" t="s">
        <v>26</v>
      </c>
      <c r="B9" s="23">
        <v>1522</v>
      </c>
      <c r="C9" s="23" t="s">
        <v>1512</v>
      </c>
      <c r="D9" s="23" t="s">
        <v>1513</v>
      </c>
      <c r="E9" s="21" t="s">
        <v>1345</v>
      </c>
      <c r="F9" s="23" t="s">
        <v>2542</v>
      </c>
      <c r="G9" s="23" t="s">
        <v>2543</v>
      </c>
      <c r="H9" s="21" t="s">
        <v>343</v>
      </c>
      <c r="I9" s="21" t="s">
        <v>124</v>
      </c>
      <c r="J9" s="21" t="s">
        <v>31</v>
      </c>
      <c r="K9" s="23" t="s">
        <v>349</v>
      </c>
      <c r="L9" s="21" t="s">
        <v>49</v>
      </c>
      <c r="M9" s="23" t="s">
        <v>769</v>
      </c>
      <c r="N9" s="23" t="s">
        <v>501</v>
      </c>
      <c r="O9" s="23" t="s">
        <v>2544</v>
      </c>
      <c r="P9" s="23" t="s">
        <v>159</v>
      </c>
      <c r="Q9" s="21" t="s">
        <v>45</v>
      </c>
      <c r="R9" s="155">
        <v>1125</v>
      </c>
      <c r="S9" s="155">
        <v>0</v>
      </c>
      <c r="T9" s="156">
        <v>3060</v>
      </c>
      <c r="U9" s="156">
        <v>1</v>
      </c>
      <c r="V9" s="156">
        <v>95.4</v>
      </c>
      <c r="W9" s="156">
        <v>2.919</v>
      </c>
      <c r="X9" s="173">
        <v>0.27435651862889299</v>
      </c>
      <c r="Y9" s="173">
        <v>2.89387328195635E-4</v>
      </c>
    </row>
    <row r="10" spans="1:25">
      <c r="A10" s="23" t="s">
        <v>26</v>
      </c>
      <c r="B10" s="23">
        <v>1522</v>
      </c>
      <c r="C10" s="23" t="s">
        <v>2545</v>
      </c>
      <c r="D10" s="23" t="s">
        <v>2546</v>
      </c>
      <c r="E10" s="21" t="s">
        <v>1345</v>
      </c>
      <c r="F10" s="23" t="s">
        <v>2547</v>
      </c>
      <c r="G10" s="23" t="s">
        <v>2548</v>
      </c>
      <c r="H10" s="21" t="s">
        <v>343</v>
      </c>
      <c r="I10" s="21" t="s">
        <v>124</v>
      </c>
      <c r="J10" s="21" t="s">
        <v>31</v>
      </c>
      <c r="K10" s="23" t="s">
        <v>349</v>
      </c>
      <c r="L10" s="21" t="s">
        <v>49</v>
      </c>
      <c r="M10" s="23" t="s">
        <v>769</v>
      </c>
      <c r="N10" s="23" t="s">
        <v>501</v>
      </c>
      <c r="O10" s="23" t="s">
        <v>2549</v>
      </c>
      <c r="P10" s="23" t="s">
        <v>159</v>
      </c>
      <c r="Q10" s="21" t="s">
        <v>45</v>
      </c>
      <c r="R10" s="155">
        <v>1415</v>
      </c>
      <c r="S10" s="155">
        <v>0</v>
      </c>
      <c r="T10" s="156">
        <v>146</v>
      </c>
      <c r="U10" s="156">
        <v>1</v>
      </c>
      <c r="V10" s="156">
        <v>36</v>
      </c>
      <c r="W10" s="156">
        <v>5.2999999999999999E-2</v>
      </c>
      <c r="X10" s="173">
        <v>4.9397030114463301E-3</v>
      </c>
      <c r="Y10" s="173">
        <v>5.2103280202938403E-6</v>
      </c>
    </row>
    <row r="11" spans="1:25">
      <c r="A11" s="30" t="s">
        <v>26</v>
      </c>
      <c r="B11" s="23">
        <v>9935</v>
      </c>
      <c r="C11" s="23" t="s">
        <v>1546</v>
      </c>
      <c r="D11" s="23" t="s">
        <v>1547</v>
      </c>
      <c r="E11" s="21" t="s">
        <v>1345</v>
      </c>
      <c r="F11" s="23" t="s">
        <v>2550</v>
      </c>
      <c r="G11" s="23" t="s">
        <v>2551</v>
      </c>
      <c r="H11" s="21" t="s">
        <v>343</v>
      </c>
      <c r="I11" s="21" t="s">
        <v>31</v>
      </c>
      <c r="J11" s="21" t="s">
        <v>31</v>
      </c>
      <c r="K11" s="23" t="s">
        <v>349</v>
      </c>
      <c r="L11" s="21" t="s">
        <v>49</v>
      </c>
      <c r="M11" s="23" t="s">
        <v>769</v>
      </c>
      <c r="N11" s="23" t="s">
        <v>467</v>
      </c>
      <c r="O11" s="23" t="s">
        <v>2552</v>
      </c>
      <c r="P11" s="23" t="s">
        <v>159</v>
      </c>
      <c r="Q11" s="21" t="s">
        <v>45</v>
      </c>
      <c r="R11" s="155">
        <v>28320</v>
      </c>
      <c r="S11" s="155">
        <v>0</v>
      </c>
      <c r="T11" s="156">
        <v>1800</v>
      </c>
      <c r="U11" s="156">
        <v>1</v>
      </c>
      <c r="V11" s="156">
        <v>1407</v>
      </c>
      <c r="W11" s="156">
        <v>25.326000000000001</v>
      </c>
      <c r="X11" s="173">
        <v>9.5403350977948206E-2</v>
      </c>
      <c r="Y11" s="173">
        <v>2.3103475033587701E-5</v>
      </c>
    </row>
    <row r="12" spans="1:25">
      <c r="A12" s="23" t="s">
        <v>26</v>
      </c>
      <c r="B12" s="23">
        <v>9935</v>
      </c>
      <c r="C12" s="23" t="s">
        <v>1947</v>
      </c>
      <c r="D12" s="23" t="s">
        <v>1948</v>
      </c>
      <c r="E12" s="21" t="s">
        <v>1345</v>
      </c>
      <c r="F12" s="23" t="s">
        <v>2510</v>
      </c>
      <c r="G12" s="23" t="s">
        <v>2511</v>
      </c>
      <c r="H12" s="21" t="s">
        <v>343</v>
      </c>
      <c r="I12" s="21" t="s">
        <v>31</v>
      </c>
      <c r="J12" s="21" t="s">
        <v>31</v>
      </c>
      <c r="K12" s="23" t="s">
        <v>349</v>
      </c>
      <c r="L12" s="21" t="s">
        <v>49</v>
      </c>
      <c r="M12" s="23" t="s">
        <v>336</v>
      </c>
      <c r="N12" s="23" t="s">
        <v>461</v>
      </c>
      <c r="O12" s="23" t="s">
        <v>2512</v>
      </c>
      <c r="P12" s="23" t="s">
        <v>159</v>
      </c>
      <c r="Q12" s="21" t="s">
        <v>45</v>
      </c>
      <c r="R12" s="155">
        <v>8000</v>
      </c>
      <c r="S12" s="155">
        <v>0</v>
      </c>
      <c r="T12" s="156">
        <v>2508</v>
      </c>
      <c r="U12" s="156">
        <v>1</v>
      </c>
      <c r="V12" s="156">
        <v>827.5</v>
      </c>
      <c r="W12" s="156">
        <v>20.754000000000001</v>
      </c>
      <c r="X12" s="173">
        <v>7.8179441095753102E-2</v>
      </c>
      <c r="Y12" s="173">
        <v>1.8932424773140999E-5</v>
      </c>
    </row>
    <row r="13" spans="1:25">
      <c r="A13" s="23" t="s">
        <v>26</v>
      </c>
      <c r="B13" s="23">
        <v>9935</v>
      </c>
      <c r="C13" s="23" t="s">
        <v>2513</v>
      </c>
      <c r="D13" s="23" t="s">
        <v>2514</v>
      </c>
      <c r="E13" s="21" t="s">
        <v>1345</v>
      </c>
      <c r="F13" s="23" t="s">
        <v>2515</v>
      </c>
      <c r="G13" s="23" t="s">
        <v>2516</v>
      </c>
      <c r="H13" s="21" t="s">
        <v>343</v>
      </c>
      <c r="I13" s="21" t="s">
        <v>31</v>
      </c>
      <c r="J13" s="21" t="s">
        <v>31</v>
      </c>
      <c r="K13" s="23" t="s">
        <v>349</v>
      </c>
      <c r="L13" s="21" t="s">
        <v>49</v>
      </c>
      <c r="M13" s="23" t="s">
        <v>336</v>
      </c>
      <c r="N13" s="23" t="s">
        <v>484</v>
      </c>
      <c r="O13" s="23" t="s">
        <v>2517</v>
      </c>
      <c r="P13" s="23" t="s">
        <v>159</v>
      </c>
      <c r="Q13" s="21" t="s">
        <v>45</v>
      </c>
      <c r="R13" s="155">
        <v>20</v>
      </c>
      <c r="S13" s="155">
        <v>0</v>
      </c>
      <c r="T13" s="156">
        <v>44550</v>
      </c>
      <c r="U13" s="156">
        <v>1</v>
      </c>
      <c r="V13" s="156">
        <v>21.9</v>
      </c>
      <c r="W13" s="156">
        <v>9.7560000000000002</v>
      </c>
      <c r="X13" s="173">
        <v>3.6752666178978197E-2</v>
      </c>
      <c r="Y13" s="173">
        <v>8.90025661341888E-6</v>
      </c>
    </row>
    <row r="14" spans="1:25">
      <c r="A14" s="23" t="s">
        <v>26</v>
      </c>
      <c r="B14" s="23">
        <v>9935</v>
      </c>
      <c r="C14" s="23" t="s">
        <v>2518</v>
      </c>
      <c r="D14" s="23" t="s">
        <v>2519</v>
      </c>
      <c r="E14" s="21" t="s">
        <v>1345</v>
      </c>
      <c r="F14" s="23" t="s">
        <v>2520</v>
      </c>
      <c r="G14" s="23" t="s">
        <v>2521</v>
      </c>
      <c r="H14" s="21" t="s">
        <v>343</v>
      </c>
      <c r="I14" s="21" t="s">
        <v>31</v>
      </c>
      <c r="J14" s="21" t="s">
        <v>31</v>
      </c>
      <c r="K14" s="23" t="s">
        <v>349</v>
      </c>
      <c r="L14" s="21" t="s">
        <v>49</v>
      </c>
      <c r="M14" s="23" t="s">
        <v>336</v>
      </c>
      <c r="N14" s="23" t="s">
        <v>501</v>
      </c>
      <c r="O14" s="23" t="s">
        <v>2414</v>
      </c>
      <c r="P14" s="23" t="s">
        <v>159</v>
      </c>
      <c r="Q14" s="21" t="s">
        <v>45</v>
      </c>
      <c r="R14" s="155">
        <v>514</v>
      </c>
      <c r="S14" s="155">
        <v>1</v>
      </c>
      <c r="T14" s="156">
        <v>8100</v>
      </c>
      <c r="U14" s="156">
        <v>1</v>
      </c>
      <c r="V14" s="156">
        <v>1.1000000000000001</v>
      </c>
      <c r="W14" s="156">
        <v>8.8999999999999996E-2</v>
      </c>
      <c r="X14" s="173">
        <v>3.3564078702263202E-4</v>
      </c>
      <c r="Y14" s="173">
        <v>8.1280882314327594E-8</v>
      </c>
    </row>
    <row r="15" spans="1:25">
      <c r="A15" s="23" t="s">
        <v>26</v>
      </c>
      <c r="B15" s="23">
        <v>9935</v>
      </c>
      <c r="C15" s="23" t="s">
        <v>2522</v>
      </c>
      <c r="D15" s="23" t="s">
        <v>2523</v>
      </c>
      <c r="E15" s="21" t="s">
        <v>1345</v>
      </c>
      <c r="F15" s="23" t="s">
        <v>2524</v>
      </c>
      <c r="G15" s="23" t="s">
        <v>2525</v>
      </c>
      <c r="H15" s="21" t="s">
        <v>343</v>
      </c>
      <c r="I15" s="21" t="s">
        <v>31</v>
      </c>
      <c r="J15" s="21" t="s">
        <v>31</v>
      </c>
      <c r="K15" s="23" t="s">
        <v>349</v>
      </c>
      <c r="L15" s="21" t="s">
        <v>49</v>
      </c>
      <c r="M15" s="23" t="s">
        <v>336</v>
      </c>
      <c r="N15" s="23" t="s">
        <v>491</v>
      </c>
      <c r="O15" s="23" t="s">
        <v>2526</v>
      </c>
      <c r="P15" s="23" t="s">
        <v>159</v>
      </c>
      <c r="Q15" s="21" t="s">
        <v>45</v>
      </c>
      <c r="R15" s="155">
        <v>4117.3940000000002</v>
      </c>
      <c r="S15" s="155">
        <v>1</v>
      </c>
      <c r="T15" s="156">
        <v>26068.86</v>
      </c>
      <c r="U15" s="156">
        <v>1</v>
      </c>
      <c r="V15" s="156">
        <v>226</v>
      </c>
      <c r="W15" s="156">
        <v>58.915999999999997</v>
      </c>
      <c r="X15" s="173">
        <v>0.22193587287354799</v>
      </c>
      <c r="Y15" s="173">
        <v>5.37453857273493E-5</v>
      </c>
    </row>
    <row r="16" spans="1:25">
      <c r="A16" s="23" t="s">
        <v>26</v>
      </c>
      <c r="B16" s="23">
        <v>9935</v>
      </c>
      <c r="C16" s="23" t="s">
        <v>2527</v>
      </c>
      <c r="D16" s="23" t="s">
        <v>2528</v>
      </c>
      <c r="E16" s="21" t="s">
        <v>1345</v>
      </c>
      <c r="F16" s="23" t="s">
        <v>2529</v>
      </c>
      <c r="G16" s="23" t="s">
        <v>2530</v>
      </c>
      <c r="H16" s="21" t="s">
        <v>343</v>
      </c>
      <c r="I16" s="21" t="s">
        <v>31</v>
      </c>
      <c r="J16" s="21" t="s">
        <v>31</v>
      </c>
      <c r="K16" s="23" t="s">
        <v>349</v>
      </c>
      <c r="L16" s="21" t="s">
        <v>49</v>
      </c>
      <c r="M16" s="23" t="s">
        <v>336</v>
      </c>
      <c r="N16" s="23" t="s">
        <v>501</v>
      </c>
      <c r="O16" s="23" t="s">
        <v>2531</v>
      </c>
      <c r="P16" s="23" t="s">
        <v>159</v>
      </c>
      <c r="Q16" s="21" t="s">
        <v>45</v>
      </c>
      <c r="R16" s="155">
        <v>0</v>
      </c>
      <c r="S16" s="155">
        <v>0</v>
      </c>
      <c r="T16" s="156">
        <v>95200</v>
      </c>
      <c r="U16" s="156">
        <v>1</v>
      </c>
      <c r="V16" s="156">
        <v>47.9</v>
      </c>
      <c r="W16" s="156">
        <v>45.600999999999999</v>
      </c>
      <c r="X16" s="173">
        <v>0.17177876993110699</v>
      </c>
      <c r="Y16" s="173">
        <v>4.1599026467330998E-5</v>
      </c>
    </row>
    <row r="17" spans="1:25">
      <c r="A17" s="23" t="s">
        <v>26</v>
      </c>
      <c r="B17" s="23">
        <v>9935</v>
      </c>
      <c r="C17" s="23" t="s">
        <v>2532</v>
      </c>
      <c r="D17" s="23" t="s">
        <v>2533</v>
      </c>
      <c r="E17" s="21" t="s">
        <v>1345</v>
      </c>
      <c r="F17" s="23" t="s">
        <v>2534</v>
      </c>
      <c r="G17" s="23" t="s">
        <v>2535</v>
      </c>
      <c r="H17" s="21" t="s">
        <v>343</v>
      </c>
      <c r="I17" s="21" t="s">
        <v>31</v>
      </c>
      <c r="J17" s="21" t="s">
        <v>31</v>
      </c>
      <c r="K17" s="23" t="s">
        <v>349</v>
      </c>
      <c r="L17" s="21" t="s">
        <v>49</v>
      </c>
      <c r="M17" s="23" t="s">
        <v>336</v>
      </c>
      <c r="N17" s="23" t="s">
        <v>501</v>
      </c>
      <c r="O17" s="23" t="s">
        <v>2536</v>
      </c>
      <c r="P17" s="23" t="s">
        <v>159</v>
      </c>
      <c r="Q17" s="21" t="s">
        <v>45</v>
      </c>
      <c r="R17" s="155">
        <v>0</v>
      </c>
      <c r="S17" s="155">
        <v>0</v>
      </c>
      <c r="T17" s="156">
        <v>203775</v>
      </c>
      <c r="U17" s="156">
        <v>1</v>
      </c>
      <c r="V17" s="156">
        <v>49.8</v>
      </c>
      <c r="W17" s="156">
        <v>101.48</v>
      </c>
      <c r="X17" s="173">
        <v>0.38227620970838799</v>
      </c>
      <c r="Y17" s="173">
        <v>9.2574409351446198E-5</v>
      </c>
    </row>
    <row r="18" spans="1:25">
      <c r="A18" s="23" t="s">
        <v>26</v>
      </c>
      <c r="B18" s="23">
        <v>9935</v>
      </c>
      <c r="C18" s="23" t="s">
        <v>2537</v>
      </c>
      <c r="D18" s="23" t="s">
        <v>2538</v>
      </c>
      <c r="E18" s="21" t="s">
        <v>1345</v>
      </c>
      <c r="F18" s="23" t="s">
        <v>2539</v>
      </c>
      <c r="G18" s="23" t="s">
        <v>2540</v>
      </c>
      <c r="H18" s="21" t="s">
        <v>343</v>
      </c>
      <c r="I18" s="21" t="s">
        <v>31</v>
      </c>
      <c r="J18" s="21" t="s">
        <v>31</v>
      </c>
      <c r="K18" s="23" t="s">
        <v>349</v>
      </c>
      <c r="L18" s="21" t="s">
        <v>49</v>
      </c>
      <c r="M18" s="23" t="s">
        <v>336</v>
      </c>
      <c r="N18" s="23" t="s">
        <v>501</v>
      </c>
      <c r="O18" s="23" t="s">
        <v>2541</v>
      </c>
      <c r="P18" s="23" t="s">
        <v>159</v>
      </c>
      <c r="Q18" s="21" t="s">
        <v>45</v>
      </c>
      <c r="R18" s="155">
        <v>1656</v>
      </c>
      <c r="S18" s="155">
        <v>1</v>
      </c>
      <c r="T18" s="156">
        <v>28203</v>
      </c>
      <c r="U18" s="156">
        <v>1</v>
      </c>
      <c r="V18" s="156">
        <v>1</v>
      </c>
      <c r="W18" s="156">
        <v>0.28199999999999997</v>
      </c>
      <c r="X18" s="173">
        <v>1.0624104507743299E-3</v>
      </c>
      <c r="Y18" s="173">
        <v>2.5727999146026702E-7</v>
      </c>
    </row>
    <row r="19" spans="1:25">
      <c r="A19" s="23" t="s">
        <v>26</v>
      </c>
      <c r="B19" s="23">
        <v>9935</v>
      </c>
      <c r="C19" s="23" t="s">
        <v>2545</v>
      </c>
      <c r="D19" s="23" t="s">
        <v>2546</v>
      </c>
      <c r="E19" s="21" t="s">
        <v>1345</v>
      </c>
      <c r="F19" s="23" t="s">
        <v>2547</v>
      </c>
      <c r="G19" s="23" t="s">
        <v>2548</v>
      </c>
      <c r="H19" s="21" t="s">
        <v>343</v>
      </c>
      <c r="I19" s="21" t="s">
        <v>124</v>
      </c>
      <c r="J19" s="21" t="s">
        <v>31</v>
      </c>
      <c r="K19" s="23" t="s">
        <v>349</v>
      </c>
      <c r="L19" s="21" t="s">
        <v>49</v>
      </c>
      <c r="M19" s="23" t="s">
        <v>769</v>
      </c>
      <c r="N19" s="23" t="s">
        <v>501</v>
      </c>
      <c r="O19" s="23" t="s">
        <v>2549</v>
      </c>
      <c r="P19" s="23" t="s">
        <v>159</v>
      </c>
      <c r="Q19" s="21" t="s">
        <v>45</v>
      </c>
      <c r="R19" s="155">
        <v>1415</v>
      </c>
      <c r="S19" s="155">
        <v>0</v>
      </c>
      <c r="T19" s="156">
        <v>9052</v>
      </c>
      <c r="U19" s="156">
        <v>1</v>
      </c>
      <c r="V19" s="156">
        <v>36</v>
      </c>
      <c r="W19" s="156">
        <v>3.2589999999999999</v>
      </c>
      <c r="X19" s="173">
        <v>1.22756379964803E-2</v>
      </c>
      <c r="Y19" s="173">
        <v>2.9727456432698698E-6</v>
      </c>
    </row>
    <row r="20" spans="1:25">
      <c r="A20" s="2" t="s">
        <v>26</v>
      </c>
      <c r="B20" s="2">
        <v>9936</v>
      </c>
      <c r="C20" s="2" t="s">
        <v>1947</v>
      </c>
      <c r="D20" s="2" t="s">
        <v>1948</v>
      </c>
      <c r="E20" s="21" t="s">
        <v>1345</v>
      </c>
      <c r="F20" s="2" t="s">
        <v>2510</v>
      </c>
      <c r="G20" s="2" t="s">
        <v>2511</v>
      </c>
      <c r="H20" s="21" t="s">
        <v>343</v>
      </c>
      <c r="I20" s="21" t="s">
        <v>31</v>
      </c>
      <c r="J20" s="21" t="s">
        <v>31</v>
      </c>
      <c r="K20" s="23" t="s">
        <v>349</v>
      </c>
      <c r="L20" s="21" t="s">
        <v>49</v>
      </c>
      <c r="M20" s="2" t="s">
        <v>336</v>
      </c>
      <c r="N20" s="23" t="s">
        <v>461</v>
      </c>
      <c r="O20" s="2" t="s">
        <v>2512</v>
      </c>
      <c r="P20" s="23" t="s">
        <v>159</v>
      </c>
      <c r="Q20" s="2" t="s">
        <v>45</v>
      </c>
      <c r="R20" s="153">
        <v>8000</v>
      </c>
      <c r="S20" s="153">
        <v>0</v>
      </c>
      <c r="T20" s="153">
        <v>84</v>
      </c>
      <c r="U20" s="153">
        <v>1</v>
      </c>
      <c r="V20" s="153">
        <v>827.5</v>
      </c>
      <c r="W20" s="153">
        <v>0.69499999999999995</v>
      </c>
      <c r="X20" s="167">
        <v>0.15828996736279899</v>
      </c>
      <c r="Y20" s="167">
        <v>4.5662205795831701E-5</v>
      </c>
    </row>
    <row r="21" spans="1:25">
      <c r="A21" s="2" t="s">
        <v>26</v>
      </c>
      <c r="B21" s="2">
        <v>9936</v>
      </c>
      <c r="C21" s="2" t="s">
        <v>2513</v>
      </c>
      <c r="D21" s="2" t="s">
        <v>2514</v>
      </c>
      <c r="E21" s="4" t="s">
        <v>1345</v>
      </c>
      <c r="F21" s="2" t="s">
        <v>2515</v>
      </c>
      <c r="G21" s="2" t="s">
        <v>2516</v>
      </c>
      <c r="H21" s="4" t="s">
        <v>343</v>
      </c>
      <c r="I21" s="2" t="s">
        <v>31</v>
      </c>
      <c r="J21" s="2" t="s">
        <v>31</v>
      </c>
      <c r="K21" s="2" t="s">
        <v>349</v>
      </c>
      <c r="L21" s="4" t="s">
        <v>49</v>
      </c>
      <c r="M21" s="2" t="s">
        <v>336</v>
      </c>
      <c r="N21" s="2" t="s">
        <v>484</v>
      </c>
      <c r="O21" s="2" t="s">
        <v>2517</v>
      </c>
      <c r="P21" s="2" t="s">
        <v>159</v>
      </c>
      <c r="Q21" s="2" t="s">
        <v>45</v>
      </c>
      <c r="R21" s="153">
        <v>20</v>
      </c>
      <c r="S21" s="153">
        <v>0</v>
      </c>
      <c r="T21" s="153">
        <v>975</v>
      </c>
      <c r="U21" s="153">
        <v>1</v>
      </c>
      <c r="V21" s="153">
        <v>21.9</v>
      </c>
      <c r="W21" s="153">
        <v>0.214</v>
      </c>
      <c r="X21" s="167">
        <v>4.8624464510346299E-2</v>
      </c>
      <c r="Y21" s="167">
        <v>1.40267910984822E-5</v>
      </c>
    </row>
    <row r="22" spans="1:25">
      <c r="A22" s="2" t="s">
        <v>26</v>
      </c>
      <c r="B22" s="2">
        <v>9936</v>
      </c>
      <c r="C22" s="2" t="s">
        <v>2518</v>
      </c>
      <c r="D22" s="2" t="s">
        <v>2519</v>
      </c>
      <c r="E22" s="4" t="s">
        <v>1345</v>
      </c>
      <c r="F22" s="2" t="s">
        <v>2520</v>
      </c>
      <c r="G22" s="2" t="s">
        <v>2521</v>
      </c>
      <c r="H22" s="2" t="s">
        <v>343</v>
      </c>
      <c r="I22" s="2" t="s">
        <v>31</v>
      </c>
      <c r="J22" s="2" t="s">
        <v>31</v>
      </c>
      <c r="K22" s="2" t="s">
        <v>349</v>
      </c>
      <c r="L22" s="4" t="s">
        <v>49</v>
      </c>
      <c r="M22" s="2" t="s">
        <v>336</v>
      </c>
      <c r="N22" s="2" t="s">
        <v>501</v>
      </c>
      <c r="O22" s="2" t="s">
        <v>2414</v>
      </c>
      <c r="P22" s="2" t="s">
        <v>159</v>
      </c>
      <c r="Q22" s="2" t="s">
        <v>45</v>
      </c>
      <c r="R22" s="153">
        <v>514</v>
      </c>
      <c r="S22" s="153">
        <v>1</v>
      </c>
      <c r="T22" s="153">
        <v>250</v>
      </c>
      <c r="U22" s="153">
        <v>1</v>
      </c>
      <c r="V22" s="153">
        <v>1.1000000000000001</v>
      </c>
      <c r="W22" s="153">
        <v>3.0000000000000001E-3</v>
      </c>
      <c r="X22" s="167">
        <v>6.2623710293151799E-4</v>
      </c>
      <c r="Y22" s="167">
        <v>1.80651799652621E-7</v>
      </c>
    </row>
    <row r="23" spans="1:25">
      <c r="A23" s="2" t="s">
        <v>26</v>
      </c>
      <c r="B23" s="2">
        <v>9936</v>
      </c>
      <c r="C23" s="2" t="s">
        <v>2522</v>
      </c>
      <c r="D23" s="2" t="s">
        <v>2523</v>
      </c>
      <c r="E23" s="4" t="s">
        <v>1345</v>
      </c>
      <c r="F23" s="2" t="s">
        <v>2524</v>
      </c>
      <c r="G23" s="2" t="s">
        <v>2525</v>
      </c>
      <c r="H23" s="2" t="s">
        <v>343</v>
      </c>
      <c r="I23" s="2" t="s">
        <v>31</v>
      </c>
      <c r="J23" s="2" t="s">
        <v>31</v>
      </c>
      <c r="K23" s="2" t="s">
        <v>349</v>
      </c>
      <c r="L23" s="2" t="s">
        <v>49</v>
      </c>
      <c r="M23" s="2" t="s">
        <v>336</v>
      </c>
      <c r="N23" s="2" t="s">
        <v>491</v>
      </c>
      <c r="O23" s="2" t="s">
        <v>2526</v>
      </c>
      <c r="P23" s="2" t="s">
        <v>159</v>
      </c>
      <c r="Q23" s="2" t="s">
        <v>45</v>
      </c>
      <c r="R23" s="153">
        <v>4117.3940000000002</v>
      </c>
      <c r="S23" s="153">
        <v>1</v>
      </c>
      <c r="T23" s="153">
        <v>591.04999999999995</v>
      </c>
      <c r="U23" s="153">
        <v>1</v>
      </c>
      <c r="V23" s="153">
        <v>226</v>
      </c>
      <c r="W23" s="153">
        <v>1.3360000000000001</v>
      </c>
      <c r="X23" s="167">
        <v>0.30418567770696098</v>
      </c>
      <c r="Y23" s="167">
        <v>8.7749016864502094E-5</v>
      </c>
    </row>
    <row r="24" spans="1:25">
      <c r="A24" s="2" t="s">
        <v>26</v>
      </c>
      <c r="B24" s="2">
        <v>9936</v>
      </c>
      <c r="C24" s="2" t="s">
        <v>2532</v>
      </c>
      <c r="D24" s="2" t="s">
        <v>2533</v>
      </c>
      <c r="E24" s="4" t="s">
        <v>1345</v>
      </c>
      <c r="F24" s="2" t="s">
        <v>2534</v>
      </c>
      <c r="G24" s="2" t="s">
        <v>2535</v>
      </c>
      <c r="H24" s="2" t="s">
        <v>343</v>
      </c>
      <c r="I24" s="2" t="s">
        <v>31</v>
      </c>
      <c r="J24" s="2" t="s">
        <v>31</v>
      </c>
      <c r="K24" s="2" t="s">
        <v>349</v>
      </c>
      <c r="L24" s="2" t="s">
        <v>49</v>
      </c>
      <c r="M24" s="2" t="s">
        <v>336</v>
      </c>
      <c r="N24" s="2" t="s">
        <v>501</v>
      </c>
      <c r="O24" s="2" t="s">
        <v>2536</v>
      </c>
      <c r="P24" s="2" t="s">
        <v>159</v>
      </c>
      <c r="Q24" s="2" t="s">
        <v>45</v>
      </c>
      <c r="R24" s="153">
        <v>0</v>
      </c>
      <c r="S24" s="153">
        <v>0</v>
      </c>
      <c r="T24" s="153">
        <v>4200</v>
      </c>
      <c r="U24" s="153">
        <v>1</v>
      </c>
      <c r="V24" s="153">
        <v>49.8</v>
      </c>
      <c r="W24" s="153">
        <v>2.0920000000000001</v>
      </c>
      <c r="X24" s="167">
        <v>0.47630455436056901</v>
      </c>
      <c r="Y24" s="167">
        <v>1.3740047423760801E-4</v>
      </c>
    </row>
    <row r="25" spans="1:25">
      <c r="A25" s="2" t="s">
        <v>26</v>
      </c>
      <c r="B25" s="2">
        <v>9936</v>
      </c>
      <c r="C25" s="2" t="s">
        <v>2545</v>
      </c>
      <c r="D25" s="2" t="s">
        <v>2546</v>
      </c>
      <c r="E25" s="4" t="s">
        <v>1345</v>
      </c>
      <c r="F25" s="2" t="s">
        <v>2547</v>
      </c>
      <c r="G25" s="2" t="s">
        <v>2548</v>
      </c>
      <c r="H25" s="2" t="s">
        <v>343</v>
      </c>
      <c r="I25" s="2" t="s">
        <v>124</v>
      </c>
      <c r="J25" s="2" t="s">
        <v>31</v>
      </c>
      <c r="K25" s="2" t="s">
        <v>349</v>
      </c>
      <c r="L25" s="2" t="s">
        <v>49</v>
      </c>
      <c r="M25" s="2" t="s">
        <v>769</v>
      </c>
      <c r="N25" s="2" t="s">
        <v>501</v>
      </c>
      <c r="O25" s="2" t="s">
        <v>2549</v>
      </c>
      <c r="P25" s="2" t="s">
        <v>159</v>
      </c>
      <c r="Q25" s="2" t="s">
        <v>45</v>
      </c>
      <c r="R25" s="153">
        <v>1415</v>
      </c>
      <c r="S25" s="153">
        <v>0</v>
      </c>
      <c r="T25" s="153">
        <v>146</v>
      </c>
      <c r="U25" s="153">
        <v>1</v>
      </c>
      <c r="V25" s="153">
        <v>36</v>
      </c>
      <c r="W25" s="153">
        <v>5.2999999999999999E-2</v>
      </c>
      <c r="X25" s="167">
        <v>1.19690989563929E-2</v>
      </c>
      <c r="Y25" s="167">
        <v>3.4527485780879201E-6</v>
      </c>
    </row>
    <row r="26" spans="1:25">
      <c r="A26" s="2" t="s">
        <v>26</v>
      </c>
      <c r="B26" s="2">
        <v>9937</v>
      </c>
      <c r="C26" s="2" t="s">
        <v>1546</v>
      </c>
      <c r="D26" s="2" t="s">
        <v>1547</v>
      </c>
      <c r="E26" s="4" t="s">
        <v>1345</v>
      </c>
      <c r="F26" s="2" t="s">
        <v>2550</v>
      </c>
      <c r="G26" s="2" t="s">
        <v>2551</v>
      </c>
      <c r="H26" s="2" t="s">
        <v>343</v>
      </c>
      <c r="I26" s="2" t="s">
        <v>31</v>
      </c>
      <c r="J26" s="2" t="s">
        <v>31</v>
      </c>
      <c r="K26" s="2" t="s">
        <v>349</v>
      </c>
      <c r="L26" s="2" t="s">
        <v>49</v>
      </c>
      <c r="M26" s="2" t="s">
        <v>769</v>
      </c>
      <c r="N26" s="2" t="s">
        <v>467</v>
      </c>
      <c r="O26" s="2" t="s">
        <v>2552</v>
      </c>
      <c r="P26" s="2" t="s">
        <v>159</v>
      </c>
      <c r="Q26" s="2" t="s">
        <v>45</v>
      </c>
      <c r="R26" s="153">
        <v>28320</v>
      </c>
      <c r="S26" s="153">
        <v>0</v>
      </c>
      <c r="T26" s="153">
        <v>100</v>
      </c>
      <c r="U26" s="153">
        <v>1</v>
      </c>
      <c r="V26" s="153">
        <v>1407</v>
      </c>
      <c r="W26" s="153">
        <v>1.407</v>
      </c>
      <c r="X26" s="167">
        <v>1</v>
      </c>
      <c r="Y26" s="167">
        <v>4.4752907451778801E-5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"/>
  <cols>
    <col min="1" max="4" width="11.58203125" style="2" customWidth="1"/>
    <col min="5" max="5" width="11.58203125" style="4" customWidth="1"/>
    <col min="6" max="25" width="11.582031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172</v>
      </c>
      <c r="N1" s="22" t="s">
        <v>195</v>
      </c>
      <c r="O1" s="22" t="s">
        <v>1142</v>
      </c>
      <c r="P1" s="22" t="s">
        <v>145</v>
      </c>
      <c r="Q1" s="22" t="s">
        <v>11</v>
      </c>
      <c r="R1" s="22" t="s">
        <v>1143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"/>
  <cols>
    <col min="1" max="4" width="11.58203125" style="2" customWidth="1"/>
    <col min="5" max="5" width="11.58203125" style="4" customWidth="1"/>
    <col min="6" max="20" width="11.582031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6</v>
      </c>
      <c r="J1" s="22" t="s">
        <v>7</v>
      </c>
      <c r="K1" s="22" t="s">
        <v>8</v>
      </c>
      <c r="L1" s="22" t="s">
        <v>195</v>
      </c>
      <c r="M1" s="22" t="s">
        <v>145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6" t="s">
        <v>24</v>
      </c>
      <c r="T1" s="166" t="s">
        <v>25</v>
      </c>
    </row>
    <row r="2" spans="1:20">
      <c r="A2" s="23" t="s">
        <v>26</v>
      </c>
      <c r="B2" s="23">
        <v>1522</v>
      </c>
      <c r="C2" s="2" t="s">
        <v>2497</v>
      </c>
      <c r="D2" s="2" t="s">
        <v>2498</v>
      </c>
      <c r="E2" s="21" t="s">
        <v>44</v>
      </c>
      <c r="F2" s="23" t="s">
        <v>2499</v>
      </c>
      <c r="G2" s="23" t="s">
        <v>2500</v>
      </c>
      <c r="H2" s="21" t="s">
        <v>336</v>
      </c>
      <c r="I2" s="21" t="s">
        <v>124</v>
      </c>
      <c r="J2" s="21"/>
      <c r="K2" s="21" t="s">
        <v>336</v>
      </c>
      <c r="L2" s="23" t="s">
        <v>336</v>
      </c>
      <c r="M2" s="23" t="s">
        <v>159</v>
      </c>
      <c r="N2" s="21" t="s">
        <v>35</v>
      </c>
      <c r="O2" s="156">
        <v>16</v>
      </c>
      <c r="P2" s="156">
        <v>3.681</v>
      </c>
      <c r="Q2" s="156">
        <v>5308.5</v>
      </c>
      <c r="R2" s="156">
        <v>36.177</v>
      </c>
      <c r="S2" s="173">
        <v>0.82859753938862202</v>
      </c>
      <c r="T2" s="173">
        <v>3.5862509327791599E-3</v>
      </c>
    </row>
    <row r="3" spans="1:20">
      <c r="A3" s="23" t="s">
        <v>26</v>
      </c>
      <c r="B3" s="23">
        <v>1522</v>
      </c>
      <c r="C3" s="2" t="s">
        <v>2497</v>
      </c>
      <c r="D3" s="2" t="s">
        <v>2498</v>
      </c>
      <c r="E3" s="21" t="s">
        <v>44</v>
      </c>
      <c r="F3" s="23" t="s">
        <v>2501</v>
      </c>
      <c r="G3" s="23" t="s">
        <v>2502</v>
      </c>
      <c r="H3" s="21" t="s">
        <v>336</v>
      </c>
      <c r="I3" s="21" t="s">
        <v>124</v>
      </c>
      <c r="J3" s="21"/>
      <c r="K3" s="21" t="s">
        <v>336</v>
      </c>
      <c r="L3" s="23" t="s">
        <v>336</v>
      </c>
      <c r="M3" s="23" t="s">
        <v>159</v>
      </c>
      <c r="N3" s="21" t="s">
        <v>1206</v>
      </c>
      <c r="O3" s="156">
        <v>4</v>
      </c>
      <c r="P3" s="156">
        <v>3.9790000000000001</v>
      </c>
      <c r="Q3" s="156">
        <v>510.8</v>
      </c>
      <c r="R3" s="156">
        <v>7.4829999999999997</v>
      </c>
      <c r="S3" s="173">
        <v>0.17140246061137801</v>
      </c>
      <c r="T3" s="173">
        <v>7.4184656003413397E-4</v>
      </c>
    </row>
    <row r="4" spans="1:20">
      <c r="A4" s="23" t="s">
        <v>26</v>
      </c>
      <c r="B4" s="23">
        <v>9935</v>
      </c>
      <c r="C4" s="2" t="s">
        <v>2497</v>
      </c>
      <c r="D4" s="2" t="s">
        <v>2498</v>
      </c>
      <c r="E4" s="21" t="s">
        <v>44</v>
      </c>
      <c r="F4" s="23" t="s">
        <v>2503</v>
      </c>
      <c r="G4" s="23" t="s">
        <v>2504</v>
      </c>
      <c r="H4" s="21" t="s">
        <v>336</v>
      </c>
      <c r="I4" s="21" t="s">
        <v>124</v>
      </c>
      <c r="J4" s="21" t="s">
        <v>125</v>
      </c>
      <c r="K4" s="21" t="s">
        <v>2505</v>
      </c>
      <c r="L4" s="23" t="s">
        <v>769</v>
      </c>
      <c r="M4" s="23" t="s">
        <v>159</v>
      </c>
      <c r="N4" s="21" t="s">
        <v>35</v>
      </c>
      <c r="O4" s="156">
        <v>54</v>
      </c>
      <c r="P4" s="156">
        <v>3.681</v>
      </c>
      <c r="Q4" s="156">
        <v>5308.5</v>
      </c>
      <c r="R4" s="156">
        <v>1219.4780000000001</v>
      </c>
      <c r="S4" s="173">
        <v>0.26318632065404501</v>
      </c>
      <c r="T4" s="173">
        <v>1.11246114063461E-3</v>
      </c>
    </row>
    <row r="5" spans="1:20">
      <c r="A5" s="23" t="s">
        <v>26</v>
      </c>
      <c r="B5" s="23">
        <v>9935</v>
      </c>
      <c r="C5" s="2" t="s">
        <v>2497</v>
      </c>
      <c r="D5" s="2" t="s">
        <v>2498</v>
      </c>
      <c r="E5" s="21" t="s">
        <v>44</v>
      </c>
      <c r="F5" s="23" t="s">
        <v>2506</v>
      </c>
      <c r="G5" s="23" t="s">
        <v>2507</v>
      </c>
      <c r="H5" s="21" t="s">
        <v>336</v>
      </c>
      <c r="I5" s="21" t="s">
        <v>124</v>
      </c>
      <c r="J5" s="21" t="s">
        <v>125</v>
      </c>
      <c r="K5" s="21" t="s">
        <v>2505</v>
      </c>
      <c r="L5" s="23" t="s">
        <v>769</v>
      </c>
      <c r="M5" s="23" t="s">
        <v>159</v>
      </c>
      <c r="N5" s="21" t="s">
        <v>35</v>
      </c>
      <c r="O5" s="156">
        <v>21</v>
      </c>
      <c r="P5" s="156">
        <v>3.681</v>
      </c>
      <c r="Q5" s="156">
        <v>18475</v>
      </c>
      <c r="R5" s="156">
        <v>395.35300000000001</v>
      </c>
      <c r="S5" s="173">
        <v>8.5324528498755395E-2</v>
      </c>
      <c r="T5" s="173">
        <v>3.6065788701308398E-4</v>
      </c>
    </row>
    <row r="6" spans="1:20">
      <c r="A6" s="23" t="s">
        <v>26</v>
      </c>
      <c r="B6" s="23">
        <v>9935</v>
      </c>
      <c r="C6" s="2" t="s">
        <v>2497</v>
      </c>
      <c r="D6" s="2" t="s">
        <v>2498</v>
      </c>
      <c r="E6" s="21" t="s">
        <v>44</v>
      </c>
      <c r="F6" s="23" t="s">
        <v>2503</v>
      </c>
      <c r="G6" s="23" t="s">
        <v>2504</v>
      </c>
      <c r="H6" s="21" t="s">
        <v>336</v>
      </c>
      <c r="I6" s="21" t="s">
        <v>124</v>
      </c>
      <c r="J6" s="21" t="s">
        <v>125</v>
      </c>
      <c r="K6" s="21" t="s">
        <v>2505</v>
      </c>
      <c r="L6" s="23" t="s">
        <v>769</v>
      </c>
      <c r="M6" s="23" t="s">
        <v>159</v>
      </c>
      <c r="N6" s="21" t="s">
        <v>35</v>
      </c>
      <c r="O6" s="156">
        <v>122</v>
      </c>
      <c r="P6" s="156">
        <v>3.681</v>
      </c>
      <c r="Q6" s="156">
        <v>5308.5</v>
      </c>
      <c r="R6" s="156">
        <v>2755.1179999999999</v>
      </c>
      <c r="S6" s="173">
        <v>0.59460613184802902</v>
      </c>
      <c r="T6" s="173">
        <v>2.51333813254487E-3</v>
      </c>
    </row>
    <row r="7" spans="1:20">
      <c r="A7" s="23" t="s">
        <v>26</v>
      </c>
      <c r="B7" s="23">
        <v>9935</v>
      </c>
      <c r="C7" s="2" t="s">
        <v>2497</v>
      </c>
      <c r="D7" s="2" t="s">
        <v>2498</v>
      </c>
      <c r="E7" s="21" t="s">
        <v>44</v>
      </c>
      <c r="F7" s="23" t="s">
        <v>2506</v>
      </c>
      <c r="G7" s="23" t="s">
        <v>2507</v>
      </c>
      <c r="H7" s="21" t="s">
        <v>336</v>
      </c>
      <c r="I7" s="21" t="s">
        <v>124</v>
      </c>
      <c r="J7" s="21" t="s">
        <v>125</v>
      </c>
      <c r="K7" s="21" t="s">
        <v>2505</v>
      </c>
      <c r="L7" s="23" t="s">
        <v>769</v>
      </c>
      <c r="M7" s="23" t="s">
        <v>159</v>
      </c>
      <c r="N7" s="21" t="s">
        <v>35</v>
      </c>
      <c r="O7" s="156">
        <v>14</v>
      </c>
      <c r="P7" s="156">
        <v>3.681</v>
      </c>
      <c r="Q7" s="156">
        <v>18475</v>
      </c>
      <c r="R7" s="156">
        <v>263.56799999999998</v>
      </c>
      <c r="S7" s="173">
        <v>5.6883018999169997E-2</v>
      </c>
      <c r="T7" s="173">
        <v>2.4043859134205501E-4</v>
      </c>
    </row>
    <row r="8" spans="1:20">
      <c r="A8" s="23" t="s">
        <v>26</v>
      </c>
      <c r="B8" s="23">
        <v>9936</v>
      </c>
      <c r="C8" s="2" t="s">
        <v>2497</v>
      </c>
      <c r="D8" s="2" t="s">
        <v>2498</v>
      </c>
      <c r="E8" s="21" t="s">
        <v>44</v>
      </c>
      <c r="F8" s="23" t="s">
        <v>2499</v>
      </c>
      <c r="G8" s="23" t="s">
        <v>2500</v>
      </c>
      <c r="H8" s="21" t="s">
        <v>336</v>
      </c>
      <c r="I8" s="21" t="s">
        <v>124</v>
      </c>
      <c r="J8" s="21"/>
      <c r="K8" s="21" t="s">
        <v>336</v>
      </c>
      <c r="L8" s="23" t="s">
        <v>336</v>
      </c>
      <c r="M8" s="23" t="s">
        <v>159</v>
      </c>
      <c r="N8" s="21" t="s">
        <v>35</v>
      </c>
      <c r="O8" s="156">
        <v>4</v>
      </c>
      <c r="P8" s="156">
        <v>3.681</v>
      </c>
      <c r="Q8" s="156">
        <v>5308.5</v>
      </c>
      <c r="R8" s="156">
        <v>9.0440000000000005</v>
      </c>
      <c r="S8" s="173">
        <v>0.54505523758818297</v>
      </c>
      <c r="T8" s="173">
        <v>5.9412875545412501E-4</v>
      </c>
    </row>
    <row r="9" spans="1:20">
      <c r="A9" s="23" t="s">
        <v>26</v>
      </c>
      <c r="B9" s="23">
        <v>9936</v>
      </c>
      <c r="C9" s="2" t="s">
        <v>2497</v>
      </c>
      <c r="D9" s="2" t="s">
        <v>2498</v>
      </c>
      <c r="E9" s="21" t="s">
        <v>44</v>
      </c>
      <c r="F9" s="23" t="s">
        <v>2508</v>
      </c>
      <c r="G9" s="23" t="s">
        <v>2509</v>
      </c>
      <c r="H9" s="21" t="s">
        <v>336</v>
      </c>
      <c r="I9" s="21" t="s">
        <v>124</v>
      </c>
      <c r="J9" s="21"/>
      <c r="K9" s="21" t="s">
        <v>336</v>
      </c>
      <c r="L9" s="23" t="s">
        <v>336</v>
      </c>
      <c r="M9" s="23" t="s">
        <v>159</v>
      </c>
      <c r="N9" s="21" t="s">
        <v>35</v>
      </c>
      <c r="O9" s="156">
        <v>4</v>
      </c>
      <c r="P9" s="156">
        <v>3.681</v>
      </c>
      <c r="Q9" s="156">
        <v>18475</v>
      </c>
      <c r="R9" s="156">
        <v>7.5490000000000004</v>
      </c>
      <c r="S9" s="173">
        <v>0.45494476241181703</v>
      </c>
      <c r="T9" s="173">
        <v>4.9590527134119196E-4</v>
      </c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"/>
  <cols>
    <col min="1" max="4" width="11.58203125" style="2" customWidth="1"/>
    <col min="5" max="5" width="11.58203125" style="4" customWidth="1"/>
    <col min="6" max="16" width="11.58203125" style="2" customWidth="1"/>
    <col min="17" max="17" width="11.58203125" style="148" customWidth="1"/>
    <col min="18" max="28" width="11.582031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348</v>
      </c>
      <c r="M1" s="22" t="s">
        <v>8</v>
      </c>
      <c r="N1" s="22" t="s">
        <v>195</v>
      </c>
      <c r="O1" s="22" t="s">
        <v>145</v>
      </c>
      <c r="P1" s="22" t="s">
        <v>12</v>
      </c>
      <c r="Q1" s="162" t="s">
        <v>14</v>
      </c>
      <c r="R1" s="166" t="s">
        <v>15</v>
      </c>
      <c r="S1" s="22" t="s">
        <v>9</v>
      </c>
      <c r="T1" s="22" t="s">
        <v>10</v>
      </c>
      <c r="U1" s="22" t="s">
        <v>196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166" t="s">
        <v>24</v>
      </c>
      <c r="AB1" s="166" t="s">
        <v>25</v>
      </c>
    </row>
    <row r="2" spans="1:28">
      <c r="A2" s="23" t="s">
        <v>26</v>
      </c>
      <c r="B2" s="23">
        <v>1522</v>
      </c>
      <c r="C2" s="23" t="s">
        <v>2946</v>
      </c>
      <c r="D2" s="23" t="s">
        <v>2947</v>
      </c>
      <c r="E2" s="21" t="s">
        <v>1345</v>
      </c>
      <c r="F2" s="23" t="s">
        <v>2948</v>
      </c>
      <c r="G2" s="23" t="s">
        <v>2949</v>
      </c>
      <c r="H2" s="21" t="s">
        <v>343</v>
      </c>
      <c r="I2" s="23" t="s">
        <v>1018</v>
      </c>
      <c r="J2" s="21" t="s">
        <v>31</v>
      </c>
      <c r="K2" s="21" t="s">
        <v>31</v>
      </c>
      <c r="L2" s="23" t="s">
        <v>349</v>
      </c>
      <c r="M2" s="21" t="s">
        <v>49</v>
      </c>
      <c r="N2" s="23" t="s">
        <v>773</v>
      </c>
      <c r="O2" s="23" t="s">
        <v>159</v>
      </c>
      <c r="P2" s="156">
        <v>2.8159999999999998</v>
      </c>
      <c r="Q2" s="172">
        <v>1.2E-2</v>
      </c>
      <c r="R2" s="173">
        <v>4.5650000000000003E-2</v>
      </c>
      <c r="S2" s="23" t="s">
        <v>127</v>
      </c>
      <c r="T2" s="23" t="s">
        <v>128</v>
      </c>
      <c r="U2" s="23" t="s">
        <v>428</v>
      </c>
      <c r="V2" s="21" t="s">
        <v>45</v>
      </c>
      <c r="W2" s="156">
        <v>30000</v>
      </c>
      <c r="X2" s="156">
        <v>1</v>
      </c>
      <c r="Y2" s="156">
        <v>95.88</v>
      </c>
      <c r="Z2" s="156">
        <v>28.763999999999999</v>
      </c>
      <c r="AA2" s="173">
        <v>1</v>
      </c>
      <c r="AB2" s="173">
        <v>2.8514055398731401E-3</v>
      </c>
    </row>
    <row r="3" spans="1:28">
      <c r="A3" s="23" t="s">
        <v>26</v>
      </c>
      <c r="B3" s="23">
        <v>9935</v>
      </c>
      <c r="C3" s="23" t="s">
        <v>2950</v>
      </c>
      <c r="D3" s="23" t="s">
        <v>2951</v>
      </c>
      <c r="E3" s="21" t="s">
        <v>1345</v>
      </c>
      <c r="F3" s="23" t="s">
        <v>2952</v>
      </c>
      <c r="G3" s="23" t="s">
        <v>2953</v>
      </c>
      <c r="H3" s="21" t="s">
        <v>343</v>
      </c>
      <c r="I3" s="23" t="s">
        <v>1018</v>
      </c>
      <c r="J3" s="21" t="s">
        <v>31</v>
      </c>
      <c r="K3" s="21" t="s">
        <v>31</v>
      </c>
      <c r="L3" s="23" t="s">
        <v>349</v>
      </c>
      <c r="M3" s="21" t="s">
        <v>49</v>
      </c>
      <c r="N3" s="23" t="s">
        <v>766</v>
      </c>
      <c r="O3" s="23" t="s">
        <v>159</v>
      </c>
      <c r="P3" s="156">
        <v>3.7829999999999999</v>
      </c>
      <c r="Q3" s="172">
        <v>5.0000000000000001E-4</v>
      </c>
      <c r="R3" s="173">
        <v>2.112E-2</v>
      </c>
      <c r="S3" s="23" t="s">
        <v>1201</v>
      </c>
      <c r="T3" s="23" t="s">
        <v>435</v>
      </c>
      <c r="U3" s="23" t="s">
        <v>428</v>
      </c>
      <c r="V3" s="21" t="s">
        <v>45</v>
      </c>
      <c r="W3" s="156">
        <v>859090.99</v>
      </c>
      <c r="X3" s="156">
        <v>1</v>
      </c>
      <c r="Y3" s="156">
        <v>102.75</v>
      </c>
      <c r="Z3" s="156">
        <v>882.71600000000001</v>
      </c>
      <c r="AA3" s="173">
        <v>1</v>
      </c>
      <c r="AB3" s="173">
        <v>8.0525179215505205E-4</v>
      </c>
    </row>
    <row r="4" spans="1:28">
      <c r="A4" s="23" t="s">
        <v>26</v>
      </c>
      <c r="B4" s="23">
        <v>9937</v>
      </c>
      <c r="C4" s="23" t="s">
        <v>2950</v>
      </c>
      <c r="D4" s="23" t="s">
        <v>2951</v>
      </c>
      <c r="E4" s="21" t="s">
        <v>1345</v>
      </c>
      <c r="F4" s="23" t="s">
        <v>2954</v>
      </c>
      <c r="G4" s="23" t="s">
        <v>2955</v>
      </c>
      <c r="H4" s="21" t="s">
        <v>343</v>
      </c>
      <c r="I4" s="23" t="s">
        <v>1018</v>
      </c>
      <c r="J4" s="21" t="s">
        <v>31</v>
      </c>
      <c r="K4" s="21" t="s">
        <v>31</v>
      </c>
      <c r="L4" s="23" t="s">
        <v>349</v>
      </c>
      <c r="M4" s="21" t="s">
        <v>49</v>
      </c>
      <c r="N4" s="23" t="s">
        <v>768</v>
      </c>
      <c r="O4" s="23" t="s">
        <v>159</v>
      </c>
      <c r="P4" s="156">
        <v>1.907</v>
      </c>
      <c r="Q4" s="172">
        <v>0.117754</v>
      </c>
      <c r="R4" s="173">
        <v>5.6739999999999999E-2</v>
      </c>
      <c r="S4" s="23" t="s">
        <v>1201</v>
      </c>
      <c r="T4" s="23" t="s">
        <v>435</v>
      </c>
      <c r="U4" s="23" t="s">
        <v>428</v>
      </c>
      <c r="V4" s="21" t="s">
        <v>45</v>
      </c>
      <c r="W4" s="156">
        <v>32000</v>
      </c>
      <c r="X4" s="156">
        <v>1</v>
      </c>
      <c r="Y4" s="156">
        <v>109.3</v>
      </c>
      <c r="Z4" s="156">
        <v>34.975999999999999</v>
      </c>
      <c r="AA4" s="173">
        <v>0.53230129422380101</v>
      </c>
      <c r="AB4" s="173">
        <v>1.1124930284530301E-3</v>
      </c>
    </row>
    <row r="5" spans="1:28">
      <c r="A5" s="23" t="s">
        <v>26</v>
      </c>
      <c r="B5" s="23">
        <v>9937</v>
      </c>
      <c r="C5" s="23" t="s">
        <v>2950</v>
      </c>
      <c r="D5" s="23" t="s">
        <v>2951</v>
      </c>
      <c r="E5" s="21" t="s">
        <v>1345</v>
      </c>
      <c r="F5" s="23" t="s">
        <v>2952</v>
      </c>
      <c r="G5" s="23" t="s">
        <v>2953</v>
      </c>
      <c r="H5" s="21" t="s">
        <v>343</v>
      </c>
      <c r="I5" s="23" t="s">
        <v>1018</v>
      </c>
      <c r="J5" s="21" t="s">
        <v>31</v>
      </c>
      <c r="K5" s="21" t="s">
        <v>31</v>
      </c>
      <c r="L5" s="23" t="s">
        <v>349</v>
      </c>
      <c r="M5" s="21" t="s">
        <v>49</v>
      </c>
      <c r="N5" s="23" t="s">
        <v>766</v>
      </c>
      <c r="O5" s="23" t="s">
        <v>159</v>
      </c>
      <c r="P5" s="156">
        <v>3.7829999999999999</v>
      </c>
      <c r="Q5" s="172">
        <v>5.0000000000000001E-4</v>
      </c>
      <c r="R5" s="173">
        <v>2.112E-2</v>
      </c>
      <c r="S5" s="23" t="s">
        <v>1201</v>
      </c>
      <c r="T5" s="23" t="s">
        <v>435</v>
      </c>
      <c r="U5" s="23" t="s">
        <v>428</v>
      </c>
      <c r="V5" s="21" t="s">
        <v>45</v>
      </c>
      <c r="W5" s="156">
        <v>29908.66</v>
      </c>
      <c r="X5" s="156">
        <v>1</v>
      </c>
      <c r="Y5" s="156">
        <v>102.75</v>
      </c>
      <c r="Z5" s="156">
        <v>30.731000000000002</v>
      </c>
      <c r="AA5" s="173">
        <v>0.46769870577619999</v>
      </c>
      <c r="AB5" s="173">
        <v>9.7747564253294395E-4</v>
      </c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"/>
  <cols>
    <col min="1" max="8" width="11.58203125" customWidth="1"/>
    <col min="9" max="9" width="11.58203125" style="2" customWidth="1"/>
    <col min="10" max="15" width="11.58203125" customWidth="1"/>
    <col min="16" max="16" width="11.58203125" style="147" customWidth="1"/>
    <col min="17" max="23" width="11.58203125" customWidth="1"/>
    <col min="24" max="24" width="11.58203125" style="2" customWidth="1"/>
    <col min="25" max="25" width="11.582031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171</v>
      </c>
      <c r="G1" s="22" t="s">
        <v>5</v>
      </c>
      <c r="H1" s="22" t="s">
        <v>6</v>
      </c>
      <c r="I1" s="22" t="s">
        <v>7</v>
      </c>
      <c r="J1" s="22" t="s">
        <v>180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"/>
  <cols>
    <col min="1" max="7" width="11.58203125" style="2" customWidth="1"/>
    <col min="8" max="8" width="11.58203125" customWidth="1"/>
    <col min="9" max="9" width="11.58203125" style="2" customWidth="1"/>
    <col min="10" max="10" width="11.58203125" style="148" customWidth="1"/>
    <col min="11" max="15" width="11.58203125" style="2" customWidth="1"/>
    <col min="16" max="16" width="11.58203125" customWidth="1"/>
    <col min="17" max="19" width="11.582031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180</v>
      </c>
      <c r="G1" s="22" t="s">
        <v>12</v>
      </c>
      <c r="H1" s="22" t="s">
        <v>775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"/>
  <cols>
    <col min="1" max="3" width="11.58203125" style="2" customWidth="1"/>
    <col min="4" max="6" width="11.58203125" customWidth="1"/>
    <col min="7" max="8" width="11.58203125" style="2" customWidth="1"/>
    <col min="9" max="9" width="9" style="2" customWidth="1"/>
    <col min="10" max="16384" width="9" style="2"/>
  </cols>
  <sheetData>
    <row r="1" spans="1:8" ht="66.75" customHeight="1">
      <c r="A1" s="22" t="s">
        <v>1146</v>
      </c>
      <c r="B1" s="22" t="s">
        <v>1</v>
      </c>
      <c r="C1" s="22" t="s">
        <v>5</v>
      </c>
      <c r="D1" s="22" t="s">
        <v>1147</v>
      </c>
      <c r="E1" s="22" t="s">
        <v>1148</v>
      </c>
      <c r="F1" s="22" t="s">
        <v>1149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"/>
  <cols>
    <col min="1" max="4" width="11.58203125" customWidth="1"/>
    <col min="5" max="5" width="11.58203125" style="4" customWidth="1"/>
    <col min="6" max="11" width="11.58203125" customWidth="1"/>
    <col min="12" max="12" width="11.58203125" style="2" customWidth="1"/>
    <col min="13" max="24" width="11.58203125" customWidth="1"/>
    <col min="25" max="26" width="11.58203125" style="4" customWidth="1"/>
    <col min="27" max="40" width="11.582031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172</v>
      </c>
      <c r="M1" s="22" t="s">
        <v>145</v>
      </c>
      <c r="N1" s="22" t="s">
        <v>180</v>
      </c>
      <c r="O1" s="22" t="s">
        <v>9</v>
      </c>
      <c r="P1" s="22" t="s">
        <v>10</v>
      </c>
      <c r="Q1" s="22" t="s">
        <v>196</v>
      </c>
      <c r="R1" s="22" t="s">
        <v>11</v>
      </c>
      <c r="S1" s="22" t="s">
        <v>12</v>
      </c>
      <c r="T1" s="22" t="s">
        <v>775</v>
      </c>
      <c r="U1" s="22" t="s">
        <v>932</v>
      </c>
      <c r="V1" s="22" t="s">
        <v>13</v>
      </c>
      <c r="W1" s="166" t="s">
        <v>14</v>
      </c>
      <c r="X1" s="166" t="s">
        <v>15</v>
      </c>
      <c r="Y1" s="22" t="s">
        <v>432</v>
      </c>
      <c r="Z1" s="22" t="s">
        <v>853</v>
      </c>
      <c r="AA1" s="22" t="s">
        <v>173</v>
      </c>
      <c r="AB1" s="22" t="s">
        <v>174</v>
      </c>
      <c r="AC1" s="22" t="s">
        <v>186</v>
      </c>
      <c r="AD1" s="22" t="s">
        <v>154</v>
      </c>
      <c r="AE1" s="22" t="s">
        <v>175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188</v>
      </c>
      <c r="AL1" s="22" t="s">
        <v>22</v>
      </c>
      <c r="AM1" s="166" t="s">
        <v>24</v>
      </c>
      <c r="AN1" s="166" t="s">
        <v>25</v>
      </c>
    </row>
    <row r="2" spans="1:40">
      <c r="A2" s="30" t="s">
        <v>26</v>
      </c>
      <c r="B2" s="23">
        <v>9935</v>
      </c>
      <c r="C2" s="23" t="s">
        <v>2133</v>
      </c>
      <c r="D2" s="23" t="s">
        <v>2134</v>
      </c>
      <c r="E2" s="21" t="s">
        <v>1345</v>
      </c>
      <c r="F2" s="23" t="s">
        <v>2956</v>
      </c>
      <c r="G2" s="23" t="s">
        <v>2957</v>
      </c>
      <c r="H2" s="21" t="s">
        <v>343</v>
      </c>
      <c r="I2" s="23" t="s">
        <v>778</v>
      </c>
      <c r="J2" s="21" t="s">
        <v>31</v>
      </c>
      <c r="K2" s="21" t="s">
        <v>31</v>
      </c>
      <c r="L2" s="23" t="s">
        <v>476</v>
      </c>
      <c r="M2" s="23" t="s">
        <v>159</v>
      </c>
      <c r="N2" s="23" t="s">
        <v>2958</v>
      </c>
      <c r="O2" s="23" t="s">
        <v>1785</v>
      </c>
      <c r="P2" s="23" t="s">
        <v>435</v>
      </c>
      <c r="Q2" s="23" t="s">
        <v>428</v>
      </c>
      <c r="R2" s="21" t="s">
        <v>35</v>
      </c>
      <c r="S2" s="156">
        <v>0.04</v>
      </c>
      <c r="T2" s="23" t="s">
        <v>779</v>
      </c>
      <c r="U2" s="23" t="s">
        <v>935</v>
      </c>
      <c r="V2" s="23" t="s">
        <v>2959</v>
      </c>
      <c r="W2" s="173">
        <v>6.3598000000000002E-2</v>
      </c>
      <c r="X2" s="173">
        <v>6.7400000000000002E-2</v>
      </c>
      <c r="Y2" s="21" t="s">
        <v>434</v>
      </c>
      <c r="Z2" s="23" t="s">
        <v>159</v>
      </c>
      <c r="AA2" s="23" t="s">
        <v>916</v>
      </c>
      <c r="AB2" s="23" t="s">
        <v>2847</v>
      </c>
      <c r="AC2" s="23" t="s">
        <v>2960</v>
      </c>
      <c r="AD2" s="23" t="s">
        <v>168</v>
      </c>
      <c r="AE2" s="23"/>
      <c r="AF2" s="156">
        <v>249000</v>
      </c>
      <c r="AG2" s="156">
        <v>3.681</v>
      </c>
      <c r="AH2" s="156">
        <v>362.86</v>
      </c>
      <c r="AI2" s="156">
        <v>923.26</v>
      </c>
      <c r="AK2" s="30"/>
      <c r="AL2" s="23" t="s">
        <v>37</v>
      </c>
      <c r="AM2" s="174">
        <v>0.42624849451260799</v>
      </c>
      <c r="AN2" s="174">
        <v>8.4223775131561499E-4</v>
      </c>
    </row>
    <row r="3" spans="1:40">
      <c r="A3" s="23" t="s">
        <v>26</v>
      </c>
      <c r="B3" s="23">
        <v>9935</v>
      </c>
      <c r="C3" s="23" t="s">
        <v>1655</v>
      </c>
      <c r="D3" s="23" t="s">
        <v>1656</v>
      </c>
      <c r="E3" s="21" t="s">
        <v>335</v>
      </c>
      <c r="F3" s="23" t="s">
        <v>2961</v>
      </c>
      <c r="G3" s="23" t="s">
        <v>2962</v>
      </c>
      <c r="H3" s="21" t="s">
        <v>343</v>
      </c>
      <c r="I3" s="23" t="s">
        <v>778</v>
      </c>
      <c r="J3" s="21" t="s">
        <v>124</v>
      </c>
      <c r="K3" s="21" t="s">
        <v>125</v>
      </c>
      <c r="L3" s="23" t="s">
        <v>461</v>
      </c>
      <c r="M3" s="23" t="s">
        <v>159</v>
      </c>
      <c r="N3" s="23" t="s">
        <v>2963</v>
      </c>
      <c r="O3" s="23" t="s">
        <v>1785</v>
      </c>
      <c r="P3" s="23" t="s">
        <v>435</v>
      </c>
      <c r="Q3" s="23" t="s">
        <v>428</v>
      </c>
      <c r="R3" s="21" t="s">
        <v>35</v>
      </c>
      <c r="S3" s="156">
        <v>0.02</v>
      </c>
      <c r="T3" s="23" t="s">
        <v>779</v>
      </c>
      <c r="U3" s="23" t="s">
        <v>939</v>
      </c>
      <c r="V3" s="23" t="s">
        <v>2964</v>
      </c>
      <c r="W3" s="173">
        <v>6.3981999999999997E-2</v>
      </c>
      <c r="X3" s="173">
        <v>5.7200000000000001E-2</v>
      </c>
      <c r="Y3" s="21" t="s">
        <v>434</v>
      </c>
      <c r="Z3" s="21" t="s">
        <v>159</v>
      </c>
      <c r="AA3" s="23" t="s">
        <v>916</v>
      </c>
      <c r="AB3" s="23" t="s">
        <v>2847</v>
      </c>
      <c r="AC3" t="s">
        <v>2960</v>
      </c>
      <c r="AD3" t="s">
        <v>168</v>
      </c>
      <c r="AF3" s="156">
        <v>105000</v>
      </c>
      <c r="AG3" s="156">
        <v>3.681</v>
      </c>
      <c r="AH3" s="156">
        <v>101.22799999999999</v>
      </c>
      <c r="AI3" s="156">
        <v>391.298</v>
      </c>
      <c r="AK3" s="23"/>
      <c r="AL3" s="23" t="s">
        <v>37</v>
      </c>
      <c r="AM3" s="174">
        <v>0.18065338875079101</v>
      </c>
      <c r="AN3" s="174">
        <v>3.5695868928051103E-4</v>
      </c>
    </row>
    <row r="4" spans="1:40">
      <c r="A4" s="23" t="s">
        <v>26</v>
      </c>
      <c r="B4" s="23">
        <v>9935</v>
      </c>
      <c r="C4" s="23" t="s">
        <v>1516</v>
      </c>
      <c r="D4" s="23" t="s">
        <v>1517</v>
      </c>
      <c r="E4" s="21" t="s">
        <v>1345</v>
      </c>
      <c r="F4" s="23" t="s">
        <v>2965</v>
      </c>
      <c r="G4" s="23" t="s">
        <v>2966</v>
      </c>
      <c r="H4" s="21" t="s">
        <v>343</v>
      </c>
      <c r="I4" s="23" t="s">
        <v>778</v>
      </c>
      <c r="J4" s="21" t="s">
        <v>31</v>
      </c>
      <c r="K4" s="21" t="s">
        <v>31</v>
      </c>
      <c r="L4" s="23" t="s">
        <v>466</v>
      </c>
      <c r="M4" s="23" t="s">
        <v>159</v>
      </c>
      <c r="N4" s="23" t="s">
        <v>2869</v>
      </c>
      <c r="O4" s="23" t="s">
        <v>1779</v>
      </c>
      <c r="P4" s="23" t="s">
        <v>435</v>
      </c>
      <c r="Q4" s="23" t="s">
        <v>428</v>
      </c>
      <c r="R4" s="21" t="s">
        <v>35</v>
      </c>
      <c r="S4" s="156">
        <v>0.05</v>
      </c>
      <c r="T4" s="23" t="s">
        <v>779</v>
      </c>
      <c r="U4" s="23" t="s">
        <v>939</v>
      </c>
      <c r="V4" s="23" t="s">
        <v>2967</v>
      </c>
      <c r="W4" s="173">
        <v>0.119823</v>
      </c>
      <c r="X4" s="173">
        <v>5.62E-2</v>
      </c>
      <c r="Y4" s="21" t="s">
        <v>434</v>
      </c>
      <c r="Z4" s="21" t="s">
        <v>159</v>
      </c>
      <c r="AA4" s="23" t="s">
        <v>916</v>
      </c>
      <c r="AB4" s="23" t="s">
        <v>2847</v>
      </c>
      <c r="AC4" t="s">
        <v>2960</v>
      </c>
      <c r="AD4" s="23" t="s">
        <v>168</v>
      </c>
      <c r="AE4" s="23"/>
      <c r="AF4" s="156">
        <v>230000</v>
      </c>
      <c r="AG4" s="156">
        <v>3.681</v>
      </c>
      <c r="AH4" s="156">
        <v>380.84</v>
      </c>
      <c r="AI4" s="156">
        <v>851.45600000000002</v>
      </c>
      <c r="AK4" s="23"/>
      <c r="AL4" s="23" t="s">
        <v>37</v>
      </c>
      <c r="AM4" s="174">
        <v>0.393098116736601</v>
      </c>
      <c r="AN4" s="174">
        <v>7.7673488152776404E-4</v>
      </c>
    </row>
    <row r="5" spans="1:40">
      <c r="A5" s="23" t="s">
        <v>26</v>
      </c>
      <c r="B5" s="23">
        <v>9936</v>
      </c>
      <c r="C5" s="23" t="s">
        <v>2133</v>
      </c>
      <c r="D5" s="23" t="s">
        <v>2134</v>
      </c>
      <c r="E5" s="21" t="s">
        <v>1345</v>
      </c>
      <c r="F5" s="23" t="s">
        <v>2956</v>
      </c>
      <c r="G5" s="23" t="s">
        <v>2957</v>
      </c>
      <c r="H5" s="21" t="s">
        <v>343</v>
      </c>
      <c r="I5" s="23" t="s">
        <v>778</v>
      </c>
      <c r="J5" s="21" t="s">
        <v>31</v>
      </c>
      <c r="K5" s="21" t="s">
        <v>31</v>
      </c>
      <c r="L5" s="23" t="s">
        <v>476</v>
      </c>
      <c r="M5" s="23" t="s">
        <v>159</v>
      </c>
      <c r="N5" s="23" t="s">
        <v>2958</v>
      </c>
      <c r="O5" s="23" t="s">
        <v>1785</v>
      </c>
      <c r="P5" s="23" t="s">
        <v>435</v>
      </c>
      <c r="Q5" s="23" t="s">
        <v>428</v>
      </c>
      <c r="R5" s="21" t="s">
        <v>35</v>
      </c>
      <c r="S5" s="156">
        <v>0.04</v>
      </c>
      <c r="T5" s="23" t="s">
        <v>779</v>
      </c>
      <c r="U5" s="23" t="s">
        <v>935</v>
      </c>
      <c r="V5" s="23" t="s">
        <v>2959</v>
      </c>
      <c r="W5" s="173">
        <v>6.3598000000000002E-2</v>
      </c>
      <c r="X5" s="173">
        <v>6.7400000000000002E-2</v>
      </c>
      <c r="Y5" s="21" t="s">
        <v>434</v>
      </c>
      <c r="Z5" s="21" t="s">
        <v>159</v>
      </c>
      <c r="AA5" s="23" t="s">
        <v>916</v>
      </c>
      <c r="AB5" s="23" t="s">
        <v>2847</v>
      </c>
      <c r="AC5" t="s">
        <v>2960</v>
      </c>
      <c r="AD5" s="23" t="s">
        <v>168</v>
      </c>
      <c r="AE5" s="23"/>
      <c r="AF5" s="156">
        <v>8000</v>
      </c>
      <c r="AG5" s="156">
        <v>3.681</v>
      </c>
      <c r="AH5" s="156">
        <v>362.86</v>
      </c>
      <c r="AI5" s="156">
        <v>29.663</v>
      </c>
      <c r="AK5" s="23"/>
      <c r="AL5" s="23" t="s">
        <v>37</v>
      </c>
      <c r="AM5" s="174">
        <v>0.39984915846300401</v>
      </c>
      <c r="AN5" s="174">
        <v>1.9486069039281601E-3</v>
      </c>
    </row>
    <row r="6" spans="1:40">
      <c r="A6" s="23" t="s">
        <v>26</v>
      </c>
      <c r="B6" s="23">
        <v>9936</v>
      </c>
      <c r="C6" s="23" t="s">
        <v>1655</v>
      </c>
      <c r="D6" s="23" t="s">
        <v>1656</v>
      </c>
      <c r="E6" s="21" t="s">
        <v>335</v>
      </c>
      <c r="F6" s="23" t="s">
        <v>2961</v>
      </c>
      <c r="G6" s="23" t="s">
        <v>2962</v>
      </c>
      <c r="H6" s="21" t="s">
        <v>343</v>
      </c>
      <c r="I6" s="23" t="s">
        <v>778</v>
      </c>
      <c r="J6" s="21" t="s">
        <v>124</v>
      </c>
      <c r="K6" s="21" t="s">
        <v>125</v>
      </c>
      <c r="L6" s="23" t="s">
        <v>461</v>
      </c>
      <c r="M6" s="23" t="s">
        <v>159</v>
      </c>
      <c r="N6" s="23" t="s">
        <v>2963</v>
      </c>
      <c r="O6" s="23" t="s">
        <v>1785</v>
      </c>
      <c r="P6" s="23" t="s">
        <v>435</v>
      </c>
      <c r="Q6" s="23" t="s">
        <v>428</v>
      </c>
      <c r="R6" s="21" t="s">
        <v>35</v>
      </c>
      <c r="S6" s="156">
        <v>0.02</v>
      </c>
      <c r="T6" s="23" t="s">
        <v>779</v>
      </c>
      <c r="U6" s="23" t="s">
        <v>939</v>
      </c>
      <c r="V6" s="23" t="s">
        <v>2964</v>
      </c>
      <c r="W6" s="173">
        <v>6.3981999999999997E-2</v>
      </c>
      <c r="X6" s="173">
        <v>5.7200000000000001E-2</v>
      </c>
      <c r="Y6" s="21" t="s">
        <v>434</v>
      </c>
      <c r="Z6" s="21" t="s">
        <v>159</v>
      </c>
      <c r="AA6" s="23" t="s">
        <v>916</v>
      </c>
      <c r="AB6" s="23" t="s">
        <v>2847</v>
      </c>
      <c r="AC6" t="s">
        <v>2960</v>
      </c>
      <c r="AD6" s="23" t="s">
        <v>168</v>
      </c>
      <c r="AE6" s="23"/>
      <c r="AF6" s="156">
        <v>4000</v>
      </c>
      <c r="AG6" s="156">
        <v>3.681</v>
      </c>
      <c r="AH6" s="156">
        <v>101.22799999999999</v>
      </c>
      <c r="AI6" s="156">
        <v>14.907</v>
      </c>
      <c r="AK6" s="23"/>
      <c r="AL6" s="23" t="s">
        <v>37</v>
      </c>
      <c r="AM6" s="174">
        <v>0.200936805335027</v>
      </c>
      <c r="AN6" s="174">
        <v>9.7923638912780103E-4</v>
      </c>
    </row>
    <row r="7" spans="1:40">
      <c r="A7" s="23" t="s">
        <v>26</v>
      </c>
      <c r="B7" s="23">
        <v>9936</v>
      </c>
      <c r="C7" s="23" t="s">
        <v>1516</v>
      </c>
      <c r="D7" s="23" t="s">
        <v>1517</v>
      </c>
      <c r="E7" s="21" t="s">
        <v>1345</v>
      </c>
      <c r="F7" s="23" t="s">
        <v>2965</v>
      </c>
      <c r="G7" s="23" t="s">
        <v>2966</v>
      </c>
      <c r="H7" s="21" t="s">
        <v>343</v>
      </c>
      <c r="I7" s="23" t="s">
        <v>778</v>
      </c>
      <c r="J7" s="21" t="s">
        <v>31</v>
      </c>
      <c r="K7" s="21" t="s">
        <v>31</v>
      </c>
      <c r="L7" s="23" t="s">
        <v>466</v>
      </c>
      <c r="M7" s="23" t="s">
        <v>159</v>
      </c>
      <c r="N7" s="23" t="s">
        <v>2869</v>
      </c>
      <c r="O7" s="23" t="s">
        <v>1779</v>
      </c>
      <c r="P7" s="23" t="s">
        <v>435</v>
      </c>
      <c r="Q7" s="23" t="s">
        <v>428</v>
      </c>
      <c r="R7" s="21" t="s">
        <v>35</v>
      </c>
      <c r="S7" s="156">
        <v>0.05</v>
      </c>
      <c r="T7" s="23" t="s">
        <v>779</v>
      </c>
      <c r="U7" s="23" t="s">
        <v>939</v>
      </c>
      <c r="V7" s="23" t="s">
        <v>2967</v>
      </c>
      <c r="W7" s="173">
        <v>0.119823</v>
      </c>
      <c r="X7" s="173">
        <v>5.62E-2</v>
      </c>
      <c r="Y7" s="21" t="s">
        <v>434</v>
      </c>
      <c r="Z7" s="21" t="s">
        <v>159</v>
      </c>
      <c r="AA7" s="23" t="s">
        <v>916</v>
      </c>
      <c r="AB7" s="23" t="s">
        <v>2847</v>
      </c>
      <c r="AC7" t="s">
        <v>2960</v>
      </c>
      <c r="AD7" s="23" t="s">
        <v>168</v>
      </c>
      <c r="AE7" s="23"/>
      <c r="AF7" s="156">
        <v>8000</v>
      </c>
      <c r="AG7" s="156">
        <v>3.681</v>
      </c>
      <c r="AH7" s="156">
        <v>380.84</v>
      </c>
      <c r="AI7" s="156">
        <v>29.616</v>
      </c>
      <c r="AK7" s="23"/>
      <c r="AL7" s="23" t="s">
        <v>37</v>
      </c>
      <c r="AM7" s="174">
        <v>0.39921403620196899</v>
      </c>
      <c r="AN7" s="174">
        <v>1.94551172766857E-3</v>
      </c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6"/>
  <sheetViews>
    <sheetView rightToLeft="1" zoomScale="70" zoomScaleNormal="70" workbookViewId="0">
      <selection activeCell="A5" sqref="A5"/>
    </sheetView>
  </sheetViews>
  <sheetFormatPr defaultColWidth="9" defaultRowHeight="14"/>
  <cols>
    <col min="1" max="4" width="11.58203125" style="2" customWidth="1"/>
    <col min="5" max="5" width="11.58203125" style="4" customWidth="1"/>
    <col min="6" max="11" width="11.58203125" style="2" customWidth="1"/>
    <col min="12" max="12" width="11.58203125" style="4" customWidth="1"/>
    <col min="13" max="23" width="11.58203125" style="2" customWidth="1"/>
    <col min="24" max="25" width="11.58203125" style="4" customWidth="1"/>
    <col min="26" max="38" width="11.582031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348</v>
      </c>
      <c r="M1" s="22" t="s">
        <v>172</v>
      </c>
      <c r="N1" s="22" t="s">
        <v>145</v>
      </c>
      <c r="O1" s="22" t="s">
        <v>180</v>
      </c>
      <c r="P1" s="22" t="s">
        <v>9</v>
      </c>
      <c r="Q1" s="22" t="s">
        <v>10</v>
      </c>
      <c r="R1" s="22" t="s">
        <v>196</v>
      </c>
      <c r="S1" s="22" t="s">
        <v>11</v>
      </c>
      <c r="T1" s="22" t="s">
        <v>12</v>
      </c>
      <c r="U1" s="22" t="s">
        <v>13</v>
      </c>
      <c r="V1" s="166" t="s">
        <v>15</v>
      </c>
      <c r="W1" s="166" t="s">
        <v>14</v>
      </c>
      <c r="X1" s="22" t="s">
        <v>432</v>
      </c>
      <c r="Y1" s="22" t="s">
        <v>853</v>
      </c>
      <c r="Z1" s="22" t="s">
        <v>173</v>
      </c>
      <c r="AA1" s="22" t="s">
        <v>174</v>
      </c>
      <c r="AB1" s="22" t="s">
        <v>154</v>
      </c>
      <c r="AC1" s="22" t="s">
        <v>175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188</v>
      </c>
      <c r="AJ1" s="22" t="s">
        <v>22</v>
      </c>
      <c r="AK1" s="166" t="s">
        <v>24</v>
      </c>
      <c r="AL1" s="166" t="s">
        <v>25</v>
      </c>
    </row>
    <row r="2" spans="1:38">
      <c r="A2" s="2" t="s">
        <v>26</v>
      </c>
      <c r="B2" s="23">
        <v>1522</v>
      </c>
      <c r="C2" s="23" t="s">
        <v>2836</v>
      </c>
      <c r="D2" s="23" t="s">
        <v>2837</v>
      </c>
      <c r="E2" s="21" t="s">
        <v>1345</v>
      </c>
      <c r="F2" s="23" t="s">
        <v>2838</v>
      </c>
      <c r="G2" s="23" t="s">
        <v>2839</v>
      </c>
      <c r="H2" s="23" t="s">
        <v>343</v>
      </c>
      <c r="I2" s="23" t="s">
        <v>990</v>
      </c>
      <c r="J2" s="21" t="s">
        <v>31</v>
      </c>
      <c r="K2" s="21" t="s">
        <v>31</v>
      </c>
      <c r="L2" s="23" t="s">
        <v>336</v>
      </c>
      <c r="M2" s="23" t="s">
        <v>471</v>
      </c>
      <c r="N2" s="23" t="s">
        <v>159</v>
      </c>
      <c r="O2" s="23" t="s">
        <v>2840</v>
      </c>
      <c r="P2" s="23" t="s">
        <v>1795</v>
      </c>
      <c r="Q2" s="23" t="s">
        <v>453</v>
      </c>
      <c r="R2" s="23" t="s">
        <v>428</v>
      </c>
      <c r="S2" s="21" t="s">
        <v>45</v>
      </c>
      <c r="T2" s="156">
        <v>2.59</v>
      </c>
      <c r="U2" s="23" t="s">
        <v>2367</v>
      </c>
      <c r="V2" s="173">
        <v>5.8000000000000003E-2</v>
      </c>
      <c r="W2" s="167">
        <v>2.86E-2</v>
      </c>
      <c r="X2" s="21" t="s">
        <v>434</v>
      </c>
      <c r="Y2" s="21" t="s">
        <v>159</v>
      </c>
      <c r="Z2" s="23" t="s">
        <v>916</v>
      </c>
      <c r="AA2" s="23"/>
      <c r="AB2" s="2" t="s">
        <v>168</v>
      </c>
      <c r="AC2" s="23"/>
      <c r="AD2" s="156">
        <v>8571.43</v>
      </c>
      <c r="AE2" s="156">
        <v>1</v>
      </c>
      <c r="AF2" s="156">
        <v>92.56</v>
      </c>
      <c r="AG2" s="156">
        <v>8.0180000000000007</v>
      </c>
      <c r="AH2" s="23"/>
      <c r="AI2" s="30"/>
      <c r="AJ2" s="23" t="s">
        <v>37</v>
      </c>
      <c r="AK2" s="167">
        <v>0.29172892165140102</v>
      </c>
      <c r="AL2" s="167">
        <v>7.94804573136497E-4</v>
      </c>
    </row>
    <row r="3" spans="1:38">
      <c r="A3" s="23" t="s">
        <v>26</v>
      </c>
      <c r="B3" s="23">
        <v>1522</v>
      </c>
      <c r="C3" s="23" t="s">
        <v>2841</v>
      </c>
      <c r="D3" s="23" t="s">
        <v>2842</v>
      </c>
      <c r="E3" s="21" t="s">
        <v>1345</v>
      </c>
      <c r="F3" s="23" t="s">
        <v>2843</v>
      </c>
      <c r="G3" s="23" t="s">
        <v>2844</v>
      </c>
      <c r="H3" s="23" t="s">
        <v>343</v>
      </c>
      <c r="I3" s="23" t="s">
        <v>990</v>
      </c>
      <c r="J3" s="21" t="s">
        <v>31</v>
      </c>
      <c r="K3" s="21" t="s">
        <v>31</v>
      </c>
      <c r="L3" s="23" t="s">
        <v>336</v>
      </c>
      <c r="M3" s="23" t="s">
        <v>466</v>
      </c>
      <c r="N3" s="23" t="s">
        <v>159</v>
      </c>
      <c r="O3" s="23" t="s">
        <v>2845</v>
      </c>
      <c r="P3" s="23" t="s">
        <v>127</v>
      </c>
      <c r="Q3" s="23" t="s">
        <v>128</v>
      </c>
      <c r="R3" s="23" t="s">
        <v>428</v>
      </c>
      <c r="S3" s="21" t="s">
        <v>45</v>
      </c>
      <c r="T3" s="156">
        <v>1.43</v>
      </c>
      <c r="U3" s="23" t="s">
        <v>2846</v>
      </c>
      <c r="V3" s="173">
        <v>4.5100000000000001E-2</v>
      </c>
      <c r="W3" s="167">
        <v>2.5000000000000001E-2</v>
      </c>
      <c r="X3" s="21" t="s">
        <v>434</v>
      </c>
      <c r="Y3" s="21" t="s">
        <v>362</v>
      </c>
      <c r="Z3" s="23" t="s">
        <v>916</v>
      </c>
      <c r="AA3" s="23" t="s">
        <v>2847</v>
      </c>
      <c r="AB3" s="2" t="s">
        <v>168</v>
      </c>
      <c r="AC3" s="23"/>
      <c r="AD3" s="156">
        <v>19987.400000000001</v>
      </c>
      <c r="AE3" s="156">
        <v>1</v>
      </c>
      <c r="AF3" s="156">
        <v>95.5</v>
      </c>
      <c r="AG3" s="156">
        <v>19.466000000000001</v>
      </c>
      <c r="AH3" s="23"/>
      <c r="AI3" s="23"/>
      <c r="AJ3" s="23" t="s">
        <v>37</v>
      </c>
      <c r="AK3" s="167">
        <v>0.70827107834859904</v>
      </c>
      <c r="AL3" s="167">
        <v>1.9296581528672101E-3</v>
      </c>
    </row>
    <row r="4" spans="1:38">
      <c r="A4" s="23" t="s">
        <v>26</v>
      </c>
      <c r="B4" s="23">
        <v>9935</v>
      </c>
      <c r="C4" s="23" t="s">
        <v>2848</v>
      </c>
      <c r="D4" s="23" t="s">
        <v>2849</v>
      </c>
      <c r="E4" s="21" t="s">
        <v>1345</v>
      </c>
      <c r="F4" s="23" t="s">
        <v>2850</v>
      </c>
      <c r="G4" s="23" t="s">
        <v>2851</v>
      </c>
      <c r="H4" s="23" t="s">
        <v>343</v>
      </c>
      <c r="I4" s="23" t="s">
        <v>777</v>
      </c>
      <c r="J4" s="21" t="s">
        <v>31</v>
      </c>
      <c r="K4" s="21" t="s">
        <v>31</v>
      </c>
      <c r="L4" s="23" t="s">
        <v>336</v>
      </c>
      <c r="M4" s="23" t="s">
        <v>336</v>
      </c>
      <c r="N4" s="23" t="s">
        <v>159</v>
      </c>
      <c r="O4" s="2" t="s">
        <v>167</v>
      </c>
      <c r="P4" s="23" t="s">
        <v>2852</v>
      </c>
      <c r="Q4" s="23" t="s">
        <v>128</v>
      </c>
      <c r="R4" s="23" t="s">
        <v>428</v>
      </c>
      <c r="S4" s="23" t="s">
        <v>45</v>
      </c>
      <c r="T4" s="156">
        <v>0.01</v>
      </c>
      <c r="U4" s="23" t="s">
        <v>2853</v>
      </c>
      <c r="V4" s="173">
        <v>1E-4</v>
      </c>
      <c r="W4" s="167">
        <v>9.9000000000000005E-2</v>
      </c>
      <c r="X4" s="21" t="s">
        <v>434</v>
      </c>
      <c r="Y4" s="21" t="s">
        <v>159</v>
      </c>
      <c r="Z4" s="23" t="s">
        <v>336</v>
      </c>
      <c r="AA4" s="23"/>
      <c r="AB4" s="2" t="s">
        <v>168</v>
      </c>
      <c r="AD4" s="153">
        <v>875000.04</v>
      </c>
      <c r="AE4" s="156">
        <v>1</v>
      </c>
      <c r="AF4" s="156">
        <v>0</v>
      </c>
      <c r="AG4" s="156">
        <v>1E-3</v>
      </c>
      <c r="AH4" s="23"/>
      <c r="AI4" s="23"/>
      <c r="AJ4" s="23" t="s">
        <v>37</v>
      </c>
      <c r="AK4" s="167">
        <v>7.4852816403451398E-8</v>
      </c>
      <c r="AL4" s="167">
        <v>7.9821296606365806E-10</v>
      </c>
    </row>
    <row r="5" spans="1:38">
      <c r="A5" s="23" t="s">
        <v>26</v>
      </c>
      <c r="B5" s="23">
        <v>9935</v>
      </c>
      <c r="C5" s="23" t="s">
        <v>1655</v>
      </c>
      <c r="D5" s="23" t="s">
        <v>1656</v>
      </c>
      <c r="E5" s="21" t="s">
        <v>335</v>
      </c>
      <c r="F5" s="23" t="s">
        <v>2854</v>
      </c>
      <c r="G5" s="23" t="s">
        <v>2855</v>
      </c>
      <c r="H5" s="23" t="s">
        <v>343</v>
      </c>
      <c r="I5" s="23" t="s">
        <v>990</v>
      </c>
      <c r="J5" s="21" t="s">
        <v>31</v>
      </c>
      <c r="K5" s="21" t="s">
        <v>125</v>
      </c>
      <c r="L5" s="23" t="s">
        <v>336</v>
      </c>
      <c r="M5" s="23" t="s">
        <v>461</v>
      </c>
      <c r="N5" s="23" t="s">
        <v>159</v>
      </c>
      <c r="O5" s="23" t="s">
        <v>2856</v>
      </c>
      <c r="P5" s="23" t="s">
        <v>1785</v>
      </c>
      <c r="Q5" s="23" t="s">
        <v>435</v>
      </c>
      <c r="R5" s="23" t="s">
        <v>428</v>
      </c>
      <c r="S5" s="21" t="s">
        <v>45</v>
      </c>
      <c r="T5" s="156">
        <v>3.28</v>
      </c>
      <c r="U5" s="23" t="s">
        <v>2857</v>
      </c>
      <c r="V5" s="173">
        <v>5.9400000000000001E-2</v>
      </c>
      <c r="W5" s="167">
        <v>3.3500000000000002E-2</v>
      </c>
      <c r="X5" s="21" t="s">
        <v>434</v>
      </c>
      <c r="Y5" s="21" t="s">
        <v>159</v>
      </c>
      <c r="Z5" s="23" t="s">
        <v>916</v>
      </c>
      <c r="AA5" s="23" t="s">
        <v>2847</v>
      </c>
      <c r="AB5" s="2" t="s">
        <v>168</v>
      </c>
      <c r="AC5" s="23"/>
      <c r="AD5" s="156">
        <v>1082090.3999999999</v>
      </c>
      <c r="AE5" s="156">
        <v>1</v>
      </c>
      <c r="AF5" s="156">
        <v>91</v>
      </c>
      <c r="AG5" s="153">
        <v>1006.777</v>
      </c>
      <c r="AJ5" s="23" t="s">
        <v>37</v>
      </c>
      <c r="AK5" s="167">
        <v>8.6125809852231505E-2</v>
      </c>
      <c r="AL5" s="167">
        <v>9.1842553747402498E-4</v>
      </c>
    </row>
    <row r="6" spans="1:38">
      <c r="A6" s="23" t="s">
        <v>26</v>
      </c>
      <c r="B6" s="23">
        <v>9935</v>
      </c>
      <c r="C6" s="23" t="s">
        <v>2858</v>
      </c>
      <c r="D6" s="23" t="s">
        <v>2859</v>
      </c>
      <c r="E6" s="21" t="s">
        <v>1345</v>
      </c>
      <c r="F6" s="23" t="s">
        <v>2860</v>
      </c>
      <c r="G6" s="23" t="s">
        <v>2861</v>
      </c>
      <c r="H6" s="23" t="s">
        <v>44</v>
      </c>
      <c r="I6" s="23" t="s">
        <v>777</v>
      </c>
      <c r="J6" s="21" t="s">
        <v>31</v>
      </c>
      <c r="K6" s="21" t="s">
        <v>31</v>
      </c>
      <c r="L6" s="23" t="s">
        <v>336</v>
      </c>
      <c r="M6" s="23" t="s">
        <v>471</v>
      </c>
      <c r="N6" s="23" t="s">
        <v>159</v>
      </c>
      <c r="O6" s="23" t="s">
        <v>2862</v>
      </c>
      <c r="P6" s="23" t="s">
        <v>2863</v>
      </c>
      <c r="Q6" s="23" t="s">
        <v>435</v>
      </c>
      <c r="R6" s="23" t="s">
        <v>430</v>
      </c>
      <c r="S6" s="21" t="s">
        <v>45</v>
      </c>
      <c r="T6" s="156">
        <v>0.01</v>
      </c>
      <c r="U6" s="23"/>
      <c r="V6" s="173">
        <v>1E-4</v>
      </c>
      <c r="W6" s="167">
        <v>0</v>
      </c>
      <c r="X6" s="21" t="s">
        <v>434</v>
      </c>
      <c r="Y6" s="21" t="s">
        <v>159</v>
      </c>
      <c r="Z6" s="23" t="s">
        <v>336</v>
      </c>
      <c r="AA6" s="23"/>
      <c r="AB6" s="2" t="s">
        <v>168</v>
      </c>
      <c r="AC6" s="23"/>
      <c r="AD6" s="156">
        <v>75000.160000000003</v>
      </c>
      <c r="AE6" s="156">
        <v>1</v>
      </c>
      <c r="AF6" s="156">
        <v>0</v>
      </c>
      <c r="AG6" s="153">
        <v>0</v>
      </c>
      <c r="AJ6" s="23" t="s">
        <v>37</v>
      </c>
      <c r="AK6" s="167">
        <v>6.4159690857951105E-9</v>
      </c>
      <c r="AL6" s="167">
        <v>6.8418397065272092E-11</v>
      </c>
    </row>
    <row r="7" spans="1:38">
      <c r="A7" s="23" t="s">
        <v>26</v>
      </c>
      <c r="B7" s="23">
        <v>9935</v>
      </c>
      <c r="C7" s="23" t="s">
        <v>2864</v>
      </c>
      <c r="D7" s="23" t="s">
        <v>2865</v>
      </c>
      <c r="E7" s="21" t="s">
        <v>1345</v>
      </c>
      <c r="F7" s="23" t="s">
        <v>2866</v>
      </c>
      <c r="G7" s="23" t="s">
        <v>2867</v>
      </c>
      <c r="H7" s="23" t="s">
        <v>343</v>
      </c>
      <c r="I7" s="23" t="s">
        <v>777</v>
      </c>
      <c r="J7" s="21" t="s">
        <v>31</v>
      </c>
      <c r="K7" s="21" t="s">
        <v>31</v>
      </c>
      <c r="L7" s="23" t="s">
        <v>336</v>
      </c>
      <c r="M7" s="23" t="s">
        <v>474</v>
      </c>
      <c r="N7" s="23" t="s">
        <v>159</v>
      </c>
      <c r="O7" s="23" t="s">
        <v>2868</v>
      </c>
      <c r="P7" s="23" t="s">
        <v>1350</v>
      </c>
      <c r="Q7" s="23" t="s">
        <v>336</v>
      </c>
      <c r="R7" s="23" t="s">
        <v>428</v>
      </c>
      <c r="S7" s="21" t="s">
        <v>45</v>
      </c>
      <c r="T7" s="156">
        <v>0.25</v>
      </c>
      <c r="U7" s="23" t="s">
        <v>2869</v>
      </c>
      <c r="V7" s="173">
        <v>6.2E-4</v>
      </c>
      <c r="W7" s="167">
        <v>5.3499999999999999E-2</v>
      </c>
      <c r="X7" s="21" t="s">
        <v>434</v>
      </c>
      <c r="Y7" s="21" t="s">
        <v>159</v>
      </c>
      <c r="Z7" s="23" t="s">
        <v>336</v>
      </c>
      <c r="AA7" s="23"/>
      <c r="AB7" s="2" t="s">
        <v>168</v>
      </c>
      <c r="AC7" s="23"/>
      <c r="AD7" s="156">
        <v>1184072.32</v>
      </c>
      <c r="AE7" s="156">
        <v>1</v>
      </c>
      <c r="AF7" s="156">
        <v>83.11</v>
      </c>
      <c r="AG7" s="156">
        <v>984.08299999999997</v>
      </c>
      <c r="AH7" s="23"/>
      <c r="AI7" s="23"/>
      <c r="AJ7" s="23" t="s">
        <v>37</v>
      </c>
      <c r="AK7" s="167">
        <v>8.4184392818989096E-2</v>
      </c>
      <c r="AL7" s="167">
        <v>8.9772271929122803E-4</v>
      </c>
    </row>
    <row r="8" spans="1:38">
      <c r="A8" s="23" t="s">
        <v>26</v>
      </c>
      <c r="B8" s="23">
        <v>9935</v>
      </c>
      <c r="C8" s="23" t="s">
        <v>2864</v>
      </c>
      <c r="D8" s="23" t="s">
        <v>2865</v>
      </c>
      <c r="E8" s="21" t="s">
        <v>1345</v>
      </c>
      <c r="F8" s="23" t="s">
        <v>2870</v>
      </c>
      <c r="G8" s="23" t="s">
        <v>2867</v>
      </c>
      <c r="H8" s="23" t="s">
        <v>343</v>
      </c>
      <c r="I8" s="23" t="s">
        <v>777</v>
      </c>
      <c r="J8" s="21" t="s">
        <v>31</v>
      </c>
      <c r="K8" s="21"/>
      <c r="L8" s="23" t="s">
        <v>336</v>
      </c>
      <c r="M8" s="23" t="s">
        <v>474</v>
      </c>
      <c r="N8" s="23" t="s">
        <v>159</v>
      </c>
      <c r="O8" s="23" t="s">
        <v>2871</v>
      </c>
      <c r="P8" s="23" t="s">
        <v>1350</v>
      </c>
      <c r="Q8" s="23" t="s">
        <v>336</v>
      </c>
      <c r="R8" s="23" t="s">
        <v>428</v>
      </c>
      <c r="S8" s="21" t="s">
        <v>45</v>
      </c>
      <c r="T8" s="156">
        <v>0</v>
      </c>
      <c r="U8" s="23" t="s">
        <v>2869</v>
      </c>
      <c r="V8" s="173">
        <v>0</v>
      </c>
      <c r="W8" s="167">
        <v>5.3499999999999999E-2</v>
      </c>
      <c r="X8" s="21" t="s">
        <v>434</v>
      </c>
      <c r="Y8" s="21" t="s">
        <v>159</v>
      </c>
      <c r="Z8" s="23" t="s">
        <v>336</v>
      </c>
      <c r="AA8" s="23"/>
      <c r="AB8" s="2" t="s">
        <v>168</v>
      </c>
      <c r="AC8" s="23"/>
      <c r="AD8" s="156">
        <v>-1184072.32</v>
      </c>
      <c r="AE8" s="156">
        <v>1</v>
      </c>
      <c r="AF8" s="156">
        <v>83.11</v>
      </c>
      <c r="AG8" s="156">
        <v>-984.08299999999997</v>
      </c>
      <c r="AH8" s="23"/>
      <c r="AI8" s="23"/>
      <c r="AJ8" s="23" t="s">
        <v>37</v>
      </c>
      <c r="AK8" s="167">
        <v>-8.4184392818989096E-2</v>
      </c>
      <c r="AL8" s="167">
        <v>-8.9772271929122803E-4</v>
      </c>
    </row>
    <row r="9" spans="1:38">
      <c r="A9" s="23" t="s">
        <v>26</v>
      </c>
      <c r="B9" s="23">
        <v>9935</v>
      </c>
      <c r="C9" s="23" t="s">
        <v>2864</v>
      </c>
      <c r="D9" s="23" t="s">
        <v>2865</v>
      </c>
      <c r="E9" s="21" t="s">
        <v>1345</v>
      </c>
      <c r="F9" s="23" t="s">
        <v>2872</v>
      </c>
      <c r="G9" s="23" t="s">
        <v>2867</v>
      </c>
      <c r="H9" s="23" t="s">
        <v>343</v>
      </c>
      <c r="I9" s="23" t="s">
        <v>777</v>
      </c>
      <c r="J9" s="21" t="s">
        <v>31</v>
      </c>
      <c r="K9" s="21"/>
      <c r="L9" s="23" t="s">
        <v>336</v>
      </c>
      <c r="M9" s="23" t="s">
        <v>474</v>
      </c>
      <c r="N9" s="23" t="s">
        <v>159</v>
      </c>
      <c r="O9" s="23" t="s">
        <v>2871</v>
      </c>
      <c r="P9" s="23" t="s">
        <v>1350</v>
      </c>
      <c r="Q9" s="23" t="s">
        <v>336</v>
      </c>
      <c r="R9" s="23" t="s">
        <v>428</v>
      </c>
      <c r="S9" s="21" t="s">
        <v>45</v>
      </c>
      <c r="T9" s="156">
        <v>0</v>
      </c>
      <c r="U9" s="23" t="s">
        <v>2869</v>
      </c>
      <c r="V9" s="173">
        <v>0</v>
      </c>
      <c r="W9" s="167">
        <v>5.3499999999999999E-2</v>
      </c>
      <c r="X9" s="21" t="s">
        <v>434</v>
      </c>
      <c r="Y9" s="21" t="s">
        <v>159</v>
      </c>
      <c r="Z9" s="23" t="s">
        <v>336</v>
      </c>
      <c r="AA9" s="23"/>
      <c r="AB9" s="2" t="s">
        <v>168</v>
      </c>
      <c r="AC9" s="23"/>
      <c r="AD9" s="156">
        <v>1184072.32</v>
      </c>
      <c r="AE9" s="156">
        <v>1</v>
      </c>
      <c r="AF9" s="156">
        <v>15.43</v>
      </c>
      <c r="AG9" s="156">
        <v>182.702</v>
      </c>
      <c r="AH9" s="23"/>
      <c r="AI9" s="23"/>
      <c r="AJ9" s="23" t="s">
        <v>37</v>
      </c>
      <c r="AK9" s="167">
        <v>1.5629469151690601E-2</v>
      </c>
      <c r="AL9" s="167">
        <v>1.6666901165520001E-4</v>
      </c>
    </row>
    <row r="10" spans="1:38">
      <c r="A10" s="23" t="s">
        <v>26</v>
      </c>
      <c r="B10" s="23">
        <v>9935</v>
      </c>
      <c r="C10" s="23" t="s">
        <v>2873</v>
      </c>
      <c r="D10" s="23" t="s">
        <v>2874</v>
      </c>
      <c r="E10" s="21" t="s">
        <v>1345</v>
      </c>
      <c r="F10" s="23" t="s">
        <v>2875</v>
      </c>
      <c r="G10" s="23" t="s">
        <v>2876</v>
      </c>
      <c r="H10" s="23" t="s">
        <v>343</v>
      </c>
      <c r="I10" s="23" t="s">
        <v>990</v>
      </c>
      <c r="J10" s="21" t="s">
        <v>31</v>
      </c>
      <c r="K10" s="21" t="s">
        <v>31</v>
      </c>
      <c r="L10" s="23" t="s">
        <v>336</v>
      </c>
      <c r="M10" s="23" t="s">
        <v>465</v>
      </c>
      <c r="N10" s="23" t="s">
        <v>159</v>
      </c>
      <c r="O10" s="23" t="s">
        <v>2877</v>
      </c>
      <c r="P10" s="23" t="s">
        <v>1810</v>
      </c>
      <c r="Q10" s="23" t="s">
        <v>128</v>
      </c>
      <c r="R10" s="23" t="s">
        <v>428</v>
      </c>
      <c r="S10" s="21" t="s">
        <v>45</v>
      </c>
      <c r="T10" s="156">
        <v>1.1399999999999999</v>
      </c>
      <c r="U10" s="23" t="s">
        <v>2878</v>
      </c>
      <c r="V10" s="173">
        <v>6.0600000000000001E-2</v>
      </c>
      <c r="W10" s="167">
        <v>3.8399999999999997E-2</v>
      </c>
      <c r="X10" s="21" t="s">
        <v>434</v>
      </c>
      <c r="Y10" s="21" t="s">
        <v>159</v>
      </c>
      <c r="Z10" s="23" t="s">
        <v>916</v>
      </c>
      <c r="AA10" s="23" t="s">
        <v>2847</v>
      </c>
      <c r="AB10" s="2" t="s">
        <v>168</v>
      </c>
      <c r="AC10" s="23"/>
      <c r="AD10" s="156">
        <v>829053.03</v>
      </c>
      <c r="AE10" s="156">
        <v>1</v>
      </c>
      <c r="AF10" s="156">
        <v>99.96</v>
      </c>
      <c r="AG10" s="156">
        <v>815.29100000000005</v>
      </c>
      <c r="AH10" s="23"/>
      <c r="AI10" s="23"/>
      <c r="AJ10" s="23" t="s">
        <v>37</v>
      </c>
      <c r="AK10" s="167">
        <v>6.9744921157804798E-2</v>
      </c>
      <c r="AL10" s="167">
        <v>7.4374356317046301E-4</v>
      </c>
    </row>
    <row r="11" spans="1:38">
      <c r="A11" s="23" t="s">
        <v>26</v>
      </c>
      <c r="B11" s="23">
        <v>9935</v>
      </c>
      <c r="C11" s="23" t="s">
        <v>2879</v>
      </c>
      <c r="D11" s="23" t="s">
        <v>2880</v>
      </c>
      <c r="E11" s="21" t="s">
        <v>1345</v>
      </c>
      <c r="F11" s="23" t="s">
        <v>2881</v>
      </c>
      <c r="G11" s="23" t="s">
        <v>2882</v>
      </c>
      <c r="H11" s="23" t="s">
        <v>343</v>
      </c>
      <c r="I11" s="23" t="s">
        <v>990</v>
      </c>
      <c r="J11" s="21" t="s">
        <v>31</v>
      </c>
      <c r="K11" s="21" t="s">
        <v>31</v>
      </c>
      <c r="L11" s="23" t="s">
        <v>336</v>
      </c>
      <c r="M11" s="23" t="s">
        <v>471</v>
      </c>
      <c r="N11" s="23" t="s">
        <v>159</v>
      </c>
      <c r="O11" s="23" t="s">
        <v>2883</v>
      </c>
      <c r="P11" s="23" t="s">
        <v>1994</v>
      </c>
      <c r="Q11" s="23" t="s">
        <v>453</v>
      </c>
      <c r="R11" s="23" t="s">
        <v>428</v>
      </c>
      <c r="S11" s="21" t="s">
        <v>45</v>
      </c>
      <c r="T11" s="156">
        <v>2.5299999999999998</v>
      </c>
      <c r="U11" s="23" t="s">
        <v>1861</v>
      </c>
      <c r="V11" s="173">
        <v>6.0199999999999997E-2</v>
      </c>
      <c r="W11" s="167">
        <v>4.5999999999999999E-2</v>
      </c>
      <c r="X11" s="21" t="s">
        <v>434</v>
      </c>
      <c r="Y11" s="21" t="s">
        <v>159</v>
      </c>
      <c r="Z11" s="23" t="s">
        <v>916</v>
      </c>
      <c r="AA11" s="23" t="s">
        <v>2847</v>
      </c>
      <c r="AB11" s="2" t="s">
        <v>168</v>
      </c>
      <c r="AC11" s="23"/>
      <c r="AD11" s="156">
        <v>540000.03</v>
      </c>
      <c r="AE11" s="156">
        <v>1</v>
      </c>
      <c r="AF11" s="156">
        <v>98.35</v>
      </c>
      <c r="AG11" s="156">
        <v>528.44399999999996</v>
      </c>
      <c r="AH11" s="23"/>
      <c r="AI11" s="23"/>
      <c r="AJ11" s="23" t="s">
        <v>37</v>
      </c>
      <c r="AK11" s="167">
        <v>4.5206310972322299E-2</v>
      </c>
      <c r="AL11" s="167">
        <v>4.8206955061679799E-4</v>
      </c>
    </row>
    <row r="12" spans="1:38">
      <c r="A12" s="23" t="s">
        <v>26</v>
      </c>
      <c r="B12" s="23">
        <v>9935</v>
      </c>
      <c r="C12" s="23" t="s">
        <v>2884</v>
      </c>
      <c r="D12" s="23" t="s">
        <v>2885</v>
      </c>
      <c r="E12" s="21" t="s">
        <v>1345</v>
      </c>
      <c r="F12" s="23" t="s">
        <v>2886</v>
      </c>
      <c r="G12" s="23" t="s">
        <v>2887</v>
      </c>
      <c r="H12" s="23" t="s">
        <v>343</v>
      </c>
      <c r="I12" s="23" t="s">
        <v>777</v>
      </c>
      <c r="J12" s="21" t="s">
        <v>31</v>
      </c>
      <c r="K12" s="21" t="s">
        <v>31</v>
      </c>
      <c r="L12" s="23" t="s">
        <v>336</v>
      </c>
      <c r="M12" s="23" t="s">
        <v>499</v>
      </c>
      <c r="N12" s="23" t="s">
        <v>159</v>
      </c>
      <c r="O12" s="23" t="s">
        <v>167</v>
      </c>
      <c r="P12" s="23" t="s">
        <v>1779</v>
      </c>
      <c r="Q12" s="23" t="s">
        <v>435</v>
      </c>
      <c r="R12" s="23" t="s">
        <v>428</v>
      </c>
      <c r="S12" s="21" t="s">
        <v>45</v>
      </c>
      <c r="T12" s="156">
        <v>0.79</v>
      </c>
      <c r="U12" s="23" t="s">
        <v>2888</v>
      </c>
      <c r="V12" s="173">
        <v>2.0299999999999999E-2</v>
      </c>
      <c r="W12" s="167">
        <v>7.7499999999999999E-2</v>
      </c>
      <c r="X12" s="21" t="s">
        <v>434</v>
      </c>
      <c r="Y12" s="21" t="s">
        <v>159</v>
      </c>
      <c r="Z12" s="23" t="s">
        <v>916</v>
      </c>
      <c r="AA12" s="23" t="s">
        <v>2847</v>
      </c>
      <c r="AB12" s="2" t="s">
        <v>168</v>
      </c>
      <c r="AC12" s="23"/>
      <c r="AD12" s="156">
        <v>87214.1</v>
      </c>
      <c r="AE12" s="156">
        <v>1</v>
      </c>
      <c r="AF12" s="156">
        <v>134.86099999999999</v>
      </c>
      <c r="AG12" s="156">
        <v>127.673</v>
      </c>
      <c r="AH12" s="23"/>
      <c r="AI12" s="23"/>
      <c r="AJ12" s="23" t="s">
        <v>37</v>
      </c>
      <c r="AK12" s="167">
        <v>1.0921899779562899E-2</v>
      </c>
      <c r="AL12" s="167">
        <v>1.16468590454974E-4</v>
      </c>
    </row>
    <row r="13" spans="1:38">
      <c r="A13" s="23" t="s">
        <v>26</v>
      </c>
      <c r="B13" s="23">
        <v>9935</v>
      </c>
      <c r="C13" s="23" t="s">
        <v>2889</v>
      </c>
      <c r="D13" s="23" t="s">
        <v>2890</v>
      </c>
      <c r="E13" s="21" t="s">
        <v>1345</v>
      </c>
      <c r="F13" s="23" t="s">
        <v>2891</v>
      </c>
      <c r="G13" s="23" t="s">
        <v>2892</v>
      </c>
      <c r="H13" s="23" t="s">
        <v>343</v>
      </c>
      <c r="I13" s="23" t="s">
        <v>990</v>
      </c>
      <c r="J13" s="21" t="s">
        <v>31</v>
      </c>
      <c r="K13" s="21" t="s">
        <v>31</v>
      </c>
      <c r="L13" s="23" t="s">
        <v>336</v>
      </c>
      <c r="M13" s="23" t="s">
        <v>484</v>
      </c>
      <c r="N13" s="23" t="s">
        <v>159</v>
      </c>
      <c r="O13" s="23" t="s">
        <v>2893</v>
      </c>
      <c r="P13" s="23" t="s">
        <v>1799</v>
      </c>
      <c r="Q13" s="23" t="s">
        <v>128</v>
      </c>
      <c r="R13" s="23" t="s">
        <v>428</v>
      </c>
      <c r="S13" s="21" t="s">
        <v>45</v>
      </c>
      <c r="T13" s="156">
        <v>2.0099999999999998</v>
      </c>
      <c r="U13" s="23" t="s">
        <v>2894</v>
      </c>
      <c r="V13" s="173">
        <v>4.8099999999999997E-2</v>
      </c>
      <c r="W13" s="167">
        <v>3.1E-2</v>
      </c>
      <c r="X13" s="21" t="s">
        <v>434</v>
      </c>
      <c r="Y13" s="21" t="s">
        <v>159</v>
      </c>
      <c r="Z13" s="23" t="s">
        <v>916</v>
      </c>
      <c r="AA13" s="23" t="s">
        <v>2847</v>
      </c>
      <c r="AB13" s="2" t="s">
        <v>168</v>
      </c>
      <c r="AC13" s="23"/>
      <c r="AD13" s="156">
        <v>1040000.2</v>
      </c>
      <c r="AE13" s="156">
        <v>1</v>
      </c>
      <c r="AF13" s="156">
        <v>93.5</v>
      </c>
      <c r="AG13" s="156">
        <v>1006.72</v>
      </c>
      <c r="AH13" s="23"/>
      <c r="AI13" s="23"/>
      <c r="AJ13" s="23" t="s">
        <v>37</v>
      </c>
      <c r="AK13" s="167">
        <v>8.6120958144399504E-2</v>
      </c>
      <c r="AL13" s="167">
        <v>9.1837379999392505E-4</v>
      </c>
    </row>
    <row r="14" spans="1:38">
      <c r="A14" s="23" t="s">
        <v>26</v>
      </c>
      <c r="B14" s="23">
        <v>9935</v>
      </c>
      <c r="C14" s="23" t="s">
        <v>2895</v>
      </c>
      <c r="D14" s="23" t="s">
        <v>2896</v>
      </c>
      <c r="E14" s="21" t="s">
        <v>1345</v>
      </c>
      <c r="F14" s="23" t="s">
        <v>2897</v>
      </c>
      <c r="G14" s="23" t="s">
        <v>2898</v>
      </c>
      <c r="H14" s="23" t="s">
        <v>343</v>
      </c>
      <c r="I14" s="23" t="s">
        <v>777</v>
      </c>
      <c r="J14" s="21" t="s">
        <v>31</v>
      </c>
      <c r="K14" s="21" t="s">
        <v>31</v>
      </c>
      <c r="L14" s="23" t="s">
        <v>336</v>
      </c>
      <c r="M14" s="23" t="s">
        <v>498</v>
      </c>
      <c r="N14" s="23" t="s">
        <v>159</v>
      </c>
      <c r="O14" s="23" t="s">
        <v>167</v>
      </c>
      <c r="P14" s="23" t="s">
        <v>1840</v>
      </c>
      <c r="Q14" s="23" t="s">
        <v>435</v>
      </c>
      <c r="R14" s="23" t="s">
        <v>428</v>
      </c>
      <c r="S14" s="21" t="s">
        <v>45</v>
      </c>
      <c r="T14" s="156">
        <v>1.4</v>
      </c>
      <c r="U14" s="23" t="s">
        <v>2899</v>
      </c>
      <c r="V14" s="173">
        <v>2.0899999999999998E-2</v>
      </c>
      <c r="W14" s="167">
        <v>5.6000000000000001E-2</v>
      </c>
      <c r="X14" s="21" t="s">
        <v>434</v>
      </c>
      <c r="Y14" s="21" t="s">
        <v>159</v>
      </c>
      <c r="Z14" s="23" t="s">
        <v>916</v>
      </c>
      <c r="AA14" s="23" t="s">
        <v>2847</v>
      </c>
      <c r="AB14" s="2" t="s">
        <v>168</v>
      </c>
      <c r="AC14" s="23"/>
      <c r="AD14" s="156">
        <v>661207.02</v>
      </c>
      <c r="AE14" s="156">
        <v>1</v>
      </c>
      <c r="AF14" s="156">
        <v>142.19</v>
      </c>
      <c r="AG14" s="156">
        <v>949.62599999999998</v>
      </c>
      <c r="AH14" s="23"/>
      <c r="AI14" s="23"/>
      <c r="AJ14" s="23" t="s">
        <v>37</v>
      </c>
      <c r="AK14" s="167">
        <v>8.1236733268697306E-2</v>
      </c>
      <c r="AL14" s="167">
        <v>8.66289565728875E-4</v>
      </c>
    </row>
    <row r="15" spans="1:38">
      <c r="A15" s="23" t="s">
        <v>26</v>
      </c>
      <c r="B15" s="23">
        <v>9935</v>
      </c>
      <c r="C15" s="23" t="s">
        <v>2900</v>
      </c>
      <c r="D15" s="23" t="s">
        <v>2901</v>
      </c>
      <c r="E15" s="21" t="s">
        <v>44</v>
      </c>
      <c r="F15" s="23" t="s">
        <v>2900</v>
      </c>
      <c r="G15" s="23" t="s">
        <v>2901</v>
      </c>
      <c r="H15" s="23" t="s">
        <v>44</v>
      </c>
      <c r="I15" s="23" t="s">
        <v>777</v>
      </c>
      <c r="J15" s="21" t="s">
        <v>31</v>
      </c>
      <c r="K15" s="21" t="s">
        <v>31</v>
      </c>
      <c r="L15" s="23" t="s">
        <v>336</v>
      </c>
      <c r="M15" s="23" t="s">
        <v>499</v>
      </c>
      <c r="N15" s="23" t="s">
        <v>159</v>
      </c>
      <c r="O15" s="23" t="s">
        <v>167</v>
      </c>
      <c r="P15" s="23" t="s">
        <v>2863</v>
      </c>
      <c r="Q15" s="23" t="s">
        <v>435</v>
      </c>
      <c r="R15" s="23" t="s">
        <v>428</v>
      </c>
      <c r="S15" s="21" t="s">
        <v>45</v>
      </c>
      <c r="T15" s="156">
        <v>0.01</v>
      </c>
      <c r="U15" s="23" t="s">
        <v>2902</v>
      </c>
      <c r="V15" s="173">
        <v>4.9500000000000002E-2</v>
      </c>
      <c r="W15" s="167">
        <v>4.9500000000000002E-2</v>
      </c>
      <c r="X15" s="21" t="s">
        <v>433</v>
      </c>
      <c r="Y15" s="21" t="s">
        <v>362</v>
      </c>
      <c r="Z15" s="23" t="s">
        <v>336</v>
      </c>
      <c r="AA15" s="23" t="s">
        <v>919</v>
      </c>
      <c r="AB15" s="2" t="s">
        <v>168</v>
      </c>
      <c r="AC15" s="23"/>
      <c r="AD15" s="156">
        <v>118452</v>
      </c>
      <c r="AE15" s="156">
        <v>1</v>
      </c>
      <c r="AF15" s="156">
        <v>0</v>
      </c>
      <c r="AG15" s="156">
        <v>0</v>
      </c>
      <c r="AH15" s="23"/>
      <c r="AI15" s="23"/>
      <c r="AJ15" s="23" t="s">
        <v>37</v>
      </c>
      <c r="AK15" s="167">
        <v>1.0133103318054301E-8</v>
      </c>
      <c r="AL15" s="167">
        <v>1.08057049067303E-10</v>
      </c>
    </row>
    <row r="16" spans="1:38">
      <c r="A16" s="23" t="s">
        <v>26</v>
      </c>
      <c r="B16" s="23">
        <v>9935</v>
      </c>
      <c r="C16" s="23" t="s">
        <v>2903</v>
      </c>
      <c r="D16" s="23" t="s">
        <v>2904</v>
      </c>
      <c r="E16" s="21" t="s">
        <v>334</v>
      </c>
      <c r="F16" s="23" t="s">
        <v>2905</v>
      </c>
      <c r="G16" s="23" t="s">
        <v>2906</v>
      </c>
      <c r="H16" s="23" t="s">
        <v>343</v>
      </c>
      <c r="I16" s="23" t="s">
        <v>777</v>
      </c>
      <c r="J16" s="21" t="s">
        <v>31</v>
      </c>
      <c r="K16" s="21" t="s">
        <v>31</v>
      </c>
      <c r="L16" s="23" t="s">
        <v>336</v>
      </c>
      <c r="M16" s="23" t="s">
        <v>471</v>
      </c>
      <c r="N16" s="23" t="s">
        <v>159</v>
      </c>
      <c r="O16" s="23" t="s">
        <v>2907</v>
      </c>
      <c r="P16" s="23" t="s">
        <v>1350</v>
      </c>
      <c r="Q16" s="23" t="s">
        <v>336</v>
      </c>
      <c r="R16" s="23" t="s">
        <v>428</v>
      </c>
      <c r="S16" s="21" t="s">
        <v>45</v>
      </c>
      <c r="T16" s="156">
        <v>8.67</v>
      </c>
      <c r="U16" s="23" t="s">
        <v>2908</v>
      </c>
      <c r="V16" s="173">
        <v>0.20849999999999999</v>
      </c>
      <c r="W16" s="167">
        <v>5.7500000000000002E-2</v>
      </c>
      <c r="X16" s="21" t="s">
        <v>434</v>
      </c>
      <c r="Y16" s="21" t="s">
        <v>159</v>
      </c>
      <c r="Z16" s="23" t="s">
        <v>336</v>
      </c>
      <c r="AA16" s="23"/>
      <c r="AB16" s="2" t="s">
        <v>2909</v>
      </c>
      <c r="AC16" s="23"/>
      <c r="AD16" s="156">
        <v>94999.08</v>
      </c>
      <c r="AE16" s="156">
        <v>1</v>
      </c>
      <c r="AF16" s="156">
        <v>0</v>
      </c>
      <c r="AG16" s="156">
        <v>0</v>
      </c>
      <c r="AH16" s="23"/>
      <c r="AI16" s="23"/>
      <c r="AJ16" s="23" t="s">
        <v>37</v>
      </c>
      <c r="AK16" s="167">
        <v>8.1267981356169895E-11</v>
      </c>
      <c r="AL16" s="167">
        <v>8.6662278804145897E-13</v>
      </c>
    </row>
    <row r="17" spans="1:38">
      <c r="A17" s="23" t="s">
        <v>26</v>
      </c>
      <c r="B17" s="23">
        <v>9935</v>
      </c>
      <c r="C17" s="23" t="s">
        <v>2879</v>
      </c>
      <c r="D17" s="23" t="s">
        <v>2880</v>
      </c>
      <c r="E17" s="21" t="s">
        <v>1345</v>
      </c>
      <c r="F17" s="23" t="s">
        <v>2881</v>
      </c>
      <c r="G17" s="23" t="s">
        <v>2882</v>
      </c>
      <c r="H17" s="23" t="s">
        <v>343</v>
      </c>
      <c r="I17" s="23" t="s">
        <v>990</v>
      </c>
      <c r="J17" s="21" t="s">
        <v>31</v>
      </c>
      <c r="K17" s="21" t="s">
        <v>31</v>
      </c>
      <c r="L17" s="23" t="s">
        <v>336</v>
      </c>
      <c r="M17" s="23" t="s">
        <v>471</v>
      </c>
      <c r="N17" s="23" t="s">
        <v>159</v>
      </c>
      <c r="O17" s="23" t="s">
        <v>2883</v>
      </c>
      <c r="P17" s="23" t="s">
        <v>1994</v>
      </c>
      <c r="Q17" s="23" t="s">
        <v>453</v>
      </c>
      <c r="R17" s="23" t="s">
        <v>428</v>
      </c>
      <c r="S17" s="21" t="s">
        <v>45</v>
      </c>
      <c r="T17" s="156">
        <v>2.5299999999999998</v>
      </c>
      <c r="U17" s="23" t="s">
        <v>1861</v>
      </c>
      <c r="V17" s="173">
        <v>6.0199999999999997E-2</v>
      </c>
      <c r="W17" s="167">
        <v>4.5999999999999999E-2</v>
      </c>
      <c r="X17" s="21" t="s">
        <v>434</v>
      </c>
      <c r="Y17" s="21" t="s">
        <v>159</v>
      </c>
      <c r="Z17" s="23" t="s">
        <v>916</v>
      </c>
      <c r="AA17" s="23" t="s">
        <v>2847</v>
      </c>
      <c r="AB17" s="2" t="s">
        <v>168</v>
      </c>
      <c r="AC17" s="23"/>
      <c r="AD17" s="156">
        <v>540000.03</v>
      </c>
      <c r="AE17" s="156">
        <v>1</v>
      </c>
      <c r="AF17" s="156">
        <v>98.35</v>
      </c>
      <c r="AG17" s="156">
        <v>528.44399999999996</v>
      </c>
      <c r="AH17" s="23"/>
      <c r="AI17" s="23"/>
      <c r="AJ17" s="23" t="s">
        <v>37</v>
      </c>
      <c r="AK17" s="167">
        <v>4.5206310972322299E-2</v>
      </c>
      <c r="AL17" s="167">
        <v>4.8206955061679799E-4</v>
      </c>
    </row>
    <row r="18" spans="1:38">
      <c r="A18" s="23" t="s">
        <v>26</v>
      </c>
      <c r="B18" s="23">
        <v>9935</v>
      </c>
      <c r="C18" s="23" t="s">
        <v>2836</v>
      </c>
      <c r="D18" s="23" t="s">
        <v>2837</v>
      </c>
      <c r="E18" s="21" t="s">
        <v>1345</v>
      </c>
      <c r="F18" s="23" t="s">
        <v>2838</v>
      </c>
      <c r="G18" s="23" t="s">
        <v>2839</v>
      </c>
      <c r="H18" s="23" t="s">
        <v>343</v>
      </c>
      <c r="I18" s="23" t="s">
        <v>990</v>
      </c>
      <c r="J18" s="21" t="s">
        <v>31</v>
      </c>
      <c r="K18" s="21" t="s">
        <v>31</v>
      </c>
      <c r="L18" s="23" t="s">
        <v>336</v>
      </c>
      <c r="M18" s="23" t="s">
        <v>471</v>
      </c>
      <c r="N18" s="23" t="s">
        <v>159</v>
      </c>
      <c r="O18" s="23" t="s">
        <v>2840</v>
      </c>
      <c r="P18" s="23" t="s">
        <v>1795</v>
      </c>
      <c r="Q18" s="23" t="s">
        <v>453</v>
      </c>
      <c r="R18" s="23" t="s">
        <v>428</v>
      </c>
      <c r="S18" s="21" t="s">
        <v>45</v>
      </c>
      <c r="T18" s="156">
        <v>2.59</v>
      </c>
      <c r="U18" s="23" t="s">
        <v>2367</v>
      </c>
      <c r="V18" s="173">
        <v>5.8000000000000003E-2</v>
      </c>
      <c r="W18" s="167">
        <v>2.86E-2</v>
      </c>
      <c r="X18" s="21" t="s">
        <v>434</v>
      </c>
      <c r="Y18" s="21" t="s">
        <v>159</v>
      </c>
      <c r="Z18" s="23" t="s">
        <v>916</v>
      </c>
      <c r="AA18" s="23"/>
      <c r="AB18" s="2" t="s">
        <v>168</v>
      </c>
      <c r="AC18" s="23"/>
      <c r="AD18" s="156">
        <v>402142.9</v>
      </c>
      <c r="AE18" s="156">
        <v>1</v>
      </c>
      <c r="AF18" s="156">
        <v>92.56</v>
      </c>
      <c r="AG18" s="156">
        <v>376.16399999999999</v>
      </c>
      <c r="AH18" s="23"/>
      <c r="AI18" s="23"/>
      <c r="AJ18" s="23" t="s">
        <v>37</v>
      </c>
      <c r="AK18" s="167">
        <v>3.2179392711923598E-2</v>
      </c>
      <c r="AL18" s="167">
        <v>3.4315353432082002E-4</v>
      </c>
    </row>
    <row r="19" spans="1:38">
      <c r="A19" s="23" t="s">
        <v>26</v>
      </c>
      <c r="B19" s="23">
        <v>9935</v>
      </c>
      <c r="C19" s="23" t="s">
        <v>2910</v>
      </c>
      <c r="D19" s="23" t="s">
        <v>2911</v>
      </c>
      <c r="E19" s="21" t="s">
        <v>1345</v>
      </c>
      <c r="F19" s="23" t="s">
        <v>2912</v>
      </c>
      <c r="G19" s="23" t="s">
        <v>2913</v>
      </c>
      <c r="H19" s="23" t="s">
        <v>343</v>
      </c>
      <c r="I19" s="23" t="s">
        <v>990</v>
      </c>
      <c r="J19" s="21" t="s">
        <v>31</v>
      </c>
      <c r="K19" s="21" t="s">
        <v>31</v>
      </c>
      <c r="L19" s="23" t="s">
        <v>336</v>
      </c>
      <c r="M19" s="23" t="s">
        <v>471</v>
      </c>
      <c r="N19" s="23" t="s">
        <v>159</v>
      </c>
      <c r="O19" s="23" t="s">
        <v>2914</v>
      </c>
      <c r="P19" s="23" t="s">
        <v>1994</v>
      </c>
      <c r="Q19" s="23" t="s">
        <v>453</v>
      </c>
      <c r="R19" s="23" t="s">
        <v>428</v>
      </c>
      <c r="S19" s="21" t="s">
        <v>45</v>
      </c>
      <c r="T19" s="156">
        <v>2.42</v>
      </c>
      <c r="U19" s="23" t="s">
        <v>1959</v>
      </c>
      <c r="V19" s="173">
        <v>6.0299999999999999E-2</v>
      </c>
      <c r="W19" s="167">
        <v>4.4699999999999997E-2</v>
      </c>
      <c r="X19" s="21" t="s">
        <v>434</v>
      </c>
      <c r="Y19" s="21" t="s">
        <v>159</v>
      </c>
      <c r="Z19" s="23" t="s">
        <v>916</v>
      </c>
      <c r="AA19" s="23" t="s">
        <v>918</v>
      </c>
      <c r="AB19" s="2" t="s">
        <v>168</v>
      </c>
      <c r="AC19" s="23"/>
      <c r="AD19" s="156">
        <v>662600.48</v>
      </c>
      <c r="AE19" s="156">
        <v>1</v>
      </c>
      <c r="AF19" s="156">
        <v>98.5</v>
      </c>
      <c r="AG19" s="156">
        <v>647.096</v>
      </c>
      <c r="AH19" s="23"/>
      <c r="AI19" s="23"/>
      <c r="AJ19" s="23" t="s">
        <v>37</v>
      </c>
      <c r="AK19" s="167">
        <v>5.5356489235871401E-2</v>
      </c>
      <c r="AL19" s="167">
        <v>5.9030868291815497E-4</v>
      </c>
    </row>
    <row r="20" spans="1:38">
      <c r="A20" s="2" t="s">
        <v>26</v>
      </c>
      <c r="B20" s="2">
        <v>9935</v>
      </c>
      <c r="C20" s="2" t="s">
        <v>2915</v>
      </c>
      <c r="D20" s="2" t="s">
        <v>2916</v>
      </c>
      <c r="E20" s="21" t="s">
        <v>1345</v>
      </c>
      <c r="F20" s="2" t="s">
        <v>2917</v>
      </c>
      <c r="G20" s="2" t="s">
        <v>2918</v>
      </c>
      <c r="H20" s="23" t="s">
        <v>343</v>
      </c>
      <c r="I20" s="23" t="s">
        <v>990</v>
      </c>
      <c r="J20" s="21" t="s">
        <v>31</v>
      </c>
      <c r="K20" s="21" t="s">
        <v>31</v>
      </c>
      <c r="L20" s="23" t="s">
        <v>336</v>
      </c>
      <c r="M20" s="23" t="s">
        <v>471</v>
      </c>
      <c r="N20" s="23" t="s">
        <v>159</v>
      </c>
      <c r="O20" s="2" t="s">
        <v>2919</v>
      </c>
      <c r="P20" s="2" t="s">
        <v>33</v>
      </c>
      <c r="Q20" s="23" t="s">
        <v>128</v>
      </c>
      <c r="R20" s="23" t="s">
        <v>428</v>
      </c>
      <c r="S20" s="2" t="s">
        <v>45</v>
      </c>
      <c r="T20" s="153">
        <v>2.29</v>
      </c>
      <c r="U20" s="2" t="s">
        <v>2920</v>
      </c>
      <c r="V20" s="167">
        <v>5.0799999999999998E-2</v>
      </c>
      <c r="W20" s="167">
        <v>2.1000000000000001E-2</v>
      </c>
      <c r="X20" s="21" t="s">
        <v>434</v>
      </c>
      <c r="Y20" s="21" t="s">
        <v>159</v>
      </c>
      <c r="Z20" s="2" t="s">
        <v>336</v>
      </c>
      <c r="AA20" s="23" t="s">
        <v>2847</v>
      </c>
      <c r="AB20" s="2" t="s">
        <v>168</v>
      </c>
      <c r="AD20" s="153">
        <v>151428.69</v>
      </c>
      <c r="AE20" s="153">
        <v>1</v>
      </c>
      <c r="AF20" s="153">
        <v>92</v>
      </c>
      <c r="AG20" s="153">
        <v>142.04</v>
      </c>
      <c r="AJ20" s="23" t="s">
        <v>37</v>
      </c>
      <c r="AK20" s="167">
        <v>1.2150973578328599E-2</v>
      </c>
      <c r="AL20" s="167">
        <v>1.2957514662162499E-4</v>
      </c>
    </row>
    <row r="21" spans="1:38">
      <c r="A21" s="2" t="s">
        <v>26</v>
      </c>
      <c r="B21" s="2">
        <v>9935</v>
      </c>
      <c r="C21" s="2" t="s">
        <v>2921</v>
      </c>
      <c r="D21" s="2" t="s">
        <v>2922</v>
      </c>
      <c r="E21" s="4" t="s">
        <v>1345</v>
      </c>
      <c r="F21" s="2" t="s">
        <v>2923</v>
      </c>
      <c r="G21" s="2" t="s">
        <v>2924</v>
      </c>
      <c r="H21" s="2" t="s">
        <v>44</v>
      </c>
      <c r="I21" s="2" t="s">
        <v>990</v>
      </c>
      <c r="J21" s="2" t="s">
        <v>31</v>
      </c>
      <c r="K21" s="2" t="s">
        <v>31</v>
      </c>
      <c r="L21" s="2" t="s">
        <v>336</v>
      </c>
      <c r="M21" s="2" t="s">
        <v>483</v>
      </c>
      <c r="N21" s="2" t="s">
        <v>159</v>
      </c>
      <c r="O21" s="2" t="s">
        <v>167</v>
      </c>
      <c r="P21" s="2" t="s">
        <v>1350</v>
      </c>
      <c r="Q21" s="2" t="s">
        <v>336</v>
      </c>
      <c r="R21" s="2" t="s">
        <v>430</v>
      </c>
      <c r="S21" s="2" t="s">
        <v>45</v>
      </c>
      <c r="T21" s="153">
        <v>0</v>
      </c>
      <c r="U21" s="2" t="s">
        <v>2925</v>
      </c>
      <c r="V21" s="167">
        <v>0</v>
      </c>
      <c r="W21" s="167">
        <v>0</v>
      </c>
      <c r="X21" s="4" t="s">
        <v>433</v>
      </c>
      <c r="Y21" s="4" t="s">
        <v>362</v>
      </c>
      <c r="Z21" s="2" t="s">
        <v>336</v>
      </c>
      <c r="AA21" s="2" t="s">
        <v>919</v>
      </c>
      <c r="AB21" s="2" t="s">
        <v>2926</v>
      </c>
      <c r="AD21" s="153">
        <v>1071.4100000000001</v>
      </c>
      <c r="AE21" s="153">
        <v>1</v>
      </c>
      <c r="AF21" s="153">
        <v>0</v>
      </c>
      <c r="AG21" s="153">
        <v>0</v>
      </c>
      <c r="AJ21" s="2" t="s">
        <v>37</v>
      </c>
      <c r="AK21" s="167">
        <v>9.16549169790002E-13</v>
      </c>
      <c r="AL21" s="167">
        <v>9.7738664557120001E-15</v>
      </c>
    </row>
    <row r="22" spans="1:38">
      <c r="A22" s="2" t="s">
        <v>26</v>
      </c>
      <c r="B22" s="2">
        <v>9935</v>
      </c>
      <c r="C22" s="2" t="s">
        <v>2921</v>
      </c>
      <c r="D22" s="2" t="s">
        <v>2922</v>
      </c>
      <c r="E22" s="4" t="s">
        <v>1345</v>
      </c>
      <c r="F22" s="2" t="s">
        <v>2927</v>
      </c>
      <c r="G22" s="2" t="s">
        <v>2928</v>
      </c>
      <c r="H22" s="2" t="s">
        <v>343</v>
      </c>
      <c r="I22" s="2" t="s">
        <v>777</v>
      </c>
      <c r="J22" s="2" t="s">
        <v>31</v>
      </c>
      <c r="K22" s="2" t="s">
        <v>31</v>
      </c>
      <c r="L22" s="2" t="s">
        <v>336</v>
      </c>
      <c r="M22" s="2" t="s">
        <v>483</v>
      </c>
      <c r="N22" s="2" t="s">
        <v>159</v>
      </c>
      <c r="O22" s="2" t="s">
        <v>167</v>
      </c>
      <c r="P22" s="2" t="s">
        <v>1350</v>
      </c>
      <c r="Q22" s="2" t="s">
        <v>336</v>
      </c>
      <c r="R22" s="2" t="s">
        <v>430</v>
      </c>
      <c r="S22" s="2" t="s">
        <v>45</v>
      </c>
      <c r="T22" s="153">
        <v>0</v>
      </c>
      <c r="U22" s="2" t="s">
        <v>2925</v>
      </c>
      <c r="V22" s="167">
        <v>0</v>
      </c>
      <c r="W22" s="167">
        <v>0</v>
      </c>
      <c r="X22" s="4" t="s">
        <v>433</v>
      </c>
      <c r="Y22" s="4" t="s">
        <v>362</v>
      </c>
      <c r="Z22" s="2" t="s">
        <v>336</v>
      </c>
      <c r="AA22" s="2" t="s">
        <v>919</v>
      </c>
      <c r="AB22" s="2" t="s">
        <v>2926</v>
      </c>
      <c r="AD22" s="153">
        <v>676.32</v>
      </c>
      <c r="AE22" s="153">
        <v>1</v>
      </c>
      <c r="AF22" s="153">
        <v>0</v>
      </c>
      <c r="AG22" s="153">
        <v>0</v>
      </c>
      <c r="AJ22" s="2" t="s">
        <v>37</v>
      </c>
      <c r="AK22" s="167">
        <v>5.7856519400824603E-13</v>
      </c>
      <c r="AL22" s="167">
        <v>6.1696842117650003E-15</v>
      </c>
    </row>
    <row r="23" spans="1:38">
      <c r="A23" s="2" t="s">
        <v>26</v>
      </c>
      <c r="B23" s="2">
        <v>9935</v>
      </c>
      <c r="C23" s="2" t="s">
        <v>2889</v>
      </c>
      <c r="D23" s="2" t="s">
        <v>2890</v>
      </c>
      <c r="E23" s="4" t="s">
        <v>1345</v>
      </c>
      <c r="F23" s="2" t="s">
        <v>2891</v>
      </c>
      <c r="G23" s="2" t="s">
        <v>2892</v>
      </c>
      <c r="H23" s="2" t="s">
        <v>343</v>
      </c>
      <c r="I23" s="2" t="s">
        <v>990</v>
      </c>
      <c r="J23" s="2" t="s">
        <v>31</v>
      </c>
      <c r="K23" s="2" t="s">
        <v>31</v>
      </c>
      <c r="L23" s="2" t="s">
        <v>336</v>
      </c>
      <c r="M23" s="2" t="s">
        <v>484</v>
      </c>
      <c r="N23" s="2" t="s">
        <v>159</v>
      </c>
      <c r="O23" s="2" t="s">
        <v>2893</v>
      </c>
      <c r="P23" s="2" t="s">
        <v>1799</v>
      </c>
      <c r="Q23" s="2" t="s">
        <v>128</v>
      </c>
      <c r="R23" s="2" t="s">
        <v>428</v>
      </c>
      <c r="S23" s="2" t="s">
        <v>45</v>
      </c>
      <c r="T23" s="153">
        <v>2.0099999999999998</v>
      </c>
      <c r="U23" s="2" t="s">
        <v>2894</v>
      </c>
      <c r="V23" s="167">
        <v>4.8099999999999997E-2</v>
      </c>
      <c r="W23" s="167">
        <v>3.1E-2</v>
      </c>
      <c r="X23" s="4" t="s">
        <v>434</v>
      </c>
      <c r="Y23" s="4" t="s">
        <v>159</v>
      </c>
      <c r="Z23" s="2" t="s">
        <v>916</v>
      </c>
      <c r="AA23" s="2" t="s">
        <v>2847</v>
      </c>
      <c r="AB23" s="2" t="s">
        <v>168</v>
      </c>
      <c r="AD23" s="153">
        <v>599954.39</v>
      </c>
      <c r="AE23" s="153">
        <v>1</v>
      </c>
      <c r="AF23" s="153">
        <v>93.5</v>
      </c>
      <c r="AG23" s="153">
        <v>580.75599999999997</v>
      </c>
      <c r="AJ23" s="2" t="s">
        <v>37</v>
      </c>
      <c r="AK23" s="167">
        <v>4.9681381705252298E-2</v>
      </c>
      <c r="AL23" s="167">
        <v>5.2979066058577405E-4</v>
      </c>
    </row>
    <row r="24" spans="1:38">
      <c r="A24" s="2" t="s">
        <v>26</v>
      </c>
      <c r="B24" s="2">
        <v>9935</v>
      </c>
      <c r="C24" s="2" t="s">
        <v>2929</v>
      </c>
      <c r="D24" s="2" t="s">
        <v>2930</v>
      </c>
      <c r="E24" s="4" t="s">
        <v>1345</v>
      </c>
      <c r="F24" s="2" t="s">
        <v>2931</v>
      </c>
      <c r="G24" s="2" t="s">
        <v>2932</v>
      </c>
      <c r="H24" s="2" t="s">
        <v>343</v>
      </c>
      <c r="I24" s="2" t="s">
        <v>990</v>
      </c>
      <c r="J24" s="2" t="s">
        <v>31</v>
      </c>
      <c r="K24" s="2" t="s">
        <v>31</v>
      </c>
      <c r="L24" s="2" t="s">
        <v>336</v>
      </c>
      <c r="M24" s="2" t="s">
        <v>499</v>
      </c>
      <c r="N24" s="2" t="s">
        <v>159</v>
      </c>
      <c r="O24" s="2" t="s">
        <v>2933</v>
      </c>
      <c r="P24" s="2" t="s">
        <v>1789</v>
      </c>
      <c r="Q24" s="2" t="s">
        <v>128</v>
      </c>
      <c r="R24" s="2" t="s">
        <v>428</v>
      </c>
      <c r="S24" s="2" t="s">
        <v>45</v>
      </c>
      <c r="T24" s="153">
        <v>1.06</v>
      </c>
      <c r="U24" s="2" t="s">
        <v>2846</v>
      </c>
      <c r="V24" s="167">
        <v>6.7000000000000004E-2</v>
      </c>
      <c r="W24" s="167">
        <v>6.5000000000000002E-2</v>
      </c>
      <c r="X24" s="4" t="s">
        <v>434</v>
      </c>
      <c r="Y24" s="4" t="s">
        <v>159</v>
      </c>
      <c r="Z24" s="2" t="s">
        <v>336</v>
      </c>
      <c r="AB24" s="2" t="s">
        <v>168</v>
      </c>
      <c r="AD24" s="153">
        <v>369449.62</v>
      </c>
      <c r="AE24" s="153">
        <v>1</v>
      </c>
      <c r="AF24" s="153">
        <v>100</v>
      </c>
      <c r="AG24" s="153">
        <v>368.67399999999998</v>
      </c>
      <c r="AJ24" s="2" t="s">
        <v>37</v>
      </c>
      <c r="AK24" s="167">
        <v>3.15385933611785E-2</v>
      </c>
      <c r="AL24" s="167">
        <v>3.3632019958491601E-4</v>
      </c>
    </row>
    <row r="25" spans="1:38">
      <c r="A25" s="2" t="s">
        <v>26</v>
      </c>
      <c r="B25" s="2">
        <v>9935</v>
      </c>
      <c r="C25" s="2" t="s">
        <v>2841</v>
      </c>
      <c r="D25" s="2" t="s">
        <v>2842</v>
      </c>
      <c r="E25" s="4" t="s">
        <v>1345</v>
      </c>
      <c r="F25" s="2" t="s">
        <v>2934</v>
      </c>
      <c r="G25" s="2" t="s">
        <v>2935</v>
      </c>
      <c r="H25" s="2" t="s">
        <v>343</v>
      </c>
      <c r="I25" s="2" t="s">
        <v>777</v>
      </c>
      <c r="J25" s="2" t="s">
        <v>31</v>
      </c>
      <c r="K25" s="2" t="s">
        <v>31</v>
      </c>
      <c r="L25" s="2" t="s">
        <v>336</v>
      </c>
      <c r="M25" s="2" t="s">
        <v>466</v>
      </c>
      <c r="N25" s="2" t="s">
        <v>159</v>
      </c>
      <c r="O25" s="2" t="s">
        <v>2845</v>
      </c>
      <c r="P25" s="2" t="s">
        <v>127</v>
      </c>
      <c r="Q25" s="2" t="s">
        <v>128</v>
      </c>
      <c r="R25" s="2" t="s">
        <v>428</v>
      </c>
      <c r="S25" s="2" t="s">
        <v>45</v>
      </c>
      <c r="T25" s="153">
        <v>5.09</v>
      </c>
      <c r="U25" s="2" t="s">
        <v>2936</v>
      </c>
      <c r="V25" s="167">
        <v>2.1600000000000001E-2</v>
      </c>
      <c r="W25" s="167">
        <v>2.1399999999999999E-2</v>
      </c>
      <c r="X25" s="4" t="s">
        <v>434</v>
      </c>
      <c r="Y25" s="4" t="s">
        <v>159</v>
      </c>
      <c r="Z25" s="2" t="s">
        <v>916</v>
      </c>
      <c r="AA25" s="2" t="s">
        <v>2847</v>
      </c>
      <c r="AB25" s="2" t="s">
        <v>168</v>
      </c>
      <c r="AD25" s="153">
        <v>1058666.3799999999</v>
      </c>
      <c r="AE25" s="153">
        <v>1</v>
      </c>
      <c r="AF25" s="153">
        <v>118.3</v>
      </c>
      <c r="AG25" s="153">
        <v>1199.998</v>
      </c>
      <c r="AJ25" s="2" t="s">
        <v>37</v>
      </c>
      <c r="AK25" s="167">
        <v>0.102655144516293</v>
      </c>
      <c r="AL25" s="167">
        <v>1.09469050495561E-3</v>
      </c>
    </row>
    <row r="26" spans="1:38">
      <c r="A26" s="2" t="s">
        <v>26</v>
      </c>
      <c r="B26" s="2">
        <v>9935</v>
      </c>
      <c r="C26" s="2" t="s">
        <v>2841</v>
      </c>
      <c r="D26" s="2" t="s">
        <v>2842</v>
      </c>
      <c r="E26" s="4" t="s">
        <v>1345</v>
      </c>
      <c r="F26" s="2" t="s">
        <v>2843</v>
      </c>
      <c r="G26" s="2" t="s">
        <v>2844</v>
      </c>
      <c r="H26" s="2" t="s">
        <v>343</v>
      </c>
      <c r="I26" s="2" t="s">
        <v>990</v>
      </c>
      <c r="J26" s="2" t="s">
        <v>31</v>
      </c>
      <c r="K26" s="2" t="s">
        <v>31</v>
      </c>
      <c r="L26" s="4" t="s">
        <v>336</v>
      </c>
      <c r="M26" s="2" t="s">
        <v>466</v>
      </c>
      <c r="N26" s="2" t="s">
        <v>159</v>
      </c>
      <c r="O26" s="2" t="s">
        <v>2845</v>
      </c>
      <c r="P26" s="2" t="s">
        <v>127</v>
      </c>
      <c r="Q26" s="2" t="s">
        <v>128</v>
      </c>
      <c r="R26" s="2" t="s">
        <v>428</v>
      </c>
      <c r="S26" s="2" t="s">
        <v>45</v>
      </c>
      <c r="T26" s="153">
        <v>1.43</v>
      </c>
      <c r="U26" s="2" t="s">
        <v>2846</v>
      </c>
      <c r="V26" s="167">
        <v>4.5100000000000001E-2</v>
      </c>
      <c r="W26" s="167">
        <v>2.5000000000000001E-2</v>
      </c>
      <c r="X26" s="4" t="s">
        <v>434</v>
      </c>
      <c r="Y26" s="4" t="s">
        <v>362</v>
      </c>
      <c r="Z26" s="2" t="s">
        <v>916</v>
      </c>
      <c r="AA26" s="2" t="s">
        <v>2847</v>
      </c>
      <c r="AB26" s="2" t="s">
        <v>168</v>
      </c>
      <c r="AD26" s="153">
        <v>1139281.71</v>
      </c>
      <c r="AE26" s="153">
        <v>1</v>
      </c>
      <c r="AF26" s="153">
        <v>95.5</v>
      </c>
      <c r="AG26" s="153">
        <v>1109.546</v>
      </c>
      <c r="AJ26" s="2" t="s">
        <v>37</v>
      </c>
      <c r="AK26" s="167">
        <v>9.4917341106111996E-2</v>
      </c>
      <c r="AL26" s="167">
        <v>1.01217637512558E-3</v>
      </c>
    </row>
    <row r="27" spans="1:38">
      <c r="A27" s="2" t="s">
        <v>26</v>
      </c>
      <c r="B27" s="2">
        <v>9935</v>
      </c>
      <c r="C27" s="2" t="s">
        <v>2841</v>
      </c>
      <c r="D27" s="2" t="s">
        <v>2842</v>
      </c>
      <c r="E27" s="4" t="s">
        <v>1345</v>
      </c>
      <c r="F27" s="2" t="s">
        <v>2937</v>
      </c>
      <c r="G27" s="2" t="s">
        <v>2938</v>
      </c>
      <c r="H27" s="2" t="s">
        <v>343</v>
      </c>
      <c r="I27" s="2" t="s">
        <v>990</v>
      </c>
      <c r="J27" s="2" t="s">
        <v>31</v>
      </c>
      <c r="K27" s="2" t="s">
        <v>31</v>
      </c>
      <c r="L27" s="4" t="s">
        <v>336</v>
      </c>
      <c r="M27" s="2" t="s">
        <v>466</v>
      </c>
      <c r="N27" s="2" t="s">
        <v>159</v>
      </c>
      <c r="O27" s="2" t="s">
        <v>2845</v>
      </c>
      <c r="P27" s="2" t="s">
        <v>127</v>
      </c>
      <c r="Q27" s="2" t="s">
        <v>128</v>
      </c>
      <c r="R27" s="2" t="s">
        <v>428</v>
      </c>
      <c r="S27" s="2" t="s">
        <v>45</v>
      </c>
      <c r="T27" s="153">
        <v>4.72</v>
      </c>
      <c r="U27" s="2" t="s">
        <v>2939</v>
      </c>
      <c r="V27" s="167">
        <v>5.0099999999999999E-2</v>
      </c>
      <c r="W27" s="167">
        <v>3.7400000000000003E-2</v>
      </c>
      <c r="X27" s="4" t="s">
        <v>434</v>
      </c>
      <c r="Y27" s="4" t="s">
        <v>159</v>
      </c>
      <c r="Z27" s="2" t="s">
        <v>916</v>
      </c>
      <c r="AA27" s="2" t="s">
        <v>2847</v>
      </c>
      <c r="AB27" s="2" t="s">
        <v>168</v>
      </c>
      <c r="AD27" s="153">
        <v>2239940.0099999998</v>
      </c>
      <c r="AE27" s="153">
        <v>1</v>
      </c>
      <c r="AF27" s="153">
        <v>96</v>
      </c>
      <c r="AG27" s="153">
        <v>2119.6550000000002</v>
      </c>
      <c r="AJ27" s="2" t="s">
        <v>37</v>
      </c>
      <c r="AK27" s="167">
        <v>0.181328179001358</v>
      </c>
      <c r="AL27" s="167">
        <v>1.9336413851346E-3</v>
      </c>
    </row>
    <row r="28" spans="1:38">
      <c r="A28" s="2" t="s">
        <v>26</v>
      </c>
      <c r="B28" s="2">
        <v>9936</v>
      </c>
      <c r="C28" s="2" t="s">
        <v>1655</v>
      </c>
      <c r="D28" s="2" t="s">
        <v>1656</v>
      </c>
      <c r="E28" s="4" t="s">
        <v>335</v>
      </c>
      <c r="F28" s="2" t="s">
        <v>2854</v>
      </c>
      <c r="G28" s="2" t="s">
        <v>2855</v>
      </c>
      <c r="H28" s="2" t="s">
        <v>343</v>
      </c>
      <c r="I28" s="2" t="s">
        <v>990</v>
      </c>
      <c r="J28" s="2" t="s">
        <v>31</v>
      </c>
      <c r="K28" s="2" t="s">
        <v>125</v>
      </c>
      <c r="L28" s="4" t="s">
        <v>336</v>
      </c>
      <c r="M28" s="2" t="s">
        <v>461</v>
      </c>
      <c r="N28" s="2" t="s">
        <v>159</v>
      </c>
      <c r="O28" s="2" t="s">
        <v>2856</v>
      </c>
      <c r="P28" s="2" t="s">
        <v>1785</v>
      </c>
      <c r="Q28" s="2" t="s">
        <v>435</v>
      </c>
      <c r="R28" s="2" t="s">
        <v>428</v>
      </c>
      <c r="S28" s="2" t="s">
        <v>45</v>
      </c>
      <c r="T28" s="153">
        <v>3.28</v>
      </c>
      <c r="U28" s="2" t="s">
        <v>2857</v>
      </c>
      <c r="V28" s="167">
        <v>5.9400000000000001E-2</v>
      </c>
      <c r="W28" s="167">
        <v>3.3500000000000002E-2</v>
      </c>
      <c r="X28" s="4" t="s">
        <v>434</v>
      </c>
      <c r="Y28" s="4" t="s">
        <v>159</v>
      </c>
      <c r="Z28" s="2" t="s">
        <v>916</v>
      </c>
      <c r="AA28" s="2" t="s">
        <v>2847</v>
      </c>
      <c r="AB28" s="2" t="s">
        <v>168</v>
      </c>
      <c r="AD28" s="153">
        <v>17532.8</v>
      </c>
      <c r="AE28" s="153">
        <v>1</v>
      </c>
      <c r="AF28" s="153">
        <v>91</v>
      </c>
      <c r="AG28" s="153">
        <v>16.312999999999999</v>
      </c>
      <c r="AJ28" s="2" t="s">
        <v>37</v>
      </c>
      <c r="AK28" s="167">
        <v>0.124254480429634</v>
      </c>
      <c r="AL28" s="167">
        <v>1.0715947543971599E-3</v>
      </c>
    </row>
    <row r="29" spans="1:38">
      <c r="A29" s="2" t="s">
        <v>26</v>
      </c>
      <c r="B29" s="2">
        <v>9936</v>
      </c>
      <c r="C29" s="2" t="s">
        <v>2836</v>
      </c>
      <c r="D29" s="2" t="s">
        <v>2837</v>
      </c>
      <c r="E29" s="4" t="s">
        <v>1345</v>
      </c>
      <c r="F29" s="2" t="s">
        <v>2838</v>
      </c>
      <c r="G29" s="2" t="s">
        <v>2839</v>
      </c>
      <c r="H29" s="2" t="s">
        <v>343</v>
      </c>
      <c r="I29" s="2" t="s">
        <v>990</v>
      </c>
      <c r="J29" s="2" t="s">
        <v>31</v>
      </c>
      <c r="K29" s="2" t="s">
        <v>31</v>
      </c>
      <c r="L29" s="4" t="s">
        <v>336</v>
      </c>
      <c r="M29" s="2" t="s">
        <v>471</v>
      </c>
      <c r="N29" s="2" t="s">
        <v>159</v>
      </c>
      <c r="O29" s="2" t="s">
        <v>2840</v>
      </c>
      <c r="P29" s="2" t="s">
        <v>1795</v>
      </c>
      <c r="Q29" s="2" t="s">
        <v>453</v>
      </c>
      <c r="R29" s="2" t="s">
        <v>428</v>
      </c>
      <c r="S29" s="2" t="s">
        <v>45</v>
      </c>
      <c r="T29" s="153">
        <v>2.59</v>
      </c>
      <c r="U29" s="2" t="s">
        <v>2367</v>
      </c>
      <c r="V29" s="167">
        <v>5.8000000000000003E-2</v>
      </c>
      <c r="W29" s="167">
        <v>2.86E-2</v>
      </c>
      <c r="X29" s="4" t="s">
        <v>434</v>
      </c>
      <c r="Y29" s="4" t="s">
        <v>159</v>
      </c>
      <c r="Z29" s="2" t="s">
        <v>916</v>
      </c>
      <c r="AB29" s="2" t="s">
        <v>168</v>
      </c>
      <c r="AD29" s="153">
        <v>8571.43</v>
      </c>
      <c r="AE29" s="153">
        <v>1</v>
      </c>
      <c r="AF29" s="153">
        <v>92.56</v>
      </c>
      <c r="AG29" s="153">
        <v>8.0180000000000007</v>
      </c>
      <c r="AJ29" s="2" t="s">
        <v>37</v>
      </c>
      <c r="AK29" s="167">
        <v>6.1071941351266201E-2</v>
      </c>
      <c r="AL29" s="167">
        <v>5.2669627498808601E-4</v>
      </c>
    </row>
    <row r="30" spans="1:38">
      <c r="A30" s="2" t="s">
        <v>26</v>
      </c>
      <c r="B30" s="2">
        <v>9936</v>
      </c>
      <c r="C30" s="2" t="s">
        <v>2910</v>
      </c>
      <c r="D30" s="2" t="s">
        <v>2911</v>
      </c>
      <c r="E30" s="4" t="s">
        <v>1345</v>
      </c>
      <c r="F30" s="2" t="s">
        <v>2912</v>
      </c>
      <c r="G30" s="2" t="s">
        <v>2913</v>
      </c>
      <c r="H30" s="2" t="s">
        <v>343</v>
      </c>
      <c r="I30" s="2" t="s">
        <v>990</v>
      </c>
      <c r="J30" s="2" t="s">
        <v>31</v>
      </c>
      <c r="K30" s="2" t="s">
        <v>31</v>
      </c>
      <c r="L30" s="4" t="s">
        <v>336</v>
      </c>
      <c r="M30" s="2" t="s">
        <v>471</v>
      </c>
      <c r="N30" s="2" t="s">
        <v>159</v>
      </c>
      <c r="O30" s="2" t="s">
        <v>2914</v>
      </c>
      <c r="P30" s="2" t="s">
        <v>1994</v>
      </c>
      <c r="Q30" s="2" t="s">
        <v>453</v>
      </c>
      <c r="R30" s="2" t="s">
        <v>428</v>
      </c>
      <c r="S30" s="2" t="s">
        <v>45</v>
      </c>
      <c r="T30" s="153">
        <v>2.42</v>
      </c>
      <c r="U30" s="2" t="s">
        <v>1959</v>
      </c>
      <c r="V30" s="167">
        <v>6.0299999999999999E-2</v>
      </c>
      <c r="W30" s="167">
        <v>4.4699999999999997E-2</v>
      </c>
      <c r="X30" s="4" t="s">
        <v>434</v>
      </c>
      <c r="Y30" s="4" t="s">
        <v>159</v>
      </c>
      <c r="Z30" s="2" t="s">
        <v>916</v>
      </c>
      <c r="AA30" s="2" t="s">
        <v>918</v>
      </c>
      <c r="AB30" s="2" t="s">
        <v>168</v>
      </c>
      <c r="AD30" s="153">
        <v>13804.79</v>
      </c>
      <c r="AE30" s="153">
        <v>1</v>
      </c>
      <c r="AF30" s="153">
        <v>98.5</v>
      </c>
      <c r="AG30" s="153">
        <v>13.481999999999999</v>
      </c>
      <c r="AJ30" s="2" t="s">
        <v>37</v>
      </c>
      <c r="AK30" s="167">
        <v>0.102692233979533</v>
      </c>
      <c r="AL30" s="167">
        <v>8.8563775623456996E-4</v>
      </c>
    </row>
    <row r="31" spans="1:38">
      <c r="A31" s="2" t="s">
        <v>26</v>
      </c>
      <c r="B31" s="2">
        <v>9936</v>
      </c>
      <c r="C31" s="2" t="s">
        <v>2915</v>
      </c>
      <c r="D31" s="2" t="s">
        <v>2916</v>
      </c>
      <c r="E31" s="4" t="s">
        <v>1345</v>
      </c>
      <c r="F31" s="2" t="s">
        <v>2917</v>
      </c>
      <c r="G31" s="2" t="s">
        <v>2918</v>
      </c>
      <c r="H31" s="2" t="s">
        <v>343</v>
      </c>
      <c r="I31" s="2" t="s">
        <v>990</v>
      </c>
      <c r="J31" s="2" t="s">
        <v>31</v>
      </c>
      <c r="K31" s="2" t="s">
        <v>31</v>
      </c>
      <c r="L31" s="4" t="s">
        <v>336</v>
      </c>
      <c r="M31" s="2" t="s">
        <v>471</v>
      </c>
      <c r="N31" s="2" t="s">
        <v>159</v>
      </c>
      <c r="O31" s="2" t="s">
        <v>2919</v>
      </c>
      <c r="P31" s="2" t="s">
        <v>33</v>
      </c>
      <c r="Q31" s="2" t="s">
        <v>128</v>
      </c>
      <c r="R31" s="2" t="s">
        <v>428</v>
      </c>
      <c r="S31" s="2" t="s">
        <v>45</v>
      </c>
      <c r="T31" s="153">
        <v>2.29</v>
      </c>
      <c r="U31" s="2" t="s">
        <v>2920</v>
      </c>
      <c r="V31" s="167">
        <v>5.0799999999999998E-2</v>
      </c>
      <c r="W31" s="167">
        <v>2.1000000000000001E-2</v>
      </c>
      <c r="X31" s="4" t="s">
        <v>434</v>
      </c>
      <c r="Y31" s="4" t="s">
        <v>159</v>
      </c>
      <c r="Z31" s="2" t="s">
        <v>336</v>
      </c>
      <c r="AA31" s="2" t="s">
        <v>2847</v>
      </c>
      <c r="AB31" s="2" t="s">
        <v>168</v>
      </c>
      <c r="AD31" s="153">
        <v>4571.43</v>
      </c>
      <c r="AE31" s="153">
        <v>1</v>
      </c>
      <c r="AF31" s="153">
        <v>92</v>
      </c>
      <c r="AG31" s="153">
        <v>4.2880000000000003</v>
      </c>
      <c r="AJ31" s="2" t="s">
        <v>37</v>
      </c>
      <c r="AK31" s="167">
        <v>3.2662241802647797E-2</v>
      </c>
      <c r="AL31" s="167">
        <v>2.8168551235776401E-4</v>
      </c>
    </row>
    <row r="32" spans="1:38">
      <c r="A32" s="2" t="s">
        <v>26</v>
      </c>
      <c r="B32" s="2">
        <v>9936</v>
      </c>
      <c r="C32" s="2" t="s">
        <v>2940</v>
      </c>
      <c r="D32" s="2" t="s">
        <v>2941</v>
      </c>
      <c r="E32" s="4" t="s">
        <v>1345</v>
      </c>
      <c r="F32" s="2" t="s">
        <v>2942</v>
      </c>
      <c r="G32" s="2" t="s">
        <v>2943</v>
      </c>
      <c r="H32" s="2" t="s">
        <v>343</v>
      </c>
      <c r="I32" s="2" t="s">
        <v>777</v>
      </c>
      <c r="J32" s="2" t="s">
        <v>31</v>
      </c>
      <c r="K32" s="2" t="s">
        <v>31</v>
      </c>
      <c r="L32" s="4" t="s">
        <v>336</v>
      </c>
      <c r="M32" s="2" t="s">
        <v>463</v>
      </c>
      <c r="N32" s="2" t="s">
        <v>159</v>
      </c>
      <c r="O32" s="2" t="s">
        <v>2944</v>
      </c>
      <c r="P32" s="2" t="s">
        <v>1799</v>
      </c>
      <c r="Q32" s="2" t="s">
        <v>128</v>
      </c>
      <c r="R32" s="2" t="s">
        <v>428</v>
      </c>
      <c r="S32" s="2" t="s">
        <v>45</v>
      </c>
      <c r="T32" s="153">
        <v>0.78</v>
      </c>
      <c r="U32" s="2" t="s">
        <v>2945</v>
      </c>
      <c r="V32" s="167">
        <v>1.585E-2</v>
      </c>
      <c r="W32" s="167">
        <v>1.9001000000000001E-2</v>
      </c>
      <c r="X32" s="4" t="s">
        <v>434</v>
      </c>
      <c r="Y32" s="4" t="s">
        <v>159</v>
      </c>
      <c r="Z32" s="2" t="s">
        <v>336</v>
      </c>
      <c r="AB32" s="2" t="s">
        <v>168</v>
      </c>
      <c r="AD32" s="153">
        <v>0.22</v>
      </c>
      <c r="AE32" s="153">
        <v>1</v>
      </c>
      <c r="AF32" s="153">
        <v>109.7</v>
      </c>
      <c r="AG32" s="153">
        <v>0</v>
      </c>
      <c r="AJ32" s="2" t="s">
        <v>37</v>
      </c>
      <c r="AK32" s="167">
        <v>1.8900981398539901E-6</v>
      </c>
      <c r="AL32" s="167">
        <v>1.63005731862553E-8</v>
      </c>
    </row>
    <row r="33" spans="1:38">
      <c r="A33" s="2" t="s">
        <v>26</v>
      </c>
      <c r="B33" s="2">
        <v>9936</v>
      </c>
      <c r="C33" s="2" t="s">
        <v>2929</v>
      </c>
      <c r="D33" s="2" t="s">
        <v>2930</v>
      </c>
      <c r="E33" s="4" t="s">
        <v>1345</v>
      </c>
      <c r="F33" s="2" t="s">
        <v>2931</v>
      </c>
      <c r="G33" s="2" t="s">
        <v>2932</v>
      </c>
      <c r="H33" s="2" t="s">
        <v>343</v>
      </c>
      <c r="I33" s="2" t="s">
        <v>990</v>
      </c>
      <c r="J33" s="2" t="s">
        <v>31</v>
      </c>
      <c r="K33" s="2" t="s">
        <v>31</v>
      </c>
      <c r="L33" s="4" t="s">
        <v>336</v>
      </c>
      <c r="M33" s="2" t="s">
        <v>499</v>
      </c>
      <c r="N33" s="2" t="s">
        <v>159</v>
      </c>
      <c r="O33" s="2" t="s">
        <v>2933</v>
      </c>
      <c r="P33" s="2" t="s">
        <v>1789</v>
      </c>
      <c r="Q33" s="2" t="s">
        <v>128</v>
      </c>
      <c r="R33" s="2" t="s">
        <v>428</v>
      </c>
      <c r="S33" s="2" t="s">
        <v>45</v>
      </c>
      <c r="T33" s="153">
        <v>1.06</v>
      </c>
      <c r="U33" s="2" t="s">
        <v>2846</v>
      </c>
      <c r="V33" s="167">
        <v>6.7000000000000004E-2</v>
      </c>
      <c r="W33" s="167">
        <v>6.5000000000000002E-2</v>
      </c>
      <c r="X33" s="4" t="s">
        <v>434</v>
      </c>
      <c r="Y33" s="4" t="s">
        <v>159</v>
      </c>
      <c r="Z33" s="2" t="s">
        <v>336</v>
      </c>
      <c r="AB33" s="2" t="s">
        <v>168</v>
      </c>
      <c r="AD33" s="153">
        <v>11172.87</v>
      </c>
      <c r="AE33" s="153">
        <v>1</v>
      </c>
      <c r="AF33" s="153">
        <v>100</v>
      </c>
      <c r="AG33" s="153">
        <v>11.148999999999999</v>
      </c>
      <c r="AJ33" s="2" t="s">
        <v>37</v>
      </c>
      <c r="AK33" s="167">
        <v>8.4926425537976594E-2</v>
      </c>
      <c r="AL33" s="167">
        <v>7.32421976266158E-4</v>
      </c>
    </row>
    <row r="34" spans="1:38">
      <c r="A34" s="2" t="s">
        <v>26</v>
      </c>
      <c r="B34" s="2">
        <v>9936</v>
      </c>
      <c r="C34" s="2" t="s">
        <v>2841</v>
      </c>
      <c r="D34" s="2" t="s">
        <v>2842</v>
      </c>
      <c r="E34" s="4" t="s">
        <v>1345</v>
      </c>
      <c r="F34" s="2" t="s">
        <v>2934</v>
      </c>
      <c r="G34" s="2" t="s">
        <v>2935</v>
      </c>
      <c r="H34" s="2" t="s">
        <v>343</v>
      </c>
      <c r="I34" s="2" t="s">
        <v>777</v>
      </c>
      <c r="J34" s="2" t="s">
        <v>31</v>
      </c>
      <c r="K34" s="2" t="s">
        <v>31</v>
      </c>
      <c r="L34" s="4" t="s">
        <v>336</v>
      </c>
      <c r="M34" s="2" t="s">
        <v>466</v>
      </c>
      <c r="N34" s="2" t="s">
        <v>159</v>
      </c>
      <c r="O34" s="2" t="s">
        <v>2845</v>
      </c>
      <c r="P34" s="2" t="s">
        <v>127</v>
      </c>
      <c r="Q34" s="2" t="s">
        <v>128</v>
      </c>
      <c r="R34" s="2" t="s">
        <v>428</v>
      </c>
      <c r="S34" s="2" t="s">
        <v>45</v>
      </c>
      <c r="T34" s="153">
        <v>5.09</v>
      </c>
      <c r="U34" s="2" t="s">
        <v>2936</v>
      </c>
      <c r="V34" s="167">
        <v>2.1600000000000001E-2</v>
      </c>
      <c r="W34" s="167">
        <v>2.1399999999999999E-2</v>
      </c>
      <c r="X34" s="4" t="s">
        <v>434</v>
      </c>
      <c r="Y34" s="4" t="s">
        <v>159</v>
      </c>
      <c r="Z34" s="2" t="s">
        <v>916</v>
      </c>
      <c r="AA34" s="2" t="s">
        <v>2847</v>
      </c>
      <c r="AB34" s="2" t="s">
        <v>168</v>
      </c>
      <c r="AD34" s="153">
        <v>18862.650000000001</v>
      </c>
      <c r="AE34" s="153">
        <v>1</v>
      </c>
      <c r="AF34" s="153">
        <v>118.3</v>
      </c>
      <c r="AG34" s="153">
        <v>21.381</v>
      </c>
      <c r="AJ34" s="2" t="s">
        <v>37</v>
      </c>
      <c r="AK34" s="167">
        <v>0.16286032910998</v>
      </c>
      <c r="AL34" s="167">
        <v>1.4045390859968401E-3</v>
      </c>
    </row>
    <row r="35" spans="1:38">
      <c r="A35" s="2" t="s">
        <v>26</v>
      </c>
      <c r="B35" s="2">
        <v>9936</v>
      </c>
      <c r="C35" s="2" t="s">
        <v>2841</v>
      </c>
      <c r="D35" s="2" t="s">
        <v>2842</v>
      </c>
      <c r="E35" s="4" t="s">
        <v>1345</v>
      </c>
      <c r="F35" s="2" t="s">
        <v>2843</v>
      </c>
      <c r="G35" s="2" t="s">
        <v>2844</v>
      </c>
      <c r="H35" s="2" t="s">
        <v>343</v>
      </c>
      <c r="I35" s="2" t="s">
        <v>990</v>
      </c>
      <c r="J35" s="2" t="s">
        <v>31</v>
      </c>
      <c r="K35" s="2" t="s">
        <v>31</v>
      </c>
      <c r="L35" s="4" t="s">
        <v>336</v>
      </c>
      <c r="M35" s="2" t="s">
        <v>466</v>
      </c>
      <c r="N35" s="2" t="s">
        <v>159</v>
      </c>
      <c r="O35" s="2" t="s">
        <v>2845</v>
      </c>
      <c r="P35" s="2" t="s">
        <v>127</v>
      </c>
      <c r="Q35" s="2" t="s">
        <v>128</v>
      </c>
      <c r="R35" s="2" t="s">
        <v>428</v>
      </c>
      <c r="S35" s="2" t="s">
        <v>45</v>
      </c>
      <c r="T35" s="153">
        <v>1.43</v>
      </c>
      <c r="U35" s="2" t="s">
        <v>2846</v>
      </c>
      <c r="V35" s="167">
        <v>4.5100000000000001E-2</v>
      </c>
      <c r="W35" s="167">
        <v>2.5000000000000001E-2</v>
      </c>
      <c r="X35" s="4" t="s">
        <v>434</v>
      </c>
      <c r="Y35" s="4" t="s">
        <v>362</v>
      </c>
      <c r="Z35" s="2" t="s">
        <v>916</v>
      </c>
      <c r="AA35" s="2" t="s">
        <v>2847</v>
      </c>
      <c r="AB35" s="2" t="s">
        <v>168</v>
      </c>
      <c r="AD35" s="153">
        <v>19987.400000000001</v>
      </c>
      <c r="AE35" s="153">
        <v>1</v>
      </c>
      <c r="AF35" s="153">
        <v>95.5</v>
      </c>
      <c r="AG35" s="153">
        <v>19.466000000000001</v>
      </c>
      <c r="AJ35" s="2" t="s">
        <v>37</v>
      </c>
      <c r="AK35" s="167">
        <v>0.14827288810737699</v>
      </c>
      <c r="AL35" s="167">
        <v>1.27873416367599E-3</v>
      </c>
    </row>
    <row r="36" spans="1:38">
      <c r="A36" s="2" t="s">
        <v>26</v>
      </c>
      <c r="B36" s="2">
        <v>9936</v>
      </c>
      <c r="C36" s="2" t="s">
        <v>2841</v>
      </c>
      <c r="D36" s="2" t="s">
        <v>2842</v>
      </c>
      <c r="E36" s="4" t="s">
        <v>1345</v>
      </c>
      <c r="F36" s="2" t="s">
        <v>2937</v>
      </c>
      <c r="G36" s="2" t="s">
        <v>2938</v>
      </c>
      <c r="H36" s="2" t="s">
        <v>343</v>
      </c>
      <c r="I36" s="2" t="s">
        <v>990</v>
      </c>
      <c r="J36" s="2" t="s">
        <v>31</v>
      </c>
      <c r="K36" s="2" t="s">
        <v>31</v>
      </c>
      <c r="L36" s="4" t="s">
        <v>336</v>
      </c>
      <c r="M36" s="2" t="s">
        <v>466</v>
      </c>
      <c r="N36" s="2" t="s">
        <v>159</v>
      </c>
      <c r="O36" s="2" t="s">
        <v>2845</v>
      </c>
      <c r="P36" s="2" t="s">
        <v>127</v>
      </c>
      <c r="Q36" s="2" t="s">
        <v>128</v>
      </c>
      <c r="R36" s="2" t="s">
        <v>428</v>
      </c>
      <c r="S36" s="2" t="s">
        <v>45</v>
      </c>
      <c r="T36" s="153">
        <v>4.72</v>
      </c>
      <c r="U36" s="2" t="s">
        <v>2939</v>
      </c>
      <c r="V36" s="167">
        <v>5.0099999999999999E-2</v>
      </c>
      <c r="W36" s="167">
        <v>3.7400000000000003E-2</v>
      </c>
      <c r="X36" s="4" t="s">
        <v>434</v>
      </c>
      <c r="Y36" s="4" t="s">
        <v>159</v>
      </c>
      <c r="Z36" s="2" t="s">
        <v>916</v>
      </c>
      <c r="AA36" s="2" t="s">
        <v>2847</v>
      </c>
      <c r="AB36" s="2" t="s">
        <v>168</v>
      </c>
      <c r="AD36" s="153">
        <v>39297.199999999997</v>
      </c>
      <c r="AE36" s="153">
        <v>1</v>
      </c>
      <c r="AF36" s="153">
        <v>96</v>
      </c>
      <c r="AG36" s="153">
        <v>37.186999999999998</v>
      </c>
      <c r="AJ36" s="2" t="s">
        <v>37</v>
      </c>
      <c r="AK36" s="167">
        <v>0.283257569583447</v>
      </c>
      <c r="AL36" s="167">
        <v>2.4428682544031599E-3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"/>
  <cols>
    <col min="1" max="4" width="11.58203125" style="2" customWidth="1"/>
    <col min="5" max="5" width="11.58203125" style="4" customWidth="1"/>
    <col min="6" max="11" width="11.58203125" style="2" customWidth="1"/>
    <col min="12" max="12" width="11.58203125" style="4" customWidth="1"/>
    <col min="13" max="26" width="11.582031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348</v>
      </c>
      <c r="M1" s="22" t="s">
        <v>172</v>
      </c>
      <c r="N1" s="22" t="s">
        <v>145</v>
      </c>
      <c r="O1" s="22" t="s">
        <v>180</v>
      </c>
      <c r="P1" s="22" t="s">
        <v>11</v>
      </c>
      <c r="Q1" s="22" t="s">
        <v>173</v>
      </c>
      <c r="R1" s="22" t="s">
        <v>174</v>
      </c>
      <c r="S1" s="22" t="s">
        <v>154</v>
      </c>
      <c r="T1" s="22" t="s">
        <v>175</v>
      </c>
      <c r="U1" s="22" t="s">
        <v>17</v>
      </c>
      <c r="V1" s="22" t="s">
        <v>18</v>
      </c>
      <c r="W1" s="22" t="s">
        <v>19</v>
      </c>
      <c r="X1" s="22" t="s">
        <v>20</v>
      </c>
      <c r="Y1" s="166" t="s">
        <v>24</v>
      </c>
      <c r="Z1" s="166" t="s">
        <v>25</v>
      </c>
    </row>
    <row r="2" spans="1:26">
      <c r="A2" s="23" t="s">
        <v>26</v>
      </c>
      <c r="B2" s="23">
        <v>1522</v>
      </c>
      <c r="C2" s="23" t="s">
        <v>2802</v>
      </c>
      <c r="D2" s="23" t="s">
        <v>2803</v>
      </c>
      <c r="E2" s="21" t="s">
        <v>44</v>
      </c>
      <c r="F2" s="23" t="s">
        <v>2804</v>
      </c>
      <c r="G2" s="23" t="s">
        <v>2805</v>
      </c>
      <c r="H2" s="21" t="s">
        <v>343</v>
      </c>
      <c r="I2" s="23" t="s">
        <v>789</v>
      </c>
      <c r="J2" s="21" t="s">
        <v>31</v>
      </c>
      <c r="K2" s="21" t="s">
        <v>31</v>
      </c>
      <c r="L2" s="23" t="s">
        <v>336</v>
      </c>
      <c r="M2" s="23" t="s">
        <v>469</v>
      </c>
      <c r="N2" s="23" t="s">
        <v>159</v>
      </c>
      <c r="O2" s="23" t="s">
        <v>2806</v>
      </c>
      <c r="P2" s="21" t="s">
        <v>45</v>
      </c>
      <c r="Q2" s="23" t="s">
        <v>336</v>
      </c>
      <c r="R2" s="23" t="s">
        <v>919</v>
      </c>
      <c r="S2" s="23" t="s">
        <v>2807</v>
      </c>
      <c r="T2" s="23"/>
      <c r="U2" s="156">
        <v>25848</v>
      </c>
      <c r="V2" s="156">
        <v>1</v>
      </c>
      <c r="W2" s="156">
        <v>0</v>
      </c>
      <c r="X2" s="156">
        <v>0</v>
      </c>
      <c r="Y2" s="173">
        <v>9.362673098974421E-9</v>
      </c>
      <c r="Z2" s="173">
        <v>2.5623393962814899E-11</v>
      </c>
    </row>
    <row r="3" spans="1:26">
      <c r="A3" s="23" t="s">
        <v>26</v>
      </c>
      <c r="B3" s="23">
        <v>1522</v>
      </c>
      <c r="C3" s="23" t="s">
        <v>2808</v>
      </c>
      <c r="D3" s="23" t="s">
        <v>2809</v>
      </c>
      <c r="E3" s="21" t="s">
        <v>335</v>
      </c>
      <c r="F3" s="23" t="s">
        <v>2810</v>
      </c>
      <c r="G3" s="23" t="s">
        <v>2811</v>
      </c>
      <c r="H3" s="21" t="s">
        <v>343</v>
      </c>
      <c r="I3" s="23" t="s">
        <v>789</v>
      </c>
      <c r="J3" s="21" t="s">
        <v>124</v>
      </c>
      <c r="K3" s="21" t="s">
        <v>125</v>
      </c>
      <c r="L3" s="23" t="s">
        <v>336</v>
      </c>
      <c r="M3" s="23" t="s">
        <v>499</v>
      </c>
      <c r="N3" s="23" t="s">
        <v>159</v>
      </c>
      <c r="O3" s="23" t="s">
        <v>2812</v>
      </c>
      <c r="P3" s="21" t="s">
        <v>35</v>
      </c>
      <c r="Q3" s="23" t="s">
        <v>336</v>
      </c>
      <c r="R3" s="23"/>
      <c r="S3" s="23" t="s">
        <v>2812</v>
      </c>
      <c r="T3" s="23"/>
      <c r="U3" s="156">
        <v>300</v>
      </c>
      <c r="V3" s="156">
        <v>3.681</v>
      </c>
      <c r="W3" s="156">
        <v>25</v>
      </c>
      <c r="X3" s="156">
        <v>27.608000000000001</v>
      </c>
      <c r="Y3" s="173">
        <v>0.99999999063732703</v>
      </c>
      <c r="Z3" s="173">
        <v>2.7367604798375599E-3</v>
      </c>
    </row>
    <row r="4" spans="1:26">
      <c r="A4" s="23" t="s">
        <v>26</v>
      </c>
      <c r="B4" s="23">
        <v>9935</v>
      </c>
      <c r="C4" s="23" t="s">
        <v>2578</v>
      </c>
      <c r="D4" s="23" t="s">
        <v>2579</v>
      </c>
      <c r="E4" s="21" t="s">
        <v>1345</v>
      </c>
      <c r="F4" s="23" t="s">
        <v>2813</v>
      </c>
      <c r="G4" s="23" t="s">
        <v>2814</v>
      </c>
      <c r="H4" s="21" t="s">
        <v>44</v>
      </c>
      <c r="I4" s="23" t="s">
        <v>789</v>
      </c>
      <c r="J4" s="21" t="s">
        <v>31</v>
      </c>
      <c r="K4" s="21" t="s">
        <v>31</v>
      </c>
      <c r="L4" s="23" t="s">
        <v>336</v>
      </c>
      <c r="M4" s="23" t="s">
        <v>484</v>
      </c>
      <c r="N4" s="23" t="s">
        <v>159</v>
      </c>
      <c r="O4" s="2" t="s">
        <v>2815</v>
      </c>
      <c r="P4" s="21" t="s">
        <v>45</v>
      </c>
      <c r="Q4" s="23" t="s">
        <v>336</v>
      </c>
      <c r="R4" s="23"/>
      <c r="S4" s="23" t="s">
        <v>2582</v>
      </c>
      <c r="T4" s="23"/>
      <c r="U4" s="156">
        <v>329</v>
      </c>
      <c r="V4" s="156">
        <v>1</v>
      </c>
      <c r="W4" s="156">
        <v>170152.62400000001</v>
      </c>
      <c r="X4" s="156">
        <v>559.80200000000002</v>
      </c>
      <c r="Y4" s="173">
        <v>4.2508398590320698E-2</v>
      </c>
      <c r="Z4" s="173">
        <v>5.1067577203626699E-4</v>
      </c>
    </row>
    <row r="5" spans="1:26">
      <c r="A5" s="23" t="s">
        <v>26</v>
      </c>
      <c r="B5" s="23">
        <v>9935</v>
      </c>
      <c r="C5" s="23" t="s">
        <v>2816</v>
      </c>
      <c r="D5" s="23" t="s">
        <v>2817</v>
      </c>
      <c r="E5" s="21" t="s">
        <v>1345</v>
      </c>
      <c r="F5" s="23" t="s">
        <v>2818</v>
      </c>
      <c r="G5" s="23" t="s">
        <v>2819</v>
      </c>
      <c r="H5" s="21" t="s">
        <v>44</v>
      </c>
      <c r="I5" s="23" t="s">
        <v>789</v>
      </c>
      <c r="J5" s="21" t="s">
        <v>31</v>
      </c>
      <c r="K5" s="21" t="s">
        <v>125</v>
      </c>
      <c r="L5" s="23" t="s">
        <v>336</v>
      </c>
      <c r="M5" s="23" t="s">
        <v>578</v>
      </c>
      <c r="N5" s="23" t="s">
        <v>159</v>
      </c>
      <c r="O5" s="23" t="s">
        <v>2820</v>
      </c>
      <c r="P5" s="21" t="s">
        <v>35</v>
      </c>
      <c r="Q5" s="23" t="s">
        <v>336</v>
      </c>
      <c r="R5" s="23"/>
      <c r="S5" s="23" t="s">
        <v>2821</v>
      </c>
      <c r="T5" s="23"/>
      <c r="U5" s="156">
        <v>127813</v>
      </c>
      <c r="V5" s="156">
        <v>3.681</v>
      </c>
      <c r="W5" s="156">
        <v>273.83600000000001</v>
      </c>
      <c r="X5" s="156">
        <v>1288.3420000000001</v>
      </c>
      <c r="Y5" s="173">
        <v>9.7829814499195894E-2</v>
      </c>
      <c r="Z5" s="173">
        <v>1.1752810669023301E-3</v>
      </c>
    </row>
    <row r="6" spans="1:26">
      <c r="A6" s="23" t="s">
        <v>26</v>
      </c>
      <c r="B6" s="23">
        <v>9935</v>
      </c>
      <c r="C6" s="23" t="s">
        <v>2822</v>
      </c>
      <c r="D6" s="23" t="s">
        <v>2823</v>
      </c>
      <c r="E6" s="21" t="s">
        <v>1345</v>
      </c>
      <c r="F6" s="23" t="s">
        <v>2822</v>
      </c>
      <c r="G6" s="23" t="s">
        <v>2824</v>
      </c>
      <c r="H6" s="21" t="s">
        <v>44</v>
      </c>
      <c r="I6" s="23" t="s">
        <v>789</v>
      </c>
      <c r="J6" s="21" t="s">
        <v>31</v>
      </c>
      <c r="K6" s="21" t="s">
        <v>31</v>
      </c>
      <c r="L6" s="23" t="s">
        <v>336</v>
      </c>
      <c r="M6" s="23" t="s">
        <v>469</v>
      </c>
      <c r="N6" s="23" t="s">
        <v>159</v>
      </c>
      <c r="O6" s="23" t="s">
        <v>2825</v>
      </c>
      <c r="P6" s="21" t="s">
        <v>35</v>
      </c>
      <c r="Q6" s="23" t="s">
        <v>336</v>
      </c>
      <c r="R6" s="23"/>
      <c r="S6" s="23" t="s">
        <v>2826</v>
      </c>
      <c r="T6" s="23"/>
      <c r="U6" s="156">
        <v>139876</v>
      </c>
      <c r="V6" s="156">
        <v>3.681</v>
      </c>
      <c r="W6" s="156">
        <v>830.053</v>
      </c>
      <c r="X6" s="156">
        <v>4273.8050000000003</v>
      </c>
      <c r="Y6" s="173">
        <v>0.324530064481585</v>
      </c>
      <c r="Z6" s="173">
        <v>3.89875052281668E-3</v>
      </c>
    </row>
    <row r="7" spans="1:26">
      <c r="A7" s="23" t="s">
        <v>26</v>
      </c>
      <c r="B7" s="23">
        <v>9935</v>
      </c>
      <c r="C7" s="23" t="s">
        <v>2802</v>
      </c>
      <c r="D7" s="23" t="s">
        <v>2803</v>
      </c>
      <c r="E7" s="21" t="s">
        <v>44</v>
      </c>
      <c r="F7" s="23" t="s">
        <v>2804</v>
      </c>
      <c r="G7" s="23" t="s">
        <v>2805</v>
      </c>
      <c r="H7" s="21" t="s">
        <v>343</v>
      </c>
      <c r="I7" s="23" t="s">
        <v>789</v>
      </c>
      <c r="J7" s="21" t="s">
        <v>31</v>
      </c>
      <c r="K7" s="21" t="s">
        <v>31</v>
      </c>
      <c r="L7" s="23" t="s">
        <v>336</v>
      </c>
      <c r="M7" s="23" t="s">
        <v>469</v>
      </c>
      <c r="N7" s="23" t="s">
        <v>159</v>
      </c>
      <c r="O7" s="23" t="s">
        <v>2806</v>
      </c>
      <c r="P7" s="21" t="s">
        <v>45</v>
      </c>
      <c r="Q7" s="23" t="s">
        <v>336</v>
      </c>
      <c r="R7" s="23" t="s">
        <v>919</v>
      </c>
      <c r="S7" s="23" t="s">
        <v>2807</v>
      </c>
      <c r="T7" s="23"/>
      <c r="U7" s="156">
        <v>840064</v>
      </c>
      <c r="V7" s="156">
        <v>1</v>
      </c>
      <c r="W7" s="156">
        <v>0</v>
      </c>
      <c r="X7" s="156">
        <v>0</v>
      </c>
      <c r="Y7" s="173">
        <v>6.3789995162327797E-10</v>
      </c>
      <c r="Z7" s="173">
        <v>7.6634279596524504E-12</v>
      </c>
    </row>
    <row r="8" spans="1:26">
      <c r="A8" s="23" t="s">
        <v>26</v>
      </c>
      <c r="B8" s="23">
        <v>9935</v>
      </c>
      <c r="C8" s="23" t="s">
        <v>2827</v>
      </c>
      <c r="D8" s="23" t="s">
        <v>2828</v>
      </c>
      <c r="E8" s="21" t="s">
        <v>44</v>
      </c>
      <c r="F8" s="23" t="s">
        <v>2829</v>
      </c>
      <c r="G8" s="23" t="s">
        <v>2830</v>
      </c>
      <c r="H8" s="21" t="s">
        <v>44</v>
      </c>
      <c r="I8" s="23" t="s">
        <v>789</v>
      </c>
      <c r="J8" s="21" t="s">
        <v>124</v>
      </c>
      <c r="K8" s="21" t="s">
        <v>261</v>
      </c>
      <c r="L8" s="23" t="s">
        <v>336</v>
      </c>
      <c r="M8" s="23" t="s">
        <v>567</v>
      </c>
      <c r="N8" s="23" t="s">
        <v>159</v>
      </c>
      <c r="O8" s="23" t="s">
        <v>2831</v>
      </c>
      <c r="P8" s="21" t="s">
        <v>1206</v>
      </c>
      <c r="Q8" s="23" t="s">
        <v>336</v>
      </c>
      <c r="R8" s="23"/>
      <c r="S8" s="23" t="s">
        <v>168</v>
      </c>
      <c r="T8" s="23"/>
      <c r="U8" s="156">
        <v>361800</v>
      </c>
      <c r="V8" s="156">
        <v>3.9790000000000001</v>
      </c>
      <c r="W8" s="156">
        <v>150.571</v>
      </c>
      <c r="X8" s="156">
        <v>2167.6819999999998</v>
      </c>
      <c r="Y8" s="173">
        <v>0.16460226671606701</v>
      </c>
      <c r="Z8" s="173">
        <v>1.9774536896642199E-3</v>
      </c>
    </row>
    <row r="9" spans="1:26">
      <c r="A9" s="23" t="s">
        <v>26</v>
      </c>
      <c r="B9" s="23">
        <v>9935</v>
      </c>
      <c r="C9" s="23" t="s">
        <v>2832</v>
      </c>
      <c r="D9" s="23" t="s">
        <v>2833</v>
      </c>
      <c r="E9" s="21" t="s">
        <v>44</v>
      </c>
      <c r="F9" s="23" t="s">
        <v>2832</v>
      </c>
      <c r="G9" s="23" t="s">
        <v>2834</v>
      </c>
      <c r="H9" s="21" t="s">
        <v>345</v>
      </c>
      <c r="I9" s="23" t="s">
        <v>789</v>
      </c>
      <c r="J9" s="21" t="s">
        <v>124</v>
      </c>
      <c r="K9" s="21" t="s">
        <v>125</v>
      </c>
      <c r="L9" s="23" t="s">
        <v>336</v>
      </c>
      <c r="M9" s="23" t="s">
        <v>567</v>
      </c>
      <c r="N9" s="23" t="s">
        <v>159</v>
      </c>
      <c r="O9" s="23" t="s">
        <v>2825</v>
      </c>
      <c r="P9" s="21" t="s">
        <v>35</v>
      </c>
      <c r="Q9" s="23" t="s">
        <v>336</v>
      </c>
      <c r="R9" s="23"/>
      <c r="S9" s="23" t="s">
        <v>2835</v>
      </c>
      <c r="T9" s="23"/>
      <c r="U9" s="156">
        <v>4300</v>
      </c>
      <c r="V9" s="156">
        <v>3.681</v>
      </c>
      <c r="W9" s="156">
        <v>20229.37</v>
      </c>
      <c r="X9" s="156">
        <v>3201.9650000000001</v>
      </c>
      <c r="Y9" s="173">
        <v>0.24314023166249499</v>
      </c>
      <c r="Z9" s="173">
        <v>2.9209716111393098E-3</v>
      </c>
    </row>
    <row r="10" spans="1:26">
      <c r="A10" s="23" t="s">
        <v>26</v>
      </c>
      <c r="B10" s="23">
        <v>9935</v>
      </c>
      <c r="C10" s="23" t="s">
        <v>2808</v>
      </c>
      <c r="D10" s="23" t="s">
        <v>2809</v>
      </c>
      <c r="E10" s="21" t="s">
        <v>335</v>
      </c>
      <c r="F10" s="23" t="s">
        <v>2810</v>
      </c>
      <c r="G10" s="23" t="s">
        <v>2811</v>
      </c>
      <c r="H10" s="21" t="s">
        <v>343</v>
      </c>
      <c r="I10" s="23" t="s">
        <v>789</v>
      </c>
      <c r="J10" s="21" t="s">
        <v>124</v>
      </c>
      <c r="K10" s="21" t="s">
        <v>125</v>
      </c>
      <c r="L10" s="23" t="s">
        <v>336</v>
      </c>
      <c r="M10" s="23" t="s">
        <v>499</v>
      </c>
      <c r="N10" s="23" t="s">
        <v>159</v>
      </c>
      <c r="O10" s="23" t="s">
        <v>2812</v>
      </c>
      <c r="P10" s="21" t="s">
        <v>35</v>
      </c>
      <c r="Q10" s="23" t="s">
        <v>336</v>
      </c>
      <c r="R10" s="23"/>
      <c r="S10" s="23" t="s">
        <v>2812</v>
      </c>
      <c r="T10" s="23"/>
      <c r="U10" s="156">
        <v>18230</v>
      </c>
      <c r="V10" s="156">
        <v>3.681</v>
      </c>
      <c r="W10" s="156">
        <v>25</v>
      </c>
      <c r="X10" s="156">
        <v>1677.616</v>
      </c>
      <c r="Y10" s="173">
        <v>0.127389223412436</v>
      </c>
      <c r="Z10" s="173">
        <v>1.5303938085792601E-3</v>
      </c>
    </row>
    <row r="11" spans="1:26">
      <c r="A11" s="23" t="s">
        <v>26</v>
      </c>
      <c r="B11" s="23">
        <v>9936</v>
      </c>
      <c r="C11" s="23" t="s">
        <v>2802</v>
      </c>
      <c r="D11" s="23" t="s">
        <v>2803</v>
      </c>
      <c r="E11" s="21" t="s">
        <v>44</v>
      </c>
      <c r="F11" s="23" t="s">
        <v>2804</v>
      </c>
      <c r="G11" s="23" t="s">
        <v>2805</v>
      </c>
      <c r="H11" s="21" t="s">
        <v>343</v>
      </c>
      <c r="I11" s="23" t="s">
        <v>789</v>
      </c>
      <c r="J11" s="21" t="s">
        <v>31</v>
      </c>
      <c r="K11" s="21" t="s">
        <v>31</v>
      </c>
      <c r="L11" s="23" t="s">
        <v>336</v>
      </c>
      <c r="M11" s="23" t="s">
        <v>469</v>
      </c>
      <c r="N11" s="23" t="s">
        <v>159</v>
      </c>
      <c r="O11" s="23" t="s">
        <v>2806</v>
      </c>
      <c r="P11" s="21" t="s">
        <v>45</v>
      </c>
      <c r="Q11" s="23" t="s">
        <v>336</v>
      </c>
      <c r="R11" s="23" t="s">
        <v>919</v>
      </c>
      <c r="S11" s="23" t="s">
        <v>2807</v>
      </c>
      <c r="T11" s="23"/>
      <c r="U11" s="156">
        <v>16963</v>
      </c>
      <c r="V11" s="156">
        <v>1</v>
      </c>
      <c r="W11" s="156">
        <v>0</v>
      </c>
      <c r="X11" s="156">
        <v>0</v>
      </c>
      <c r="Y11" s="173">
        <v>5.1202873353088102E-9</v>
      </c>
      <c r="Z11" s="173">
        <v>1.1143259918208799E-11</v>
      </c>
    </row>
    <row r="12" spans="1:26">
      <c r="A12" s="23" t="s">
        <v>26</v>
      </c>
      <c r="B12" s="23">
        <v>9936</v>
      </c>
      <c r="C12" s="23" t="s">
        <v>2808</v>
      </c>
      <c r="D12" s="23" t="s">
        <v>2809</v>
      </c>
      <c r="E12" s="21" t="s">
        <v>335</v>
      </c>
      <c r="F12" s="23" t="s">
        <v>2810</v>
      </c>
      <c r="G12" s="23" t="s">
        <v>2811</v>
      </c>
      <c r="H12" s="21" t="s">
        <v>343</v>
      </c>
      <c r="I12" s="23" t="s">
        <v>789</v>
      </c>
      <c r="J12" s="21" t="s">
        <v>124</v>
      </c>
      <c r="K12" s="21" t="s">
        <v>125</v>
      </c>
      <c r="L12" s="23" t="s">
        <v>336</v>
      </c>
      <c r="M12" s="23" t="s">
        <v>499</v>
      </c>
      <c r="N12" s="23" t="s">
        <v>159</v>
      </c>
      <c r="O12" s="23" t="s">
        <v>2812</v>
      </c>
      <c r="P12" s="21" t="s">
        <v>35</v>
      </c>
      <c r="Q12" s="23" t="s">
        <v>336</v>
      </c>
      <c r="R12" s="23"/>
      <c r="S12" s="23" t="s">
        <v>2812</v>
      </c>
      <c r="T12" s="23"/>
      <c r="U12" s="156">
        <v>360</v>
      </c>
      <c r="V12" s="156">
        <v>3.681</v>
      </c>
      <c r="W12" s="156">
        <v>25</v>
      </c>
      <c r="X12" s="156">
        <v>33.128999999999998</v>
      </c>
      <c r="Y12" s="173">
        <v>0.99999999487971203</v>
      </c>
      <c r="Z12" s="173">
        <v>2.1762958075242501E-3</v>
      </c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9" defaultRowHeight="14"/>
  <cols>
    <col min="1" max="15" width="11.58203125" style="2" customWidth="1"/>
    <col min="16" max="16" width="11.58203125" customWidth="1"/>
    <col min="17" max="26" width="11.582031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212</v>
      </c>
      <c r="D1" s="22" t="s">
        <v>213</v>
      </c>
      <c r="E1" s="22" t="s">
        <v>214</v>
      </c>
      <c r="F1" s="22" t="s">
        <v>215</v>
      </c>
      <c r="G1" s="22" t="s">
        <v>216</v>
      </c>
      <c r="H1" s="22" t="s">
        <v>217</v>
      </c>
      <c r="I1" s="22" t="s">
        <v>5</v>
      </c>
      <c r="J1" s="22" t="s">
        <v>854</v>
      </c>
      <c r="K1" s="22" t="s">
        <v>6</v>
      </c>
      <c r="L1" s="22" t="s">
        <v>1152</v>
      </c>
      <c r="M1" s="22" t="s">
        <v>1153</v>
      </c>
      <c r="N1" s="22" t="s">
        <v>7</v>
      </c>
      <c r="O1" s="22" t="s">
        <v>145</v>
      </c>
      <c r="P1" s="32" t="s">
        <v>180</v>
      </c>
      <c r="Q1" s="22" t="s">
        <v>11</v>
      </c>
      <c r="R1" s="22" t="s">
        <v>173</v>
      </c>
      <c r="S1" s="22" t="s">
        <v>174</v>
      </c>
      <c r="T1" s="22" t="s">
        <v>154</v>
      </c>
      <c r="U1" s="22" t="s">
        <v>18</v>
      </c>
      <c r="V1" s="109" t="s">
        <v>2553</v>
      </c>
      <c r="W1" s="22" t="s">
        <v>20</v>
      </c>
      <c r="X1" s="22" t="s">
        <v>1155</v>
      </c>
      <c r="Y1" s="166" t="s">
        <v>24</v>
      </c>
      <c r="Z1" s="166" t="s">
        <v>25</v>
      </c>
      <c r="AA1" s="11"/>
    </row>
    <row r="2" spans="1:27">
      <c r="A2" s="23" t="s">
        <v>26</v>
      </c>
      <c r="B2" s="23">
        <v>9935</v>
      </c>
      <c r="C2" s="23" t="s">
        <v>2554</v>
      </c>
      <c r="D2" s="23"/>
      <c r="E2" s="23" t="s">
        <v>336</v>
      </c>
      <c r="F2" s="23" t="s">
        <v>2555</v>
      </c>
      <c r="G2" s="23">
        <v>50007954</v>
      </c>
      <c r="H2" s="23" t="s">
        <v>44</v>
      </c>
      <c r="I2" s="2" t="s">
        <v>1049</v>
      </c>
      <c r="J2" s="23" t="s">
        <v>590</v>
      </c>
      <c r="K2" s="21" t="s">
        <v>31</v>
      </c>
      <c r="L2" s="23"/>
      <c r="M2" s="23"/>
      <c r="N2" s="21" t="s">
        <v>31</v>
      </c>
      <c r="O2" s="23" t="s">
        <v>159</v>
      </c>
      <c r="P2" t="s">
        <v>2556</v>
      </c>
      <c r="Q2" s="21" t="s">
        <v>45</v>
      </c>
      <c r="R2" s="23" t="s">
        <v>336</v>
      </c>
      <c r="S2" s="23"/>
      <c r="T2" s="23" t="s">
        <v>168</v>
      </c>
      <c r="U2" s="156">
        <v>1</v>
      </c>
      <c r="V2" s="156">
        <v>2026.895</v>
      </c>
      <c r="W2" s="156">
        <v>2026.895</v>
      </c>
      <c r="X2" s="23"/>
      <c r="Y2" s="173">
        <v>9.5269999384342396E-3</v>
      </c>
      <c r="Z2" s="173">
        <v>1.8490219299853901E-3</v>
      </c>
    </row>
    <row r="3" spans="1:27">
      <c r="A3" s="23" t="s">
        <v>26</v>
      </c>
      <c r="B3" s="23">
        <v>9935</v>
      </c>
      <c r="C3" s="23" t="s">
        <v>2557</v>
      </c>
      <c r="D3" s="2" t="s">
        <v>2558</v>
      </c>
      <c r="E3" s="23" t="s">
        <v>334</v>
      </c>
      <c r="F3" s="23" t="s">
        <v>2559</v>
      </c>
      <c r="G3" s="23">
        <v>50007921</v>
      </c>
      <c r="H3" s="23" t="s">
        <v>44</v>
      </c>
      <c r="I3" s="2" t="s">
        <v>1049</v>
      </c>
      <c r="J3" s="23" t="s">
        <v>868</v>
      </c>
      <c r="K3" s="21" t="s">
        <v>31</v>
      </c>
      <c r="L3" s="23" t="s">
        <v>241</v>
      </c>
      <c r="M3" s="23" t="s">
        <v>2560</v>
      </c>
      <c r="N3" s="21" t="s">
        <v>31</v>
      </c>
      <c r="O3" s="23" t="s">
        <v>159</v>
      </c>
      <c r="P3" t="s">
        <v>2561</v>
      </c>
      <c r="Q3" s="21" t="s">
        <v>45</v>
      </c>
      <c r="R3" s="23" t="s">
        <v>915</v>
      </c>
      <c r="S3" s="23" t="s">
        <v>918</v>
      </c>
      <c r="T3" s="30" t="s">
        <v>1325</v>
      </c>
      <c r="U3" s="156">
        <v>1</v>
      </c>
      <c r="V3" s="156">
        <v>977.85900000000004</v>
      </c>
      <c r="W3" s="156">
        <v>977.85900000000004</v>
      </c>
      <c r="X3" s="30"/>
      <c r="Y3" s="173">
        <v>4.59622248351321E-3</v>
      </c>
      <c r="Z3" s="173">
        <v>8.9204536811454704E-4</v>
      </c>
    </row>
    <row r="4" spans="1:27">
      <c r="A4" s="23" t="s">
        <v>26</v>
      </c>
      <c r="B4" s="23">
        <v>9935</v>
      </c>
      <c r="C4" s="23" t="s">
        <v>2562</v>
      </c>
      <c r="D4" s="2" t="s">
        <v>2563</v>
      </c>
      <c r="E4" s="23" t="s">
        <v>1345</v>
      </c>
      <c r="F4" s="23" t="s">
        <v>2564</v>
      </c>
      <c r="G4" s="23">
        <v>50007145</v>
      </c>
      <c r="H4" s="23" t="s">
        <v>44</v>
      </c>
      <c r="I4" s="2" t="s">
        <v>1049</v>
      </c>
      <c r="J4" s="23" t="s">
        <v>590</v>
      </c>
      <c r="K4" s="21" t="s">
        <v>31</v>
      </c>
      <c r="L4" s="23"/>
      <c r="M4" s="23"/>
      <c r="N4" s="21"/>
      <c r="O4" s="23" t="s">
        <v>159</v>
      </c>
      <c r="P4" t="s">
        <v>2565</v>
      </c>
      <c r="Q4" s="21" t="s">
        <v>45</v>
      </c>
      <c r="R4" s="23" t="s">
        <v>336</v>
      </c>
      <c r="S4" s="23"/>
      <c r="T4" s="23" t="s">
        <v>168</v>
      </c>
      <c r="U4" s="156">
        <v>1</v>
      </c>
      <c r="V4" s="156">
        <v>1692.4970000000001</v>
      </c>
      <c r="W4" s="156">
        <v>1692.4970000000001</v>
      </c>
      <c r="X4" s="30"/>
      <c r="Y4" s="173">
        <v>7.9552284352235308E-3</v>
      </c>
      <c r="Z4" s="173">
        <v>1.5439689230426501E-3</v>
      </c>
    </row>
    <row r="5" spans="1:27">
      <c r="A5" s="23" t="s">
        <v>26</v>
      </c>
      <c r="B5" s="23">
        <v>9935</v>
      </c>
      <c r="C5" s="23" t="s">
        <v>2566</v>
      </c>
      <c r="D5" s="2" t="s">
        <v>2567</v>
      </c>
      <c r="E5" s="23" t="s">
        <v>333</v>
      </c>
      <c r="F5" s="23" t="s">
        <v>2568</v>
      </c>
      <c r="G5" s="23">
        <v>62014386</v>
      </c>
      <c r="H5" s="23" t="s">
        <v>44</v>
      </c>
      <c r="I5" s="2" t="s">
        <v>1049</v>
      </c>
      <c r="J5" s="23" t="s">
        <v>590</v>
      </c>
      <c r="K5" s="21" t="s">
        <v>31</v>
      </c>
      <c r="L5" s="23"/>
      <c r="M5" s="23"/>
      <c r="N5" s="21" t="s">
        <v>31</v>
      </c>
      <c r="O5" s="23" t="s">
        <v>159</v>
      </c>
      <c r="P5" t="s">
        <v>2569</v>
      </c>
      <c r="Q5" s="21" t="s">
        <v>35</v>
      </c>
      <c r="R5" s="23" t="s">
        <v>336</v>
      </c>
      <c r="S5" s="23"/>
      <c r="T5" s="23" t="s">
        <v>1325</v>
      </c>
      <c r="U5" s="156">
        <v>3.681</v>
      </c>
      <c r="V5" s="156">
        <v>550.39400000000001</v>
      </c>
      <c r="W5" s="156">
        <v>2025.999</v>
      </c>
      <c r="X5" s="30"/>
      <c r="Y5" s="173">
        <v>9.5227865698703507E-3</v>
      </c>
      <c r="Z5" s="173">
        <v>1.84820418978133E-3</v>
      </c>
    </row>
    <row r="6" spans="1:27">
      <c r="A6" s="23" t="s">
        <v>26</v>
      </c>
      <c r="B6" s="23">
        <v>9935</v>
      </c>
      <c r="C6" s="23" t="s">
        <v>2570</v>
      </c>
      <c r="D6" s="2" t="s">
        <v>2571</v>
      </c>
      <c r="E6" s="23" t="s">
        <v>1345</v>
      </c>
      <c r="F6" s="23" t="s">
        <v>2572</v>
      </c>
      <c r="G6" s="23">
        <v>62012059</v>
      </c>
      <c r="H6" s="23" t="s">
        <v>44</v>
      </c>
      <c r="I6" s="2" t="s">
        <v>1049</v>
      </c>
      <c r="J6" s="23" t="s">
        <v>590</v>
      </c>
      <c r="K6" s="21" t="s">
        <v>31</v>
      </c>
      <c r="L6" s="23"/>
      <c r="M6" s="23"/>
      <c r="N6" s="21" t="s">
        <v>31</v>
      </c>
      <c r="O6" s="23" t="s">
        <v>159</v>
      </c>
      <c r="P6" t="s">
        <v>2573</v>
      </c>
      <c r="Q6" s="21" t="s">
        <v>35</v>
      </c>
      <c r="R6" s="23" t="s">
        <v>336</v>
      </c>
      <c r="S6" s="23"/>
      <c r="T6" s="23" t="s">
        <v>2574</v>
      </c>
      <c r="U6" s="156">
        <v>3.681</v>
      </c>
      <c r="V6" s="156">
        <v>840.07600000000002</v>
      </c>
      <c r="W6" s="156">
        <v>3092.319</v>
      </c>
      <c r="X6" s="23"/>
      <c r="Y6" s="173">
        <v>1.4534800840259401E-2</v>
      </c>
      <c r="Z6" s="173">
        <v>2.8209473785329501E-3</v>
      </c>
    </row>
    <row r="7" spans="1:27">
      <c r="A7" s="23" t="s">
        <v>26</v>
      </c>
      <c r="B7" s="23">
        <v>9935</v>
      </c>
      <c r="C7" s="23" t="s">
        <v>2575</v>
      </c>
      <c r="D7" s="2" t="s">
        <v>2576</v>
      </c>
      <c r="E7" s="23" t="s">
        <v>1345</v>
      </c>
      <c r="F7" s="23" t="s">
        <v>2577</v>
      </c>
      <c r="G7" s="23">
        <v>9840796</v>
      </c>
      <c r="H7" s="23" t="s">
        <v>44</v>
      </c>
      <c r="I7" s="2" t="s">
        <v>1049</v>
      </c>
      <c r="J7" s="23" t="s">
        <v>590</v>
      </c>
      <c r="K7" s="21" t="s">
        <v>31</v>
      </c>
      <c r="L7" s="23"/>
      <c r="M7" s="23"/>
      <c r="N7" s="21" t="s">
        <v>31</v>
      </c>
      <c r="O7" s="23" t="s">
        <v>159</v>
      </c>
      <c r="P7" t="s">
        <v>167</v>
      </c>
      <c r="Q7" s="21" t="s">
        <v>35</v>
      </c>
      <c r="R7" s="23" t="s">
        <v>336</v>
      </c>
      <c r="S7" s="23"/>
      <c r="T7" s="23" t="s">
        <v>168</v>
      </c>
      <c r="U7" s="156">
        <v>3.681</v>
      </c>
      <c r="V7" s="156">
        <v>0</v>
      </c>
      <c r="W7" s="156">
        <v>2E-3</v>
      </c>
      <c r="X7" s="23"/>
      <c r="Y7" s="173">
        <v>8.3991113563630004E-9</v>
      </c>
      <c r="Z7" s="173">
        <v>1.6301187352434202E-9</v>
      </c>
    </row>
    <row r="8" spans="1:27">
      <c r="A8" s="23" t="s">
        <v>26</v>
      </c>
      <c r="B8" s="23">
        <v>9935</v>
      </c>
      <c r="C8" s="23" t="s">
        <v>2578</v>
      </c>
      <c r="D8" s="2" t="s">
        <v>2579</v>
      </c>
      <c r="E8" s="23" t="s">
        <v>1345</v>
      </c>
      <c r="F8" s="23" t="s">
        <v>2580</v>
      </c>
      <c r="G8" s="23">
        <v>56184</v>
      </c>
      <c r="H8" s="23" t="s">
        <v>44</v>
      </c>
      <c r="I8" s="2" t="s">
        <v>1049</v>
      </c>
      <c r="J8" s="23" t="s">
        <v>590</v>
      </c>
      <c r="K8" s="21" t="s">
        <v>31</v>
      </c>
      <c r="L8" s="23"/>
      <c r="M8" s="23"/>
      <c r="N8" s="21" t="s">
        <v>31</v>
      </c>
      <c r="O8" s="23" t="s">
        <v>159</v>
      </c>
      <c r="P8" t="s">
        <v>2581</v>
      </c>
      <c r="Q8" s="21" t="s">
        <v>45</v>
      </c>
      <c r="R8" s="23" t="s">
        <v>917</v>
      </c>
      <c r="S8" s="23" t="s">
        <v>919</v>
      </c>
      <c r="T8" s="23" t="s">
        <v>2582</v>
      </c>
      <c r="U8" s="156">
        <v>1</v>
      </c>
      <c r="V8" s="156">
        <v>216.18299999999999</v>
      </c>
      <c r="W8" s="156">
        <v>216.18299999999999</v>
      </c>
      <c r="X8" s="23"/>
      <c r="Y8" s="173">
        <v>1.0161228872309E-3</v>
      </c>
      <c r="Z8" s="173">
        <v>1.9721145315329899E-4</v>
      </c>
    </row>
    <row r="9" spans="1:27">
      <c r="A9" s="23" t="s">
        <v>26</v>
      </c>
      <c r="B9" s="23">
        <v>9935</v>
      </c>
      <c r="C9" s="23" t="s">
        <v>2583</v>
      </c>
      <c r="D9" s="2" t="s">
        <v>2584</v>
      </c>
      <c r="E9" s="23" t="s">
        <v>333</v>
      </c>
      <c r="F9" s="23" t="s">
        <v>2585</v>
      </c>
      <c r="G9" s="23">
        <v>50006782</v>
      </c>
      <c r="H9" s="23" t="s">
        <v>44</v>
      </c>
      <c r="I9" s="2" t="s">
        <v>1049</v>
      </c>
      <c r="J9" s="23" t="s">
        <v>590</v>
      </c>
      <c r="K9" s="21" t="s">
        <v>31</v>
      </c>
      <c r="L9" s="23"/>
      <c r="M9" s="23"/>
      <c r="N9" s="21" t="s">
        <v>31</v>
      </c>
      <c r="O9" s="23" t="s">
        <v>159</v>
      </c>
      <c r="P9" t="s">
        <v>2586</v>
      </c>
      <c r="Q9" s="21" t="s">
        <v>45</v>
      </c>
      <c r="R9" s="23" t="s">
        <v>336</v>
      </c>
      <c r="S9" s="23"/>
      <c r="T9" s="23" t="s">
        <v>168</v>
      </c>
      <c r="U9" s="156">
        <v>1</v>
      </c>
      <c r="V9" s="156">
        <v>4939.0810000000001</v>
      </c>
      <c r="W9" s="156">
        <v>4939.0810000000001</v>
      </c>
      <c r="X9" s="23"/>
      <c r="Y9" s="173">
        <v>2.3215121784139599E-2</v>
      </c>
      <c r="Z9" s="173">
        <v>4.5056439134616398E-3</v>
      </c>
    </row>
    <row r="10" spans="1:27">
      <c r="A10" s="23" t="s">
        <v>26</v>
      </c>
      <c r="B10" s="23">
        <v>9935</v>
      </c>
      <c r="C10" s="23" t="s">
        <v>2587</v>
      </c>
      <c r="D10" s="2" t="s">
        <v>2588</v>
      </c>
      <c r="E10" s="23" t="s">
        <v>44</v>
      </c>
      <c r="F10" s="23" t="s">
        <v>2589</v>
      </c>
      <c r="G10" s="23">
        <v>500051</v>
      </c>
      <c r="H10" s="23" t="s">
        <v>44</v>
      </c>
      <c r="I10" s="2" t="s">
        <v>1051</v>
      </c>
      <c r="J10" s="23" t="s">
        <v>590</v>
      </c>
      <c r="K10" s="21" t="s">
        <v>31</v>
      </c>
      <c r="L10" s="23"/>
      <c r="M10" s="23"/>
      <c r="N10" s="21" t="s">
        <v>31</v>
      </c>
      <c r="O10" s="23" t="s">
        <v>159</v>
      </c>
      <c r="P10" t="s">
        <v>2590</v>
      </c>
      <c r="Q10" s="21" t="s">
        <v>45</v>
      </c>
      <c r="R10" s="23" t="s">
        <v>336</v>
      </c>
      <c r="S10" s="23"/>
      <c r="T10" s="23" t="s">
        <v>2591</v>
      </c>
      <c r="U10" s="156">
        <v>1</v>
      </c>
      <c r="V10" s="156">
        <v>3551.9140000000002</v>
      </c>
      <c r="W10" s="156">
        <v>3551.9140000000002</v>
      </c>
      <c r="X10" s="23"/>
      <c r="Y10" s="173">
        <v>1.6695032326508399E-2</v>
      </c>
      <c r="Z10" s="173">
        <v>3.2402100444017101E-3</v>
      </c>
    </row>
    <row r="11" spans="1:27">
      <c r="A11" s="23" t="s">
        <v>26</v>
      </c>
      <c r="B11" s="23">
        <v>9935</v>
      </c>
      <c r="C11" s="23" t="s">
        <v>2592</v>
      </c>
      <c r="D11" s="2" t="s">
        <v>2593</v>
      </c>
      <c r="E11" s="23" t="s">
        <v>1345</v>
      </c>
      <c r="F11" s="23" t="s">
        <v>2594</v>
      </c>
      <c r="G11" s="23">
        <v>50006121</v>
      </c>
      <c r="H11" s="23" t="s">
        <v>44</v>
      </c>
      <c r="I11" s="2" t="s">
        <v>1051</v>
      </c>
      <c r="J11" s="23" t="s">
        <v>590</v>
      </c>
      <c r="K11" s="21" t="s">
        <v>31</v>
      </c>
      <c r="L11" s="23"/>
      <c r="M11" s="23"/>
      <c r="N11" s="21" t="s">
        <v>31</v>
      </c>
      <c r="O11" s="23" t="s">
        <v>159</v>
      </c>
      <c r="P11" t="s">
        <v>2595</v>
      </c>
      <c r="Q11" s="21" t="s">
        <v>45</v>
      </c>
      <c r="R11" s="23" t="s">
        <v>336</v>
      </c>
      <c r="S11" s="23"/>
      <c r="T11" s="23" t="s">
        <v>2591</v>
      </c>
      <c r="U11" s="156">
        <v>1</v>
      </c>
      <c r="V11" s="156">
        <v>2454.3919999999998</v>
      </c>
      <c r="W11" s="156">
        <v>2454.3919999999998</v>
      </c>
      <c r="X11" s="23"/>
      <c r="Y11" s="173">
        <v>1.1536357012866399E-2</v>
      </c>
      <c r="Z11" s="173">
        <v>2.2390025450589402E-3</v>
      </c>
    </row>
    <row r="12" spans="1:27">
      <c r="A12" s="23" t="s">
        <v>26</v>
      </c>
      <c r="B12" s="23">
        <v>9935</v>
      </c>
      <c r="C12" s="23" t="s">
        <v>2592</v>
      </c>
      <c r="D12" s="2" t="s">
        <v>2593</v>
      </c>
      <c r="E12" s="23" t="s">
        <v>1345</v>
      </c>
      <c r="F12" s="23" t="s">
        <v>2596</v>
      </c>
      <c r="G12" s="23">
        <v>99630</v>
      </c>
      <c r="H12" s="23" t="s">
        <v>44</v>
      </c>
      <c r="I12" s="2" t="s">
        <v>1051</v>
      </c>
      <c r="J12" s="23" t="s">
        <v>590</v>
      </c>
      <c r="K12" s="21" t="s">
        <v>31</v>
      </c>
      <c r="L12" s="23"/>
      <c r="M12" s="23"/>
      <c r="N12" s="21" t="s">
        <v>31</v>
      </c>
      <c r="O12" s="23" t="s">
        <v>159</v>
      </c>
      <c r="P12" t="s">
        <v>2597</v>
      </c>
      <c r="Q12" s="21" t="s">
        <v>45</v>
      </c>
      <c r="R12" s="23" t="s">
        <v>336</v>
      </c>
      <c r="S12" s="23"/>
      <c r="T12" s="23" t="s">
        <v>2591</v>
      </c>
      <c r="U12" s="156">
        <v>1</v>
      </c>
      <c r="V12" s="156">
        <v>2715.5369999999998</v>
      </c>
      <c r="W12" s="156">
        <v>2715.5369999999998</v>
      </c>
      <c r="X12" s="23"/>
      <c r="Y12" s="173">
        <v>1.27638168072417E-2</v>
      </c>
      <c r="Z12" s="173">
        <v>2.4772307483382598E-3</v>
      </c>
    </row>
    <row r="13" spans="1:27">
      <c r="A13" s="23" t="s">
        <v>26</v>
      </c>
      <c r="B13" s="23">
        <v>9935</v>
      </c>
      <c r="C13" s="23" t="s">
        <v>2598</v>
      </c>
      <c r="D13" s="2" t="s">
        <v>2599</v>
      </c>
      <c r="E13" s="23" t="s">
        <v>1345</v>
      </c>
      <c r="F13" s="23" t="s">
        <v>2600</v>
      </c>
      <c r="G13" s="23">
        <v>62017521</v>
      </c>
      <c r="H13" s="23" t="s">
        <v>44</v>
      </c>
      <c r="I13" s="2" t="s">
        <v>1049</v>
      </c>
      <c r="J13" s="23" t="s">
        <v>590</v>
      </c>
      <c r="K13" s="21" t="s">
        <v>31</v>
      </c>
      <c r="L13" s="23"/>
      <c r="M13" s="23"/>
      <c r="N13" s="21" t="s">
        <v>31</v>
      </c>
      <c r="O13" s="23" t="s">
        <v>159</v>
      </c>
      <c r="P13" t="s">
        <v>2601</v>
      </c>
      <c r="Q13" s="21" t="s">
        <v>35</v>
      </c>
      <c r="R13" s="23" t="s">
        <v>336</v>
      </c>
      <c r="S13" s="23"/>
      <c r="T13" s="23" t="s">
        <v>168</v>
      </c>
      <c r="U13" s="156">
        <v>3.681</v>
      </c>
      <c r="V13" s="156">
        <v>1400.096</v>
      </c>
      <c r="W13" s="156">
        <v>5153.7529999999997</v>
      </c>
      <c r="X13" s="23"/>
      <c r="Y13" s="173">
        <v>2.42241439116E-2</v>
      </c>
      <c r="Z13" s="173">
        <v>4.7014772349239604E-3</v>
      </c>
    </row>
    <row r="14" spans="1:27">
      <c r="A14" s="23" t="s">
        <v>26</v>
      </c>
      <c r="B14" s="23">
        <v>9935</v>
      </c>
      <c r="C14" s="23" t="s">
        <v>2602</v>
      </c>
      <c r="D14" s="2" t="s">
        <v>2603</v>
      </c>
      <c r="E14" s="23" t="s">
        <v>44</v>
      </c>
      <c r="F14" s="23" t="s">
        <v>2604</v>
      </c>
      <c r="G14" s="23">
        <v>620182540</v>
      </c>
      <c r="H14" s="23" t="s">
        <v>44</v>
      </c>
      <c r="I14" s="2" t="s">
        <v>1049</v>
      </c>
      <c r="J14" s="23" t="s">
        <v>590</v>
      </c>
      <c r="K14" s="21" t="s">
        <v>31</v>
      </c>
      <c r="L14" s="23"/>
      <c r="M14" s="23"/>
      <c r="N14" s="21" t="s">
        <v>31</v>
      </c>
      <c r="O14" s="23" t="s">
        <v>159</v>
      </c>
      <c r="P14" t="s">
        <v>2605</v>
      </c>
      <c r="Q14" s="21" t="s">
        <v>35</v>
      </c>
      <c r="R14" s="23" t="s">
        <v>336</v>
      </c>
      <c r="S14" s="23"/>
      <c r="T14" s="23" t="s">
        <v>2606</v>
      </c>
      <c r="U14" s="156">
        <v>3.681</v>
      </c>
      <c r="V14" s="156">
        <v>223.00899999999999</v>
      </c>
      <c r="W14" s="156">
        <v>820.89400000000001</v>
      </c>
      <c r="X14" s="23"/>
      <c r="Y14" s="173">
        <v>3.8584434272487399E-3</v>
      </c>
      <c r="Z14" s="173">
        <v>7.48855522063059E-4</v>
      </c>
    </row>
    <row r="15" spans="1:27">
      <c r="A15" s="23" t="s">
        <v>26</v>
      </c>
      <c r="B15" s="23">
        <v>9935</v>
      </c>
      <c r="C15" s="23" t="s">
        <v>2607</v>
      </c>
      <c r="E15" s="23" t="s">
        <v>336</v>
      </c>
      <c r="F15" s="23" t="s">
        <v>2607</v>
      </c>
      <c r="G15" s="23">
        <v>50007822</v>
      </c>
      <c r="H15" s="23" t="s">
        <v>44</v>
      </c>
      <c r="I15" s="2" t="s">
        <v>1049</v>
      </c>
      <c r="J15" s="23" t="s">
        <v>590</v>
      </c>
      <c r="K15" s="21" t="s">
        <v>31</v>
      </c>
      <c r="L15" s="23"/>
      <c r="M15" s="23"/>
      <c r="N15" s="21"/>
      <c r="O15" s="23" t="s">
        <v>159</v>
      </c>
      <c r="P15" t="s">
        <v>2608</v>
      </c>
      <c r="Q15" s="21" t="s">
        <v>45</v>
      </c>
      <c r="R15" s="23" t="s">
        <v>336</v>
      </c>
      <c r="S15" s="23"/>
      <c r="T15" s="23" t="s">
        <v>168</v>
      </c>
      <c r="U15" s="156">
        <v>1</v>
      </c>
      <c r="V15" s="156">
        <v>3500</v>
      </c>
      <c r="W15" s="156">
        <v>3500</v>
      </c>
      <c r="X15" s="23"/>
      <c r="Y15" s="173">
        <v>1.64510207425572E-2</v>
      </c>
      <c r="Z15" s="173">
        <v>3.1928517182956999E-3</v>
      </c>
    </row>
    <row r="16" spans="1:27">
      <c r="A16" s="23" t="s">
        <v>26</v>
      </c>
      <c r="B16" s="23">
        <v>9935</v>
      </c>
      <c r="C16" s="23" t="s">
        <v>2609</v>
      </c>
      <c r="D16" s="2" t="s">
        <v>2610</v>
      </c>
      <c r="E16" s="23" t="s">
        <v>44</v>
      </c>
      <c r="F16" s="23" t="s">
        <v>2611</v>
      </c>
      <c r="G16" s="23">
        <v>620201580</v>
      </c>
      <c r="H16" s="23" t="s">
        <v>44</v>
      </c>
      <c r="I16" s="2" t="s">
        <v>1049</v>
      </c>
      <c r="J16" s="23" t="s">
        <v>590</v>
      </c>
      <c r="K16" s="21" t="s">
        <v>31</v>
      </c>
      <c r="L16" s="23"/>
      <c r="M16" s="23"/>
      <c r="N16" s="21" t="s">
        <v>31</v>
      </c>
      <c r="O16" s="23" t="s">
        <v>159</v>
      </c>
      <c r="P16" t="s">
        <v>2605</v>
      </c>
      <c r="Q16" s="21" t="s">
        <v>45</v>
      </c>
      <c r="R16" s="23" t="s">
        <v>336</v>
      </c>
      <c r="S16" s="23"/>
      <c r="T16" s="23" t="s">
        <v>2612</v>
      </c>
      <c r="U16" s="156">
        <v>1</v>
      </c>
      <c r="V16" s="156">
        <v>1450.597</v>
      </c>
      <c r="W16" s="156">
        <v>1450.597</v>
      </c>
      <c r="X16" s="23"/>
      <c r="Y16" s="173">
        <v>6.8182296674722401E-3</v>
      </c>
      <c r="Z16" s="173">
        <v>1.32329760263493E-3</v>
      </c>
    </row>
    <row r="17" spans="1:26">
      <c r="A17" s="23" t="s">
        <v>26</v>
      </c>
      <c r="B17" s="23">
        <v>9935</v>
      </c>
      <c r="C17" s="23" t="s">
        <v>2613</v>
      </c>
      <c r="D17" s="2" t="s">
        <v>2614</v>
      </c>
      <c r="E17" s="23" t="s">
        <v>44</v>
      </c>
      <c r="F17" s="23" t="s">
        <v>2615</v>
      </c>
      <c r="G17" s="23">
        <v>50007889</v>
      </c>
      <c r="H17" s="23" t="s">
        <v>44</v>
      </c>
      <c r="I17" s="2" t="s">
        <v>1049</v>
      </c>
      <c r="J17" s="23" t="s">
        <v>590</v>
      </c>
      <c r="K17" s="21" t="s">
        <v>31</v>
      </c>
      <c r="L17" s="23"/>
      <c r="M17" s="23"/>
      <c r="N17" s="21" t="s">
        <v>31</v>
      </c>
      <c r="O17" s="23" t="s">
        <v>159</v>
      </c>
      <c r="P17" t="s">
        <v>2616</v>
      </c>
      <c r="Q17" s="21" t="s">
        <v>45</v>
      </c>
      <c r="R17" s="23" t="s">
        <v>336</v>
      </c>
      <c r="S17" s="23"/>
      <c r="T17" s="23" t="s">
        <v>2591</v>
      </c>
      <c r="U17" s="156">
        <v>1</v>
      </c>
      <c r="V17" s="156">
        <v>4947.866</v>
      </c>
      <c r="W17" s="156">
        <v>4947.866</v>
      </c>
      <c r="X17" s="23"/>
      <c r="Y17" s="173">
        <v>2.3256412399641699E-2</v>
      </c>
      <c r="Z17" s="173">
        <v>4.5136576905225496E-3</v>
      </c>
    </row>
    <row r="18" spans="1:26">
      <c r="A18" s="23" t="s">
        <v>26</v>
      </c>
      <c r="B18" s="23">
        <v>9935</v>
      </c>
      <c r="C18" s="23" t="s">
        <v>2617</v>
      </c>
      <c r="D18" s="2" t="s">
        <v>2618</v>
      </c>
      <c r="E18" s="23" t="s">
        <v>44</v>
      </c>
      <c r="F18" s="23" t="s">
        <v>2619</v>
      </c>
      <c r="G18" s="23">
        <v>62020771</v>
      </c>
      <c r="H18" s="23" t="s">
        <v>44</v>
      </c>
      <c r="I18" s="2" t="s">
        <v>1049</v>
      </c>
      <c r="J18" s="23" t="s">
        <v>590</v>
      </c>
      <c r="K18" s="21" t="s">
        <v>124</v>
      </c>
      <c r="L18" s="23"/>
      <c r="M18" s="23"/>
      <c r="N18" s="21" t="s">
        <v>125</v>
      </c>
      <c r="O18" s="23" t="s">
        <v>159</v>
      </c>
      <c r="P18" t="s">
        <v>2620</v>
      </c>
      <c r="Q18" s="21" t="s">
        <v>35</v>
      </c>
      <c r="R18" s="23" t="s">
        <v>336</v>
      </c>
      <c r="S18" s="23"/>
      <c r="T18" s="23" t="s">
        <v>2621</v>
      </c>
      <c r="U18" s="156">
        <v>3.681</v>
      </c>
      <c r="V18" s="156">
        <v>670.15800000000002</v>
      </c>
      <c r="W18" s="156">
        <v>2466.8530000000001</v>
      </c>
      <c r="X18" s="23"/>
      <c r="Y18" s="173">
        <v>1.1594928932346101E-2</v>
      </c>
      <c r="Z18" s="173">
        <v>2.25037031710673E-3</v>
      </c>
    </row>
    <row r="19" spans="1:26">
      <c r="A19" s="23" t="s">
        <v>26</v>
      </c>
      <c r="B19" s="23">
        <v>9935</v>
      </c>
      <c r="C19" s="23" t="s">
        <v>2622</v>
      </c>
      <c r="D19" s="2" t="s">
        <v>2623</v>
      </c>
      <c r="E19" s="23" t="s">
        <v>334</v>
      </c>
      <c r="F19" s="23" t="s">
        <v>2624</v>
      </c>
      <c r="G19" s="23">
        <v>620180311</v>
      </c>
      <c r="H19" s="23" t="s">
        <v>44</v>
      </c>
      <c r="I19" s="2" t="s">
        <v>1049</v>
      </c>
      <c r="J19" s="23" t="s">
        <v>590</v>
      </c>
      <c r="K19" s="21" t="s">
        <v>124</v>
      </c>
      <c r="L19" s="23"/>
      <c r="M19" s="23"/>
      <c r="N19" s="21" t="s">
        <v>125</v>
      </c>
      <c r="O19" s="23" t="s">
        <v>159</v>
      </c>
      <c r="P19" t="s">
        <v>2625</v>
      </c>
      <c r="Q19" s="21" t="s">
        <v>35</v>
      </c>
      <c r="R19" s="23" t="s">
        <v>336</v>
      </c>
      <c r="S19" s="23"/>
      <c r="T19" s="23" t="s">
        <v>168</v>
      </c>
      <c r="U19" s="156">
        <v>3.681</v>
      </c>
      <c r="V19" s="156">
        <v>1114.5060000000001</v>
      </c>
      <c r="W19" s="156">
        <v>4102.4960000000001</v>
      </c>
      <c r="X19" s="23"/>
      <c r="Y19" s="173">
        <v>1.9282926553082402E-2</v>
      </c>
      <c r="Z19" s="173">
        <v>3.7424744726939599E-3</v>
      </c>
    </row>
    <row r="20" spans="1:26">
      <c r="A20" s="2" t="s">
        <v>26</v>
      </c>
      <c r="B20" s="2">
        <v>9935</v>
      </c>
      <c r="C20" s="2" t="s">
        <v>2626</v>
      </c>
      <c r="E20" s="23" t="s">
        <v>336</v>
      </c>
      <c r="F20" s="2" t="s">
        <v>2627</v>
      </c>
      <c r="G20" s="2">
        <v>62020599</v>
      </c>
      <c r="H20" s="23" t="s">
        <v>44</v>
      </c>
      <c r="I20" s="2" t="s">
        <v>1049</v>
      </c>
      <c r="J20" s="23" t="s">
        <v>590</v>
      </c>
      <c r="K20" s="21" t="s">
        <v>124</v>
      </c>
      <c r="L20" s="23"/>
      <c r="M20" s="23"/>
      <c r="N20" s="21" t="s">
        <v>125</v>
      </c>
      <c r="O20" s="23" t="s">
        <v>159</v>
      </c>
      <c r="P20" t="s">
        <v>2628</v>
      </c>
      <c r="Q20" s="2" t="s">
        <v>35</v>
      </c>
      <c r="R20" s="23" t="s">
        <v>336</v>
      </c>
      <c r="S20" s="23"/>
      <c r="T20" s="2" t="s">
        <v>168</v>
      </c>
      <c r="U20" s="153">
        <v>3.681</v>
      </c>
      <c r="V20" s="153">
        <v>1161.0530000000001</v>
      </c>
      <c r="W20" s="153">
        <v>4273.8339999999998</v>
      </c>
      <c r="Y20" s="167">
        <v>2.0088268395018798E-2</v>
      </c>
      <c r="Z20" s="167">
        <v>3.8987770586599601E-3</v>
      </c>
    </row>
    <row r="21" spans="1:26">
      <c r="A21" s="2" t="s">
        <v>26</v>
      </c>
      <c r="B21" s="2">
        <v>9935</v>
      </c>
      <c r="C21" s="2" t="s">
        <v>2629</v>
      </c>
      <c r="D21" s="2" t="s">
        <v>2630</v>
      </c>
      <c r="E21" s="2" t="s">
        <v>44</v>
      </c>
      <c r="F21" s="2" t="s">
        <v>2631</v>
      </c>
      <c r="G21" s="2">
        <v>62018577</v>
      </c>
      <c r="H21" s="2" t="s">
        <v>44</v>
      </c>
      <c r="I21" s="2" t="s">
        <v>1049</v>
      </c>
      <c r="J21" s="2" t="s">
        <v>590</v>
      </c>
      <c r="K21" s="2" t="s">
        <v>124</v>
      </c>
      <c r="N21" s="2" t="s">
        <v>125</v>
      </c>
      <c r="O21" s="2" t="s">
        <v>159</v>
      </c>
      <c r="P21" t="s">
        <v>2632</v>
      </c>
      <c r="Q21" s="2" t="s">
        <v>35</v>
      </c>
      <c r="R21" s="2" t="s">
        <v>336</v>
      </c>
      <c r="T21" s="2" t="s">
        <v>2633</v>
      </c>
      <c r="U21" s="153">
        <v>3.681</v>
      </c>
      <c r="V21" s="153">
        <v>562.51499999999999</v>
      </c>
      <c r="W21" s="153">
        <v>2070.6179999999999</v>
      </c>
      <c r="Y21" s="167">
        <v>9.7325077857797603E-3</v>
      </c>
      <c r="Z21" s="167">
        <v>1.8889073628584399E-3</v>
      </c>
    </row>
    <row r="22" spans="1:26">
      <c r="A22" s="2" t="s">
        <v>26</v>
      </c>
      <c r="B22" s="2">
        <v>9935</v>
      </c>
      <c r="C22" s="2" t="s">
        <v>2617</v>
      </c>
      <c r="D22" s="2" t="s">
        <v>2618</v>
      </c>
      <c r="E22" s="2" t="s">
        <v>44</v>
      </c>
      <c r="F22" s="2" t="s">
        <v>2634</v>
      </c>
      <c r="G22" s="2">
        <v>62020649</v>
      </c>
      <c r="H22" s="2" t="s">
        <v>44</v>
      </c>
      <c r="I22" s="2" t="s">
        <v>1049</v>
      </c>
      <c r="J22" s="2" t="s">
        <v>590</v>
      </c>
      <c r="K22" s="2" t="s">
        <v>124</v>
      </c>
      <c r="N22" s="2" t="s">
        <v>125</v>
      </c>
      <c r="O22" s="2" t="s">
        <v>159</v>
      </c>
      <c r="P22" t="s">
        <v>2635</v>
      </c>
      <c r="Q22" s="2" t="s">
        <v>35</v>
      </c>
      <c r="R22" s="2" t="s">
        <v>336</v>
      </c>
      <c r="T22" s="2" t="s">
        <v>2636</v>
      </c>
      <c r="U22" s="153">
        <v>3.681</v>
      </c>
      <c r="V22" s="153">
        <v>1034.954</v>
      </c>
      <c r="W22" s="153">
        <v>3809.6669999999999</v>
      </c>
      <c r="Y22" s="167">
        <v>1.7906546319858E-2</v>
      </c>
      <c r="Z22" s="167">
        <v>3.4753434501604598E-3</v>
      </c>
    </row>
    <row r="23" spans="1:26">
      <c r="A23" s="2" t="s">
        <v>26</v>
      </c>
      <c r="B23" s="2">
        <v>9935</v>
      </c>
      <c r="C23" s="2" t="s">
        <v>2617</v>
      </c>
      <c r="D23" s="2" t="s">
        <v>2618</v>
      </c>
      <c r="E23" s="2" t="s">
        <v>44</v>
      </c>
      <c r="F23" s="2" t="s">
        <v>2637</v>
      </c>
      <c r="G23" s="2">
        <v>62019633</v>
      </c>
      <c r="H23" s="2" t="s">
        <v>44</v>
      </c>
      <c r="I23" s="2" t="s">
        <v>1049</v>
      </c>
      <c r="J23" s="2" t="s">
        <v>590</v>
      </c>
      <c r="K23" s="2" t="s">
        <v>124</v>
      </c>
      <c r="N23" s="2" t="s">
        <v>125</v>
      </c>
      <c r="O23" s="2" t="s">
        <v>159</v>
      </c>
      <c r="P23" t="s">
        <v>2638</v>
      </c>
      <c r="Q23" s="2" t="s">
        <v>35</v>
      </c>
      <c r="R23" s="2" t="s">
        <v>336</v>
      </c>
      <c r="T23" s="2" t="s">
        <v>2639</v>
      </c>
      <c r="U23" s="153">
        <v>3.681</v>
      </c>
      <c r="V23" s="153">
        <v>890.02800000000002</v>
      </c>
      <c r="W23" s="153">
        <v>3276.1930000000002</v>
      </c>
      <c r="Y23" s="167">
        <v>1.539906289094E-2</v>
      </c>
      <c r="Z23" s="167">
        <v>2.9886853333234999E-3</v>
      </c>
    </row>
    <row r="24" spans="1:26">
      <c r="A24" s="2" t="s">
        <v>26</v>
      </c>
      <c r="B24" s="2">
        <v>9935</v>
      </c>
      <c r="C24" s="2" t="s">
        <v>2640</v>
      </c>
      <c r="D24" s="2" t="s">
        <v>2641</v>
      </c>
      <c r="E24" s="2" t="s">
        <v>333</v>
      </c>
      <c r="F24" s="2" t="s">
        <v>2642</v>
      </c>
      <c r="G24" s="2">
        <v>62021399</v>
      </c>
      <c r="H24" s="2" t="s">
        <v>44</v>
      </c>
      <c r="I24" s="2" t="s">
        <v>1049</v>
      </c>
      <c r="J24" s="2" t="s">
        <v>590</v>
      </c>
      <c r="K24" s="2" t="s">
        <v>124</v>
      </c>
      <c r="N24" s="2" t="s">
        <v>125</v>
      </c>
      <c r="O24" s="2" t="s">
        <v>159</v>
      </c>
      <c r="P24" t="s">
        <v>2643</v>
      </c>
      <c r="Q24" s="2" t="s">
        <v>35</v>
      </c>
      <c r="R24" s="2" t="s">
        <v>336</v>
      </c>
      <c r="T24" s="2" t="s">
        <v>168</v>
      </c>
      <c r="U24" s="153">
        <v>3.681</v>
      </c>
      <c r="V24" s="153">
        <v>114.696</v>
      </c>
      <c r="W24" s="153">
        <v>422.19600000000003</v>
      </c>
      <c r="Y24" s="167">
        <v>1.9844442167429102E-3</v>
      </c>
      <c r="Z24" s="167">
        <v>3.8514547069403701E-4</v>
      </c>
    </row>
    <row r="25" spans="1:26">
      <c r="A25" s="2" t="s">
        <v>26</v>
      </c>
      <c r="B25" s="2">
        <v>9935</v>
      </c>
      <c r="C25" s="2" t="s">
        <v>2644</v>
      </c>
      <c r="D25" s="2" t="s">
        <v>2645</v>
      </c>
      <c r="E25" s="2" t="s">
        <v>44</v>
      </c>
      <c r="F25" s="2" t="s">
        <v>2646</v>
      </c>
      <c r="G25" s="2">
        <v>60399003</v>
      </c>
      <c r="H25" s="2" t="s">
        <v>44</v>
      </c>
      <c r="I25" s="2" t="s">
        <v>1049</v>
      </c>
      <c r="J25" s="2" t="s">
        <v>590</v>
      </c>
      <c r="K25" s="2" t="s">
        <v>124</v>
      </c>
      <c r="N25" s="2" t="s">
        <v>125</v>
      </c>
      <c r="O25" s="2" t="s">
        <v>159</v>
      </c>
      <c r="P25" t="s">
        <v>2647</v>
      </c>
      <c r="Q25" s="2" t="s">
        <v>35</v>
      </c>
      <c r="R25" s="11" t="s">
        <v>336</v>
      </c>
      <c r="T25" s="2" t="s">
        <v>2648</v>
      </c>
      <c r="U25" s="153">
        <v>3.681</v>
      </c>
      <c r="V25" s="153">
        <v>302.95100000000002</v>
      </c>
      <c r="W25" s="153">
        <v>1115.163</v>
      </c>
      <c r="Y25" s="167">
        <v>5.2415932570600999E-3</v>
      </c>
      <c r="Z25" s="167">
        <v>1.0173004033797201E-3</v>
      </c>
    </row>
    <row r="26" spans="1:26">
      <c r="A26" s="2" t="s">
        <v>26</v>
      </c>
      <c r="B26" s="2">
        <v>9935</v>
      </c>
      <c r="C26" s="2" t="s">
        <v>2644</v>
      </c>
      <c r="D26" s="2" t="s">
        <v>2645</v>
      </c>
      <c r="E26" s="2" t="s">
        <v>44</v>
      </c>
      <c r="F26" s="2" t="s">
        <v>2649</v>
      </c>
      <c r="G26" s="2">
        <v>62006697</v>
      </c>
      <c r="H26" s="2" t="s">
        <v>44</v>
      </c>
      <c r="I26" s="2" t="s">
        <v>1049</v>
      </c>
      <c r="J26" s="2" t="s">
        <v>590</v>
      </c>
      <c r="K26" s="2" t="s">
        <v>124</v>
      </c>
      <c r="N26" s="2" t="s">
        <v>125</v>
      </c>
      <c r="O26" s="2" t="s">
        <v>159</v>
      </c>
      <c r="P26" t="s">
        <v>2650</v>
      </c>
      <c r="Q26" s="2" t="s">
        <v>35</v>
      </c>
      <c r="R26" s="11" t="s">
        <v>336</v>
      </c>
      <c r="T26" s="2" t="s">
        <v>2651</v>
      </c>
      <c r="U26" s="153">
        <v>3.681</v>
      </c>
      <c r="V26" s="153">
        <v>275.97000000000003</v>
      </c>
      <c r="W26" s="153">
        <v>1015.846</v>
      </c>
      <c r="Y26" s="167">
        <v>4.7747702975197599E-3</v>
      </c>
      <c r="Z26" s="167">
        <v>9.2669833607744105E-4</v>
      </c>
    </row>
    <row r="27" spans="1:26">
      <c r="A27" s="2" t="s">
        <v>26</v>
      </c>
      <c r="B27" s="2">
        <v>9935</v>
      </c>
      <c r="C27" s="2" t="s">
        <v>2652</v>
      </c>
      <c r="D27" s="2" t="s">
        <v>2653</v>
      </c>
      <c r="E27" s="2" t="s">
        <v>44</v>
      </c>
      <c r="F27" s="2" t="s">
        <v>2654</v>
      </c>
      <c r="G27" s="2">
        <v>62016845</v>
      </c>
      <c r="H27" s="2" t="s">
        <v>44</v>
      </c>
      <c r="I27" s="2" t="s">
        <v>1049</v>
      </c>
      <c r="J27" s="2" t="s">
        <v>590</v>
      </c>
      <c r="K27" s="2" t="s">
        <v>124</v>
      </c>
      <c r="N27" s="2" t="s">
        <v>125</v>
      </c>
      <c r="O27" s="2" t="s">
        <v>159</v>
      </c>
      <c r="P27" t="s">
        <v>2655</v>
      </c>
      <c r="Q27" s="2" t="s">
        <v>35</v>
      </c>
      <c r="R27" s="2" t="s">
        <v>336</v>
      </c>
      <c r="T27" s="2" t="s">
        <v>2591</v>
      </c>
      <c r="U27" s="153">
        <v>3.681</v>
      </c>
      <c r="V27" s="153">
        <v>1887.1559999999999</v>
      </c>
      <c r="W27" s="153">
        <v>6946.6210000000001</v>
      </c>
      <c r="Y27" s="167">
        <v>3.2651145726892601E-2</v>
      </c>
      <c r="Z27" s="167">
        <v>6.3370090142034199E-3</v>
      </c>
    </row>
    <row r="28" spans="1:26">
      <c r="A28" s="2" t="s">
        <v>26</v>
      </c>
      <c r="B28" s="2">
        <v>9935</v>
      </c>
      <c r="C28" s="2" t="s">
        <v>2656</v>
      </c>
      <c r="D28" s="2" t="s">
        <v>2657</v>
      </c>
      <c r="E28" s="2" t="s">
        <v>334</v>
      </c>
      <c r="F28" s="2" t="s">
        <v>2658</v>
      </c>
      <c r="G28" s="2">
        <v>62002044</v>
      </c>
      <c r="H28" s="2" t="s">
        <v>44</v>
      </c>
      <c r="I28" s="2" t="s">
        <v>1049</v>
      </c>
      <c r="J28" s="2" t="s">
        <v>590</v>
      </c>
      <c r="K28" s="2" t="s">
        <v>124</v>
      </c>
      <c r="N28" s="2" t="s">
        <v>125</v>
      </c>
      <c r="O28" s="2" t="s">
        <v>159</v>
      </c>
      <c r="P28" t="s">
        <v>2659</v>
      </c>
      <c r="Q28" s="2" t="s">
        <v>35</v>
      </c>
      <c r="R28" s="2" t="s">
        <v>336</v>
      </c>
      <c r="T28" s="2" t="s">
        <v>2660</v>
      </c>
      <c r="U28" s="153">
        <v>3.681</v>
      </c>
      <c r="V28" s="153">
        <v>440.54599999999999</v>
      </c>
      <c r="W28" s="153">
        <v>1621.6479999999999</v>
      </c>
      <c r="Y28" s="167">
        <v>7.62221847045331E-3</v>
      </c>
      <c r="Z28" s="167">
        <v>1.4793375877069799E-3</v>
      </c>
    </row>
    <row r="29" spans="1:26">
      <c r="A29" s="2" t="s">
        <v>26</v>
      </c>
      <c r="B29" s="2">
        <v>9935</v>
      </c>
      <c r="C29" s="2" t="s">
        <v>2661</v>
      </c>
      <c r="D29" s="2" t="s">
        <v>2662</v>
      </c>
      <c r="E29" s="2" t="s">
        <v>44</v>
      </c>
      <c r="F29" s="2" t="s">
        <v>2663</v>
      </c>
      <c r="G29" s="2">
        <v>62013818</v>
      </c>
      <c r="H29" s="2" t="s">
        <v>44</v>
      </c>
      <c r="I29" s="2" t="s">
        <v>1049</v>
      </c>
      <c r="J29" s="2" t="s">
        <v>590</v>
      </c>
      <c r="K29" s="2" t="s">
        <v>124</v>
      </c>
      <c r="N29" s="2" t="s">
        <v>125</v>
      </c>
      <c r="O29" s="2" t="s">
        <v>159</v>
      </c>
      <c r="P29" t="s">
        <v>2664</v>
      </c>
      <c r="Q29" s="2" t="s">
        <v>35</v>
      </c>
      <c r="R29" s="2" t="s">
        <v>336</v>
      </c>
      <c r="T29" s="2" t="s">
        <v>2665</v>
      </c>
      <c r="U29" s="153">
        <v>3.681</v>
      </c>
      <c r="V29" s="153">
        <v>104.825</v>
      </c>
      <c r="W29" s="153">
        <v>385.86</v>
      </c>
      <c r="Y29" s="167">
        <v>1.8136524293004799E-3</v>
      </c>
      <c r="Z29" s="167">
        <v>3.51997810099599E-4</v>
      </c>
    </row>
    <row r="30" spans="1:26">
      <c r="A30" s="2" t="s">
        <v>26</v>
      </c>
      <c r="B30" s="2">
        <v>9935</v>
      </c>
      <c r="C30" s="2" t="s">
        <v>2661</v>
      </c>
      <c r="D30" s="2" t="s">
        <v>2666</v>
      </c>
      <c r="E30" s="2" t="s">
        <v>335</v>
      </c>
      <c r="F30" s="2" t="s">
        <v>2667</v>
      </c>
      <c r="G30" s="2">
        <v>62017611</v>
      </c>
      <c r="H30" s="2" t="s">
        <v>44</v>
      </c>
      <c r="I30" s="2" t="s">
        <v>1049</v>
      </c>
      <c r="J30" s="2" t="s">
        <v>590</v>
      </c>
      <c r="K30" s="2" t="s">
        <v>124</v>
      </c>
      <c r="N30" s="2" t="s">
        <v>319</v>
      </c>
      <c r="O30" s="2" t="s">
        <v>159</v>
      </c>
      <c r="P30" t="s">
        <v>2668</v>
      </c>
      <c r="Q30" s="2" t="s">
        <v>1206</v>
      </c>
      <c r="R30" s="2" t="s">
        <v>336</v>
      </c>
      <c r="T30" s="2" t="s">
        <v>2639</v>
      </c>
      <c r="U30" s="153">
        <v>3.9790000000000001</v>
      </c>
      <c r="V30" s="153">
        <v>830.47400000000005</v>
      </c>
      <c r="W30" s="153">
        <v>3304.5369999999998</v>
      </c>
      <c r="Y30" s="167">
        <v>1.55322891327509E-2</v>
      </c>
      <c r="Z30" s="167">
        <v>3.01454218693427E-3</v>
      </c>
    </row>
    <row r="31" spans="1:26">
      <c r="A31" s="2" t="s">
        <v>26</v>
      </c>
      <c r="B31" s="2">
        <v>9935</v>
      </c>
      <c r="C31" s="2" t="s">
        <v>2669</v>
      </c>
      <c r="D31" s="2" t="s">
        <v>2670</v>
      </c>
      <c r="E31" s="2" t="s">
        <v>1345</v>
      </c>
      <c r="F31" s="2" t="s">
        <v>2671</v>
      </c>
      <c r="G31" s="2">
        <v>62010558</v>
      </c>
      <c r="H31" s="2" t="s">
        <v>44</v>
      </c>
      <c r="I31" s="2" t="s">
        <v>1049</v>
      </c>
      <c r="J31" s="2" t="s">
        <v>590</v>
      </c>
      <c r="K31" s="2" t="s">
        <v>124</v>
      </c>
      <c r="N31" s="2" t="s">
        <v>125</v>
      </c>
      <c r="O31" s="2" t="s">
        <v>159</v>
      </c>
      <c r="P31" t="s">
        <v>2672</v>
      </c>
      <c r="Q31" s="2" t="s">
        <v>35</v>
      </c>
      <c r="R31" s="2" t="s">
        <v>336</v>
      </c>
      <c r="T31" s="2" t="s">
        <v>168</v>
      </c>
      <c r="U31" s="153">
        <v>3.681</v>
      </c>
      <c r="V31" s="153">
        <v>1439.91</v>
      </c>
      <c r="W31" s="153">
        <v>5300.3090000000002</v>
      </c>
      <c r="Y31" s="167">
        <v>2.4912996722904701E-2</v>
      </c>
      <c r="Z31" s="167">
        <v>4.8351713634917602E-3</v>
      </c>
    </row>
    <row r="32" spans="1:26">
      <c r="A32" s="2" t="s">
        <v>26</v>
      </c>
      <c r="B32" s="2">
        <v>9935</v>
      </c>
      <c r="C32" s="2" t="s">
        <v>2673</v>
      </c>
      <c r="D32" s="2" t="s">
        <v>2674</v>
      </c>
      <c r="E32" s="2" t="s">
        <v>1345</v>
      </c>
      <c r="F32" s="2" t="s">
        <v>2673</v>
      </c>
      <c r="G32" s="2">
        <v>62018890</v>
      </c>
      <c r="H32" s="2" t="s">
        <v>44</v>
      </c>
      <c r="I32" s="2" t="s">
        <v>1049</v>
      </c>
      <c r="J32" s="2" t="s">
        <v>861</v>
      </c>
      <c r="K32" s="2" t="s">
        <v>31</v>
      </c>
      <c r="L32" s="2" t="s">
        <v>276</v>
      </c>
      <c r="M32" s="2" t="s">
        <v>276</v>
      </c>
      <c r="N32" s="2" t="s">
        <v>319</v>
      </c>
      <c r="O32" s="2" t="s">
        <v>159</v>
      </c>
      <c r="P32" t="s">
        <v>2675</v>
      </c>
      <c r="Q32" s="2" t="s">
        <v>1206</v>
      </c>
      <c r="R32" s="2" t="s">
        <v>915</v>
      </c>
      <c r="T32" s="2" t="s">
        <v>2676</v>
      </c>
      <c r="U32" s="153">
        <v>3.9790000000000001</v>
      </c>
      <c r="V32" s="153">
        <v>1242.374</v>
      </c>
      <c r="W32" s="153">
        <v>4943.5320000000002</v>
      </c>
      <c r="Y32" s="167">
        <v>2.3236040252625399E-2</v>
      </c>
      <c r="Z32" s="167">
        <v>4.5097038176520401E-3</v>
      </c>
    </row>
    <row r="33" spans="1:26">
      <c r="A33" s="2" t="s">
        <v>26</v>
      </c>
      <c r="B33" s="2">
        <v>9935</v>
      </c>
      <c r="C33" s="2" t="s">
        <v>2677</v>
      </c>
      <c r="D33" s="2" t="s">
        <v>2678</v>
      </c>
      <c r="E33" s="2" t="s">
        <v>335</v>
      </c>
      <c r="F33" s="2" t="s">
        <v>2679</v>
      </c>
      <c r="G33" s="2">
        <v>62019294</v>
      </c>
      <c r="H33" s="2" t="s">
        <v>44</v>
      </c>
      <c r="I33" s="2" t="s">
        <v>1049</v>
      </c>
      <c r="J33" s="2" t="s">
        <v>590</v>
      </c>
      <c r="K33" s="2" t="s">
        <v>124</v>
      </c>
      <c r="N33" s="2" t="s">
        <v>316</v>
      </c>
      <c r="O33" s="2" t="s">
        <v>159</v>
      </c>
      <c r="P33" t="s">
        <v>2680</v>
      </c>
      <c r="Q33" s="2" t="s">
        <v>1206</v>
      </c>
      <c r="R33" s="2" t="s">
        <v>336</v>
      </c>
      <c r="T33" s="2" t="s">
        <v>2648</v>
      </c>
      <c r="U33" s="153">
        <v>3.9790000000000001</v>
      </c>
      <c r="V33" s="153">
        <v>614.35199999999998</v>
      </c>
      <c r="W33" s="153">
        <v>2444.5700000000002</v>
      </c>
      <c r="Y33" s="167">
        <v>1.14901909505459E-2</v>
      </c>
      <c r="Z33" s="167">
        <v>2.2300425301325999E-3</v>
      </c>
    </row>
    <row r="34" spans="1:26">
      <c r="A34" s="2" t="s">
        <v>26</v>
      </c>
      <c r="B34" s="2">
        <v>9935</v>
      </c>
      <c r="C34" s="2" t="s">
        <v>2640</v>
      </c>
      <c r="D34" s="2" t="s">
        <v>2641</v>
      </c>
      <c r="E34" s="2" t="s">
        <v>333</v>
      </c>
      <c r="F34" s="2" t="s">
        <v>2681</v>
      </c>
      <c r="G34" s="2">
        <v>620160840</v>
      </c>
      <c r="H34" s="2" t="s">
        <v>44</v>
      </c>
      <c r="I34" s="2" t="s">
        <v>1049</v>
      </c>
      <c r="J34" s="2" t="s">
        <v>590</v>
      </c>
      <c r="K34" s="2" t="s">
        <v>124</v>
      </c>
      <c r="N34" s="2" t="s">
        <v>31</v>
      </c>
      <c r="O34" s="2" t="s">
        <v>159</v>
      </c>
      <c r="P34" t="s">
        <v>2682</v>
      </c>
      <c r="Q34" s="2" t="s">
        <v>35</v>
      </c>
      <c r="R34" s="2" t="s">
        <v>336</v>
      </c>
      <c r="T34" s="2" t="s">
        <v>168</v>
      </c>
      <c r="U34" s="153">
        <v>3.681</v>
      </c>
      <c r="V34" s="153">
        <v>1647.4670000000001</v>
      </c>
      <c r="W34" s="153">
        <v>6064.3270000000002</v>
      </c>
      <c r="Y34" s="167">
        <v>2.8504104495538599E-2</v>
      </c>
      <c r="Z34" s="167">
        <v>5.5321417704877196E-3</v>
      </c>
    </row>
    <row r="35" spans="1:26">
      <c r="A35" s="2" t="s">
        <v>26</v>
      </c>
      <c r="B35" s="2">
        <v>9935</v>
      </c>
      <c r="C35" s="2" t="s">
        <v>2622</v>
      </c>
      <c r="D35" s="2" t="s">
        <v>2623</v>
      </c>
      <c r="E35" s="2" t="s">
        <v>334</v>
      </c>
      <c r="F35" s="2" t="s">
        <v>2683</v>
      </c>
      <c r="G35" s="2">
        <v>620127781</v>
      </c>
      <c r="H35" s="2" t="s">
        <v>44</v>
      </c>
      <c r="I35" s="2" t="s">
        <v>1049</v>
      </c>
      <c r="J35" s="2" t="s">
        <v>590</v>
      </c>
      <c r="K35" s="2" t="s">
        <v>124</v>
      </c>
      <c r="N35" s="2" t="s">
        <v>125</v>
      </c>
      <c r="O35" s="2" t="s">
        <v>159</v>
      </c>
      <c r="P35" t="s">
        <v>2586</v>
      </c>
      <c r="Q35" s="2" t="s">
        <v>35</v>
      </c>
      <c r="R35" s="2" t="s">
        <v>336</v>
      </c>
      <c r="T35" s="2" t="s">
        <v>2591</v>
      </c>
      <c r="U35" s="153">
        <v>3.681</v>
      </c>
      <c r="V35" s="153">
        <v>2253.2820000000002</v>
      </c>
      <c r="W35" s="153">
        <v>8294.3320000000003</v>
      </c>
      <c r="Y35" s="167">
        <v>3.8985779848190197E-2</v>
      </c>
      <c r="Z35" s="167">
        <v>7.5664492875743101E-3</v>
      </c>
    </row>
    <row r="36" spans="1:26">
      <c r="A36" s="2" t="s">
        <v>26</v>
      </c>
      <c r="B36" s="2">
        <v>9935</v>
      </c>
      <c r="C36" s="2" t="s">
        <v>2684</v>
      </c>
      <c r="D36" s="2" t="s">
        <v>2685</v>
      </c>
      <c r="E36" s="2" t="s">
        <v>44</v>
      </c>
      <c r="F36" s="2" t="s">
        <v>2686</v>
      </c>
      <c r="G36" s="2">
        <v>62010103</v>
      </c>
      <c r="H36" s="2" t="s">
        <v>44</v>
      </c>
      <c r="I36" s="2" t="s">
        <v>1049</v>
      </c>
      <c r="J36" s="2" t="s">
        <v>590</v>
      </c>
      <c r="K36" s="2" t="s">
        <v>124</v>
      </c>
      <c r="N36" s="2" t="s">
        <v>31</v>
      </c>
      <c r="O36" s="2" t="s">
        <v>159</v>
      </c>
      <c r="P36" t="s">
        <v>2687</v>
      </c>
      <c r="Q36" s="2" t="s">
        <v>35</v>
      </c>
      <c r="R36" s="2" t="s">
        <v>336</v>
      </c>
      <c r="T36" s="2" t="s">
        <v>2688</v>
      </c>
      <c r="U36" s="153">
        <v>3.681</v>
      </c>
      <c r="V36" s="153">
        <v>2115.1039999999998</v>
      </c>
      <c r="W36" s="153">
        <v>7785.6989999999996</v>
      </c>
      <c r="Y36" s="167">
        <v>3.6595057320111202E-2</v>
      </c>
      <c r="Z36" s="167">
        <v>7.10245239332696E-3</v>
      </c>
    </row>
    <row r="37" spans="1:26">
      <c r="A37" s="2" t="s">
        <v>26</v>
      </c>
      <c r="B37" s="2">
        <v>9935</v>
      </c>
      <c r="C37" s="2" t="s">
        <v>2689</v>
      </c>
      <c r="D37" s="2" t="s">
        <v>2690</v>
      </c>
      <c r="E37" s="2" t="s">
        <v>334</v>
      </c>
      <c r="F37" s="2" t="s">
        <v>2691</v>
      </c>
      <c r="G37" s="2">
        <v>62015862</v>
      </c>
      <c r="H37" s="2" t="s">
        <v>44</v>
      </c>
      <c r="I37" s="2" t="s">
        <v>1049</v>
      </c>
      <c r="J37" s="2" t="s">
        <v>590</v>
      </c>
      <c r="K37" s="2" t="s">
        <v>124</v>
      </c>
      <c r="N37" s="2" t="s">
        <v>125</v>
      </c>
      <c r="O37" s="2" t="s">
        <v>159</v>
      </c>
      <c r="P37" t="s">
        <v>2692</v>
      </c>
      <c r="Q37" s="2" t="s">
        <v>35</v>
      </c>
      <c r="R37" s="2" t="s">
        <v>336</v>
      </c>
      <c r="T37" s="2" t="s">
        <v>2693</v>
      </c>
      <c r="U37" s="153">
        <v>3.681</v>
      </c>
      <c r="V37" s="153">
        <v>1025.9449999999999</v>
      </c>
      <c r="W37" s="153">
        <v>3776.5030000000002</v>
      </c>
      <c r="Y37" s="167">
        <v>1.7750663280574799E-2</v>
      </c>
      <c r="Z37" s="167">
        <v>3.4450893134952E-3</v>
      </c>
    </row>
    <row r="38" spans="1:26">
      <c r="A38" s="2" t="s">
        <v>26</v>
      </c>
      <c r="B38" s="2">
        <v>9935</v>
      </c>
      <c r="C38" s="2" t="s">
        <v>2694</v>
      </c>
      <c r="D38" s="2" t="s">
        <v>2558</v>
      </c>
      <c r="E38" s="2" t="s">
        <v>334</v>
      </c>
      <c r="F38" s="2" t="s">
        <v>2695</v>
      </c>
      <c r="G38" s="2">
        <v>50001015</v>
      </c>
      <c r="H38" s="2" t="s">
        <v>44</v>
      </c>
      <c r="I38" s="2" t="s">
        <v>1049</v>
      </c>
      <c r="J38" s="2" t="s">
        <v>590</v>
      </c>
      <c r="K38" s="2" t="s">
        <v>124</v>
      </c>
      <c r="N38" s="2" t="s">
        <v>31</v>
      </c>
      <c r="O38" s="2" t="s">
        <v>159</v>
      </c>
      <c r="P38" t="s">
        <v>2696</v>
      </c>
      <c r="Q38" s="2" t="s">
        <v>45</v>
      </c>
      <c r="R38" s="2" t="s">
        <v>336</v>
      </c>
      <c r="T38" s="2" t="s">
        <v>168</v>
      </c>
      <c r="U38" s="153">
        <v>1</v>
      </c>
      <c r="V38" s="153">
        <v>3449.741</v>
      </c>
      <c r="W38" s="153">
        <v>3449.741</v>
      </c>
      <c r="Y38" s="167">
        <v>1.62147906651024E-2</v>
      </c>
      <c r="Z38" s="167">
        <v>3.1470036447616601E-3</v>
      </c>
    </row>
    <row r="39" spans="1:26">
      <c r="A39" s="2" t="s">
        <v>26</v>
      </c>
      <c r="B39" s="2">
        <v>9935</v>
      </c>
      <c r="C39" s="2" t="s">
        <v>2697</v>
      </c>
      <c r="D39" s="2" t="s">
        <v>2698</v>
      </c>
      <c r="E39" s="2" t="s">
        <v>44</v>
      </c>
      <c r="F39" s="2" t="s">
        <v>2699</v>
      </c>
      <c r="G39" s="2">
        <v>62017819</v>
      </c>
      <c r="H39" s="2" t="s">
        <v>44</v>
      </c>
      <c r="I39" s="2" t="s">
        <v>1049</v>
      </c>
      <c r="J39" s="2" t="s">
        <v>590</v>
      </c>
      <c r="K39" s="2" t="s">
        <v>124</v>
      </c>
      <c r="N39" s="2" t="s">
        <v>125</v>
      </c>
      <c r="O39" s="2" t="s">
        <v>159</v>
      </c>
      <c r="P39" t="s">
        <v>2700</v>
      </c>
      <c r="Q39" s="2" t="s">
        <v>35</v>
      </c>
      <c r="R39" s="2" t="s">
        <v>336</v>
      </c>
      <c r="T39" s="2" t="s">
        <v>168</v>
      </c>
      <c r="U39" s="153">
        <v>3.681</v>
      </c>
      <c r="V39" s="153">
        <v>465.60899999999998</v>
      </c>
      <c r="W39" s="153">
        <v>1713.9079999999999</v>
      </c>
      <c r="Y39" s="167">
        <v>8.0558693183570406E-3</v>
      </c>
      <c r="Z39" s="167">
        <v>1.56350153574019E-3</v>
      </c>
    </row>
    <row r="40" spans="1:26">
      <c r="A40" s="2" t="s">
        <v>26</v>
      </c>
      <c r="B40" s="2">
        <v>9935</v>
      </c>
      <c r="C40" s="2" t="s">
        <v>2701</v>
      </c>
      <c r="D40" s="2" t="s">
        <v>2702</v>
      </c>
      <c r="E40" s="2" t="s">
        <v>44</v>
      </c>
      <c r="F40" s="2" t="s">
        <v>2703</v>
      </c>
      <c r="G40" s="2">
        <v>62009311</v>
      </c>
      <c r="H40" s="2" t="s">
        <v>44</v>
      </c>
      <c r="I40" s="2" t="s">
        <v>1049</v>
      </c>
      <c r="J40" s="2" t="s">
        <v>590</v>
      </c>
      <c r="K40" s="2" t="s">
        <v>124</v>
      </c>
      <c r="N40" s="2" t="s">
        <v>125</v>
      </c>
      <c r="O40" s="2" t="s">
        <v>159</v>
      </c>
      <c r="P40" t="s">
        <v>2704</v>
      </c>
      <c r="Q40" s="2" t="s">
        <v>35</v>
      </c>
      <c r="R40" s="2" t="s">
        <v>336</v>
      </c>
      <c r="T40" s="2" t="s">
        <v>168</v>
      </c>
      <c r="U40" s="153">
        <v>3.681</v>
      </c>
      <c r="V40" s="153">
        <v>3081.2040000000002</v>
      </c>
      <c r="W40" s="153">
        <v>11341.91</v>
      </c>
      <c r="Y40" s="167">
        <v>5.3310286637831897E-2</v>
      </c>
      <c r="Z40" s="167">
        <v>1.03465823159603E-2</v>
      </c>
    </row>
    <row r="41" spans="1:26">
      <c r="A41" s="2" t="s">
        <v>26</v>
      </c>
      <c r="B41" s="2">
        <v>9935</v>
      </c>
      <c r="C41" s="2" t="s">
        <v>2705</v>
      </c>
      <c r="D41" s="2" t="s">
        <v>2706</v>
      </c>
      <c r="E41" s="2" t="s">
        <v>1345</v>
      </c>
      <c r="F41" s="2" t="s">
        <v>2707</v>
      </c>
      <c r="G41" s="2">
        <v>62010434</v>
      </c>
      <c r="H41" s="2" t="s">
        <v>44</v>
      </c>
      <c r="I41" s="2" t="s">
        <v>1049</v>
      </c>
      <c r="J41" s="2" t="s">
        <v>590</v>
      </c>
      <c r="K41" s="2" t="s">
        <v>124</v>
      </c>
      <c r="N41" s="2" t="s">
        <v>125</v>
      </c>
      <c r="O41" s="2" t="s">
        <v>159</v>
      </c>
      <c r="P41" t="s">
        <v>2708</v>
      </c>
      <c r="Q41" s="2" t="s">
        <v>35</v>
      </c>
      <c r="R41" s="2" t="s">
        <v>336</v>
      </c>
      <c r="T41" s="2" t="s">
        <v>2709</v>
      </c>
      <c r="U41" s="153">
        <v>3.681</v>
      </c>
      <c r="V41" s="153">
        <v>990.4</v>
      </c>
      <c r="W41" s="153">
        <v>3645.663</v>
      </c>
      <c r="Y41" s="167">
        <v>1.7135681261633701E-2</v>
      </c>
      <c r="Z41" s="167">
        <v>3.32573219720286E-3</v>
      </c>
    </row>
    <row r="42" spans="1:26">
      <c r="A42" s="2" t="s">
        <v>26</v>
      </c>
      <c r="B42" s="2">
        <v>9935</v>
      </c>
      <c r="C42" s="2" t="s">
        <v>2710</v>
      </c>
      <c r="D42" s="2" t="s">
        <v>2711</v>
      </c>
      <c r="E42" s="2" t="s">
        <v>1345</v>
      </c>
      <c r="F42" s="2" t="s">
        <v>2712</v>
      </c>
      <c r="G42" s="2">
        <v>62017140</v>
      </c>
      <c r="H42" s="2" t="s">
        <v>44</v>
      </c>
      <c r="I42" s="2" t="s">
        <v>1049</v>
      </c>
      <c r="J42" s="2" t="s">
        <v>590</v>
      </c>
      <c r="K42" s="2" t="s">
        <v>124</v>
      </c>
      <c r="N42" s="2" t="s">
        <v>316</v>
      </c>
      <c r="O42" s="2" t="s">
        <v>159</v>
      </c>
      <c r="P42" t="s">
        <v>2713</v>
      </c>
      <c r="Q42" s="2" t="s">
        <v>1206</v>
      </c>
      <c r="R42" s="2" t="s">
        <v>336</v>
      </c>
      <c r="T42" s="2" t="s">
        <v>2665</v>
      </c>
      <c r="U42" s="153">
        <v>3.9790000000000001</v>
      </c>
      <c r="V42" s="153">
        <v>1000.775</v>
      </c>
      <c r="W42" s="153">
        <v>3982.1849999999999</v>
      </c>
      <c r="Y42" s="167">
        <v>1.8717428963853099E-2</v>
      </c>
      <c r="Z42" s="167">
        <v>3.63272140765816E-3</v>
      </c>
    </row>
    <row r="43" spans="1:26">
      <c r="A43" s="2" t="s">
        <v>26</v>
      </c>
      <c r="B43" s="2">
        <v>9935</v>
      </c>
      <c r="C43" s="2" t="s">
        <v>2714</v>
      </c>
      <c r="D43" s="2" t="s">
        <v>2715</v>
      </c>
      <c r="E43" s="2" t="s">
        <v>334</v>
      </c>
      <c r="F43" s="2" t="s">
        <v>2716</v>
      </c>
      <c r="G43" s="2">
        <v>620070831</v>
      </c>
      <c r="H43" s="2" t="s">
        <v>44</v>
      </c>
      <c r="I43" s="2" t="s">
        <v>1049</v>
      </c>
      <c r="J43" s="2" t="s">
        <v>590</v>
      </c>
      <c r="K43" s="2" t="s">
        <v>124</v>
      </c>
      <c r="N43" s="2" t="s">
        <v>125</v>
      </c>
      <c r="O43" s="2" t="s">
        <v>159</v>
      </c>
      <c r="P43" t="s">
        <v>2717</v>
      </c>
      <c r="Q43" s="2" t="s">
        <v>35</v>
      </c>
      <c r="R43" s="2" t="s">
        <v>336</v>
      </c>
      <c r="T43" s="2" t="s">
        <v>2621</v>
      </c>
      <c r="U43" s="153">
        <v>3.681</v>
      </c>
      <c r="V43" s="153">
        <v>1083.6600000000001</v>
      </c>
      <c r="W43" s="153">
        <v>3988.951</v>
      </c>
      <c r="Y43" s="167">
        <v>1.8749233916596199E-2</v>
      </c>
      <c r="Z43" s="167">
        <v>3.6388941856034E-3</v>
      </c>
    </row>
    <row r="44" spans="1:26">
      <c r="A44" s="2" t="s">
        <v>26</v>
      </c>
      <c r="B44" s="2">
        <v>9935</v>
      </c>
      <c r="C44" s="2" t="s">
        <v>2718</v>
      </c>
      <c r="D44" s="2" t="s">
        <v>2719</v>
      </c>
      <c r="E44" s="2" t="s">
        <v>44</v>
      </c>
      <c r="F44" s="2" t="s">
        <v>2718</v>
      </c>
      <c r="G44" s="2">
        <v>62013958</v>
      </c>
      <c r="H44" s="2" t="s">
        <v>44</v>
      </c>
      <c r="I44" s="2" t="s">
        <v>1049</v>
      </c>
      <c r="J44" s="2" t="s">
        <v>590</v>
      </c>
      <c r="K44" s="2" t="s">
        <v>124</v>
      </c>
      <c r="N44" s="2" t="s">
        <v>125</v>
      </c>
      <c r="O44" s="2" t="s">
        <v>159</v>
      </c>
      <c r="P44" t="s">
        <v>2720</v>
      </c>
      <c r="Q44" s="2" t="s">
        <v>35</v>
      </c>
      <c r="R44" s="2" t="s">
        <v>336</v>
      </c>
      <c r="T44" s="2" t="s">
        <v>2721</v>
      </c>
      <c r="U44" s="153">
        <v>3.681</v>
      </c>
      <c r="V44" s="153">
        <v>1003.987</v>
      </c>
      <c r="W44" s="153">
        <v>3695.6779999999999</v>
      </c>
      <c r="Y44" s="167">
        <v>1.7370762732032401E-2</v>
      </c>
      <c r="Z44" s="167">
        <v>3.3713573464533501E-3</v>
      </c>
    </row>
    <row r="45" spans="1:26">
      <c r="A45" s="2" t="s">
        <v>26</v>
      </c>
      <c r="B45" s="2">
        <v>9935</v>
      </c>
      <c r="C45" s="2" t="s">
        <v>2722</v>
      </c>
      <c r="D45" s="2" t="s">
        <v>2723</v>
      </c>
      <c r="E45" s="2" t="s">
        <v>44</v>
      </c>
      <c r="F45" s="2" t="s">
        <v>2724</v>
      </c>
      <c r="G45" s="2">
        <v>62016522</v>
      </c>
      <c r="H45" s="2" t="s">
        <v>44</v>
      </c>
      <c r="I45" s="2" t="s">
        <v>1049</v>
      </c>
      <c r="J45" s="2" t="s">
        <v>590</v>
      </c>
      <c r="K45" s="2" t="s">
        <v>124</v>
      </c>
      <c r="N45" s="2" t="s">
        <v>125</v>
      </c>
      <c r="O45" s="2" t="s">
        <v>159</v>
      </c>
      <c r="P45" t="s">
        <v>2725</v>
      </c>
      <c r="Q45" s="2" t="s">
        <v>35</v>
      </c>
      <c r="R45" s="2" t="s">
        <v>336</v>
      </c>
      <c r="T45" s="2" t="s">
        <v>2660</v>
      </c>
      <c r="U45" s="153">
        <v>3.681</v>
      </c>
      <c r="V45" s="153">
        <v>1503.175</v>
      </c>
      <c r="W45" s="153">
        <v>5533.1880000000001</v>
      </c>
      <c r="Y45" s="167">
        <v>2.60075994794178E-2</v>
      </c>
      <c r="Z45" s="167">
        <v>5.0476143691067796E-3</v>
      </c>
    </row>
    <row r="46" spans="1:26">
      <c r="A46" s="2" t="s">
        <v>26</v>
      </c>
      <c r="B46" s="2">
        <v>9935</v>
      </c>
      <c r="C46" s="2" t="s">
        <v>2677</v>
      </c>
      <c r="D46" s="2" t="s">
        <v>2678</v>
      </c>
      <c r="E46" s="2" t="s">
        <v>335</v>
      </c>
      <c r="F46" s="2" t="s">
        <v>2726</v>
      </c>
      <c r="G46" s="2">
        <v>62020797</v>
      </c>
      <c r="H46" s="2" t="s">
        <v>44</v>
      </c>
      <c r="I46" s="2" t="s">
        <v>1049</v>
      </c>
      <c r="J46" s="2" t="s">
        <v>590</v>
      </c>
      <c r="K46" s="2" t="s">
        <v>124</v>
      </c>
      <c r="N46" s="2" t="s">
        <v>125</v>
      </c>
      <c r="O46" s="2" t="s">
        <v>159</v>
      </c>
      <c r="P46" t="s">
        <v>2727</v>
      </c>
      <c r="Q46" s="2" t="s">
        <v>35</v>
      </c>
      <c r="R46" s="2" t="s">
        <v>336</v>
      </c>
      <c r="T46" s="2" t="s">
        <v>2591</v>
      </c>
      <c r="U46" s="153">
        <v>3.681</v>
      </c>
      <c r="V46" s="153">
        <v>2397.527</v>
      </c>
      <c r="W46" s="153">
        <v>8825.2960000000003</v>
      </c>
      <c r="Y46" s="167">
        <v>4.1481465643009897E-2</v>
      </c>
      <c r="Z46" s="167">
        <v>8.0508176926121101E-3</v>
      </c>
    </row>
    <row r="47" spans="1:26">
      <c r="A47" s="2" t="s">
        <v>26</v>
      </c>
      <c r="B47" s="2">
        <v>9935</v>
      </c>
      <c r="C47" s="2" t="s">
        <v>2728</v>
      </c>
      <c r="D47" s="2" t="s">
        <v>2729</v>
      </c>
      <c r="E47" s="2" t="s">
        <v>44</v>
      </c>
      <c r="F47" s="2" t="s">
        <v>2730</v>
      </c>
      <c r="G47" s="2">
        <v>620204090</v>
      </c>
      <c r="H47" s="2" t="s">
        <v>44</v>
      </c>
      <c r="I47" s="2" t="s">
        <v>1049</v>
      </c>
      <c r="J47" s="2" t="s">
        <v>590</v>
      </c>
      <c r="K47" s="2" t="s">
        <v>124</v>
      </c>
      <c r="N47" s="2" t="s">
        <v>125</v>
      </c>
      <c r="O47" s="2" t="s">
        <v>159</v>
      </c>
      <c r="P47" t="s">
        <v>2605</v>
      </c>
      <c r="Q47" s="2" t="s">
        <v>35</v>
      </c>
      <c r="R47" s="2" t="s">
        <v>336</v>
      </c>
      <c r="T47" s="2" t="s">
        <v>2731</v>
      </c>
      <c r="U47" s="153">
        <v>3.681</v>
      </c>
      <c r="V47" s="153">
        <v>1158.9000000000001</v>
      </c>
      <c r="W47" s="153">
        <v>4265.9110000000001</v>
      </c>
      <c r="Y47" s="167">
        <v>2.0051025343371699E-2</v>
      </c>
      <c r="Z47" s="167">
        <v>3.8915488420460998E-3</v>
      </c>
    </row>
    <row r="48" spans="1:26">
      <c r="A48" s="2" t="s">
        <v>26</v>
      </c>
      <c r="B48" s="2">
        <v>9935</v>
      </c>
      <c r="D48" s="2" t="s">
        <v>2732</v>
      </c>
      <c r="E48" s="2" t="s">
        <v>335</v>
      </c>
      <c r="F48" s="2" t="s">
        <v>2733</v>
      </c>
      <c r="G48" s="2">
        <v>620201280</v>
      </c>
      <c r="H48" s="2" t="s">
        <v>44</v>
      </c>
      <c r="I48" s="2" t="s">
        <v>1049</v>
      </c>
      <c r="J48" s="2" t="s">
        <v>590</v>
      </c>
      <c r="K48" s="2" t="s">
        <v>124</v>
      </c>
      <c r="N48" s="2" t="s">
        <v>125</v>
      </c>
      <c r="O48" s="2" t="s">
        <v>159</v>
      </c>
      <c r="P48" t="s">
        <v>2605</v>
      </c>
      <c r="Q48" s="2" t="s">
        <v>35</v>
      </c>
      <c r="R48" s="2" t="s">
        <v>336</v>
      </c>
      <c r="T48" s="2" t="s">
        <v>1333</v>
      </c>
      <c r="U48" s="153">
        <v>3.681</v>
      </c>
      <c r="V48" s="153">
        <v>73.483000000000004</v>
      </c>
      <c r="W48" s="153">
        <v>270.49200000000002</v>
      </c>
      <c r="Y48" s="167">
        <v>1.2713892029437401E-3</v>
      </c>
      <c r="Z48" s="167">
        <v>2.4675412333171302E-4</v>
      </c>
    </row>
    <row r="49" spans="1:26">
      <c r="A49" s="2" t="s">
        <v>26</v>
      </c>
      <c r="B49" s="2">
        <v>9935</v>
      </c>
      <c r="C49" s="2" t="s">
        <v>2734</v>
      </c>
      <c r="D49" s="2" t="s">
        <v>2735</v>
      </c>
      <c r="E49" s="2" t="s">
        <v>44</v>
      </c>
      <c r="F49" s="2" t="s">
        <v>2736</v>
      </c>
      <c r="G49" s="2">
        <v>620211750</v>
      </c>
      <c r="H49" s="2" t="s">
        <v>44</v>
      </c>
      <c r="I49" s="2" t="s">
        <v>1053</v>
      </c>
      <c r="J49" s="2" t="s">
        <v>590</v>
      </c>
      <c r="K49" s="2" t="s">
        <v>124</v>
      </c>
      <c r="N49" s="2" t="s">
        <v>125</v>
      </c>
      <c r="O49" s="2" t="s">
        <v>159</v>
      </c>
      <c r="P49" t="s">
        <v>2605</v>
      </c>
      <c r="Q49" s="2" t="s">
        <v>35</v>
      </c>
      <c r="R49" s="2" t="s">
        <v>336</v>
      </c>
      <c r="T49" s="2" t="s">
        <v>168</v>
      </c>
      <c r="U49" s="153">
        <v>3.681</v>
      </c>
      <c r="V49" s="153">
        <v>53.707000000000001</v>
      </c>
      <c r="W49" s="153">
        <v>197.69499999999999</v>
      </c>
      <c r="Y49" s="167">
        <v>9.2922457520886403E-4</v>
      </c>
      <c r="Z49" s="167">
        <v>1.80346030077221E-4</v>
      </c>
    </row>
    <row r="50" spans="1:26">
      <c r="A50" s="2" t="s">
        <v>26</v>
      </c>
      <c r="B50" s="2">
        <v>9935</v>
      </c>
      <c r="C50" s="2" t="s">
        <v>2737</v>
      </c>
      <c r="D50" s="2" t="s">
        <v>2738</v>
      </c>
      <c r="E50" s="2" t="s">
        <v>44</v>
      </c>
      <c r="F50" s="2" t="s">
        <v>2737</v>
      </c>
      <c r="G50" s="2">
        <v>620192860</v>
      </c>
      <c r="H50" s="2" t="s">
        <v>44</v>
      </c>
      <c r="I50" s="2" t="s">
        <v>1052</v>
      </c>
      <c r="J50" s="2" t="s">
        <v>590</v>
      </c>
      <c r="K50" s="2" t="s">
        <v>124</v>
      </c>
      <c r="N50" s="2" t="s">
        <v>316</v>
      </c>
      <c r="O50" s="2" t="s">
        <v>159</v>
      </c>
      <c r="P50" t="s">
        <v>2605</v>
      </c>
      <c r="Q50" s="2" t="s">
        <v>35</v>
      </c>
      <c r="R50" s="2" t="s">
        <v>336</v>
      </c>
      <c r="T50" s="2" t="s">
        <v>2739</v>
      </c>
      <c r="U50" s="153">
        <v>3.681</v>
      </c>
      <c r="V50" s="153">
        <v>607.58900000000006</v>
      </c>
      <c r="W50" s="153">
        <v>2236.5340000000001</v>
      </c>
      <c r="Y50" s="167">
        <v>1.0512363552804001E-2</v>
      </c>
      <c r="Z50" s="167">
        <v>2.04026355313573E-3</v>
      </c>
    </row>
    <row r="51" spans="1:26">
      <c r="A51" s="2" t="s">
        <v>26</v>
      </c>
      <c r="B51" s="2">
        <v>9935</v>
      </c>
      <c r="C51" s="2" t="s">
        <v>2740</v>
      </c>
      <c r="D51" s="2" t="s">
        <v>2741</v>
      </c>
      <c r="E51" s="2" t="s">
        <v>44</v>
      </c>
      <c r="F51" s="2" t="s">
        <v>2740</v>
      </c>
      <c r="G51" s="2">
        <v>62019765</v>
      </c>
      <c r="H51" s="2" t="s">
        <v>44</v>
      </c>
      <c r="I51" s="2" t="s">
        <v>1049</v>
      </c>
      <c r="J51" s="2" t="s">
        <v>590</v>
      </c>
      <c r="K51" s="2" t="s">
        <v>124</v>
      </c>
      <c r="N51" s="2" t="s">
        <v>316</v>
      </c>
      <c r="O51" s="2" t="s">
        <v>159</v>
      </c>
      <c r="P51" t="s">
        <v>2742</v>
      </c>
      <c r="Q51" s="2" t="s">
        <v>1206</v>
      </c>
      <c r="R51" s="2" t="s">
        <v>336</v>
      </c>
      <c r="T51" s="2" t="s">
        <v>2591</v>
      </c>
      <c r="U51" s="153">
        <v>3.9790000000000001</v>
      </c>
      <c r="V51" s="153">
        <v>300.91899999999998</v>
      </c>
      <c r="W51" s="153">
        <v>1197.3879999999999</v>
      </c>
      <c r="Y51" s="167">
        <v>5.6280728460122E-3</v>
      </c>
      <c r="Z51" s="167">
        <v>1.09230924562619E-3</v>
      </c>
    </row>
    <row r="52" spans="1:26">
      <c r="A52" s="2" t="s">
        <v>26</v>
      </c>
      <c r="B52" s="2">
        <v>9935</v>
      </c>
      <c r="C52" s="2" t="s">
        <v>2743</v>
      </c>
      <c r="D52" s="2" t="s">
        <v>2744</v>
      </c>
      <c r="E52" s="2" t="s">
        <v>44</v>
      </c>
      <c r="F52" s="2" t="s">
        <v>2745</v>
      </c>
      <c r="G52" s="2">
        <v>620203590</v>
      </c>
      <c r="H52" s="2" t="s">
        <v>44</v>
      </c>
      <c r="I52" s="2" t="s">
        <v>1053</v>
      </c>
      <c r="J52" s="2" t="s">
        <v>590</v>
      </c>
      <c r="K52" s="2" t="s">
        <v>124</v>
      </c>
      <c r="N52" s="2" t="s">
        <v>125</v>
      </c>
      <c r="O52" s="2" t="s">
        <v>159</v>
      </c>
      <c r="P52" t="s">
        <v>2605</v>
      </c>
      <c r="Q52" s="2" t="s">
        <v>35</v>
      </c>
      <c r="R52" s="2" t="s">
        <v>336</v>
      </c>
      <c r="T52" s="2" t="s">
        <v>1325</v>
      </c>
      <c r="U52" s="153">
        <v>3.681</v>
      </c>
      <c r="V52" s="153">
        <v>926.99599999999998</v>
      </c>
      <c r="W52" s="153">
        <v>3412.2739999999999</v>
      </c>
      <c r="Y52" s="167">
        <v>1.6038682826571799E-2</v>
      </c>
      <c r="Z52" s="167">
        <v>3.11282423281775E-3</v>
      </c>
    </row>
    <row r="53" spans="1:26">
      <c r="A53" s="2" t="s">
        <v>26</v>
      </c>
      <c r="B53" s="2">
        <v>9935</v>
      </c>
      <c r="C53" s="2" t="s">
        <v>1791</v>
      </c>
      <c r="D53" s="2" t="s">
        <v>1792</v>
      </c>
      <c r="E53" s="2" t="s">
        <v>1345</v>
      </c>
      <c r="F53" s="2" t="s">
        <v>2746</v>
      </c>
      <c r="G53" s="2">
        <v>62018411</v>
      </c>
      <c r="H53" s="2" t="s">
        <v>44</v>
      </c>
      <c r="I53" s="2" t="s">
        <v>1049</v>
      </c>
      <c r="J53" s="2" t="s">
        <v>590</v>
      </c>
      <c r="K53" s="2" t="s">
        <v>124</v>
      </c>
      <c r="N53" s="2" t="s">
        <v>125</v>
      </c>
      <c r="O53" s="2" t="s">
        <v>159</v>
      </c>
      <c r="P53" t="s">
        <v>2747</v>
      </c>
      <c r="Q53" s="2" t="s">
        <v>35</v>
      </c>
      <c r="R53" s="2" t="s">
        <v>336</v>
      </c>
      <c r="T53" s="2" t="s">
        <v>1325</v>
      </c>
      <c r="U53" s="153">
        <v>3.681</v>
      </c>
      <c r="V53" s="153">
        <v>735.99</v>
      </c>
      <c r="W53" s="153">
        <v>2709.1790000000001</v>
      </c>
      <c r="Y53" s="167">
        <v>1.2733932299998399E-2</v>
      </c>
      <c r="Z53" s="167">
        <v>2.4714306948464102E-3</v>
      </c>
    </row>
    <row r="54" spans="1:26">
      <c r="A54" s="2" t="s">
        <v>26</v>
      </c>
      <c r="B54" s="2">
        <v>9935</v>
      </c>
      <c r="C54" s="2" t="s">
        <v>2748</v>
      </c>
      <c r="D54" s="2" t="s">
        <v>2749</v>
      </c>
      <c r="E54" s="2" t="s">
        <v>44</v>
      </c>
      <c r="F54" s="2" t="s">
        <v>2750</v>
      </c>
      <c r="G54" s="2">
        <v>620178760</v>
      </c>
      <c r="H54" s="2" t="s">
        <v>44</v>
      </c>
      <c r="I54" s="2" t="s">
        <v>1049</v>
      </c>
      <c r="J54" s="2" t="s">
        <v>590</v>
      </c>
      <c r="K54" s="2" t="s">
        <v>124</v>
      </c>
      <c r="N54" s="2" t="s">
        <v>125</v>
      </c>
      <c r="O54" s="2" t="s">
        <v>159</v>
      </c>
      <c r="P54" t="s">
        <v>2605</v>
      </c>
      <c r="Q54" s="2" t="s">
        <v>35</v>
      </c>
      <c r="R54" s="2" t="s">
        <v>336</v>
      </c>
      <c r="T54" s="2" t="s">
        <v>1325</v>
      </c>
      <c r="U54" s="153">
        <v>3.681</v>
      </c>
      <c r="V54" s="153">
        <v>435.88299999999998</v>
      </c>
      <c r="W54" s="153">
        <v>1604.4849999999999</v>
      </c>
      <c r="Y54" s="167">
        <v>7.5415489513718801E-3</v>
      </c>
      <c r="Z54" s="167">
        <v>1.46368106300594E-3</v>
      </c>
    </row>
    <row r="55" spans="1:26">
      <c r="A55" s="2" t="s">
        <v>26</v>
      </c>
      <c r="B55" s="2">
        <v>9935</v>
      </c>
      <c r="C55" s="2" t="s">
        <v>2751</v>
      </c>
      <c r="D55" s="2" t="s">
        <v>2752</v>
      </c>
      <c r="E55" s="2" t="s">
        <v>44</v>
      </c>
      <c r="F55" s="2" t="s">
        <v>2753</v>
      </c>
      <c r="G55" s="2">
        <v>620187340</v>
      </c>
      <c r="H55" s="2" t="s">
        <v>44</v>
      </c>
      <c r="I55" s="2" t="s">
        <v>1049</v>
      </c>
      <c r="J55" s="2" t="s">
        <v>590</v>
      </c>
      <c r="K55" s="2" t="s">
        <v>124</v>
      </c>
      <c r="N55" s="2" t="s">
        <v>125</v>
      </c>
      <c r="O55" s="2" t="s">
        <v>159</v>
      </c>
      <c r="P55" t="s">
        <v>2605</v>
      </c>
      <c r="Q55" s="2" t="s">
        <v>35</v>
      </c>
      <c r="R55" s="2" t="s">
        <v>336</v>
      </c>
      <c r="T55" s="2" t="s">
        <v>1325</v>
      </c>
      <c r="U55" s="153">
        <v>3.681</v>
      </c>
      <c r="V55" s="153">
        <v>367.13900000000001</v>
      </c>
      <c r="W55" s="153">
        <v>1351.4390000000001</v>
      </c>
      <c r="Y55" s="167">
        <v>6.3521592922126096E-3</v>
      </c>
      <c r="Z55" s="167">
        <v>1.23284159861052E-3</v>
      </c>
    </row>
    <row r="56" spans="1:26">
      <c r="A56" s="2" t="s">
        <v>26</v>
      </c>
      <c r="B56" s="2">
        <v>9935</v>
      </c>
      <c r="C56" s="2" t="s">
        <v>2754</v>
      </c>
      <c r="D56" s="2" t="s">
        <v>2755</v>
      </c>
      <c r="E56" s="2" t="s">
        <v>1345</v>
      </c>
      <c r="F56" s="2" t="s">
        <v>2756</v>
      </c>
      <c r="G56" s="2">
        <v>62019328</v>
      </c>
      <c r="H56" s="2" t="s">
        <v>44</v>
      </c>
      <c r="I56" s="2" t="s">
        <v>1049</v>
      </c>
      <c r="J56" s="2" t="s">
        <v>590</v>
      </c>
      <c r="K56" s="2" t="s">
        <v>124</v>
      </c>
      <c r="N56" s="2" t="s">
        <v>261</v>
      </c>
      <c r="O56" s="2" t="s">
        <v>159</v>
      </c>
      <c r="P56" t="s">
        <v>2757</v>
      </c>
      <c r="Q56" s="2" t="s">
        <v>1206</v>
      </c>
      <c r="R56" s="2" t="s">
        <v>336</v>
      </c>
      <c r="T56" s="2" t="s">
        <v>168</v>
      </c>
      <c r="U56" s="153">
        <v>3.9790000000000001</v>
      </c>
      <c r="V56" s="153">
        <v>885.66099999999994</v>
      </c>
      <c r="W56" s="153">
        <v>3524.134</v>
      </c>
      <c r="Y56" s="167">
        <v>1.65644584948678E-2</v>
      </c>
      <c r="Z56" s="167">
        <v>3.2148679766211001E-3</v>
      </c>
    </row>
    <row r="57" spans="1:26">
      <c r="A57" s="2" t="s">
        <v>26</v>
      </c>
      <c r="B57" s="2">
        <v>9935</v>
      </c>
      <c r="C57" s="2" t="s">
        <v>2754</v>
      </c>
      <c r="D57" s="2" t="s">
        <v>2755</v>
      </c>
      <c r="E57" s="2" t="s">
        <v>1345</v>
      </c>
      <c r="F57" s="2" t="s">
        <v>2758</v>
      </c>
      <c r="G57" s="2">
        <v>62018585</v>
      </c>
      <c r="H57" s="2" t="s">
        <v>44</v>
      </c>
      <c r="I57" s="2" t="s">
        <v>1051</v>
      </c>
      <c r="J57" s="2" t="s">
        <v>590</v>
      </c>
      <c r="K57" s="2" t="s">
        <v>124</v>
      </c>
      <c r="N57" s="2" t="s">
        <v>125</v>
      </c>
      <c r="O57" s="2" t="s">
        <v>159</v>
      </c>
      <c r="P57" t="s">
        <v>2632</v>
      </c>
      <c r="Q57" s="2" t="s">
        <v>35</v>
      </c>
      <c r="R57" s="2" t="s">
        <v>336</v>
      </c>
      <c r="T57" s="2" t="s">
        <v>2759</v>
      </c>
      <c r="U57" s="153">
        <v>3.681</v>
      </c>
      <c r="V57" s="153">
        <v>674.44500000000005</v>
      </c>
      <c r="W57" s="153">
        <v>2482.6309999999999</v>
      </c>
      <c r="Y57" s="167">
        <v>1.16690906357557E-2</v>
      </c>
      <c r="Z57" s="167">
        <v>2.2647637900631199E-3</v>
      </c>
    </row>
    <row r="58" spans="1:26">
      <c r="A58" s="2" t="s">
        <v>26</v>
      </c>
      <c r="B58" s="2">
        <v>9935</v>
      </c>
      <c r="C58" s="2" t="s">
        <v>2754</v>
      </c>
      <c r="D58" s="2" t="s">
        <v>2755</v>
      </c>
      <c r="E58" s="2" t="s">
        <v>1345</v>
      </c>
      <c r="F58" s="2" t="s">
        <v>2760</v>
      </c>
      <c r="G58" s="2">
        <v>60400009</v>
      </c>
      <c r="H58" s="2" t="s">
        <v>44</v>
      </c>
      <c r="I58" s="2" t="s">
        <v>1049</v>
      </c>
      <c r="J58" s="2" t="s">
        <v>590</v>
      </c>
      <c r="K58" s="2" t="s">
        <v>124</v>
      </c>
      <c r="N58" s="2" t="s">
        <v>319</v>
      </c>
      <c r="O58" s="2" t="s">
        <v>159</v>
      </c>
      <c r="P58" t="s">
        <v>2761</v>
      </c>
      <c r="Q58" s="2" t="s">
        <v>35</v>
      </c>
      <c r="R58" s="2" t="s">
        <v>336</v>
      </c>
      <c r="T58" s="2" t="s">
        <v>2759</v>
      </c>
      <c r="U58" s="153">
        <v>3.681</v>
      </c>
      <c r="V58" s="153">
        <v>112.31399999999999</v>
      </c>
      <c r="W58" s="153">
        <v>413.42700000000002</v>
      </c>
      <c r="Y58" s="167">
        <v>1.9432279745848901E-3</v>
      </c>
      <c r="Z58" s="167">
        <v>3.7714612818178297E-4</v>
      </c>
    </row>
    <row r="59" spans="1:26">
      <c r="A59" s="2" t="s">
        <v>26</v>
      </c>
      <c r="B59" s="2">
        <v>9935</v>
      </c>
      <c r="C59" s="2" t="s">
        <v>2617</v>
      </c>
      <c r="D59" s="2" t="s">
        <v>2618</v>
      </c>
      <c r="E59" s="2" t="s">
        <v>44</v>
      </c>
      <c r="F59" s="2" t="s">
        <v>2762</v>
      </c>
      <c r="G59" s="2">
        <v>62018072</v>
      </c>
      <c r="H59" s="2" t="s">
        <v>44</v>
      </c>
      <c r="I59" s="2" t="s">
        <v>1049</v>
      </c>
      <c r="J59" s="2" t="s">
        <v>590</v>
      </c>
      <c r="K59" s="2" t="s">
        <v>124</v>
      </c>
      <c r="N59" s="2" t="s">
        <v>316</v>
      </c>
      <c r="O59" s="2" t="s">
        <v>159</v>
      </c>
      <c r="P59" t="s">
        <v>2763</v>
      </c>
      <c r="Q59" s="2" t="s">
        <v>1206</v>
      </c>
      <c r="R59" s="2" t="s">
        <v>336</v>
      </c>
      <c r="T59" s="2" t="s">
        <v>2693</v>
      </c>
      <c r="U59" s="153">
        <v>3.9790000000000001</v>
      </c>
      <c r="V59" s="153">
        <v>560.00699999999995</v>
      </c>
      <c r="W59" s="153">
        <v>2228.3240000000001</v>
      </c>
      <c r="Y59" s="167">
        <v>1.0473772727631199E-2</v>
      </c>
      <c r="Z59" s="167">
        <v>2.0327737575545602E-3</v>
      </c>
    </row>
    <row r="60" spans="1:26">
      <c r="A60" s="2" t="s">
        <v>26</v>
      </c>
      <c r="B60" s="2">
        <v>9935</v>
      </c>
      <c r="C60" s="2" t="s">
        <v>2764</v>
      </c>
      <c r="D60" s="2" t="s">
        <v>2765</v>
      </c>
      <c r="E60" s="2" t="s">
        <v>44</v>
      </c>
      <c r="F60" s="2" t="s">
        <v>2766</v>
      </c>
      <c r="G60" s="2">
        <v>620190210</v>
      </c>
      <c r="H60" s="2" t="s">
        <v>44</v>
      </c>
      <c r="I60" s="2" t="s">
        <v>1049</v>
      </c>
      <c r="J60" s="2" t="s">
        <v>590</v>
      </c>
      <c r="K60" s="2" t="s">
        <v>124</v>
      </c>
      <c r="N60" s="2" t="s">
        <v>125</v>
      </c>
      <c r="O60" s="2" t="s">
        <v>159</v>
      </c>
      <c r="P60" t="s">
        <v>2605</v>
      </c>
      <c r="Q60" s="2" t="s">
        <v>35</v>
      </c>
      <c r="R60" s="2" t="s">
        <v>336</v>
      </c>
      <c r="T60" s="2" t="s">
        <v>2767</v>
      </c>
      <c r="U60" s="153">
        <v>3.681</v>
      </c>
      <c r="V60" s="153">
        <v>356.12200000000001</v>
      </c>
      <c r="W60" s="153">
        <v>1310.885</v>
      </c>
      <c r="Y60" s="167">
        <v>6.1615401277710698E-3</v>
      </c>
      <c r="Z60" s="167">
        <v>1.19584579535603E-3</v>
      </c>
    </row>
    <row r="61" spans="1:26">
      <c r="A61" s="2" t="s">
        <v>26</v>
      </c>
      <c r="B61" s="2">
        <v>9935</v>
      </c>
      <c r="C61" s="2" t="s">
        <v>2768</v>
      </c>
      <c r="D61" s="2" t="s">
        <v>2769</v>
      </c>
      <c r="E61" s="2" t="s">
        <v>44</v>
      </c>
      <c r="F61" s="2" t="s">
        <v>2770</v>
      </c>
      <c r="G61" s="2">
        <v>620210010</v>
      </c>
      <c r="H61" s="2" t="s">
        <v>44</v>
      </c>
      <c r="I61" s="2" t="s">
        <v>1049</v>
      </c>
      <c r="J61" s="2" t="s">
        <v>590</v>
      </c>
      <c r="K61" s="2" t="s">
        <v>124</v>
      </c>
      <c r="N61" s="2" t="s">
        <v>125</v>
      </c>
      <c r="O61" s="2" t="s">
        <v>159</v>
      </c>
      <c r="P61" t="s">
        <v>2605</v>
      </c>
      <c r="Q61" s="2" t="s">
        <v>35</v>
      </c>
      <c r="R61" s="2" t="s">
        <v>336</v>
      </c>
      <c r="T61" s="2" t="s">
        <v>2771</v>
      </c>
      <c r="U61" s="153">
        <v>3.681</v>
      </c>
      <c r="V61" s="153">
        <v>433.20100000000002</v>
      </c>
      <c r="W61" s="153">
        <v>1594.6130000000001</v>
      </c>
      <c r="Y61" s="167">
        <v>7.4951484424074901E-3</v>
      </c>
      <c r="Z61" s="167">
        <v>1.45467554613892E-3</v>
      </c>
    </row>
    <row r="62" spans="1:26">
      <c r="A62" s="2" t="s">
        <v>26</v>
      </c>
      <c r="B62" s="2">
        <v>9935</v>
      </c>
      <c r="C62" s="2" t="s">
        <v>2772</v>
      </c>
      <c r="D62" s="2" t="s">
        <v>2773</v>
      </c>
      <c r="E62" s="2" t="s">
        <v>334</v>
      </c>
      <c r="F62" s="2" t="s">
        <v>2774</v>
      </c>
      <c r="G62" s="2">
        <v>620197400</v>
      </c>
      <c r="H62" s="2" t="s">
        <v>44</v>
      </c>
      <c r="I62" s="2" t="s">
        <v>1049</v>
      </c>
      <c r="J62" s="2" t="s">
        <v>590</v>
      </c>
      <c r="K62" s="2" t="s">
        <v>124</v>
      </c>
      <c r="N62" s="2" t="s">
        <v>125</v>
      </c>
      <c r="O62" s="2" t="s">
        <v>159</v>
      </c>
      <c r="P62" t="s">
        <v>2605</v>
      </c>
      <c r="Q62" s="2" t="s">
        <v>35</v>
      </c>
      <c r="R62" s="2" t="s">
        <v>336</v>
      </c>
      <c r="T62" s="2" t="s">
        <v>1325</v>
      </c>
      <c r="U62" s="153">
        <v>3.681</v>
      </c>
      <c r="V62" s="153">
        <v>1254.895</v>
      </c>
      <c r="W62" s="153">
        <v>4619.2690000000002</v>
      </c>
      <c r="Y62" s="167">
        <v>2.1711909950641699E-2</v>
      </c>
      <c r="Z62" s="167">
        <v>4.2138971239672803E-3</v>
      </c>
    </row>
    <row r="63" spans="1:26">
      <c r="A63" s="2" t="s">
        <v>26</v>
      </c>
      <c r="B63" s="2">
        <v>9935</v>
      </c>
      <c r="C63" s="2" t="s">
        <v>2775</v>
      </c>
      <c r="D63" s="2" t="s">
        <v>2776</v>
      </c>
      <c r="E63" s="2" t="s">
        <v>44</v>
      </c>
      <c r="F63" s="2" t="s">
        <v>2777</v>
      </c>
      <c r="G63" s="2">
        <v>620184860</v>
      </c>
      <c r="H63" s="2" t="s">
        <v>44</v>
      </c>
      <c r="I63" s="2" t="s">
        <v>1049</v>
      </c>
      <c r="J63" s="2" t="s">
        <v>590</v>
      </c>
      <c r="K63" s="2" t="s">
        <v>124</v>
      </c>
      <c r="N63" s="2" t="s">
        <v>125</v>
      </c>
      <c r="O63" s="2" t="s">
        <v>159</v>
      </c>
      <c r="P63" t="s">
        <v>2605</v>
      </c>
      <c r="Q63" s="2" t="s">
        <v>35</v>
      </c>
      <c r="R63" s="2" t="s">
        <v>336</v>
      </c>
      <c r="T63" s="2" t="s">
        <v>2778</v>
      </c>
      <c r="U63" s="153">
        <v>3.681</v>
      </c>
      <c r="V63" s="153">
        <v>794.24099999999999</v>
      </c>
      <c r="W63" s="153">
        <v>2923.6019999999999</v>
      </c>
      <c r="Y63" s="167">
        <v>1.37417841385055E-2</v>
      </c>
      <c r="Z63" s="167">
        <v>2.66703688395299E-3</v>
      </c>
    </row>
    <row r="64" spans="1:26">
      <c r="A64" s="2" t="s">
        <v>26</v>
      </c>
      <c r="B64" s="2">
        <v>9935</v>
      </c>
      <c r="C64" s="2" t="s">
        <v>2779</v>
      </c>
      <c r="D64" s="2" t="s">
        <v>2780</v>
      </c>
      <c r="E64" s="2" t="s">
        <v>44</v>
      </c>
      <c r="F64" s="2" t="s">
        <v>2781</v>
      </c>
      <c r="G64" s="2">
        <v>620186680</v>
      </c>
      <c r="H64" s="2" t="s">
        <v>44</v>
      </c>
      <c r="I64" s="2" t="s">
        <v>1049</v>
      </c>
      <c r="J64" s="2" t="s">
        <v>590</v>
      </c>
      <c r="K64" s="2" t="s">
        <v>124</v>
      </c>
      <c r="N64" s="2" t="s">
        <v>319</v>
      </c>
      <c r="O64" s="2" t="s">
        <v>159</v>
      </c>
      <c r="P64" t="s">
        <v>2605</v>
      </c>
      <c r="Q64" s="2" t="s">
        <v>35</v>
      </c>
      <c r="R64" s="2" t="s">
        <v>336</v>
      </c>
      <c r="T64" s="2" t="s">
        <v>2636</v>
      </c>
      <c r="U64" s="153">
        <v>3.681</v>
      </c>
      <c r="V64" s="153">
        <v>260.63499999999999</v>
      </c>
      <c r="W64" s="153">
        <v>959.39700000000005</v>
      </c>
      <c r="Y64" s="167">
        <v>4.5094479334866497E-3</v>
      </c>
      <c r="Z64" s="167">
        <v>8.75203965049514E-4</v>
      </c>
    </row>
    <row r="65" spans="1:26">
      <c r="A65" s="2" t="s">
        <v>26</v>
      </c>
      <c r="B65" s="2">
        <v>9935</v>
      </c>
      <c r="C65" s="2" t="s">
        <v>2782</v>
      </c>
      <c r="E65" s="2" t="s">
        <v>336</v>
      </c>
      <c r="F65" s="2" t="s">
        <v>2783</v>
      </c>
      <c r="G65" s="2">
        <v>62018619</v>
      </c>
      <c r="H65" s="2" t="s">
        <v>44</v>
      </c>
      <c r="I65" s="2" t="s">
        <v>1049</v>
      </c>
      <c r="J65" s="2" t="s">
        <v>590</v>
      </c>
      <c r="K65" s="2" t="s">
        <v>124</v>
      </c>
      <c r="N65" s="2" t="s">
        <v>319</v>
      </c>
      <c r="O65" s="2" t="s">
        <v>159</v>
      </c>
      <c r="P65" t="s">
        <v>2784</v>
      </c>
      <c r="Q65" s="2" t="s">
        <v>35</v>
      </c>
      <c r="R65" s="2" t="s">
        <v>336</v>
      </c>
      <c r="T65" s="2" t="s">
        <v>2785</v>
      </c>
      <c r="U65" s="153">
        <v>3.681</v>
      </c>
      <c r="V65" s="153">
        <v>232.614</v>
      </c>
      <c r="W65" s="153">
        <v>856.25099999999998</v>
      </c>
      <c r="Y65" s="167">
        <v>4.0246293192222502E-3</v>
      </c>
      <c r="Z65" s="167">
        <v>7.8110925993426096E-4</v>
      </c>
    </row>
    <row r="66" spans="1:26">
      <c r="A66" s="2" t="s">
        <v>26</v>
      </c>
      <c r="B66" s="2">
        <v>9935</v>
      </c>
      <c r="C66" s="2" t="s">
        <v>2786</v>
      </c>
      <c r="D66" s="2" t="s">
        <v>2787</v>
      </c>
      <c r="E66" s="2" t="s">
        <v>44</v>
      </c>
      <c r="F66" s="2" t="s">
        <v>2788</v>
      </c>
      <c r="G66" s="2">
        <v>620181150</v>
      </c>
      <c r="H66" s="2" t="s">
        <v>44</v>
      </c>
      <c r="I66" s="2" t="s">
        <v>1049</v>
      </c>
      <c r="J66" s="2" t="s">
        <v>590</v>
      </c>
      <c r="K66" s="2" t="s">
        <v>124</v>
      </c>
      <c r="N66" s="2" t="s">
        <v>125</v>
      </c>
      <c r="O66" s="2" t="s">
        <v>159</v>
      </c>
      <c r="P66" t="s">
        <v>2605</v>
      </c>
      <c r="Q66" s="2" t="s">
        <v>35</v>
      </c>
      <c r="R66" s="2" t="s">
        <v>336</v>
      </c>
      <c r="T66" s="2" t="s">
        <v>2605</v>
      </c>
      <c r="U66" s="153">
        <v>3.681</v>
      </c>
      <c r="V66" s="153">
        <v>902.94200000000001</v>
      </c>
      <c r="W66" s="153">
        <v>3323.73</v>
      </c>
      <c r="Y66" s="167">
        <v>1.5622502319743801E-2</v>
      </c>
      <c r="Z66" s="167">
        <v>3.0320509685236E-3</v>
      </c>
    </row>
    <row r="67" spans="1:26">
      <c r="A67" s="2" t="s">
        <v>26</v>
      </c>
      <c r="B67" s="2">
        <v>9935</v>
      </c>
      <c r="C67" s="2" t="s">
        <v>2789</v>
      </c>
      <c r="D67" s="2" t="s">
        <v>2790</v>
      </c>
      <c r="E67" s="2" t="s">
        <v>44</v>
      </c>
      <c r="F67" s="2" t="s">
        <v>2791</v>
      </c>
      <c r="G67" s="2">
        <v>620197160</v>
      </c>
      <c r="H67" s="2" t="s">
        <v>44</v>
      </c>
      <c r="I67" s="2" t="s">
        <v>1049</v>
      </c>
      <c r="J67" s="2" t="s">
        <v>590</v>
      </c>
      <c r="K67" s="2" t="s">
        <v>124</v>
      </c>
      <c r="N67" s="2" t="s">
        <v>316</v>
      </c>
      <c r="O67" s="2" t="s">
        <v>159</v>
      </c>
      <c r="P67" t="s">
        <v>2605</v>
      </c>
      <c r="Q67" s="2" t="s">
        <v>1206</v>
      </c>
      <c r="R67" s="2" t="s">
        <v>336</v>
      </c>
      <c r="T67" s="2" t="s">
        <v>2792</v>
      </c>
      <c r="U67" s="153">
        <v>3.9790000000000001</v>
      </c>
      <c r="V67" s="153">
        <v>300.89499999999998</v>
      </c>
      <c r="W67" s="153">
        <v>1197.29</v>
      </c>
      <c r="Y67" s="167">
        <v>5.6276113572364802E-3</v>
      </c>
      <c r="Z67" s="167">
        <v>1.09221967882948E-3</v>
      </c>
    </row>
    <row r="68" spans="1:26">
      <c r="A68" s="2" t="s">
        <v>26</v>
      </c>
      <c r="B68" s="2">
        <v>9935</v>
      </c>
      <c r="C68" s="2" t="s">
        <v>2779</v>
      </c>
      <c r="D68" s="2" t="s">
        <v>2780</v>
      </c>
      <c r="E68" s="2" t="s">
        <v>44</v>
      </c>
      <c r="F68" s="2" t="s">
        <v>2793</v>
      </c>
      <c r="G68" s="2">
        <v>620189650</v>
      </c>
      <c r="H68" s="2" t="s">
        <v>44</v>
      </c>
      <c r="I68" s="2" t="s">
        <v>1049</v>
      </c>
      <c r="J68" s="2" t="s">
        <v>590</v>
      </c>
      <c r="K68" s="2" t="s">
        <v>124</v>
      </c>
      <c r="N68" s="2" t="s">
        <v>125</v>
      </c>
      <c r="O68" s="2" t="s">
        <v>159</v>
      </c>
      <c r="P68" t="s">
        <v>2605</v>
      </c>
      <c r="Q68" s="2" t="s">
        <v>35</v>
      </c>
      <c r="R68" s="2" t="s">
        <v>336</v>
      </c>
      <c r="T68" s="2" t="s">
        <v>2794</v>
      </c>
      <c r="U68" s="153">
        <v>3.681</v>
      </c>
      <c r="V68" s="153">
        <v>527.08299999999997</v>
      </c>
      <c r="W68" s="153">
        <v>1940.193</v>
      </c>
      <c r="Y68" s="167">
        <v>9.1194741576196697E-3</v>
      </c>
      <c r="Z68" s="167">
        <v>1.76992839470356E-3</v>
      </c>
    </row>
    <row r="69" spans="1:26">
      <c r="A69" s="2" t="s">
        <v>26</v>
      </c>
      <c r="B69" s="2">
        <v>9935</v>
      </c>
      <c r="C69" s="2" t="s">
        <v>2795</v>
      </c>
      <c r="D69" s="2" t="s">
        <v>2796</v>
      </c>
      <c r="E69" s="2" t="s">
        <v>44</v>
      </c>
      <c r="F69" s="2" t="s">
        <v>2795</v>
      </c>
      <c r="G69" s="2">
        <v>620209380</v>
      </c>
      <c r="H69" s="2" t="s">
        <v>44</v>
      </c>
      <c r="I69" s="2" t="s">
        <v>1049</v>
      </c>
      <c r="J69" s="2" t="s">
        <v>590</v>
      </c>
      <c r="K69" s="2" t="s">
        <v>124</v>
      </c>
      <c r="N69" s="2" t="s">
        <v>125</v>
      </c>
      <c r="O69" s="2" t="s">
        <v>159</v>
      </c>
      <c r="P69" t="s">
        <v>2605</v>
      </c>
      <c r="Q69" s="2" t="s">
        <v>35</v>
      </c>
      <c r="R69" s="2" t="s">
        <v>336</v>
      </c>
      <c r="T69" s="2" t="s">
        <v>2639</v>
      </c>
      <c r="U69" s="153">
        <v>3.681</v>
      </c>
      <c r="V69" s="153">
        <v>99.48</v>
      </c>
      <c r="W69" s="153">
        <v>366.18599999999998</v>
      </c>
      <c r="Y69" s="167">
        <v>1.7211828026783399E-3</v>
      </c>
      <c r="Z69" s="167">
        <v>3.3405109354802998E-4</v>
      </c>
    </row>
    <row r="70" spans="1:26">
      <c r="A70" s="2" t="s">
        <v>26</v>
      </c>
      <c r="B70" s="2">
        <v>9935</v>
      </c>
      <c r="C70" s="2" t="s">
        <v>2754</v>
      </c>
      <c r="D70" s="2" t="s">
        <v>2755</v>
      </c>
      <c r="E70" s="2" t="s">
        <v>1345</v>
      </c>
      <c r="F70" s="2" t="s">
        <v>2797</v>
      </c>
      <c r="G70" s="2">
        <v>62018445</v>
      </c>
      <c r="H70" s="2" t="s">
        <v>44</v>
      </c>
      <c r="I70" s="2" t="s">
        <v>1051</v>
      </c>
      <c r="J70" s="2" t="s">
        <v>590</v>
      </c>
      <c r="K70" s="2" t="s">
        <v>124</v>
      </c>
      <c r="N70" s="2" t="s">
        <v>125</v>
      </c>
      <c r="O70" s="2" t="s">
        <v>362</v>
      </c>
      <c r="P70" t="s">
        <v>2798</v>
      </c>
      <c r="Q70" s="2" t="s">
        <v>35</v>
      </c>
      <c r="R70" s="2" t="s">
        <v>336</v>
      </c>
      <c r="T70" s="2" t="s">
        <v>168</v>
      </c>
      <c r="U70" s="153">
        <v>3.681</v>
      </c>
      <c r="V70" s="153">
        <v>2337.4929999999999</v>
      </c>
      <c r="W70" s="153">
        <v>8604.31</v>
      </c>
      <c r="Y70" s="167">
        <v>4.0442767198362602E-2</v>
      </c>
      <c r="Z70" s="167">
        <v>7.8492247236600903E-3</v>
      </c>
    </row>
    <row r="71" spans="1:26">
      <c r="A71" s="2" t="s">
        <v>26</v>
      </c>
      <c r="B71" s="2">
        <v>9937</v>
      </c>
      <c r="C71" s="2" t="s">
        <v>2587</v>
      </c>
      <c r="D71" s="2" t="s">
        <v>2588</v>
      </c>
      <c r="E71" s="2" t="s">
        <v>44</v>
      </c>
      <c r="F71" s="2" t="s">
        <v>2589</v>
      </c>
      <c r="G71" s="2">
        <v>50007962</v>
      </c>
      <c r="H71" s="2" t="s">
        <v>44</v>
      </c>
      <c r="I71" s="2" t="s">
        <v>1051</v>
      </c>
      <c r="J71" s="2" t="s">
        <v>590</v>
      </c>
      <c r="K71" s="2" t="s">
        <v>31</v>
      </c>
      <c r="N71" s="2" t="s">
        <v>31</v>
      </c>
      <c r="O71" s="2" t="s">
        <v>159</v>
      </c>
      <c r="P71" t="s">
        <v>2799</v>
      </c>
      <c r="Q71" s="2" t="s">
        <v>45</v>
      </c>
      <c r="R71" s="2" t="s">
        <v>336</v>
      </c>
      <c r="T71" s="2" t="s">
        <v>2591</v>
      </c>
      <c r="U71" s="153">
        <v>1</v>
      </c>
      <c r="V71" s="153">
        <v>162.37700000000001</v>
      </c>
      <c r="W71" s="153">
        <v>162.37700000000001</v>
      </c>
      <c r="Y71" s="167">
        <v>0.164828175748922</v>
      </c>
      <c r="Z71" s="167">
        <v>5.1647797676108703E-3</v>
      </c>
    </row>
    <row r="72" spans="1:26">
      <c r="A72" s="2" t="s">
        <v>26</v>
      </c>
      <c r="B72" s="2">
        <v>9937</v>
      </c>
      <c r="C72" s="2" t="s">
        <v>2592</v>
      </c>
      <c r="D72" s="2" t="s">
        <v>2593</v>
      </c>
      <c r="E72" s="2" t="s">
        <v>1345</v>
      </c>
      <c r="F72" s="2" t="s">
        <v>2800</v>
      </c>
      <c r="G72" s="2">
        <v>50006535</v>
      </c>
      <c r="H72" s="2" t="s">
        <v>44</v>
      </c>
      <c r="I72" s="2" t="s">
        <v>1051</v>
      </c>
      <c r="J72" s="2" t="s">
        <v>590</v>
      </c>
      <c r="K72" s="2" t="s">
        <v>31</v>
      </c>
      <c r="N72" s="2" t="s">
        <v>31</v>
      </c>
      <c r="O72" s="2" t="s">
        <v>159</v>
      </c>
      <c r="P72" t="s">
        <v>2801</v>
      </c>
      <c r="R72" s="2" t="s">
        <v>336</v>
      </c>
      <c r="T72" s="2" t="s">
        <v>2591</v>
      </c>
      <c r="U72" s="153">
        <v>0</v>
      </c>
      <c r="V72" s="153">
        <v>0</v>
      </c>
      <c r="W72" s="153">
        <v>279.34300000000002</v>
      </c>
      <c r="Y72" s="167">
        <v>0.283560092369183</v>
      </c>
      <c r="Z72" s="167">
        <v>8.8851643313767707E-3</v>
      </c>
    </row>
    <row r="73" spans="1:26">
      <c r="A73" s="2" t="s">
        <v>26</v>
      </c>
      <c r="B73" s="2">
        <v>9937</v>
      </c>
      <c r="C73" s="2" t="s">
        <v>2626</v>
      </c>
      <c r="E73" s="2" t="s">
        <v>336</v>
      </c>
      <c r="F73" s="2" t="s">
        <v>2627</v>
      </c>
      <c r="G73" s="2">
        <v>62020599</v>
      </c>
      <c r="H73" s="2" t="s">
        <v>44</v>
      </c>
      <c r="I73" s="2" t="s">
        <v>1049</v>
      </c>
      <c r="J73" s="2" t="s">
        <v>590</v>
      </c>
      <c r="K73" s="2" t="s">
        <v>124</v>
      </c>
      <c r="N73" s="2" t="s">
        <v>125</v>
      </c>
      <c r="O73" s="2" t="s">
        <v>159</v>
      </c>
      <c r="P73" t="s">
        <v>2628</v>
      </c>
      <c r="Q73" s="2" t="s">
        <v>35</v>
      </c>
      <c r="R73" s="2" t="s">
        <v>336</v>
      </c>
      <c r="T73" s="2" t="s">
        <v>168</v>
      </c>
      <c r="U73" s="153">
        <v>3.681</v>
      </c>
      <c r="V73" s="153">
        <v>46.441000000000003</v>
      </c>
      <c r="W73" s="153">
        <v>170.94900000000001</v>
      </c>
      <c r="Y73" s="167">
        <v>0.173529642789439</v>
      </c>
      <c r="Z73" s="167">
        <v>5.4374343712015397E-3</v>
      </c>
    </row>
    <row r="74" spans="1:26">
      <c r="A74" s="2" t="s">
        <v>26</v>
      </c>
      <c r="B74" s="2">
        <v>9937</v>
      </c>
      <c r="C74" s="2" t="s">
        <v>2617</v>
      </c>
      <c r="D74" s="2" t="s">
        <v>2618</v>
      </c>
      <c r="E74" s="2" t="s">
        <v>44</v>
      </c>
      <c r="F74" s="2" t="s">
        <v>2634</v>
      </c>
      <c r="G74" s="2">
        <v>62020649</v>
      </c>
      <c r="H74" s="2" t="s">
        <v>44</v>
      </c>
      <c r="I74" s="2" t="s">
        <v>1049</v>
      </c>
      <c r="J74" s="2" t="s">
        <v>590</v>
      </c>
      <c r="K74" s="2" t="s">
        <v>124</v>
      </c>
      <c r="N74" s="2" t="s">
        <v>125</v>
      </c>
      <c r="O74" s="2" t="s">
        <v>159</v>
      </c>
      <c r="P74" t="s">
        <v>2635</v>
      </c>
      <c r="Q74" s="2" t="s">
        <v>35</v>
      </c>
      <c r="R74" s="2" t="s">
        <v>336</v>
      </c>
      <c r="T74" s="2" t="s">
        <v>2636</v>
      </c>
      <c r="U74" s="153">
        <v>3.681</v>
      </c>
      <c r="V74" s="153">
        <v>51.750999999999998</v>
      </c>
      <c r="W74" s="153">
        <v>190.495</v>
      </c>
      <c r="Y74" s="167">
        <v>0.193370422254626</v>
      </c>
      <c r="Z74" s="167">
        <v>6.0591318200134596E-3</v>
      </c>
    </row>
    <row r="75" spans="1:26">
      <c r="A75" s="2" t="s">
        <v>26</v>
      </c>
      <c r="B75" s="2">
        <v>9937</v>
      </c>
      <c r="C75" s="2" t="s">
        <v>2677</v>
      </c>
      <c r="D75" s="2" t="s">
        <v>2678</v>
      </c>
      <c r="E75" s="2" t="s">
        <v>335</v>
      </c>
      <c r="F75" s="2" t="s">
        <v>2726</v>
      </c>
      <c r="G75" s="2">
        <v>62020797</v>
      </c>
      <c r="H75" s="2" t="s">
        <v>44</v>
      </c>
      <c r="I75" s="2" t="s">
        <v>1049</v>
      </c>
      <c r="J75" s="2" t="s">
        <v>590</v>
      </c>
      <c r="K75" s="2" t="s">
        <v>124</v>
      </c>
      <c r="N75" s="2" t="s">
        <v>125</v>
      </c>
      <c r="O75" s="2" t="s">
        <v>159</v>
      </c>
      <c r="P75" t="s">
        <v>2727</v>
      </c>
      <c r="Q75" s="2" t="s">
        <v>35</v>
      </c>
      <c r="R75" s="2" t="s">
        <v>336</v>
      </c>
      <c r="T75" s="2" t="s">
        <v>2591</v>
      </c>
      <c r="U75" s="153">
        <v>3.681</v>
      </c>
      <c r="V75" s="153">
        <v>49.433999999999997</v>
      </c>
      <c r="W75" s="153">
        <v>181.965</v>
      </c>
      <c r="Y75" s="167">
        <v>0.18471166683783</v>
      </c>
      <c r="Z75" s="167">
        <v>5.7878155563578799E-3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"/>
  <cols>
    <col min="1" max="4" width="11.58203125" style="2" customWidth="1"/>
    <col min="5" max="5" width="11.58203125" style="4" customWidth="1"/>
    <col min="6" max="10" width="11.58203125" style="2" customWidth="1"/>
    <col min="11" max="11" width="11.58203125" style="4" customWidth="1"/>
    <col min="12" max="29" width="11.582031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6</v>
      </c>
      <c r="J1" s="22" t="s">
        <v>7</v>
      </c>
      <c r="K1" s="22" t="s">
        <v>348</v>
      </c>
      <c r="L1" s="22" t="s">
        <v>1141</v>
      </c>
      <c r="M1" s="22" t="s">
        <v>172</v>
      </c>
      <c r="N1" s="22" t="s">
        <v>1142</v>
      </c>
      <c r="O1" s="22" t="s">
        <v>145</v>
      </c>
      <c r="P1" s="22" t="s">
        <v>180</v>
      </c>
      <c r="Q1" s="22" t="s">
        <v>11</v>
      </c>
      <c r="R1" s="22" t="s">
        <v>173</v>
      </c>
      <c r="S1" s="22" t="s">
        <v>174</v>
      </c>
      <c r="T1" s="22" t="s">
        <v>154</v>
      </c>
      <c r="U1" s="22" t="s">
        <v>1143</v>
      </c>
      <c r="V1" s="22" t="s">
        <v>1144</v>
      </c>
      <c r="W1" s="22" t="s">
        <v>17</v>
      </c>
      <c r="X1" s="22" t="s">
        <v>19</v>
      </c>
      <c r="Y1" s="22" t="s">
        <v>18</v>
      </c>
      <c r="Z1" s="22" t="s">
        <v>20</v>
      </c>
      <c r="AA1" s="166" t="s">
        <v>24</v>
      </c>
      <c r="AB1" s="166" t="s">
        <v>25</v>
      </c>
    </row>
    <row r="2" spans="1:28">
      <c r="A2" s="23" t="s">
        <v>26</v>
      </c>
      <c r="B2" s="23">
        <v>1522</v>
      </c>
      <c r="C2" s="23" t="s">
        <v>1354</v>
      </c>
      <c r="D2" s="23" t="s">
        <v>1355</v>
      </c>
      <c r="E2" s="21" t="s">
        <v>1345</v>
      </c>
      <c r="F2" s="23" t="s">
        <v>1356</v>
      </c>
      <c r="G2" s="23" t="s">
        <v>1357</v>
      </c>
      <c r="H2" s="23" t="s">
        <v>44</v>
      </c>
      <c r="I2" s="21" t="s">
        <v>31</v>
      </c>
      <c r="J2" s="21" t="s">
        <v>31</v>
      </c>
      <c r="K2" s="23" t="s">
        <v>336</v>
      </c>
      <c r="L2" s="23" t="s">
        <v>336</v>
      </c>
      <c r="M2" s="23" t="s">
        <v>459</v>
      </c>
      <c r="N2" s="23" t="s">
        <v>1358</v>
      </c>
      <c r="O2" s="23" t="s">
        <v>159</v>
      </c>
      <c r="P2" s="23" t="s">
        <v>1359</v>
      </c>
      <c r="Q2" s="21" t="s">
        <v>45</v>
      </c>
      <c r="R2" s="23" t="s">
        <v>336</v>
      </c>
      <c r="S2" s="23"/>
      <c r="T2" s="23" t="s">
        <v>1360</v>
      </c>
      <c r="U2" s="156">
        <v>350</v>
      </c>
      <c r="V2" s="156">
        <v>1</v>
      </c>
      <c r="W2" s="156">
        <v>4.12</v>
      </c>
      <c r="X2" s="156">
        <v>0</v>
      </c>
      <c r="Y2" s="156">
        <v>1</v>
      </c>
      <c r="Z2" s="156">
        <v>0</v>
      </c>
      <c r="AA2" s="173">
        <v>3.8030725742809904E-9</v>
      </c>
      <c r="AB2" s="173">
        <v>4.0841992853140498E-13</v>
      </c>
    </row>
    <row r="3" spans="1:28">
      <c r="A3" s="23" t="s">
        <v>26</v>
      </c>
      <c r="B3" s="23">
        <v>1522</v>
      </c>
      <c r="C3" s="23" t="s">
        <v>1361</v>
      </c>
      <c r="D3" s="23" t="s">
        <v>1362</v>
      </c>
      <c r="E3" s="21" t="s">
        <v>1345</v>
      </c>
      <c r="F3" s="23" t="s">
        <v>1363</v>
      </c>
      <c r="G3" s="23" t="s">
        <v>1364</v>
      </c>
      <c r="H3" s="23" t="s">
        <v>44</v>
      </c>
      <c r="I3" s="21" t="s">
        <v>31</v>
      </c>
      <c r="J3" s="21" t="s">
        <v>31</v>
      </c>
      <c r="K3" s="23" t="s">
        <v>351</v>
      </c>
      <c r="L3" s="23" t="s">
        <v>336</v>
      </c>
      <c r="M3" s="23" t="s">
        <v>461</v>
      </c>
      <c r="N3" s="23" t="s">
        <v>1365</v>
      </c>
      <c r="O3" s="23" t="s">
        <v>159</v>
      </c>
      <c r="P3" s="23" t="s">
        <v>1366</v>
      </c>
      <c r="Q3" s="21" t="s">
        <v>45</v>
      </c>
      <c r="R3" s="23" t="s">
        <v>336</v>
      </c>
      <c r="S3" s="23"/>
      <c r="T3" s="23" t="s">
        <v>168</v>
      </c>
      <c r="U3" s="156">
        <v>11200</v>
      </c>
      <c r="V3" s="156">
        <v>0</v>
      </c>
      <c r="W3" s="156">
        <v>192</v>
      </c>
      <c r="X3" s="156">
        <v>554.06899999999996</v>
      </c>
      <c r="Y3" s="156">
        <v>1</v>
      </c>
      <c r="Z3" s="156">
        <v>1.0640000000000001</v>
      </c>
      <c r="AA3" s="173">
        <v>0.98198033680232499</v>
      </c>
      <c r="AB3" s="173">
        <v>1.05456924931777E-4</v>
      </c>
    </row>
    <row r="4" spans="1:28">
      <c r="A4" s="23" t="s">
        <v>26</v>
      </c>
      <c r="B4" s="23">
        <v>1522</v>
      </c>
      <c r="C4" s="23" t="s">
        <v>1367</v>
      </c>
      <c r="D4" s="23" t="s">
        <v>1368</v>
      </c>
      <c r="E4" s="21" t="s">
        <v>1345</v>
      </c>
      <c r="F4" s="23" t="s">
        <v>1369</v>
      </c>
      <c r="G4" s="23" t="s">
        <v>1370</v>
      </c>
      <c r="H4" s="23" t="s">
        <v>343</v>
      </c>
      <c r="I4" s="21" t="s">
        <v>31</v>
      </c>
      <c r="J4" s="21" t="s">
        <v>31</v>
      </c>
      <c r="K4" s="23" t="s">
        <v>351</v>
      </c>
      <c r="L4" s="23" t="s">
        <v>336</v>
      </c>
      <c r="M4" s="23" t="s">
        <v>498</v>
      </c>
      <c r="N4" s="23" t="s">
        <v>1371</v>
      </c>
      <c r="O4" s="23" t="s">
        <v>159</v>
      </c>
      <c r="P4" s="23" t="s">
        <v>1372</v>
      </c>
      <c r="Q4" s="21" t="s">
        <v>45</v>
      </c>
      <c r="R4" s="23" t="s">
        <v>336</v>
      </c>
      <c r="S4" s="23"/>
      <c r="T4" s="23" t="s">
        <v>168</v>
      </c>
      <c r="U4" s="156">
        <v>22.5</v>
      </c>
      <c r="V4" s="156">
        <v>1</v>
      </c>
      <c r="W4" s="156">
        <v>346</v>
      </c>
      <c r="X4" s="156">
        <v>5.6420000000000003</v>
      </c>
      <c r="Y4" s="156">
        <v>1</v>
      </c>
      <c r="Z4" s="156">
        <v>0.02</v>
      </c>
      <c r="AA4" s="173">
        <v>1.8019659394602601E-2</v>
      </c>
      <c r="AB4" s="173">
        <v>1.93516896098026E-6</v>
      </c>
    </row>
    <row r="5" spans="1:28">
      <c r="A5" s="23" t="s">
        <v>26</v>
      </c>
      <c r="B5" s="23">
        <v>9935</v>
      </c>
      <c r="C5" s="23" t="s">
        <v>1354</v>
      </c>
      <c r="D5" s="23" t="s">
        <v>1355</v>
      </c>
      <c r="E5" s="21" t="s">
        <v>1345</v>
      </c>
      <c r="F5" s="23" t="s">
        <v>1356</v>
      </c>
      <c r="G5" s="23" t="s">
        <v>1357</v>
      </c>
      <c r="H5" s="23" t="s">
        <v>44</v>
      </c>
      <c r="I5" s="21" t="s">
        <v>31</v>
      </c>
      <c r="J5" s="21" t="s">
        <v>31</v>
      </c>
      <c r="K5" s="23" t="s">
        <v>336</v>
      </c>
      <c r="L5" s="23" t="s">
        <v>336</v>
      </c>
      <c r="M5" s="23" t="s">
        <v>459</v>
      </c>
      <c r="N5" s="23" t="s">
        <v>1358</v>
      </c>
      <c r="O5" s="23" t="s">
        <v>159</v>
      </c>
      <c r="P5" s="23" t="s">
        <v>1359</v>
      </c>
      <c r="Q5" s="21" t="s">
        <v>45</v>
      </c>
      <c r="R5" s="23" t="s">
        <v>336</v>
      </c>
      <c r="S5" s="23"/>
      <c r="T5" s="23" t="s">
        <v>1360</v>
      </c>
      <c r="U5" s="156">
        <v>350</v>
      </c>
      <c r="V5" s="156">
        <v>1</v>
      </c>
      <c r="W5" s="156">
        <v>227.02</v>
      </c>
      <c r="X5" s="156">
        <v>0</v>
      </c>
      <c r="Y5" s="156">
        <v>1</v>
      </c>
      <c r="Z5" s="156">
        <v>0</v>
      </c>
      <c r="AA5" s="173">
        <v>2.5205593564646599E-8</v>
      </c>
      <c r="AB5" s="173">
        <v>2.0709748488213998E-13</v>
      </c>
    </row>
    <row r="6" spans="1:28">
      <c r="A6" s="23" t="s">
        <v>26</v>
      </c>
      <c r="B6" s="23">
        <v>9935</v>
      </c>
      <c r="C6" s="23" t="s">
        <v>1361</v>
      </c>
      <c r="D6" s="23" t="s">
        <v>1362</v>
      </c>
      <c r="E6" s="21" t="s">
        <v>1345</v>
      </c>
      <c r="F6" s="23" t="s">
        <v>1363</v>
      </c>
      <c r="G6" s="23" t="s">
        <v>1364</v>
      </c>
      <c r="H6" s="23" t="s">
        <v>44</v>
      </c>
      <c r="I6" s="21" t="s">
        <v>31</v>
      </c>
      <c r="J6" s="21" t="s">
        <v>31</v>
      </c>
      <c r="K6" s="23" t="s">
        <v>351</v>
      </c>
      <c r="L6" s="23" t="s">
        <v>336</v>
      </c>
      <c r="M6" s="23" t="s">
        <v>461</v>
      </c>
      <c r="N6" s="23" t="s">
        <v>1365</v>
      </c>
      <c r="O6" s="23" t="s">
        <v>159</v>
      </c>
      <c r="P6" s="23" t="s">
        <v>1366</v>
      </c>
      <c r="Q6" s="21" t="s">
        <v>45</v>
      </c>
      <c r="R6" s="23" t="s">
        <v>336</v>
      </c>
      <c r="S6" s="23"/>
      <c r="T6" s="23" t="s">
        <v>168</v>
      </c>
      <c r="U6" s="156">
        <v>11200</v>
      </c>
      <c r="V6" s="156">
        <v>0</v>
      </c>
      <c r="W6" s="156">
        <v>1444</v>
      </c>
      <c r="X6" s="156">
        <v>554.06899999999996</v>
      </c>
      <c r="Y6" s="156">
        <v>1</v>
      </c>
      <c r="Z6" s="156">
        <v>8.0009999999999994</v>
      </c>
      <c r="AA6" s="173">
        <v>0.88830921772279803</v>
      </c>
      <c r="AB6" s="173">
        <v>7.2986420381722197E-6</v>
      </c>
    </row>
    <row r="7" spans="1:28">
      <c r="A7" s="23" t="s">
        <v>26</v>
      </c>
      <c r="B7" s="23">
        <v>9935</v>
      </c>
      <c r="C7" s="23" t="s">
        <v>1367</v>
      </c>
      <c r="D7" s="23" t="s">
        <v>1368</v>
      </c>
      <c r="E7" s="21" t="s">
        <v>1345</v>
      </c>
      <c r="F7" s="23" t="s">
        <v>1369</v>
      </c>
      <c r="G7" s="23" t="s">
        <v>1370</v>
      </c>
      <c r="H7" s="23" t="s">
        <v>343</v>
      </c>
      <c r="I7" s="21" t="s">
        <v>31</v>
      </c>
      <c r="J7" s="21" t="s">
        <v>31</v>
      </c>
      <c r="K7" s="23" t="s">
        <v>351</v>
      </c>
      <c r="L7" s="23" t="s">
        <v>336</v>
      </c>
      <c r="M7" s="23" t="s">
        <v>498</v>
      </c>
      <c r="N7" s="23" t="s">
        <v>1371</v>
      </c>
      <c r="O7" s="23" t="s">
        <v>159</v>
      </c>
      <c r="P7" s="23" t="s">
        <v>1372</v>
      </c>
      <c r="Q7" s="21" t="s">
        <v>45</v>
      </c>
      <c r="R7" s="23" t="s">
        <v>336</v>
      </c>
      <c r="S7" s="23"/>
      <c r="T7" s="23" t="s">
        <v>168</v>
      </c>
      <c r="U7" s="156">
        <v>22.5</v>
      </c>
      <c r="V7" s="156">
        <v>1</v>
      </c>
      <c r="W7" s="156">
        <v>17830</v>
      </c>
      <c r="X7" s="156">
        <v>5.6420000000000003</v>
      </c>
      <c r="Y7" s="156">
        <v>1</v>
      </c>
      <c r="Z7" s="156">
        <v>1.006</v>
      </c>
      <c r="AA7" s="173">
        <v>0.111690757071608</v>
      </c>
      <c r="AB7" s="173">
        <v>9.1768816373186205E-7</v>
      </c>
    </row>
    <row r="8" spans="1:28">
      <c r="A8" s="23" t="s">
        <v>26</v>
      </c>
      <c r="B8" s="23">
        <v>9936</v>
      </c>
      <c r="C8" s="23" t="s">
        <v>1354</v>
      </c>
      <c r="D8" s="23" t="s">
        <v>1355</v>
      </c>
      <c r="E8" s="21" t="s">
        <v>1345</v>
      </c>
      <c r="F8" s="23" t="s">
        <v>1356</v>
      </c>
      <c r="G8" s="23" t="s">
        <v>1357</v>
      </c>
      <c r="H8" s="23" t="s">
        <v>44</v>
      </c>
      <c r="I8" s="21" t="s">
        <v>31</v>
      </c>
      <c r="J8" s="21" t="s">
        <v>31</v>
      </c>
      <c r="K8" s="23" t="s">
        <v>336</v>
      </c>
      <c r="L8" s="23" t="s">
        <v>336</v>
      </c>
      <c r="M8" s="23" t="s">
        <v>459</v>
      </c>
      <c r="N8" s="23" t="s">
        <v>1358</v>
      </c>
      <c r="O8" s="23" t="s">
        <v>159</v>
      </c>
      <c r="P8" s="23" t="s">
        <v>1359</v>
      </c>
      <c r="Q8" s="21" t="s">
        <v>45</v>
      </c>
      <c r="R8" s="23" t="s">
        <v>336</v>
      </c>
      <c r="S8" s="23"/>
      <c r="T8" s="23" t="s">
        <v>1360</v>
      </c>
      <c r="U8" s="156">
        <v>350</v>
      </c>
      <c r="V8" s="156">
        <v>1</v>
      </c>
      <c r="W8" s="156">
        <v>4.3</v>
      </c>
      <c r="X8" s="156">
        <v>0</v>
      </c>
      <c r="Y8" s="156">
        <v>1</v>
      </c>
      <c r="Z8" s="156">
        <v>0</v>
      </c>
      <c r="AA8" s="173">
        <v>1.48253032993389E-8</v>
      </c>
      <c r="AB8" s="173">
        <v>2.8247372309318999E-13</v>
      </c>
    </row>
    <row r="9" spans="1:28">
      <c r="A9" s="23" t="s">
        <v>26</v>
      </c>
      <c r="B9" s="23">
        <v>9936</v>
      </c>
      <c r="C9" s="23" t="s">
        <v>1361</v>
      </c>
      <c r="D9" s="23" t="s">
        <v>1362</v>
      </c>
      <c r="E9" s="21" t="s">
        <v>1345</v>
      </c>
      <c r="F9" s="23" t="s">
        <v>1363</v>
      </c>
      <c r="G9" s="23" t="s">
        <v>1364</v>
      </c>
      <c r="H9" s="23" t="s">
        <v>44</v>
      </c>
      <c r="I9" s="21" t="s">
        <v>31</v>
      </c>
      <c r="J9" s="21" t="s">
        <v>31</v>
      </c>
      <c r="K9" s="23" t="s">
        <v>351</v>
      </c>
      <c r="L9" s="23" t="s">
        <v>336</v>
      </c>
      <c r="M9" s="23" t="s">
        <v>461</v>
      </c>
      <c r="N9" s="23" t="s">
        <v>1365</v>
      </c>
      <c r="O9" s="23" t="s">
        <v>159</v>
      </c>
      <c r="P9" s="23" t="s">
        <v>1366</v>
      </c>
      <c r="Q9" s="21" t="s">
        <v>45</v>
      </c>
      <c r="R9" s="23" t="s">
        <v>336</v>
      </c>
      <c r="S9" s="23"/>
      <c r="T9" s="23" t="s">
        <v>168</v>
      </c>
      <c r="U9" s="156">
        <v>11200</v>
      </c>
      <c r="V9" s="156">
        <v>0</v>
      </c>
      <c r="W9" s="156">
        <v>48</v>
      </c>
      <c r="X9" s="156">
        <v>554.06899999999996</v>
      </c>
      <c r="Y9" s="156">
        <v>1</v>
      </c>
      <c r="Z9" s="156">
        <v>0.26600000000000001</v>
      </c>
      <c r="AA9" s="173">
        <v>0.91693918927062801</v>
      </c>
      <c r="AB9" s="173">
        <v>1.7470888885954599E-5</v>
      </c>
    </row>
    <row r="10" spans="1:28">
      <c r="A10" s="23" t="s">
        <v>26</v>
      </c>
      <c r="B10" s="23">
        <v>9936</v>
      </c>
      <c r="C10" s="23" t="s">
        <v>1367</v>
      </c>
      <c r="D10" s="23" t="s">
        <v>1368</v>
      </c>
      <c r="E10" s="21" t="s">
        <v>1345</v>
      </c>
      <c r="F10" s="23" t="s">
        <v>1369</v>
      </c>
      <c r="G10" s="23" t="s">
        <v>1370</v>
      </c>
      <c r="H10" s="23" t="s">
        <v>343</v>
      </c>
      <c r="I10" s="21" t="s">
        <v>31</v>
      </c>
      <c r="J10" s="21" t="s">
        <v>31</v>
      </c>
      <c r="K10" s="23" t="s">
        <v>351</v>
      </c>
      <c r="L10" s="23" t="s">
        <v>336</v>
      </c>
      <c r="M10" s="23" t="s">
        <v>498</v>
      </c>
      <c r="N10" s="23" t="s">
        <v>1371</v>
      </c>
      <c r="O10" s="23" t="s">
        <v>159</v>
      </c>
      <c r="P10" s="23" t="s">
        <v>1372</v>
      </c>
      <c r="Q10" s="21" t="s">
        <v>45</v>
      </c>
      <c r="R10" s="23" t="s">
        <v>336</v>
      </c>
      <c r="S10" s="23"/>
      <c r="T10" s="23" t="s">
        <v>168</v>
      </c>
      <c r="U10" s="156">
        <v>22.5</v>
      </c>
      <c r="V10" s="156">
        <v>1</v>
      </c>
      <c r="W10" s="156">
        <v>427</v>
      </c>
      <c r="X10" s="156">
        <v>5.6420000000000003</v>
      </c>
      <c r="Y10" s="156">
        <v>1</v>
      </c>
      <c r="Z10" s="156">
        <v>2.4E-2</v>
      </c>
      <c r="AA10" s="173">
        <v>8.3060795904068493E-2</v>
      </c>
      <c r="AB10" s="173">
        <v>1.5825977916520699E-6</v>
      </c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"/>
  <cols>
    <col min="1" max="4" width="11.58203125" style="2" customWidth="1"/>
    <col min="5" max="5" width="11.58203125" style="4" customWidth="1"/>
    <col min="6" max="29" width="11.582031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172</v>
      </c>
      <c r="M1" s="22" t="s">
        <v>195</v>
      </c>
      <c r="N1" s="22" t="s">
        <v>1142</v>
      </c>
      <c r="O1" s="22" t="s">
        <v>145</v>
      </c>
      <c r="P1" s="22" t="s">
        <v>180</v>
      </c>
      <c r="Q1" s="22" t="s">
        <v>11</v>
      </c>
      <c r="R1" s="22" t="s">
        <v>173</v>
      </c>
      <c r="S1" s="22" t="s">
        <v>174</v>
      </c>
      <c r="T1" s="22" t="s">
        <v>154</v>
      </c>
      <c r="U1" s="22" t="s">
        <v>1143</v>
      </c>
      <c r="V1" s="22" t="s">
        <v>1144</v>
      </c>
      <c r="W1" s="22" t="s">
        <v>17</v>
      </c>
      <c r="X1" s="22" t="s">
        <v>19</v>
      </c>
      <c r="Y1" s="22" t="s">
        <v>18</v>
      </c>
      <c r="Z1" s="22" t="s">
        <v>1373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"/>
  <cols>
    <col min="1" max="33" width="11.58203125" style="11" customWidth="1"/>
    <col min="34" max="34" width="11.58203125" style="147" customWidth="1"/>
    <col min="35" max="39" width="11.58203125" style="11" customWidth="1"/>
    <col min="40" max="41" width="11.582031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1157</v>
      </c>
      <c r="E1" s="22" t="s">
        <v>1158</v>
      </c>
      <c r="F1" s="22" t="s">
        <v>18</v>
      </c>
      <c r="G1" s="22" t="s">
        <v>1159</v>
      </c>
      <c r="H1" s="22" t="s">
        <v>1160</v>
      </c>
      <c r="I1" s="22" t="s">
        <v>1161</v>
      </c>
      <c r="J1" s="22" t="s">
        <v>1162</v>
      </c>
      <c r="K1" s="22" t="s">
        <v>1163</v>
      </c>
      <c r="L1" s="22" t="s">
        <v>1164</v>
      </c>
      <c r="M1" s="22" t="s">
        <v>18</v>
      </c>
      <c r="N1" s="22" t="s">
        <v>1165</v>
      </c>
      <c r="O1" s="22" t="s">
        <v>1166</v>
      </c>
      <c r="P1" s="22" t="s">
        <v>1320</v>
      </c>
      <c r="Q1" s="22" t="s">
        <v>1321</v>
      </c>
      <c r="R1" s="22" t="s">
        <v>1322</v>
      </c>
      <c r="S1" s="22" t="s">
        <v>6</v>
      </c>
      <c r="T1" s="22" t="s">
        <v>7</v>
      </c>
      <c r="U1" s="22" t="s">
        <v>1170</v>
      </c>
      <c r="V1" s="22" t="s">
        <v>950</v>
      </c>
      <c r="W1" s="22" t="s">
        <v>957</v>
      </c>
      <c r="X1" s="22" t="s">
        <v>346</v>
      </c>
      <c r="Y1" s="22" t="s">
        <v>145</v>
      </c>
      <c r="Z1" s="22" t="s">
        <v>1171</v>
      </c>
      <c r="AA1" s="22" t="s">
        <v>1172</v>
      </c>
      <c r="AB1" s="22" t="s">
        <v>921</v>
      </c>
      <c r="AC1" s="22" t="s">
        <v>929</v>
      </c>
      <c r="AD1" s="22" t="s">
        <v>1173</v>
      </c>
      <c r="AE1" s="22" t="s">
        <v>947</v>
      </c>
      <c r="AF1" s="22" t="s">
        <v>932</v>
      </c>
      <c r="AG1" s="22" t="s">
        <v>943</v>
      </c>
      <c r="AH1" s="162" t="s">
        <v>1174</v>
      </c>
      <c r="AI1" s="22" t="s">
        <v>1175</v>
      </c>
      <c r="AJ1" s="22" t="s">
        <v>1176</v>
      </c>
      <c r="AK1" s="22" t="s">
        <v>972</v>
      </c>
      <c r="AL1" s="22" t="s">
        <v>1177</v>
      </c>
      <c r="AM1" s="22" t="s">
        <v>1178</v>
      </c>
      <c r="AN1" s="166" t="s">
        <v>24</v>
      </c>
      <c r="AO1" s="166" t="s">
        <v>25</v>
      </c>
    </row>
    <row r="2" spans="1:41">
      <c r="A2" s="12" t="s">
        <v>26</v>
      </c>
      <c r="B2" s="12" t="s">
        <v>1323</v>
      </c>
      <c r="C2" s="12" t="s">
        <v>1068</v>
      </c>
      <c r="D2" s="1" t="s">
        <v>1324</v>
      </c>
      <c r="E2" s="12" t="s">
        <v>1206</v>
      </c>
      <c r="F2" s="160">
        <v>3.9790999999999999</v>
      </c>
      <c r="G2" s="160">
        <v>-55000</v>
      </c>
      <c r="H2" s="152">
        <v>216.69300000000001</v>
      </c>
      <c r="I2" s="161">
        <v>1</v>
      </c>
      <c r="J2" s="152">
        <v>1.4E-5</v>
      </c>
      <c r="K2" s="11" t="s">
        <v>1324</v>
      </c>
      <c r="L2" s="12" t="s">
        <v>45</v>
      </c>
      <c r="M2" s="161">
        <v>1</v>
      </c>
      <c r="N2" s="161">
        <v>218900</v>
      </c>
      <c r="O2" s="161">
        <v>-216.65199999999999</v>
      </c>
      <c r="P2" s="161">
        <v>-1.4E-5</v>
      </c>
      <c r="Q2" s="161">
        <v>1</v>
      </c>
      <c r="R2" s="160">
        <v>4.2000000000000003E-2</v>
      </c>
      <c r="S2" s="11" t="s">
        <v>31</v>
      </c>
      <c r="T2" s="21" t="s">
        <v>31</v>
      </c>
      <c r="U2" s="12" t="s">
        <v>768</v>
      </c>
      <c r="V2" s="12" t="s">
        <v>336</v>
      </c>
      <c r="W2" s="11" t="s">
        <v>336</v>
      </c>
      <c r="X2" s="12" t="s">
        <v>1206</v>
      </c>
      <c r="Y2" s="12" t="s">
        <v>159</v>
      </c>
      <c r="Z2" s="1" t="s">
        <v>1325</v>
      </c>
      <c r="AA2" s="27" t="s">
        <v>1326</v>
      </c>
      <c r="AB2" s="12" t="s">
        <v>925</v>
      </c>
      <c r="AC2" s="12" t="s">
        <v>931</v>
      </c>
      <c r="AD2" s="12" t="s">
        <v>159</v>
      </c>
      <c r="AE2" s="12" t="s">
        <v>949</v>
      </c>
      <c r="AF2" s="12" t="s">
        <v>590</v>
      </c>
      <c r="AG2" s="12" t="s">
        <v>925</v>
      </c>
      <c r="AH2" s="177">
        <v>3.89</v>
      </c>
      <c r="AI2" s="160">
        <v>-393.98700000000002</v>
      </c>
      <c r="AJ2" s="11" t="s">
        <v>1327</v>
      </c>
      <c r="AK2" s="12" t="s">
        <v>159</v>
      </c>
      <c r="AL2" s="11" t="s">
        <v>1328</v>
      </c>
      <c r="AM2" s="11" t="s">
        <v>1329</v>
      </c>
      <c r="AN2" s="173">
        <v>1</v>
      </c>
      <c r="AO2" s="173">
        <v>0</v>
      </c>
    </row>
    <row r="3" spans="1:41">
      <c r="A3" s="12" t="s">
        <v>26</v>
      </c>
      <c r="B3" s="12" t="s">
        <v>1330</v>
      </c>
      <c r="C3" s="12" t="s">
        <v>1068</v>
      </c>
      <c r="D3" s="1" t="s">
        <v>1331</v>
      </c>
      <c r="E3" s="12" t="s">
        <v>35</v>
      </c>
      <c r="F3" s="160">
        <v>3.681</v>
      </c>
      <c r="G3" s="160">
        <v>-5300000</v>
      </c>
      <c r="H3" s="152">
        <v>19145.846000000001</v>
      </c>
      <c r="I3" s="161">
        <v>9.3310000000000004E-2</v>
      </c>
      <c r="J3" s="152">
        <v>1.7E-5</v>
      </c>
      <c r="K3" s="11" t="s">
        <v>1331</v>
      </c>
      <c r="L3" s="12" t="s">
        <v>45</v>
      </c>
      <c r="M3" s="161">
        <v>1</v>
      </c>
      <c r="N3" s="161">
        <v>19345000</v>
      </c>
      <c r="O3" s="161">
        <v>-19238.046999999999</v>
      </c>
      <c r="P3" s="161">
        <v>-1.8E-5</v>
      </c>
      <c r="Q3" s="161">
        <v>9.3419000000000002E-2</v>
      </c>
      <c r="R3" s="160">
        <v>-92.201999999999998</v>
      </c>
      <c r="S3" s="11" t="s">
        <v>31</v>
      </c>
      <c r="T3" s="21" t="s">
        <v>31</v>
      </c>
      <c r="U3" s="12" t="s">
        <v>768</v>
      </c>
      <c r="V3" s="12" t="s">
        <v>336</v>
      </c>
      <c r="W3" s="11" t="s">
        <v>336</v>
      </c>
      <c r="X3" s="12" t="s">
        <v>1332</v>
      </c>
      <c r="Y3" s="12" t="s">
        <v>159</v>
      </c>
      <c r="Z3" s="1" t="s">
        <v>1333</v>
      </c>
      <c r="AA3" s="27" t="s">
        <v>1326</v>
      </c>
      <c r="AB3" s="12" t="s">
        <v>925</v>
      </c>
      <c r="AC3" s="12" t="s">
        <v>931</v>
      </c>
      <c r="AD3" s="12" t="s">
        <v>159</v>
      </c>
      <c r="AE3" s="12" t="s">
        <v>949</v>
      </c>
      <c r="AF3" s="12" t="s">
        <v>590</v>
      </c>
      <c r="AG3" s="12" t="s">
        <v>925</v>
      </c>
      <c r="AH3" s="164">
        <v>5.56</v>
      </c>
      <c r="AI3" s="160">
        <v>-361.24200000000002</v>
      </c>
      <c r="AJ3" s="12" t="s">
        <v>1334</v>
      </c>
      <c r="AK3" s="12" t="s">
        <v>159</v>
      </c>
      <c r="AL3" s="11" t="s">
        <v>1328</v>
      </c>
      <c r="AM3" s="11" t="s">
        <v>1329</v>
      </c>
      <c r="AN3" s="173">
        <v>0.123081</v>
      </c>
      <c r="AO3" s="173">
        <v>0</v>
      </c>
    </row>
    <row r="4" spans="1:41">
      <c r="A4" s="12" t="s">
        <v>26</v>
      </c>
      <c r="B4" s="12" t="s">
        <v>1330</v>
      </c>
      <c r="C4" s="12" t="s">
        <v>1068</v>
      </c>
      <c r="D4" s="1" t="s">
        <v>1335</v>
      </c>
      <c r="E4" s="12" t="s">
        <v>1206</v>
      </c>
      <c r="F4" s="160">
        <v>3.9790999999999999</v>
      </c>
      <c r="G4" s="160">
        <v>-2000000</v>
      </c>
      <c r="H4" s="152">
        <v>7877.7790000000005</v>
      </c>
      <c r="I4" s="161">
        <v>3.8393999999999998E-2</v>
      </c>
      <c r="J4" s="152">
        <v>6.9999999999999999E-6</v>
      </c>
      <c r="K4" s="11" t="s">
        <v>1335</v>
      </c>
      <c r="L4" s="12" t="s">
        <v>45</v>
      </c>
      <c r="M4" s="161">
        <v>1</v>
      </c>
      <c r="N4" s="161">
        <v>7958000</v>
      </c>
      <c r="O4" s="161">
        <v>-7878.2370000000001</v>
      </c>
      <c r="P4" s="161">
        <v>-6.9999999999999999E-6</v>
      </c>
      <c r="Q4" s="161">
        <v>3.8255999999999998E-2</v>
      </c>
      <c r="R4" s="160">
        <v>-0.45900000000000002</v>
      </c>
      <c r="S4" s="11" t="s">
        <v>31</v>
      </c>
      <c r="T4" s="21" t="s">
        <v>31</v>
      </c>
      <c r="U4" s="12" t="s">
        <v>768</v>
      </c>
      <c r="V4" s="12" t="s">
        <v>336</v>
      </c>
      <c r="W4" s="11" t="s">
        <v>336</v>
      </c>
      <c r="X4" s="12" t="s">
        <v>1336</v>
      </c>
      <c r="Y4" s="12" t="s">
        <v>159</v>
      </c>
      <c r="Z4" s="1" t="s">
        <v>1333</v>
      </c>
      <c r="AA4" s="27" t="s">
        <v>1326</v>
      </c>
      <c r="AB4" s="12" t="s">
        <v>925</v>
      </c>
      <c r="AC4" s="12" t="s">
        <v>931</v>
      </c>
      <c r="AD4" s="12" t="s">
        <v>159</v>
      </c>
      <c r="AE4" s="12" t="s">
        <v>949</v>
      </c>
      <c r="AF4" s="12" t="s">
        <v>590</v>
      </c>
      <c r="AG4" s="12" t="s">
        <v>925</v>
      </c>
      <c r="AH4" s="164">
        <v>3.89</v>
      </c>
      <c r="AI4" s="160">
        <v>-393.88799999999998</v>
      </c>
      <c r="AJ4" s="12" t="s">
        <v>1327</v>
      </c>
      <c r="AK4" s="12" t="s">
        <v>159</v>
      </c>
      <c r="AL4" s="11" t="s">
        <v>1328</v>
      </c>
      <c r="AM4" s="11" t="s">
        <v>1329</v>
      </c>
      <c r="AN4" s="173">
        <v>6.1300000000000005E-4</v>
      </c>
      <c r="AO4" s="173">
        <v>0</v>
      </c>
    </row>
    <row r="5" spans="1:41">
      <c r="A5" s="12" t="s">
        <v>26</v>
      </c>
      <c r="B5" s="12" t="s">
        <v>1330</v>
      </c>
      <c r="C5" s="12" t="s">
        <v>1068</v>
      </c>
      <c r="D5" s="1" t="s">
        <v>1337</v>
      </c>
      <c r="E5" s="12" t="s">
        <v>35</v>
      </c>
      <c r="F5" s="160">
        <v>3.681</v>
      </c>
      <c r="G5" s="160">
        <v>-2100000</v>
      </c>
      <c r="H5" s="152">
        <v>7620.5870000000004</v>
      </c>
      <c r="I5" s="161">
        <v>3.7139999999999999E-2</v>
      </c>
      <c r="J5" s="152">
        <v>6.9999999999999999E-6</v>
      </c>
      <c r="K5" s="11" t="s">
        <v>1337</v>
      </c>
      <c r="L5" s="12" t="s">
        <v>45</v>
      </c>
      <c r="M5" s="161">
        <v>1</v>
      </c>
      <c r="N5" s="161">
        <v>7699860</v>
      </c>
      <c r="O5" s="161">
        <v>-7622.6180000000004</v>
      </c>
      <c r="P5" s="161">
        <v>-6.9999999999999999E-6</v>
      </c>
      <c r="Q5" s="161">
        <v>3.7014999999999999E-2</v>
      </c>
      <c r="R5" s="160">
        <v>-2.032</v>
      </c>
      <c r="S5" s="11" t="s">
        <v>31</v>
      </c>
      <c r="T5" s="21" t="s">
        <v>31</v>
      </c>
      <c r="U5" s="12" t="s">
        <v>768</v>
      </c>
      <c r="V5" s="12" t="s">
        <v>336</v>
      </c>
      <c r="W5" s="11" t="s">
        <v>336</v>
      </c>
      <c r="X5" s="12" t="s">
        <v>1332</v>
      </c>
      <c r="Y5" s="12" t="s">
        <v>159</v>
      </c>
      <c r="Z5" s="1" t="s">
        <v>1325</v>
      </c>
      <c r="AA5" s="27" t="s">
        <v>1326</v>
      </c>
      <c r="AB5" s="12" t="s">
        <v>925</v>
      </c>
      <c r="AC5" s="12" t="s">
        <v>931</v>
      </c>
      <c r="AD5" s="12" t="s">
        <v>159</v>
      </c>
      <c r="AE5" s="12" t="s">
        <v>949</v>
      </c>
      <c r="AF5" s="12" t="s">
        <v>590</v>
      </c>
      <c r="AG5" s="12" t="s">
        <v>925</v>
      </c>
      <c r="AH5" s="164">
        <v>5.56</v>
      </c>
      <c r="AI5" s="160">
        <v>-362.88499999999999</v>
      </c>
      <c r="AJ5" s="12" t="s">
        <v>1338</v>
      </c>
      <c r="AK5" s="12" t="s">
        <v>159</v>
      </c>
      <c r="AL5" s="11" t="s">
        <v>1328</v>
      </c>
      <c r="AM5" s="11" t="s">
        <v>1329</v>
      </c>
      <c r="AN5" s="173">
        <v>2.7130000000000001E-3</v>
      </c>
      <c r="AO5" s="173">
        <v>0</v>
      </c>
    </row>
    <row r="6" spans="1:41">
      <c r="A6" s="12" t="s">
        <v>26</v>
      </c>
      <c r="B6" s="12" t="s">
        <v>1330</v>
      </c>
      <c r="C6" s="12" t="s">
        <v>1068</v>
      </c>
      <c r="D6" s="1" t="s">
        <v>1324</v>
      </c>
      <c r="E6" s="12" t="s">
        <v>1206</v>
      </c>
      <c r="F6" s="160">
        <v>3.9790999999999999</v>
      </c>
      <c r="G6" s="160">
        <v>-2900000</v>
      </c>
      <c r="H6" s="152">
        <v>11425.647999999999</v>
      </c>
      <c r="I6" s="161">
        <v>5.5684999999999998E-2</v>
      </c>
      <c r="J6" s="152">
        <v>1.0000000000000001E-5</v>
      </c>
      <c r="K6" s="11" t="s">
        <v>1324</v>
      </c>
      <c r="L6" s="12" t="s">
        <v>45</v>
      </c>
      <c r="M6" s="161">
        <v>1</v>
      </c>
      <c r="N6" s="161">
        <v>11542000</v>
      </c>
      <c r="O6" s="161">
        <v>-11423.442999999999</v>
      </c>
      <c r="P6" s="161">
        <v>-1.0000000000000001E-5</v>
      </c>
      <c r="Q6" s="161">
        <v>5.5470999999999999E-2</v>
      </c>
      <c r="R6" s="160">
        <v>2.2050000000000001</v>
      </c>
      <c r="S6" s="11" t="s">
        <v>31</v>
      </c>
      <c r="T6" s="21" t="s">
        <v>31</v>
      </c>
      <c r="U6" s="12" t="s">
        <v>768</v>
      </c>
      <c r="V6" s="12" t="s">
        <v>336</v>
      </c>
      <c r="W6" s="11" t="s">
        <v>336</v>
      </c>
      <c r="X6" s="12" t="s">
        <v>1206</v>
      </c>
      <c r="Y6" s="12" t="s">
        <v>159</v>
      </c>
      <c r="Z6" s="1" t="s">
        <v>1325</v>
      </c>
      <c r="AA6" s="27" t="s">
        <v>1326</v>
      </c>
      <c r="AB6" s="12" t="s">
        <v>925</v>
      </c>
      <c r="AC6" s="12" t="s">
        <v>931</v>
      </c>
      <c r="AD6" s="12" t="s">
        <v>159</v>
      </c>
      <c r="AE6" s="12" t="s">
        <v>949</v>
      </c>
      <c r="AF6" s="12" t="s">
        <v>590</v>
      </c>
      <c r="AG6" s="12" t="s">
        <v>925</v>
      </c>
      <c r="AH6" s="164">
        <v>3.89</v>
      </c>
      <c r="AI6" s="160">
        <v>-393.98700000000002</v>
      </c>
      <c r="AJ6" s="12" t="s">
        <v>1327</v>
      </c>
      <c r="AK6" s="12" t="s">
        <v>159</v>
      </c>
      <c r="AL6" s="11" t="s">
        <v>1328</v>
      </c>
      <c r="AM6" s="11" t="s">
        <v>1329</v>
      </c>
      <c r="AN6" s="173">
        <v>-2.9429999999999999E-3</v>
      </c>
      <c r="AO6" s="173">
        <v>0</v>
      </c>
    </row>
    <row r="7" spans="1:41">
      <c r="A7" s="12" t="s">
        <v>26</v>
      </c>
      <c r="B7" s="12" t="s">
        <v>1330</v>
      </c>
      <c r="C7" s="12" t="s">
        <v>1068</v>
      </c>
      <c r="D7" s="1" t="s">
        <v>1331</v>
      </c>
      <c r="E7" s="12" t="s">
        <v>35</v>
      </c>
      <c r="F7" s="160">
        <v>3.681</v>
      </c>
      <c r="G7" s="160">
        <v>-18677000</v>
      </c>
      <c r="H7" s="152">
        <v>67469.237999999998</v>
      </c>
      <c r="I7" s="161">
        <v>0.328822</v>
      </c>
      <c r="J7" s="152">
        <v>6.2000000000000003E-5</v>
      </c>
      <c r="K7" s="11" t="s">
        <v>1331</v>
      </c>
      <c r="L7" s="12" t="s">
        <v>45</v>
      </c>
      <c r="M7" s="161">
        <v>1</v>
      </c>
      <c r="N7" s="161">
        <v>68171050</v>
      </c>
      <c r="O7" s="161">
        <v>-67794.153000000006</v>
      </c>
      <c r="P7" s="161">
        <v>-6.2000000000000003E-5</v>
      </c>
      <c r="Q7" s="161">
        <v>0.329204</v>
      </c>
      <c r="R7" s="160">
        <v>-324.91500000000002</v>
      </c>
      <c r="S7" s="11" t="s">
        <v>31</v>
      </c>
      <c r="T7" s="21" t="s">
        <v>31</v>
      </c>
      <c r="U7" s="12" t="s">
        <v>768</v>
      </c>
      <c r="V7" s="12" t="s">
        <v>336</v>
      </c>
      <c r="W7" s="11" t="s">
        <v>336</v>
      </c>
      <c r="X7" s="12" t="s">
        <v>35</v>
      </c>
      <c r="Y7" s="12" t="s">
        <v>159</v>
      </c>
      <c r="Z7" s="1" t="s">
        <v>1333</v>
      </c>
      <c r="AA7" s="27" t="s">
        <v>1326</v>
      </c>
      <c r="AB7" s="12" t="s">
        <v>925</v>
      </c>
      <c r="AC7" s="12" t="s">
        <v>931</v>
      </c>
      <c r="AD7" s="12" t="s">
        <v>159</v>
      </c>
      <c r="AE7" s="12" t="s">
        <v>949</v>
      </c>
      <c r="AF7" s="12" t="s">
        <v>590</v>
      </c>
      <c r="AG7" s="12" t="s">
        <v>925</v>
      </c>
      <c r="AH7" s="164">
        <v>5.56</v>
      </c>
      <c r="AI7" s="160">
        <v>-361.24200000000002</v>
      </c>
      <c r="AJ7" s="12" t="s">
        <v>1334</v>
      </c>
      <c r="AK7" s="12" t="s">
        <v>159</v>
      </c>
      <c r="AL7" s="11" t="s">
        <v>1328</v>
      </c>
      <c r="AM7" s="11" t="s">
        <v>1329</v>
      </c>
      <c r="AN7" s="173">
        <v>0.43373099999999998</v>
      </c>
      <c r="AO7" s="173">
        <v>0</v>
      </c>
    </row>
    <row r="8" spans="1:41">
      <c r="A8" s="12" t="s">
        <v>26</v>
      </c>
      <c r="B8" s="12" t="s">
        <v>1330</v>
      </c>
      <c r="C8" s="12" t="s">
        <v>1068</v>
      </c>
      <c r="D8" s="1" t="s">
        <v>1335</v>
      </c>
      <c r="E8" s="12" t="s">
        <v>1206</v>
      </c>
      <c r="F8" s="160">
        <v>3.9790999999999999</v>
      </c>
      <c r="G8" s="160">
        <v>-2439000</v>
      </c>
      <c r="H8" s="152">
        <v>9606.9509999999991</v>
      </c>
      <c r="I8" s="161">
        <v>4.6821000000000002E-2</v>
      </c>
      <c r="J8" s="152">
        <v>9.0000000000000002E-6</v>
      </c>
      <c r="K8" s="11" t="s">
        <v>1335</v>
      </c>
      <c r="L8" s="12" t="s">
        <v>45</v>
      </c>
      <c r="M8" s="161">
        <v>1</v>
      </c>
      <c r="N8" s="161">
        <v>9704781</v>
      </c>
      <c r="O8" s="161">
        <v>-9607.51</v>
      </c>
      <c r="P8" s="161">
        <v>-9.0000000000000002E-6</v>
      </c>
      <c r="Q8" s="161">
        <v>4.6653E-2</v>
      </c>
      <c r="R8" s="160">
        <v>-0.55900000000000005</v>
      </c>
      <c r="S8" s="11" t="s">
        <v>31</v>
      </c>
      <c r="T8" s="21" t="s">
        <v>31</v>
      </c>
      <c r="U8" s="12" t="s">
        <v>768</v>
      </c>
      <c r="V8" s="12" t="s">
        <v>336</v>
      </c>
      <c r="W8" s="11" t="s">
        <v>336</v>
      </c>
      <c r="X8" s="12" t="s">
        <v>1206</v>
      </c>
      <c r="Y8" s="12" t="s">
        <v>159</v>
      </c>
      <c r="Z8" s="1" t="s">
        <v>1333</v>
      </c>
      <c r="AA8" s="27" t="s">
        <v>1326</v>
      </c>
      <c r="AB8" s="12" t="s">
        <v>925</v>
      </c>
      <c r="AC8" s="12" t="s">
        <v>931</v>
      </c>
      <c r="AD8" s="12" t="s">
        <v>159</v>
      </c>
      <c r="AE8" s="12" t="s">
        <v>949</v>
      </c>
      <c r="AF8" s="12" t="s">
        <v>590</v>
      </c>
      <c r="AG8" s="12" t="s">
        <v>925</v>
      </c>
      <c r="AH8" s="164">
        <v>3.89</v>
      </c>
      <c r="AI8" s="160">
        <v>-393.88799999999998</v>
      </c>
      <c r="AJ8" s="12" t="s">
        <v>1327</v>
      </c>
      <c r="AK8" s="12" t="s">
        <v>159</v>
      </c>
      <c r="AL8" s="11" t="s">
        <v>1328</v>
      </c>
      <c r="AM8" s="11" t="s">
        <v>1329</v>
      </c>
      <c r="AN8" s="173">
        <v>7.4600000000000003E-4</v>
      </c>
      <c r="AO8" s="173">
        <v>0</v>
      </c>
    </row>
    <row r="9" spans="1:41">
      <c r="A9" s="12" t="s">
        <v>26</v>
      </c>
      <c r="B9" s="12" t="s">
        <v>1330</v>
      </c>
      <c r="C9" s="12" t="s">
        <v>1068</v>
      </c>
      <c r="D9" s="1" t="s">
        <v>1339</v>
      </c>
      <c r="E9" s="12" t="s">
        <v>1207</v>
      </c>
      <c r="F9" s="160">
        <v>2.4300000000000002</v>
      </c>
      <c r="G9" s="160">
        <v>-80000000</v>
      </c>
      <c r="H9" s="152">
        <v>1931.819</v>
      </c>
      <c r="I9" s="161">
        <v>9.4149999999999998E-3</v>
      </c>
      <c r="J9" s="152">
        <v>1.9999999999999999E-6</v>
      </c>
      <c r="K9" s="11" t="s">
        <v>1339</v>
      </c>
      <c r="L9" s="12" t="s">
        <v>45</v>
      </c>
      <c r="M9" s="161">
        <v>1</v>
      </c>
      <c r="N9" s="161">
        <v>1952000</v>
      </c>
      <c r="O9" s="161">
        <v>-1944.6610000000001</v>
      </c>
      <c r="P9" s="161">
        <v>-1.9999999999999999E-6</v>
      </c>
      <c r="Q9" s="161">
        <v>9.443E-3</v>
      </c>
      <c r="R9" s="160">
        <v>-12.842000000000001</v>
      </c>
      <c r="S9" s="11" t="s">
        <v>31</v>
      </c>
      <c r="T9" s="21" t="s">
        <v>31</v>
      </c>
      <c r="U9" s="12" t="s">
        <v>768</v>
      </c>
      <c r="V9" s="12" t="s">
        <v>336</v>
      </c>
      <c r="W9" s="11" t="s">
        <v>336</v>
      </c>
      <c r="X9" s="12" t="s">
        <v>1340</v>
      </c>
      <c r="Y9" s="12" t="s">
        <v>159</v>
      </c>
      <c r="Z9" s="1" t="s">
        <v>1333</v>
      </c>
      <c r="AA9" s="27" t="s">
        <v>1326</v>
      </c>
      <c r="AB9" s="12" t="s">
        <v>925</v>
      </c>
      <c r="AC9" s="12" t="s">
        <v>931</v>
      </c>
      <c r="AD9" s="12" t="s">
        <v>159</v>
      </c>
      <c r="AE9" s="12" t="s">
        <v>949</v>
      </c>
      <c r="AF9" s="12" t="s">
        <v>590</v>
      </c>
      <c r="AG9" s="12" t="s">
        <v>925</v>
      </c>
      <c r="AH9" s="164">
        <v>0.26</v>
      </c>
      <c r="AI9" s="160">
        <v>-2.4140000000000001</v>
      </c>
      <c r="AJ9" s="12" t="s">
        <v>1341</v>
      </c>
      <c r="AK9" s="12" t="s">
        <v>159</v>
      </c>
      <c r="AL9" s="11" t="s">
        <v>1328</v>
      </c>
      <c r="AM9" s="11" t="s">
        <v>1329</v>
      </c>
      <c r="AN9" s="173">
        <v>1.7142999999999999E-2</v>
      </c>
      <c r="AO9" s="173">
        <v>0</v>
      </c>
    </row>
    <row r="10" spans="1:41">
      <c r="A10" s="12" t="s">
        <v>26</v>
      </c>
      <c r="B10" s="12" t="s">
        <v>1330</v>
      </c>
      <c r="C10" s="12" t="s">
        <v>1068</v>
      </c>
      <c r="D10" s="1" t="s">
        <v>1331</v>
      </c>
      <c r="E10" s="12" t="s">
        <v>35</v>
      </c>
      <c r="F10" s="160">
        <v>3.681</v>
      </c>
      <c r="G10" s="160">
        <v>-18250000</v>
      </c>
      <c r="H10" s="152">
        <v>65926.732999999993</v>
      </c>
      <c r="I10" s="161">
        <v>0.32130399999999998</v>
      </c>
      <c r="J10" s="152">
        <v>6.0000000000000002E-5</v>
      </c>
      <c r="K10" s="11" t="s">
        <v>1331</v>
      </c>
      <c r="L10" s="12" t="s">
        <v>45</v>
      </c>
      <c r="M10" s="161">
        <v>1</v>
      </c>
      <c r="N10" s="161">
        <v>66612500</v>
      </c>
      <c r="O10" s="161">
        <v>-66244.22</v>
      </c>
      <c r="P10" s="161">
        <v>-6.0000000000000002E-5</v>
      </c>
      <c r="Q10" s="161">
        <v>0.32167699999999999</v>
      </c>
      <c r="R10" s="160">
        <v>-317.48700000000002</v>
      </c>
      <c r="S10" s="11" t="s">
        <v>31</v>
      </c>
      <c r="T10" s="21" t="s">
        <v>31</v>
      </c>
      <c r="U10" s="12" t="s">
        <v>768</v>
      </c>
      <c r="V10" s="12" t="s">
        <v>336</v>
      </c>
      <c r="W10" s="11" t="s">
        <v>336</v>
      </c>
      <c r="X10" s="12" t="s">
        <v>35</v>
      </c>
      <c r="Y10" s="12" t="s">
        <v>159</v>
      </c>
      <c r="Z10" s="1" t="s">
        <v>1333</v>
      </c>
      <c r="AA10" s="27" t="s">
        <v>1326</v>
      </c>
      <c r="AB10" s="12" t="s">
        <v>925</v>
      </c>
      <c r="AC10" s="12" t="s">
        <v>931</v>
      </c>
      <c r="AD10" s="12" t="s">
        <v>159</v>
      </c>
      <c r="AE10" s="12" t="s">
        <v>949</v>
      </c>
      <c r="AF10" s="12" t="s">
        <v>590</v>
      </c>
      <c r="AG10" s="12" t="s">
        <v>925</v>
      </c>
      <c r="AH10" s="164">
        <v>5.56</v>
      </c>
      <c r="AI10" s="160">
        <v>-361.24200000000002</v>
      </c>
      <c r="AJ10" s="12" t="s">
        <v>1334</v>
      </c>
      <c r="AK10" s="12" t="s">
        <v>159</v>
      </c>
      <c r="AL10" s="11" t="s">
        <v>1328</v>
      </c>
      <c r="AM10" s="11" t="s">
        <v>1329</v>
      </c>
      <c r="AN10" s="173">
        <v>0.42381600000000003</v>
      </c>
      <c r="AO10" s="173">
        <v>0</v>
      </c>
    </row>
    <row r="11" spans="1:41">
      <c r="A11" s="12" t="s">
        <v>26</v>
      </c>
      <c r="B11" s="12" t="s">
        <v>1330</v>
      </c>
      <c r="C11" s="12" t="s">
        <v>1068</v>
      </c>
      <c r="D11" s="1" t="s">
        <v>1335</v>
      </c>
      <c r="E11" s="12" t="s">
        <v>1206</v>
      </c>
      <c r="F11" s="160">
        <v>3.9790999999999999</v>
      </c>
      <c r="G11" s="160">
        <v>-3600000</v>
      </c>
      <c r="H11" s="152">
        <v>14180.002</v>
      </c>
      <c r="I11" s="161">
        <v>6.9109000000000004E-2</v>
      </c>
      <c r="J11" s="152">
        <v>1.2999999999999999E-5</v>
      </c>
      <c r="K11" s="11" t="s">
        <v>1335</v>
      </c>
      <c r="L11" s="12" t="s">
        <v>45</v>
      </c>
      <c r="M11" s="161">
        <v>1</v>
      </c>
      <c r="N11" s="161">
        <v>14324400</v>
      </c>
      <c r="O11" s="161">
        <v>-14180.826999999999</v>
      </c>
      <c r="P11" s="161">
        <v>-1.2999999999999999E-5</v>
      </c>
      <c r="Q11" s="161">
        <v>6.8861000000000006E-2</v>
      </c>
      <c r="R11" s="160">
        <v>-0.82499999999999996</v>
      </c>
      <c r="S11" s="11" t="s">
        <v>31</v>
      </c>
      <c r="T11" s="21" t="s">
        <v>31</v>
      </c>
      <c r="U11" s="12" t="s">
        <v>768</v>
      </c>
      <c r="V11" s="12" t="s">
        <v>336</v>
      </c>
      <c r="W11" s="11" t="s">
        <v>336</v>
      </c>
      <c r="X11" s="12" t="s">
        <v>1206</v>
      </c>
      <c r="Y11" s="12" t="s">
        <v>159</v>
      </c>
      <c r="Z11" s="1" t="s">
        <v>1333</v>
      </c>
      <c r="AA11" s="27" t="s">
        <v>1326</v>
      </c>
      <c r="AB11" s="12" t="s">
        <v>925</v>
      </c>
      <c r="AC11" s="12" t="s">
        <v>931</v>
      </c>
      <c r="AD11" s="12" t="s">
        <v>159</v>
      </c>
      <c r="AE11" s="12" t="s">
        <v>949</v>
      </c>
      <c r="AF11" s="12" t="s">
        <v>590</v>
      </c>
      <c r="AG11" s="12" t="s">
        <v>925</v>
      </c>
      <c r="AH11" s="164">
        <v>3.89</v>
      </c>
      <c r="AI11" s="160">
        <v>-393.88799999999998</v>
      </c>
      <c r="AJ11" s="12" t="s">
        <v>1327</v>
      </c>
      <c r="AK11" s="12" t="s">
        <v>159</v>
      </c>
      <c r="AL11" s="11" t="s">
        <v>1328</v>
      </c>
      <c r="AM11" s="11" t="s">
        <v>1329</v>
      </c>
      <c r="AN11" s="173">
        <v>1.101E-3</v>
      </c>
      <c r="AO11" s="173">
        <v>0</v>
      </c>
    </row>
    <row r="12" spans="1:41">
      <c r="A12" s="12" t="s">
        <v>26</v>
      </c>
      <c r="B12" s="12" t="s">
        <v>1342</v>
      </c>
      <c r="C12" s="12" t="s">
        <v>1068</v>
      </c>
      <c r="D12" s="1" t="s">
        <v>1331</v>
      </c>
      <c r="E12" s="12" t="s">
        <v>35</v>
      </c>
      <c r="F12" s="160">
        <v>3.681</v>
      </c>
      <c r="G12" s="160">
        <v>-840000</v>
      </c>
      <c r="H12" s="152">
        <v>3034.4360000000001</v>
      </c>
      <c r="I12" s="161">
        <v>1</v>
      </c>
      <c r="J12" s="152">
        <v>9.7E-5</v>
      </c>
      <c r="K12" s="11" t="s">
        <v>1331</v>
      </c>
      <c r="L12" s="12" t="s">
        <v>45</v>
      </c>
      <c r="M12" s="161">
        <v>1</v>
      </c>
      <c r="N12" s="161">
        <v>3066000</v>
      </c>
      <c r="O12" s="161">
        <v>-3049.049</v>
      </c>
      <c r="P12" s="161">
        <v>-9.7E-5</v>
      </c>
      <c r="Q12" s="161">
        <v>1</v>
      </c>
      <c r="R12" s="160">
        <v>-14.613</v>
      </c>
      <c r="S12" s="11" t="s">
        <v>31</v>
      </c>
      <c r="T12" s="21" t="s">
        <v>31</v>
      </c>
      <c r="U12" s="12" t="s">
        <v>768</v>
      </c>
      <c r="V12" s="12" t="s">
        <v>336</v>
      </c>
      <c r="W12" s="11" t="s">
        <v>336</v>
      </c>
      <c r="X12" s="12" t="s">
        <v>35</v>
      </c>
      <c r="Y12" s="12" t="s">
        <v>159</v>
      </c>
      <c r="Z12" s="1" t="s">
        <v>1333</v>
      </c>
      <c r="AA12" s="27" t="s">
        <v>1326</v>
      </c>
      <c r="AB12" s="12" t="s">
        <v>925</v>
      </c>
      <c r="AC12" s="12" t="s">
        <v>931</v>
      </c>
      <c r="AD12" s="12" t="s">
        <v>159</v>
      </c>
      <c r="AE12" s="12" t="s">
        <v>949</v>
      </c>
      <c r="AF12" s="12" t="s">
        <v>590</v>
      </c>
      <c r="AG12" s="12" t="s">
        <v>925</v>
      </c>
      <c r="AH12" s="164">
        <v>5.56</v>
      </c>
      <c r="AI12" s="160">
        <v>-361.24200000000002</v>
      </c>
      <c r="AJ12" s="12" t="s">
        <v>1334</v>
      </c>
      <c r="AK12" s="12" t="s">
        <v>159</v>
      </c>
      <c r="AL12" s="11" t="s">
        <v>1328</v>
      </c>
      <c r="AM12" s="11" t="s">
        <v>1329</v>
      </c>
      <c r="AN12" s="173">
        <v>1</v>
      </c>
      <c r="AO12" s="173">
        <v>0</v>
      </c>
    </row>
    <row r="13" spans="1:41">
      <c r="A13" s="12" t="s">
        <v>26</v>
      </c>
      <c r="B13" s="12" t="s">
        <v>1343</v>
      </c>
      <c r="C13" s="12" t="s">
        <v>1068</v>
      </c>
      <c r="D13" s="1" t="s">
        <v>1331</v>
      </c>
      <c r="E13" s="12" t="s">
        <v>35</v>
      </c>
      <c r="F13" s="160">
        <v>3.681</v>
      </c>
      <c r="G13" s="160">
        <v>-175000</v>
      </c>
      <c r="H13" s="152">
        <v>632.17399999999998</v>
      </c>
      <c r="I13" s="161">
        <v>1</v>
      </c>
      <c r="J13" s="152">
        <v>6.3E-5</v>
      </c>
      <c r="K13" s="11" t="s">
        <v>1331</v>
      </c>
      <c r="L13" s="12" t="s">
        <v>45</v>
      </c>
      <c r="M13" s="161">
        <v>1</v>
      </c>
      <c r="N13" s="161">
        <v>638750</v>
      </c>
      <c r="O13" s="161">
        <v>-635.21900000000005</v>
      </c>
      <c r="P13" s="161">
        <v>-6.3E-5</v>
      </c>
      <c r="Q13" s="161">
        <v>1</v>
      </c>
      <c r="R13" s="160">
        <v>-3.044</v>
      </c>
      <c r="S13" s="11" t="s">
        <v>31</v>
      </c>
      <c r="T13" s="21" t="s">
        <v>31</v>
      </c>
      <c r="U13" s="12" t="s">
        <v>768</v>
      </c>
      <c r="V13" s="12" t="s">
        <v>336</v>
      </c>
      <c r="W13" s="11" t="s">
        <v>336</v>
      </c>
      <c r="X13" s="12" t="s">
        <v>1332</v>
      </c>
      <c r="Y13" s="12" t="s">
        <v>159</v>
      </c>
      <c r="Z13" s="1" t="s">
        <v>1333</v>
      </c>
      <c r="AA13" s="27" t="s">
        <v>1326</v>
      </c>
      <c r="AB13" s="12" t="s">
        <v>925</v>
      </c>
      <c r="AC13" s="12" t="s">
        <v>931</v>
      </c>
      <c r="AD13" s="12" t="s">
        <v>159</v>
      </c>
      <c r="AE13" s="12" t="s">
        <v>949</v>
      </c>
      <c r="AF13" s="12" t="s">
        <v>590</v>
      </c>
      <c r="AG13" s="12" t="s">
        <v>925</v>
      </c>
      <c r="AH13" s="164">
        <v>5.56</v>
      </c>
      <c r="AI13" s="160">
        <v>-361.24200000000002</v>
      </c>
      <c r="AJ13" s="12" t="s">
        <v>1334</v>
      </c>
      <c r="AK13" s="12" t="s">
        <v>159</v>
      </c>
      <c r="AL13" s="11" t="s">
        <v>1328</v>
      </c>
      <c r="AM13" s="11" t="s">
        <v>1329</v>
      </c>
      <c r="AN13" s="173">
        <v>1</v>
      </c>
      <c r="AO13" s="173">
        <v>0</v>
      </c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A2" sqref="A2"/>
    </sheetView>
  </sheetViews>
  <sheetFormatPr defaultColWidth="9" defaultRowHeight="14"/>
  <cols>
    <col min="1" max="21" width="11.58203125" style="2" customWidth="1"/>
    <col min="22" max="22" width="11.58203125" style="148" customWidth="1"/>
    <col min="23" max="27" width="11.58203125" style="2" customWidth="1"/>
    <col min="28" max="28" width="11.58203125" style="4" customWidth="1"/>
    <col min="29" max="41" width="11.58203125" style="2" customWidth="1"/>
    <col min="42" max="42" width="11.58203125" style="148" customWidth="1"/>
    <col min="43" max="49" width="11.58203125" style="2" customWidth="1"/>
    <col min="50" max="50" width="11.58203125" style="4" customWidth="1"/>
    <col min="51" max="53" width="11.582031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140</v>
      </c>
      <c r="D1" s="22" t="s">
        <v>141</v>
      </c>
      <c r="E1" s="22" t="s">
        <v>142</v>
      </c>
      <c r="F1" s="22" t="s">
        <v>143</v>
      </c>
      <c r="G1" s="22" t="s">
        <v>5</v>
      </c>
      <c r="H1" s="22" t="s">
        <v>1179</v>
      </c>
      <c r="I1" s="22" t="s">
        <v>6</v>
      </c>
      <c r="J1" s="22" t="s">
        <v>7</v>
      </c>
      <c r="K1" s="22" t="s">
        <v>172</v>
      </c>
      <c r="L1" s="22" t="s">
        <v>145</v>
      </c>
      <c r="M1" s="22" t="s">
        <v>1180</v>
      </c>
      <c r="N1" s="22" t="s">
        <v>1181</v>
      </c>
      <c r="O1" s="22" t="s">
        <v>1182</v>
      </c>
      <c r="P1" s="22" t="s">
        <v>9</v>
      </c>
      <c r="Q1" s="22" t="s">
        <v>10</v>
      </c>
      <c r="R1" s="22" t="s">
        <v>146</v>
      </c>
      <c r="S1" s="22" t="s">
        <v>11</v>
      </c>
      <c r="T1" s="22" t="s">
        <v>12</v>
      </c>
      <c r="U1" s="22" t="s">
        <v>147</v>
      </c>
      <c r="V1" s="162" t="s">
        <v>14</v>
      </c>
      <c r="W1" s="22" t="s">
        <v>775</v>
      </c>
      <c r="X1" s="22" t="s">
        <v>932</v>
      </c>
      <c r="Y1" s="175" t="s">
        <v>1184</v>
      </c>
      <c r="Z1" s="166" t="s">
        <v>15</v>
      </c>
      <c r="AA1" s="22" t="s">
        <v>13</v>
      </c>
      <c r="AB1" s="22" t="s">
        <v>432</v>
      </c>
      <c r="AC1" s="22" t="s">
        <v>780</v>
      </c>
      <c r="AD1" s="175" t="s">
        <v>1185</v>
      </c>
      <c r="AE1" s="175" t="s">
        <v>1186</v>
      </c>
      <c r="AF1" s="22" t="s">
        <v>1187</v>
      </c>
      <c r="AG1" s="22" t="s">
        <v>803</v>
      </c>
      <c r="AH1" s="22" t="s">
        <v>804</v>
      </c>
      <c r="AI1" s="22" t="s">
        <v>1188</v>
      </c>
      <c r="AJ1" s="22" t="s">
        <v>810</v>
      </c>
      <c r="AK1" s="22" t="s">
        <v>173</v>
      </c>
      <c r="AL1" s="22" t="s">
        <v>186</v>
      </c>
      <c r="AM1" s="22" t="s">
        <v>174</v>
      </c>
      <c r="AN1" s="22" t="s">
        <v>154</v>
      </c>
      <c r="AO1" s="22" t="s">
        <v>175</v>
      </c>
      <c r="AP1" s="162" t="s">
        <v>1189</v>
      </c>
      <c r="AQ1" s="22" t="s">
        <v>1190</v>
      </c>
      <c r="AR1" s="22" t="s">
        <v>1191</v>
      </c>
      <c r="AS1" s="22" t="s">
        <v>18</v>
      </c>
      <c r="AT1" s="22" t="s">
        <v>20</v>
      </c>
      <c r="AU1" s="22" t="s">
        <v>187</v>
      </c>
      <c r="AV1" s="22" t="s">
        <v>21</v>
      </c>
      <c r="AW1" s="22" t="s">
        <v>188</v>
      </c>
      <c r="AX1" s="22" t="s">
        <v>853</v>
      </c>
      <c r="AY1" s="22" t="s">
        <v>22</v>
      </c>
      <c r="AZ1" s="166" t="s">
        <v>24</v>
      </c>
      <c r="BA1" s="166" t="s">
        <v>25</v>
      </c>
    </row>
    <row r="2" spans="1:53">
      <c r="A2" s="2" t="s">
        <v>26</v>
      </c>
      <c r="B2" s="2">
        <v>9935</v>
      </c>
      <c r="C2" s="23" t="s">
        <v>1344</v>
      </c>
      <c r="D2" s="23" t="s">
        <v>1345</v>
      </c>
      <c r="E2" s="23" t="s">
        <v>1346</v>
      </c>
      <c r="F2" s="23" t="s">
        <v>1347</v>
      </c>
      <c r="G2" s="23" t="s">
        <v>1063</v>
      </c>
      <c r="H2" s="2" t="s">
        <v>1348</v>
      </c>
      <c r="I2" s="21" t="s">
        <v>31</v>
      </c>
      <c r="J2" s="21" t="s">
        <v>31</v>
      </c>
      <c r="K2" s="23" t="s">
        <v>463</v>
      </c>
      <c r="L2" s="23" t="s">
        <v>159</v>
      </c>
      <c r="M2" s="23" t="s">
        <v>159</v>
      </c>
      <c r="N2" s="23"/>
      <c r="O2" s="23" t="s">
        <v>1349</v>
      </c>
      <c r="P2" s="23" t="s">
        <v>1350</v>
      </c>
      <c r="Q2" s="23" t="s">
        <v>336</v>
      </c>
      <c r="R2" s="23" t="s">
        <v>429</v>
      </c>
      <c r="S2" s="21" t="s">
        <v>45</v>
      </c>
      <c r="T2" s="156">
        <v>0.16</v>
      </c>
      <c r="U2" s="23" t="s">
        <v>1351</v>
      </c>
      <c r="V2" s="172">
        <v>1.15E-2</v>
      </c>
      <c r="W2" s="23" t="s">
        <v>779</v>
      </c>
      <c r="X2" s="23" t="s">
        <v>1352</v>
      </c>
      <c r="Y2" s="176">
        <v>1.1499999999999999</v>
      </c>
      <c r="Z2" s="173">
        <v>4.4600000000000001E-2</v>
      </c>
      <c r="AA2" s="23" t="s">
        <v>1353</v>
      </c>
      <c r="AB2" s="21" t="s">
        <v>434</v>
      </c>
      <c r="AC2" s="23"/>
      <c r="AD2" s="23"/>
      <c r="AE2" s="23"/>
      <c r="AF2" s="23"/>
      <c r="AG2" s="23" t="s">
        <v>159</v>
      </c>
      <c r="AH2" s="23"/>
      <c r="AJ2" s="2" t="s">
        <v>159</v>
      </c>
      <c r="AK2" s="23" t="s">
        <v>336</v>
      </c>
      <c r="AL2" s="23"/>
      <c r="AM2" s="23"/>
      <c r="AN2" s="2" t="s">
        <v>168</v>
      </c>
      <c r="AQ2" s="153">
        <v>656710.18999999994</v>
      </c>
      <c r="AR2" s="156">
        <v>99.71</v>
      </c>
      <c r="AS2" s="156">
        <v>1</v>
      </c>
      <c r="AT2" s="156">
        <v>654.80600000000004</v>
      </c>
      <c r="AU2" s="159">
        <v>654.80600000000004</v>
      </c>
      <c r="AV2" s="30"/>
      <c r="AW2" s="30"/>
      <c r="AX2" s="21" t="s">
        <v>159</v>
      </c>
      <c r="AY2" s="23" t="s">
        <v>37</v>
      </c>
      <c r="AZ2" s="173">
        <v>1</v>
      </c>
      <c r="BA2" s="173">
        <v>5.9734217188970305E-4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"/>
  <cols>
    <col min="1" max="4" width="11.58203125" style="2" customWidth="1"/>
    <col min="5" max="5" width="11.58203125" style="4" customWidth="1"/>
    <col min="6" max="16" width="11.58203125" style="2" customWidth="1"/>
    <col min="17" max="17" width="13.33203125" style="2" customWidth="1"/>
    <col min="18" max="19" width="11.58203125" style="2" customWidth="1"/>
    <col min="20" max="20" width="11.58203125" style="148" customWidth="1"/>
    <col min="21" max="30" width="11.582031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145</v>
      </c>
      <c r="M1" s="22" t="s">
        <v>195</v>
      </c>
      <c r="N1" s="22" t="s">
        <v>180</v>
      </c>
      <c r="O1" s="22" t="s">
        <v>9</v>
      </c>
      <c r="P1" s="22" t="s">
        <v>10</v>
      </c>
      <c r="Q1" s="22" t="s">
        <v>196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173</v>
      </c>
      <c r="W1" s="22" t="s">
        <v>174</v>
      </c>
      <c r="X1" s="22" t="s">
        <v>154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"/>
  <cols>
    <col min="1" max="4" width="11.58203125" style="2" customWidth="1"/>
    <col min="5" max="5" width="11.58203125" style="4" customWidth="1"/>
    <col min="6" max="14" width="11.58203125" style="2" customWidth="1"/>
    <col min="15" max="15" width="11.58203125" style="148" customWidth="1"/>
    <col min="16" max="22" width="11.582031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189</v>
      </c>
      <c r="D1" s="22" t="s">
        <v>190</v>
      </c>
      <c r="E1" s="22" t="s">
        <v>191</v>
      </c>
      <c r="F1" s="22" t="s">
        <v>5</v>
      </c>
      <c r="G1" s="22" t="s">
        <v>192</v>
      </c>
      <c r="H1" s="22" t="s">
        <v>6</v>
      </c>
      <c r="I1" s="22" t="s">
        <v>7</v>
      </c>
      <c r="J1" s="22" t="s">
        <v>145</v>
      </c>
      <c r="K1" s="22" t="s">
        <v>193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155</v>
      </c>
      <c r="R1" s="22" t="s">
        <v>18</v>
      </c>
      <c r="S1" s="22" t="s">
        <v>194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"/>
  <cols>
    <col min="1" max="24" width="11.582031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178</v>
      </c>
      <c r="D1" s="22" t="s">
        <v>5</v>
      </c>
      <c r="E1" s="22" t="s">
        <v>179</v>
      </c>
      <c r="F1" s="22" t="s">
        <v>145</v>
      </c>
      <c r="G1" s="22" t="s">
        <v>180</v>
      </c>
      <c r="H1" s="22" t="s">
        <v>181</v>
      </c>
      <c r="I1" s="22" t="s">
        <v>182</v>
      </c>
      <c r="J1" s="22" t="s">
        <v>183</v>
      </c>
      <c r="K1" s="22" t="s">
        <v>184</v>
      </c>
      <c r="L1" s="22" t="s">
        <v>185</v>
      </c>
      <c r="M1" s="22" t="s">
        <v>173</v>
      </c>
      <c r="N1" s="22" t="s">
        <v>186</v>
      </c>
      <c r="O1" s="22" t="s">
        <v>174</v>
      </c>
      <c r="P1" s="22" t="s">
        <v>154</v>
      </c>
      <c r="Q1" s="22" t="s">
        <v>11</v>
      </c>
      <c r="R1" s="22" t="s">
        <v>187</v>
      </c>
      <c r="S1" s="22" t="s">
        <v>20</v>
      </c>
      <c r="T1" s="22" t="s">
        <v>21</v>
      </c>
      <c r="U1" s="22" t="s">
        <v>188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"/>
  <cols>
    <col min="1" max="4" width="11.58203125" style="2" customWidth="1"/>
    <col min="5" max="5" width="11.58203125" style="4" customWidth="1"/>
    <col min="6" max="23" width="11.582031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172</v>
      </c>
      <c r="M1" s="22" t="s">
        <v>145</v>
      </c>
      <c r="N1" s="22" t="s">
        <v>11</v>
      </c>
      <c r="O1" s="22" t="s">
        <v>173</v>
      </c>
      <c r="P1" s="22" t="s">
        <v>174</v>
      </c>
      <c r="Q1" s="22" t="s">
        <v>154</v>
      </c>
      <c r="R1" s="22" t="s">
        <v>175</v>
      </c>
      <c r="S1" s="22" t="s">
        <v>176</v>
      </c>
      <c r="T1" s="22" t="s">
        <v>177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zoomScale="70" zoomScaleNormal="70" workbookViewId="0">
      <selection activeCell="D23" sqref="D23"/>
    </sheetView>
  </sheetViews>
  <sheetFormatPr defaultColWidth="9" defaultRowHeight="14"/>
  <cols>
    <col min="1" max="15" width="11.58203125" style="2" customWidth="1"/>
    <col min="16" max="16" width="11.9140625" style="2" bestFit="1" customWidth="1"/>
    <col min="17" max="17" width="14.75" style="2" bestFit="1" customWidth="1"/>
    <col min="18" max="18" width="11.582031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151</v>
      </c>
      <c r="D1" s="22" t="s">
        <v>152</v>
      </c>
      <c r="E1" s="22" t="s">
        <v>5</v>
      </c>
      <c r="F1" s="22" t="s">
        <v>6</v>
      </c>
      <c r="G1" s="22" t="s">
        <v>7</v>
      </c>
      <c r="H1" s="22" t="s">
        <v>145</v>
      </c>
      <c r="I1" s="22" t="s">
        <v>153</v>
      </c>
      <c r="J1" s="22" t="s">
        <v>11</v>
      </c>
      <c r="K1" s="22" t="s">
        <v>154</v>
      </c>
      <c r="L1" s="22" t="s">
        <v>155</v>
      </c>
      <c r="M1" s="22" t="s">
        <v>18</v>
      </c>
      <c r="N1" s="22" t="s">
        <v>20</v>
      </c>
      <c r="O1" s="22" t="s">
        <v>21</v>
      </c>
      <c r="P1" s="22" t="s">
        <v>22</v>
      </c>
      <c r="Q1" s="166" t="s">
        <v>24</v>
      </c>
      <c r="R1" s="166" t="s">
        <v>25</v>
      </c>
    </row>
    <row r="2" spans="1:18">
      <c r="A2" s="23" t="s">
        <v>26</v>
      </c>
      <c r="B2" s="23">
        <v>1441</v>
      </c>
      <c r="C2" s="30" t="s">
        <v>156</v>
      </c>
      <c r="D2" s="30" t="s">
        <v>157</v>
      </c>
      <c r="E2" s="30" t="s">
        <v>158</v>
      </c>
      <c r="F2" s="21"/>
      <c r="G2" s="21" t="s">
        <v>31</v>
      </c>
      <c r="H2" s="23" t="s">
        <v>159</v>
      </c>
      <c r="I2" s="23" t="s">
        <v>160</v>
      </c>
      <c r="J2" s="21" t="s">
        <v>45</v>
      </c>
      <c r="K2" s="23"/>
      <c r="L2" s="153">
        <v>-4.08</v>
      </c>
      <c r="M2" s="156">
        <v>1</v>
      </c>
      <c r="N2" s="156">
        <v>-4.08</v>
      </c>
      <c r="O2" s="23"/>
      <c r="P2" s="21" t="s">
        <v>37</v>
      </c>
      <c r="Q2" s="173">
        <v>1.1329597427445599</v>
      </c>
      <c r="R2" s="173">
        <v>-3.7199105486722498E-4</v>
      </c>
    </row>
    <row r="3" spans="1:18">
      <c r="A3" s="23" t="s">
        <v>26</v>
      </c>
      <c r="B3" s="23">
        <v>1441</v>
      </c>
      <c r="C3" s="30" t="s">
        <v>161</v>
      </c>
      <c r="D3" s="23" t="s">
        <v>162</v>
      </c>
      <c r="E3" s="30" t="s">
        <v>163</v>
      </c>
      <c r="F3" s="21"/>
      <c r="G3" s="21" t="s">
        <v>31</v>
      </c>
      <c r="H3" s="23" t="s">
        <v>159</v>
      </c>
      <c r="I3" s="23" t="s">
        <v>160</v>
      </c>
      <c r="J3" s="21" t="s">
        <v>45</v>
      </c>
      <c r="K3" s="23"/>
      <c r="L3" s="153">
        <v>-7.4999999999999997E-2</v>
      </c>
      <c r="M3" s="156">
        <v>1</v>
      </c>
      <c r="N3" s="156">
        <v>-7.4999999999999997E-2</v>
      </c>
      <c r="O3" s="23"/>
      <c r="P3" s="21" t="s">
        <v>37</v>
      </c>
      <c r="Q3" s="173">
        <v>2.07464961997617E-2</v>
      </c>
      <c r="R3" s="173">
        <v>-6.8118139727126004E-6</v>
      </c>
    </row>
    <row r="4" spans="1:18">
      <c r="A4" s="23" t="s">
        <v>26</v>
      </c>
      <c r="B4" s="23">
        <v>1441</v>
      </c>
      <c r="C4" s="30" t="s">
        <v>164</v>
      </c>
      <c r="D4" s="23" t="s">
        <v>165</v>
      </c>
      <c r="E4" s="30" t="s">
        <v>158</v>
      </c>
      <c r="F4" s="21"/>
      <c r="G4" s="21" t="s">
        <v>31</v>
      </c>
      <c r="H4" s="23" t="s">
        <v>159</v>
      </c>
      <c r="I4" s="23" t="s">
        <v>160</v>
      </c>
      <c r="J4" s="21" t="s">
        <v>45</v>
      </c>
      <c r="K4" s="23"/>
      <c r="L4" s="153">
        <v>2.65</v>
      </c>
      <c r="M4" s="156">
        <v>1</v>
      </c>
      <c r="N4" s="153">
        <v>2.65</v>
      </c>
      <c r="O4" s="23"/>
      <c r="P4" s="21" t="s">
        <v>37</v>
      </c>
      <c r="Q4" s="173">
        <v>-0.15370623894432001</v>
      </c>
      <c r="R4" s="173">
        <v>5.0467235337118902E-5</v>
      </c>
    </row>
    <row r="5" spans="1:18">
      <c r="A5" s="23" t="s">
        <v>26</v>
      </c>
      <c r="B5" s="23">
        <v>1522</v>
      </c>
      <c r="C5" s="30" t="s">
        <v>156</v>
      </c>
      <c r="D5" s="23" t="s">
        <v>157</v>
      </c>
      <c r="E5" s="30" t="s">
        <v>158</v>
      </c>
      <c r="F5" s="21"/>
      <c r="G5" s="21" t="s">
        <v>31</v>
      </c>
      <c r="H5" s="23" t="s">
        <v>159</v>
      </c>
      <c r="I5" s="23" t="s">
        <v>160</v>
      </c>
      <c r="J5" s="21" t="s">
        <v>45</v>
      </c>
      <c r="K5" s="23"/>
      <c r="L5" s="153">
        <v>-3.762</v>
      </c>
      <c r="M5" s="156">
        <v>1</v>
      </c>
      <c r="N5" s="156">
        <v>-3.762</v>
      </c>
      <c r="O5" s="23"/>
      <c r="P5" s="21" t="s">
        <v>37</v>
      </c>
      <c r="Q5" s="173">
        <v>-0.43905268809673897</v>
      </c>
      <c r="R5" s="173">
        <v>-3.7288541212815999E-4</v>
      </c>
    </row>
    <row r="6" spans="1:18">
      <c r="A6" s="23" t="s">
        <v>26</v>
      </c>
      <c r="B6" s="23">
        <v>1522</v>
      </c>
      <c r="C6" s="30" t="s">
        <v>161</v>
      </c>
      <c r="D6" s="23" t="s">
        <v>162</v>
      </c>
      <c r="E6" s="30" t="s">
        <v>163</v>
      </c>
      <c r="F6" s="21"/>
      <c r="G6" s="21" t="s">
        <v>31</v>
      </c>
      <c r="H6" s="23" t="s">
        <v>159</v>
      </c>
      <c r="I6" s="23" t="s">
        <v>160</v>
      </c>
      <c r="J6" s="21" t="s">
        <v>45</v>
      </c>
      <c r="K6" s="23"/>
      <c r="L6" s="153">
        <v>7.4999999999999997E-2</v>
      </c>
      <c r="M6" s="156">
        <v>1</v>
      </c>
      <c r="N6" s="156">
        <v>7.4999999999999997E-2</v>
      </c>
      <c r="O6" s="23"/>
      <c r="P6" s="21" t="s">
        <v>37</v>
      </c>
      <c r="Q6" s="173">
        <v>8.7529472185260398E-3</v>
      </c>
      <c r="R6" s="173">
        <v>7.4338374855752499E-6</v>
      </c>
    </row>
    <row r="7" spans="1:18">
      <c r="A7" s="23" t="s">
        <v>26</v>
      </c>
      <c r="B7" s="23">
        <v>1522</v>
      </c>
      <c r="C7" s="30" t="s">
        <v>164</v>
      </c>
      <c r="D7" s="23" t="s">
        <v>165</v>
      </c>
      <c r="E7" s="30" t="s">
        <v>158</v>
      </c>
      <c r="F7" s="21"/>
      <c r="G7" s="21" t="s">
        <v>31</v>
      </c>
      <c r="H7" s="23" t="s">
        <v>159</v>
      </c>
      <c r="I7" s="23" t="s">
        <v>160</v>
      </c>
      <c r="J7" s="21" t="s">
        <v>45</v>
      </c>
      <c r="K7" s="23"/>
      <c r="L7" s="153">
        <v>20.74</v>
      </c>
      <c r="M7" s="156">
        <v>1</v>
      </c>
      <c r="N7" s="153">
        <v>20.74</v>
      </c>
      <c r="O7" s="23"/>
      <c r="P7" s="21" t="s">
        <v>37</v>
      </c>
      <c r="Q7" s="173">
        <v>1.4302997408782101</v>
      </c>
      <c r="R7" s="173">
        <v>1.21474693767655E-3</v>
      </c>
    </row>
    <row r="8" spans="1:18">
      <c r="A8" s="23" t="s">
        <v>26</v>
      </c>
      <c r="B8" s="23">
        <v>9935</v>
      </c>
      <c r="C8" s="30" t="s">
        <v>156</v>
      </c>
      <c r="D8" s="23" t="s">
        <v>157</v>
      </c>
      <c r="E8" s="30" t="s">
        <v>158</v>
      </c>
      <c r="F8" s="21"/>
      <c r="G8" s="21" t="s">
        <v>31</v>
      </c>
      <c r="H8" s="23" t="s">
        <v>159</v>
      </c>
      <c r="I8" s="23" t="s">
        <v>160</v>
      </c>
      <c r="J8" s="21" t="s">
        <v>45</v>
      </c>
      <c r="K8" s="23"/>
      <c r="L8" s="153">
        <v>-407</v>
      </c>
      <c r="M8" s="156">
        <v>1</v>
      </c>
      <c r="N8" s="156">
        <v>-407</v>
      </c>
      <c r="O8" s="23"/>
      <c r="P8" s="21" t="s">
        <v>37</v>
      </c>
      <c r="Q8" s="173">
        <v>-9.6655150183805798</v>
      </c>
      <c r="R8" s="173">
        <v>-3.1218340297689898E-4</v>
      </c>
    </row>
    <row r="9" spans="1:18">
      <c r="A9" s="23" t="s">
        <v>26</v>
      </c>
      <c r="B9" s="23">
        <v>9935</v>
      </c>
      <c r="C9" s="30" t="s">
        <v>161</v>
      </c>
      <c r="D9" s="23" t="s">
        <v>162</v>
      </c>
      <c r="E9" s="30" t="s">
        <v>163</v>
      </c>
      <c r="F9" s="21"/>
      <c r="G9" s="21" t="s">
        <v>31</v>
      </c>
      <c r="H9" s="23" t="s">
        <v>159</v>
      </c>
      <c r="I9" s="23" t="s">
        <v>160</v>
      </c>
      <c r="J9" s="21" t="s">
        <v>45</v>
      </c>
      <c r="K9" s="23"/>
      <c r="L9" s="153">
        <v>-136.38200000000001</v>
      </c>
      <c r="M9" s="156">
        <v>1</v>
      </c>
      <c r="N9" s="156">
        <v>-136.38200000000001</v>
      </c>
      <c r="O9" s="23"/>
      <c r="P9" s="21" t="s">
        <v>37</v>
      </c>
      <c r="Q9" s="173">
        <v>-3.8519707590064498</v>
      </c>
      <c r="R9" s="173">
        <v>-1.2441358142089201E-4</v>
      </c>
    </row>
    <row r="10" spans="1:18">
      <c r="A10" s="23" t="s">
        <v>26</v>
      </c>
      <c r="B10" s="23">
        <v>9935</v>
      </c>
      <c r="C10" s="30" t="s">
        <v>164</v>
      </c>
      <c r="D10" s="23" t="s">
        <v>165</v>
      </c>
      <c r="E10" s="30" t="s">
        <v>158</v>
      </c>
      <c r="F10" s="21"/>
      <c r="G10" s="21" t="s">
        <v>31</v>
      </c>
      <c r="H10" s="23" t="s">
        <v>159</v>
      </c>
      <c r="I10" s="23" t="s">
        <v>160</v>
      </c>
      <c r="J10" s="21" t="s">
        <v>45</v>
      </c>
      <c r="K10" s="23"/>
      <c r="L10" s="2">
        <v>1235</v>
      </c>
      <c r="M10" s="156">
        <v>1</v>
      </c>
      <c r="N10" s="156">
        <v>1235</v>
      </c>
      <c r="O10" s="23"/>
      <c r="P10" s="21" t="s">
        <v>37</v>
      </c>
      <c r="Q10" s="173">
        <v>14.5174808346902</v>
      </c>
      <c r="R10" s="173">
        <v>4.6889550748273101E-4</v>
      </c>
    </row>
    <row r="11" spans="1:18">
      <c r="A11" s="23" t="s">
        <v>26</v>
      </c>
      <c r="B11" s="23">
        <v>9936</v>
      </c>
      <c r="C11" s="30" t="s">
        <v>156</v>
      </c>
      <c r="D11" s="23" t="s">
        <v>157</v>
      </c>
      <c r="E11" s="30" t="s">
        <v>158</v>
      </c>
      <c r="F11" s="21"/>
      <c r="G11" s="21" t="s">
        <v>31</v>
      </c>
      <c r="H11" s="23" t="s">
        <v>159</v>
      </c>
      <c r="I11" s="23" t="s">
        <v>160</v>
      </c>
      <c r="J11" s="21" t="s">
        <v>45</v>
      </c>
      <c r="K11" s="23"/>
      <c r="L11" s="153">
        <v>-5.6289999999999996</v>
      </c>
      <c r="M11" s="156">
        <v>1</v>
      </c>
      <c r="N11" s="156">
        <v>-5.6289999999999996</v>
      </c>
      <c r="O11" s="23"/>
      <c r="P11" s="21" t="s">
        <v>37</v>
      </c>
      <c r="Q11" s="173">
        <v>1.41243241208867</v>
      </c>
      <c r="R11" s="173">
        <v>-3.6979883229836099E-4</v>
      </c>
    </row>
    <row r="12" spans="1:18">
      <c r="A12" s="23" t="s">
        <v>26</v>
      </c>
      <c r="B12" s="23">
        <v>9936</v>
      </c>
      <c r="C12" s="30" t="s">
        <v>164</v>
      </c>
      <c r="D12" s="23" t="s">
        <v>165</v>
      </c>
      <c r="E12" s="30" t="s">
        <v>158</v>
      </c>
      <c r="F12" s="21"/>
      <c r="G12" s="21" t="s">
        <v>31</v>
      </c>
      <c r="H12" s="23" t="s">
        <v>159</v>
      </c>
      <c r="I12" s="23" t="s">
        <v>160</v>
      </c>
      <c r="J12" s="21" t="s">
        <v>45</v>
      </c>
      <c r="K12" s="23"/>
      <c r="L12" s="153">
        <v>8.1</v>
      </c>
      <c r="M12" s="156">
        <v>1</v>
      </c>
      <c r="N12" s="156">
        <v>8.1</v>
      </c>
      <c r="O12" s="23"/>
      <c r="P12" s="21" t="s">
        <v>37</v>
      </c>
      <c r="Q12" s="173">
        <v>-0.41243241208866999</v>
      </c>
      <c r="R12" s="173">
        <v>1.07981821350905E-4</v>
      </c>
    </row>
    <row r="13" spans="1:18">
      <c r="A13" s="23" t="s">
        <v>26</v>
      </c>
      <c r="B13" s="23">
        <v>9937</v>
      </c>
      <c r="C13" s="30" t="s">
        <v>156</v>
      </c>
      <c r="D13" s="23" t="s">
        <v>157</v>
      </c>
      <c r="E13" s="30" t="s">
        <v>158</v>
      </c>
      <c r="F13" s="21"/>
      <c r="G13" s="21" t="s">
        <v>31</v>
      </c>
      <c r="H13" s="23" t="s">
        <v>159</v>
      </c>
      <c r="I13" s="23" t="s">
        <v>160</v>
      </c>
      <c r="J13" s="21" t="s">
        <v>45</v>
      </c>
      <c r="K13" s="23"/>
      <c r="L13" s="153">
        <v>-11.775</v>
      </c>
      <c r="M13" s="156">
        <v>1</v>
      </c>
      <c r="N13" s="156">
        <v>-11.775</v>
      </c>
      <c r="O13" s="23"/>
      <c r="P13" s="21" t="s">
        <v>37</v>
      </c>
      <c r="Q13" s="173">
        <v>-13230.348314615399</v>
      </c>
      <c r="R13" s="173">
        <v>-3.7453157979656698E-4</v>
      </c>
    </row>
    <row r="14" spans="1:18">
      <c r="A14" s="23" t="s">
        <v>26</v>
      </c>
      <c r="B14" s="23">
        <v>9937</v>
      </c>
      <c r="C14" s="30" t="s">
        <v>161</v>
      </c>
      <c r="D14" s="23" t="s">
        <v>162</v>
      </c>
      <c r="E14" s="30" t="s">
        <v>163</v>
      </c>
      <c r="F14" s="21"/>
      <c r="G14" s="21" t="s">
        <v>31</v>
      </c>
      <c r="H14" s="23" t="s">
        <v>159</v>
      </c>
      <c r="I14" s="23" t="s">
        <v>160</v>
      </c>
      <c r="J14" s="21" t="s">
        <v>45</v>
      </c>
      <c r="K14" s="23"/>
      <c r="L14" s="153">
        <v>-1.3260000000000001</v>
      </c>
      <c r="M14" s="156">
        <v>1</v>
      </c>
      <c r="N14" s="156">
        <v>-1.3260000000000001</v>
      </c>
      <c r="O14" s="23"/>
      <c r="P14" s="21" t="s">
        <v>37</v>
      </c>
      <c r="Q14" s="173">
        <v>-1490.20224719199</v>
      </c>
      <c r="R14" s="173">
        <v>-4.2185420110266701E-5</v>
      </c>
    </row>
    <row r="15" spans="1:18">
      <c r="A15" s="23" t="s">
        <v>26</v>
      </c>
      <c r="B15" s="23">
        <v>9937</v>
      </c>
      <c r="C15" s="30" t="s">
        <v>164</v>
      </c>
      <c r="D15" s="23" t="s">
        <v>165</v>
      </c>
      <c r="E15" s="30" t="s">
        <v>158</v>
      </c>
      <c r="F15" s="21"/>
      <c r="G15" s="21" t="s">
        <v>31</v>
      </c>
      <c r="H15" s="23" t="s">
        <v>159</v>
      </c>
      <c r="I15" s="23" t="s">
        <v>160</v>
      </c>
      <c r="J15" s="21" t="s">
        <v>45</v>
      </c>
      <c r="K15" s="23"/>
      <c r="L15" s="153">
        <v>20.18</v>
      </c>
      <c r="M15" s="156">
        <v>1</v>
      </c>
      <c r="N15" s="156">
        <v>20.18</v>
      </c>
      <c r="O15" s="23"/>
      <c r="P15" s="21" t="s">
        <v>37</v>
      </c>
      <c r="Q15" s="173">
        <v>14721.5505618074</v>
      </c>
      <c r="R15" s="173">
        <v>4.1674530842682802E-4</v>
      </c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156"/>
      <c r="O18" s="156"/>
      <c r="P18" s="21"/>
      <c r="Q18" s="23"/>
      <c r="R18" s="23"/>
    </row>
    <row r="19" spans="1:18">
      <c r="E19" s="30"/>
      <c r="F19" s="21"/>
      <c r="G19" s="21"/>
      <c r="H19" s="23"/>
      <c r="P19" s="21"/>
    </row>
    <row r="20" spans="1:18">
      <c r="P20" s="153"/>
      <c r="Q20" s="153"/>
    </row>
    <row r="21" spans="1:18">
      <c r="N21" s="153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19" xr:uid="{00000000-0002-0000-1C00-000000000000}">
      <formula1>israel_abroad</formula1>
    </dataValidation>
    <dataValidation type="list" allowBlank="1" showInputMessage="1" showErrorMessage="1" sqref="H2:H19" xr:uid="{00000000-0002-0000-1C00-000001000000}">
      <formula1>Holding_interest</formula1>
    </dataValidation>
    <dataValidation type="list" allowBlank="1" showInputMessage="1" showErrorMessage="1" sqref="P2:P19" xr:uid="{00000000-0002-0000-1C00-000002000000}">
      <formula1>In_the_books</formula1>
    </dataValidation>
    <dataValidation type="list" allowBlank="1" showInputMessage="1" showErrorMessage="1" sqref="G2:G19" xr:uid="{00000000-0002-0000-1C00-000003000000}">
      <formula1>Country_list</formula1>
    </dataValidation>
    <dataValidation type="list" allowBlank="1" showInputMessage="1" showErrorMessage="1" sqref="E2:E19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58203125" defaultRowHeight="14.15" customHeight="1"/>
  <cols>
    <col min="1" max="15" width="11.58203125" style="2" customWidth="1"/>
    <col min="16" max="16" width="11.58203125" style="148" customWidth="1"/>
    <col min="17" max="20" width="11.58203125" style="2" customWidth="1"/>
    <col min="21" max="16384" width="11.58203125" style="2"/>
  </cols>
  <sheetData>
    <row r="1" spans="1:22" ht="66.75" customHeight="1">
      <c r="A1" s="22" t="s">
        <v>0</v>
      </c>
      <c r="B1" s="22" t="s">
        <v>1</v>
      </c>
      <c r="C1" s="22" t="s">
        <v>140</v>
      </c>
      <c r="D1" s="22" t="s">
        <v>141</v>
      </c>
      <c r="E1" s="22" t="s">
        <v>142</v>
      </c>
      <c r="F1" s="22" t="s">
        <v>143</v>
      </c>
      <c r="G1" s="22" t="s">
        <v>144</v>
      </c>
      <c r="H1" s="22" t="s">
        <v>6</v>
      </c>
      <c r="I1" s="22" t="s">
        <v>7</v>
      </c>
      <c r="J1" s="22" t="s">
        <v>145</v>
      </c>
      <c r="K1" s="22" t="s">
        <v>9</v>
      </c>
      <c r="L1" s="22" t="s">
        <v>10</v>
      </c>
      <c r="M1" s="22" t="s">
        <v>146</v>
      </c>
      <c r="N1" s="22" t="s">
        <v>11</v>
      </c>
      <c r="O1" s="22" t="s">
        <v>18</v>
      </c>
      <c r="P1" s="146" t="s">
        <v>14</v>
      </c>
      <c r="Q1" s="22" t="s">
        <v>147</v>
      </c>
      <c r="R1" s="22" t="s">
        <v>148</v>
      </c>
      <c r="S1" s="22" t="s">
        <v>149</v>
      </c>
      <c r="T1" s="22" t="s">
        <v>150</v>
      </c>
      <c r="U1" s="11"/>
      <c r="V1" s="11"/>
    </row>
    <row r="2" spans="1:22" ht="14.15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5" customHeight="1">
      <c r="D3" s="23"/>
      <c r="H3" s="21"/>
      <c r="I3" s="21"/>
      <c r="J3" s="23"/>
      <c r="K3" s="23"/>
      <c r="L3" s="23"/>
      <c r="M3" s="23"/>
      <c r="Q3" s="23"/>
    </row>
    <row r="4" spans="1:22" ht="14.15" customHeight="1">
      <c r="D4" s="23"/>
      <c r="H4" s="21"/>
      <c r="I4" s="21"/>
      <c r="J4" s="23"/>
      <c r="K4" s="23"/>
      <c r="L4" s="23"/>
      <c r="M4" s="23"/>
      <c r="Q4" s="23"/>
    </row>
    <row r="5" spans="1:22" ht="14.15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5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5" customHeight="1">
      <c r="D7" s="23"/>
      <c r="H7" s="21"/>
      <c r="I7" s="21"/>
      <c r="J7" s="23"/>
      <c r="K7" s="23"/>
      <c r="L7" s="23"/>
      <c r="M7" s="23"/>
      <c r="Q7" s="23"/>
    </row>
    <row r="8" spans="1:22" ht="14.15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5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5" customHeight="1">
      <c r="D12" s="23"/>
      <c r="H12" s="21"/>
      <c r="I12" s="21"/>
      <c r="J12" s="23"/>
      <c r="K12" s="23"/>
      <c r="L12" s="23"/>
      <c r="M12" s="23"/>
      <c r="Q12" s="23"/>
    </row>
    <row r="13" spans="1:22" ht="14.15" customHeight="1">
      <c r="D13" s="23"/>
      <c r="H13" s="21"/>
      <c r="I13" s="21"/>
      <c r="J13" s="23"/>
      <c r="K13" s="23"/>
      <c r="L13" s="23"/>
      <c r="M13" s="23"/>
      <c r="Q13" s="23"/>
    </row>
    <row r="14" spans="1:22" ht="14.15" customHeight="1">
      <c r="D14" s="23"/>
      <c r="H14" s="21"/>
      <c r="I14" s="21"/>
      <c r="J14" s="23"/>
      <c r="K14" s="23"/>
      <c r="L14" s="23"/>
      <c r="M14" s="23"/>
      <c r="Q14" s="23"/>
    </row>
    <row r="15" spans="1:22" ht="14.15" customHeight="1">
      <c r="D15" s="23"/>
      <c r="H15" s="21"/>
      <c r="I15" s="21"/>
      <c r="J15" s="23"/>
      <c r="K15" s="23"/>
      <c r="L15" s="23"/>
      <c r="M15" s="23"/>
      <c r="Q15" s="23"/>
    </row>
    <row r="16" spans="1:22" ht="14.15" customHeight="1">
      <c r="D16" s="23"/>
      <c r="H16" s="21"/>
      <c r="I16" s="21"/>
      <c r="J16" s="23"/>
      <c r="K16" s="23"/>
      <c r="L16" s="23"/>
      <c r="M16" s="23"/>
      <c r="Q16" s="23"/>
    </row>
    <row r="17" spans="4:17" ht="14.15" customHeight="1">
      <c r="D17" s="23"/>
      <c r="H17" s="21"/>
      <c r="I17" s="21"/>
      <c r="J17" s="23"/>
      <c r="K17" s="23"/>
      <c r="L17" s="23"/>
      <c r="M17" s="23"/>
      <c r="Q17" s="23"/>
    </row>
    <row r="18" spans="4:17" ht="14.15" customHeight="1">
      <c r="D18" s="23"/>
      <c r="H18" s="21"/>
      <c r="I18" s="21"/>
      <c r="J18" s="23"/>
      <c r="K18" s="23"/>
      <c r="L18" s="23"/>
      <c r="M18" s="23"/>
      <c r="Q18" s="23"/>
    </row>
    <row r="19" spans="4:17" ht="14.15" customHeight="1">
      <c r="D19" s="23"/>
      <c r="H19" s="21"/>
      <c r="I19" s="21"/>
      <c r="J19" s="23"/>
      <c r="K19" s="23"/>
      <c r="L19" s="23"/>
      <c r="M19" s="23"/>
      <c r="Q19" s="23"/>
    </row>
    <row r="20" spans="4:17" ht="14.15" customHeight="1">
      <c r="D20" s="23"/>
      <c r="H20" s="21"/>
      <c r="I20" s="21"/>
      <c r="J20" s="23"/>
      <c r="L20" s="23"/>
      <c r="M20" s="23"/>
      <c r="Q20" s="23"/>
    </row>
    <row r="21" spans="4:17" ht="14.15" customHeight="1">
      <c r="D21" s="4"/>
    </row>
    <row r="22" spans="4:17" ht="14.15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51"/>
  <sheetViews>
    <sheetView rightToLeft="1" tabSelected="1" topLeftCell="I1" zoomScale="90" zoomScaleNormal="90" workbookViewId="0">
      <pane ySplit="1" topLeftCell="A2" activePane="bottomLeft" state="frozen"/>
      <selection pane="bottomLeft" activeCell="O4" sqref="O4"/>
    </sheetView>
  </sheetViews>
  <sheetFormatPr defaultColWidth="11.58203125" defaultRowHeight="14.15" customHeight="1"/>
  <cols>
    <col min="1" max="3" width="11.58203125" style="11" customWidth="1"/>
    <col min="4" max="4" width="54.75" style="11" bestFit="1" customWidth="1"/>
    <col min="5" max="6" width="11.58203125" style="11" customWidth="1"/>
    <col min="7" max="7" width="47.08203125" style="11" bestFit="1" customWidth="1"/>
    <col min="8" max="8" width="11.58203125" style="11" customWidth="1"/>
    <col min="9" max="9" width="12.58203125" style="11" customWidth="1"/>
    <col min="10" max="10" width="11.58203125" style="11" customWidth="1"/>
    <col min="11" max="11" width="11.58203125" style="180" customWidth="1"/>
    <col min="12" max="12" width="11.58203125" style="11" customWidth="1"/>
    <col min="13" max="13" width="12.5" style="11" bestFit="1" customWidth="1"/>
    <col min="14" max="14" width="22.58203125" style="11" bestFit="1" customWidth="1"/>
    <col min="15" max="15" width="11.58203125" style="11" customWidth="1"/>
    <col min="16" max="16" width="11.58203125" style="181" customWidth="1"/>
    <col min="17" max="17" width="11.58203125" style="180" customWidth="1"/>
    <col min="18" max="23" width="11.58203125" style="11" customWidth="1"/>
    <col min="24" max="16384" width="11.58203125" style="11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212</v>
      </c>
      <c r="E1" s="22" t="s">
        <v>213</v>
      </c>
      <c r="F1" s="22" t="s">
        <v>214</v>
      </c>
      <c r="G1" s="22" t="s">
        <v>215</v>
      </c>
      <c r="H1" s="22" t="s">
        <v>216</v>
      </c>
      <c r="I1" s="22" t="s">
        <v>217</v>
      </c>
      <c r="J1" s="22" t="s">
        <v>11</v>
      </c>
      <c r="K1" s="179" t="s">
        <v>218</v>
      </c>
      <c r="L1" s="22" t="s">
        <v>219</v>
      </c>
      <c r="M1" s="22" t="s">
        <v>220</v>
      </c>
      <c r="N1" s="22" t="s">
        <v>221</v>
      </c>
      <c r="O1" s="22" t="s">
        <v>222</v>
      </c>
      <c r="P1" s="22" t="s">
        <v>223</v>
      </c>
      <c r="Q1" s="179" t="s">
        <v>224</v>
      </c>
    </row>
    <row r="2" spans="1:22" ht="14.15" customHeight="1">
      <c r="A2" s="11">
        <v>520042615</v>
      </c>
      <c r="B2" s="206">
        <v>9937</v>
      </c>
      <c r="C2" s="207" t="s">
        <v>499</v>
      </c>
      <c r="D2" s="207" t="s">
        <v>2622</v>
      </c>
      <c r="E2" s="207" t="s">
        <v>2623</v>
      </c>
      <c r="F2" s="207" t="s">
        <v>334</v>
      </c>
      <c r="G2" s="208" t="s">
        <v>2968</v>
      </c>
      <c r="H2" s="206">
        <v>62020599</v>
      </c>
      <c r="I2" s="209" t="s">
        <v>1345</v>
      </c>
      <c r="J2" s="208" t="s">
        <v>2969</v>
      </c>
      <c r="K2" s="210">
        <v>44736</v>
      </c>
      <c r="L2" s="211">
        <v>60000</v>
      </c>
      <c r="M2" s="212">
        <v>220860</v>
      </c>
      <c r="N2" s="213">
        <v>11499</v>
      </c>
      <c r="O2" s="181">
        <v>42.327819000000005</v>
      </c>
      <c r="P2" s="181">
        <v>0.19165000000000001</v>
      </c>
      <c r="Q2" s="214">
        <v>46539</v>
      </c>
      <c r="V2" s="21"/>
    </row>
    <row r="3" spans="1:22" ht="14.15" customHeight="1">
      <c r="A3" s="11">
        <v>520042615</v>
      </c>
      <c r="B3" s="206">
        <v>9937</v>
      </c>
      <c r="C3" s="207" t="s">
        <v>499</v>
      </c>
      <c r="D3" s="207" t="s">
        <v>2971</v>
      </c>
      <c r="E3" s="207"/>
      <c r="F3" s="207"/>
      <c r="G3" s="208" t="s">
        <v>2970</v>
      </c>
      <c r="H3" s="206">
        <v>62020649</v>
      </c>
      <c r="I3" s="209" t="s">
        <v>1345</v>
      </c>
      <c r="J3" s="208" t="s">
        <v>2969</v>
      </c>
      <c r="K3" s="210">
        <v>44757</v>
      </c>
      <c r="L3" s="211">
        <v>50000</v>
      </c>
      <c r="M3" s="212">
        <v>184050</v>
      </c>
      <c r="N3" s="213">
        <v>7752</v>
      </c>
      <c r="O3" s="181">
        <v>28.535112000000002</v>
      </c>
      <c r="P3" s="181">
        <v>0.15504000000000001</v>
      </c>
      <c r="Q3" s="214">
        <v>46935</v>
      </c>
      <c r="V3" s="21"/>
    </row>
    <row r="4" spans="1:22" ht="13.5" customHeight="1">
      <c r="A4" s="11">
        <v>520042615</v>
      </c>
      <c r="B4" s="206">
        <v>9935</v>
      </c>
      <c r="C4" s="207"/>
      <c r="D4" s="207"/>
      <c r="E4" s="207"/>
      <c r="F4" s="207"/>
      <c r="G4" s="208" t="s">
        <v>2733</v>
      </c>
      <c r="H4" s="206">
        <v>62020128</v>
      </c>
      <c r="I4" s="209" t="s">
        <v>1345</v>
      </c>
      <c r="J4" s="208" t="s">
        <v>2969</v>
      </c>
      <c r="K4" s="215">
        <v>44581</v>
      </c>
      <c r="L4" s="211">
        <v>500000</v>
      </c>
      <c r="M4" s="212">
        <v>1840500</v>
      </c>
      <c r="N4" s="213">
        <v>410312</v>
      </c>
      <c r="O4" s="181">
        <v>1510.3584720000001</v>
      </c>
      <c r="P4" s="181">
        <v>0.82062400000000002</v>
      </c>
      <c r="Q4" s="214"/>
      <c r="V4" s="21"/>
    </row>
    <row r="5" spans="1:22" ht="13.5" customHeight="1">
      <c r="A5" s="11">
        <v>520042615</v>
      </c>
      <c r="B5" s="206">
        <v>9935</v>
      </c>
      <c r="C5" s="207" t="s">
        <v>499</v>
      </c>
      <c r="D5" s="207" t="s">
        <v>2972</v>
      </c>
      <c r="E5" s="207" t="s">
        <v>2973</v>
      </c>
      <c r="F5" s="207" t="s">
        <v>332</v>
      </c>
      <c r="G5" s="208" t="s">
        <v>2974</v>
      </c>
      <c r="H5" s="206">
        <v>62016845</v>
      </c>
      <c r="I5" s="209" t="s">
        <v>1345</v>
      </c>
      <c r="J5" s="208" t="s">
        <v>2969</v>
      </c>
      <c r="K5" s="216">
        <v>44004</v>
      </c>
      <c r="L5" s="211">
        <v>1500000</v>
      </c>
      <c r="M5" s="212">
        <v>5521500</v>
      </c>
      <c r="N5" s="213">
        <v>274135.8</v>
      </c>
      <c r="O5" s="181">
        <v>1009.0938798</v>
      </c>
      <c r="P5" s="181">
        <v>0.18275720000000001</v>
      </c>
      <c r="Q5" s="214">
        <v>47635</v>
      </c>
      <c r="V5" s="21"/>
    </row>
    <row r="6" spans="1:22" ht="14.15" customHeight="1">
      <c r="A6" s="11">
        <v>520042615</v>
      </c>
      <c r="B6" s="206">
        <v>9935</v>
      </c>
      <c r="C6" s="207" t="s">
        <v>2975</v>
      </c>
      <c r="D6" s="207"/>
      <c r="E6" s="207"/>
      <c r="F6" s="207"/>
      <c r="G6" s="208" t="s">
        <v>2976</v>
      </c>
      <c r="H6" s="206">
        <v>62021175</v>
      </c>
      <c r="I6" s="209" t="s">
        <v>1345</v>
      </c>
      <c r="J6" s="208" t="s">
        <v>2969</v>
      </c>
      <c r="K6" s="216">
        <v>45057</v>
      </c>
      <c r="L6" s="211">
        <v>700000</v>
      </c>
      <c r="M6" s="212">
        <v>2576700</v>
      </c>
      <c r="N6" s="213">
        <v>637269.29</v>
      </c>
      <c r="O6" s="181">
        <v>2345.7882564900001</v>
      </c>
      <c r="P6" s="181">
        <v>0.91038470000000005</v>
      </c>
      <c r="Q6" s="214"/>
      <c r="V6" s="21"/>
    </row>
    <row r="7" spans="1:22" ht="14.15" customHeight="1">
      <c r="A7" s="11">
        <v>520042615</v>
      </c>
      <c r="B7" s="206">
        <v>9935</v>
      </c>
      <c r="C7" s="207" t="s">
        <v>2977</v>
      </c>
      <c r="D7" s="206"/>
      <c r="E7" s="207"/>
      <c r="F7" s="207"/>
      <c r="G7" s="208" t="s">
        <v>2978</v>
      </c>
      <c r="H7" s="206">
        <v>62014386</v>
      </c>
      <c r="I7" s="209" t="s">
        <v>1345</v>
      </c>
      <c r="J7" s="208" t="s">
        <v>2969</v>
      </c>
      <c r="K7" s="215">
        <v>43720</v>
      </c>
      <c r="L7" s="211">
        <v>555000</v>
      </c>
      <c r="M7" s="212">
        <v>2042955</v>
      </c>
      <c r="N7" s="213">
        <v>61050</v>
      </c>
      <c r="O7" s="181">
        <v>224.72505000000001</v>
      </c>
      <c r="P7" s="181">
        <v>0.11000000000000001</v>
      </c>
      <c r="Q7" s="214">
        <v>46842</v>
      </c>
      <c r="V7" s="21"/>
    </row>
    <row r="8" spans="1:22" ht="14.15" customHeight="1">
      <c r="A8" s="11">
        <v>520042615</v>
      </c>
      <c r="B8" s="206">
        <v>9935</v>
      </c>
      <c r="C8" s="207" t="s">
        <v>499</v>
      </c>
      <c r="D8" s="207" t="s">
        <v>2979</v>
      </c>
      <c r="E8" s="207" t="s">
        <v>2980</v>
      </c>
      <c r="F8" s="207" t="s">
        <v>332</v>
      </c>
      <c r="G8" s="208" t="s">
        <v>2619</v>
      </c>
      <c r="H8" s="206">
        <v>62020771</v>
      </c>
      <c r="I8" s="209" t="s">
        <v>1345</v>
      </c>
      <c r="J8" s="208" t="s">
        <v>2969</v>
      </c>
      <c r="K8" s="217">
        <v>44802</v>
      </c>
      <c r="L8" s="211">
        <v>1300000</v>
      </c>
      <c r="M8" s="212">
        <v>4785300</v>
      </c>
      <c r="N8" s="213">
        <v>571574.87</v>
      </c>
      <c r="O8" s="181">
        <v>2103.9670964700003</v>
      </c>
      <c r="P8" s="181">
        <v>0.439672976923077</v>
      </c>
      <c r="Q8" s="214">
        <v>46722</v>
      </c>
      <c r="V8" s="21"/>
    </row>
    <row r="9" spans="1:22" ht="14.15" customHeight="1">
      <c r="A9" s="11">
        <v>520042615</v>
      </c>
      <c r="B9" s="206">
        <v>9935</v>
      </c>
      <c r="C9" s="207" t="s">
        <v>499</v>
      </c>
      <c r="D9" s="218"/>
      <c r="E9" s="207"/>
      <c r="F9" s="207"/>
      <c r="G9" s="208" t="s">
        <v>2981</v>
      </c>
      <c r="H9" s="206">
        <v>62019286</v>
      </c>
      <c r="I9" s="209" t="s">
        <v>1345</v>
      </c>
      <c r="J9" s="208" t="s">
        <v>2969</v>
      </c>
      <c r="K9" s="217">
        <v>44565</v>
      </c>
      <c r="L9" s="211">
        <v>1000000</v>
      </c>
      <c r="M9" s="212">
        <v>3681000</v>
      </c>
      <c r="N9" s="213">
        <v>472134.71</v>
      </c>
      <c r="O9" s="181">
        <v>1737.9278675099999</v>
      </c>
      <c r="P9" s="181">
        <v>0.47213471000000001</v>
      </c>
      <c r="Q9" s="214"/>
      <c r="V9" s="21"/>
    </row>
    <row r="10" spans="1:22" ht="14" customHeight="1">
      <c r="A10" s="11">
        <v>520042615</v>
      </c>
      <c r="B10" s="206">
        <v>9935</v>
      </c>
      <c r="C10" s="207" t="s">
        <v>2975</v>
      </c>
      <c r="D10" s="207"/>
      <c r="E10" s="207"/>
      <c r="F10" s="207"/>
      <c r="G10" s="208" t="s">
        <v>2982</v>
      </c>
      <c r="H10" s="206">
        <v>62019765</v>
      </c>
      <c r="I10" s="209" t="s">
        <v>1345</v>
      </c>
      <c r="J10" s="208" t="s">
        <v>2983</v>
      </c>
      <c r="K10" s="215">
        <v>44524</v>
      </c>
      <c r="L10" s="211">
        <v>468080</v>
      </c>
      <c r="M10" s="212">
        <v>1862537.128</v>
      </c>
      <c r="N10" s="213">
        <v>168768</v>
      </c>
      <c r="O10" s="181">
        <v>671.54474879999998</v>
      </c>
      <c r="P10" s="181">
        <v>0.36055375149547081</v>
      </c>
      <c r="Q10" s="220"/>
      <c r="V10" s="21"/>
    </row>
    <row r="11" spans="1:22" ht="14" customHeight="1">
      <c r="A11" s="11">
        <v>520042615</v>
      </c>
      <c r="B11" s="206">
        <v>9935</v>
      </c>
      <c r="C11" s="207" t="s">
        <v>499</v>
      </c>
      <c r="D11" s="207" t="s">
        <v>2984</v>
      </c>
      <c r="E11" s="207" t="s">
        <v>2985</v>
      </c>
      <c r="F11" s="207" t="s">
        <v>332</v>
      </c>
      <c r="G11" s="208" t="s">
        <v>2986</v>
      </c>
      <c r="H11" s="206">
        <v>62017611</v>
      </c>
      <c r="I11" s="209" t="s">
        <v>1345</v>
      </c>
      <c r="J11" s="208" t="s">
        <v>2983</v>
      </c>
      <c r="K11" s="216">
        <v>43595</v>
      </c>
      <c r="L11" s="211">
        <v>1000000</v>
      </c>
      <c r="M11" s="212">
        <v>1000000</v>
      </c>
      <c r="N11" s="213">
        <v>232578.04</v>
      </c>
      <c r="O11" s="181">
        <v>925.45100000000002</v>
      </c>
      <c r="P11" s="181">
        <v>0.23257804000000001</v>
      </c>
      <c r="Q11" s="214">
        <v>45960</v>
      </c>
    </row>
    <row r="12" spans="1:22" ht="14" customHeight="1">
      <c r="A12" s="11">
        <v>520042615</v>
      </c>
      <c r="B12" s="206">
        <v>9935</v>
      </c>
      <c r="C12" s="207" t="s">
        <v>499</v>
      </c>
      <c r="D12" s="207"/>
      <c r="E12" s="207"/>
      <c r="F12" s="207" t="s">
        <v>2987</v>
      </c>
      <c r="G12" s="208" t="s">
        <v>2745</v>
      </c>
      <c r="H12" s="206">
        <v>62020359</v>
      </c>
      <c r="I12" s="209" t="s">
        <v>1345</v>
      </c>
      <c r="J12" s="208" t="s">
        <v>2969</v>
      </c>
      <c r="K12" s="217">
        <v>44635</v>
      </c>
      <c r="L12" s="211">
        <v>1700000</v>
      </c>
      <c r="M12" s="212">
        <v>6257700</v>
      </c>
      <c r="N12" s="213">
        <v>811025</v>
      </c>
      <c r="O12" s="181">
        <v>2985.3830250000001</v>
      </c>
      <c r="P12" s="181">
        <v>0.47707352941176467</v>
      </c>
      <c r="Q12" s="214"/>
    </row>
    <row r="13" spans="1:22" ht="14.15" customHeight="1">
      <c r="A13" s="11">
        <v>520042615</v>
      </c>
      <c r="B13" s="206">
        <v>9935</v>
      </c>
      <c r="C13" s="207" t="s">
        <v>506</v>
      </c>
      <c r="D13" s="207" t="s">
        <v>2988</v>
      </c>
      <c r="E13" s="207" t="s">
        <v>2674</v>
      </c>
      <c r="F13" s="207" t="s">
        <v>332</v>
      </c>
      <c r="G13" s="208" t="s">
        <v>2989</v>
      </c>
      <c r="H13" s="206">
        <v>62018890</v>
      </c>
      <c r="I13" s="209" t="s">
        <v>1345</v>
      </c>
      <c r="J13" s="208" t="s">
        <v>2983</v>
      </c>
      <c r="K13" s="217">
        <v>44421</v>
      </c>
      <c r="L13" s="211">
        <v>1300000</v>
      </c>
      <c r="M13" s="212">
        <v>5172830</v>
      </c>
      <c r="N13" s="213">
        <v>259590.07</v>
      </c>
      <c r="O13" s="181">
        <v>1032.934847537</v>
      </c>
      <c r="P13" s="181">
        <v>0.19968466923076922</v>
      </c>
      <c r="Q13" s="214">
        <v>48061</v>
      </c>
    </row>
    <row r="14" spans="1:22" ht="14" customHeight="1">
      <c r="A14" s="11">
        <v>520042615</v>
      </c>
      <c r="B14" s="206">
        <v>9935</v>
      </c>
      <c r="C14" s="207" t="s">
        <v>2990</v>
      </c>
      <c r="D14" s="207" t="s">
        <v>2622</v>
      </c>
      <c r="E14" s="207" t="s">
        <v>2623</v>
      </c>
      <c r="F14" s="207" t="s">
        <v>334</v>
      </c>
      <c r="G14" s="208" t="s">
        <v>2991</v>
      </c>
      <c r="H14" s="206">
        <v>62012778</v>
      </c>
      <c r="I14" s="209" t="s">
        <v>1345</v>
      </c>
      <c r="J14" s="208" t="s">
        <v>2969</v>
      </c>
      <c r="K14" s="216">
        <v>43614</v>
      </c>
      <c r="L14" s="211">
        <v>2000000</v>
      </c>
      <c r="M14" s="212">
        <v>7362000</v>
      </c>
      <c r="N14" s="213">
        <v>433818</v>
      </c>
      <c r="O14" s="181">
        <v>1596.8840579999999</v>
      </c>
      <c r="P14" s="181">
        <v>0.21690899999999999</v>
      </c>
      <c r="Q14" s="214">
        <v>46188</v>
      </c>
    </row>
    <row r="15" spans="1:22" ht="14.15" customHeight="1">
      <c r="A15" s="11">
        <v>520042615</v>
      </c>
      <c r="B15" s="206">
        <v>9935</v>
      </c>
      <c r="C15" s="207" t="s">
        <v>499</v>
      </c>
      <c r="D15" s="207" t="s">
        <v>2622</v>
      </c>
      <c r="E15" s="207" t="s">
        <v>2623</v>
      </c>
      <c r="F15" s="207" t="s">
        <v>334</v>
      </c>
      <c r="G15" s="208" t="s">
        <v>2627</v>
      </c>
      <c r="H15" s="206">
        <v>62020599</v>
      </c>
      <c r="I15" s="209" t="s">
        <v>1345</v>
      </c>
      <c r="J15" s="208" t="s">
        <v>2969</v>
      </c>
      <c r="K15" s="217">
        <v>44736</v>
      </c>
      <c r="L15" s="211">
        <v>1500000</v>
      </c>
      <c r="M15" s="212">
        <v>5521500</v>
      </c>
      <c r="N15" s="213">
        <v>287558</v>
      </c>
      <c r="O15" s="181">
        <v>1058.500998</v>
      </c>
      <c r="P15" s="181">
        <v>0.19170533333333331</v>
      </c>
      <c r="Q15" s="214">
        <v>46539</v>
      </c>
    </row>
    <row r="16" spans="1:22" ht="14.15" customHeight="1">
      <c r="A16" s="11">
        <v>520042615</v>
      </c>
      <c r="B16" s="206">
        <v>9935</v>
      </c>
      <c r="C16" s="207"/>
      <c r="D16" s="207"/>
      <c r="E16" s="207"/>
      <c r="F16" s="207"/>
      <c r="G16" s="208" t="s">
        <v>2992</v>
      </c>
      <c r="H16" s="206">
        <v>62018734</v>
      </c>
      <c r="I16" s="209" t="s">
        <v>1345</v>
      </c>
      <c r="J16" s="208" t="s">
        <v>2969</v>
      </c>
      <c r="K16" s="217">
        <v>44399</v>
      </c>
      <c r="L16" s="211">
        <v>400000</v>
      </c>
      <c r="M16" s="212">
        <v>1472400</v>
      </c>
      <c r="N16" s="213">
        <v>80000</v>
      </c>
      <c r="O16" s="181">
        <v>294.48</v>
      </c>
      <c r="P16" s="181">
        <v>0.2</v>
      </c>
      <c r="Q16" s="214"/>
    </row>
    <row r="17" spans="1:17" ht="14.15" customHeight="1">
      <c r="A17" s="11">
        <v>520042615</v>
      </c>
      <c r="B17" s="206">
        <v>9935</v>
      </c>
      <c r="C17" s="207" t="s">
        <v>2990</v>
      </c>
      <c r="D17" s="207" t="s">
        <v>2993</v>
      </c>
      <c r="E17" s="207" t="s">
        <v>2994</v>
      </c>
      <c r="F17" s="207" t="s">
        <v>332</v>
      </c>
      <c r="G17" s="208" t="s">
        <v>2995</v>
      </c>
      <c r="H17" s="206">
        <v>62010103</v>
      </c>
      <c r="I17" s="209" t="s">
        <v>1345</v>
      </c>
      <c r="J17" s="208" t="s">
        <v>2969</v>
      </c>
      <c r="K17" s="216">
        <v>43458</v>
      </c>
      <c r="L17" s="211">
        <v>2000000</v>
      </c>
      <c r="M17" s="212">
        <v>7362000</v>
      </c>
      <c r="N17" s="213">
        <v>380000</v>
      </c>
      <c r="O17" s="181">
        <v>1398.78</v>
      </c>
      <c r="P17" s="181">
        <v>0.19</v>
      </c>
      <c r="Q17" s="214">
        <v>46813</v>
      </c>
    </row>
    <row r="18" spans="1:17" ht="14.15" customHeight="1">
      <c r="A18" s="11">
        <v>520042615</v>
      </c>
      <c r="B18" s="206">
        <v>9935</v>
      </c>
      <c r="C18" s="207" t="s">
        <v>499</v>
      </c>
      <c r="D18" s="207" t="s">
        <v>2996</v>
      </c>
      <c r="E18" s="207" t="s">
        <v>2997</v>
      </c>
      <c r="F18" s="207" t="s">
        <v>332</v>
      </c>
      <c r="G18" s="208" t="s">
        <v>2998</v>
      </c>
      <c r="H18" s="206">
        <v>50007954</v>
      </c>
      <c r="I18" s="209" t="s">
        <v>1345</v>
      </c>
      <c r="J18" s="208" t="s">
        <v>2999</v>
      </c>
      <c r="K18" s="216">
        <v>45046</v>
      </c>
      <c r="L18" s="211">
        <v>5400000</v>
      </c>
      <c r="M18" s="212">
        <v>5400000</v>
      </c>
      <c r="N18" s="213">
        <v>3384432</v>
      </c>
      <c r="O18" s="181">
        <v>3384.4319999999998</v>
      </c>
      <c r="P18" s="181">
        <v>0.62674666666666667</v>
      </c>
      <c r="Q18" s="214">
        <v>47574</v>
      </c>
    </row>
    <row r="19" spans="1:17" ht="14.15" customHeight="1">
      <c r="A19" s="11">
        <v>520042615</v>
      </c>
      <c r="B19" s="206">
        <v>9935</v>
      </c>
      <c r="C19" s="207" t="s">
        <v>2975</v>
      </c>
      <c r="D19" s="207" t="s">
        <v>3000</v>
      </c>
      <c r="E19" s="207">
        <v>515980530</v>
      </c>
      <c r="F19" s="207" t="s">
        <v>332</v>
      </c>
      <c r="G19" s="208" t="s">
        <v>3001</v>
      </c>
      <c r="H19" s="206">
        <v>62019328</v>
      </c>
      <c r="I19" s="209" t="s">
        <v>1345</v>
      </c>
      <c r="J19" s="208" t="s">
        <v>2983</v>
      </c>
      <c r="K19" s="210">
        <v>44452</v>
      </c>
      <c r="L19" s="211">
        <v>1000000</v>
      </c>
      <c r="M19" s="212">
        <v>3979100</v>
      </c>
      <c r="N19" s="213">
        <v>11980</v>
      </c>
      <c r="O19" s="181">
        <v>47.669617999999993</v>
      </c>
      <c r="P19" s="181">
        <v>1.1979999999999999E-2</v>
      </c>
      <c r="Q19" s="214"/>
    </row>
    <row r="20" spans="1:17" ht="14.15" customHeight="1">
      <c r="A20" s="11">
        <v>520042615</v>
      </c>
      <c r="B20" s="206">
        <v>9935</v>
      </c>
      <c r="C20" s="207" t="s">
        <v>506</v>
      </c>
      <c r="D20" s="207" t="s">
        <v>3002</v>
      </c>
      <c r="E20" s="207" t="s">
        <v>3003</v>
      </c>
      <c r="F20" s="207" t="s">
        <v>332</v>
      </c>
      <c r="G20" s="208" t="s">
        <v>3004</v>
      </c>
      <c r="H20" s="206">
        <v>62017520</v>
      </c>
      <c r="I20" s="209" t="s">
        <v>1345</v>
      </c>
      <c r="J20" s="208" t="s">
        <v>2969</v>
      </c>
      <c r="K20" s="215">
        <v>44118</v>
      </c>
      <c r="L20" s="211">
        <v>2000000</v>
      </c>
      <c r="M20" s="212">
        <v>7362000</v>
      </c>
      <c r="N20" s="213">
        <v>400000</v>
      </c>
      <c r="O20" s="181">
        <v>1472.4</v>
      </c>
      <c r="P20" s="181">
        <v>0.2</v>
      </c>
      <c r="Q20" s="214">
        <v>47757</v>
      </c>
    </row>
    <row r="21" spans="1:17" ht="14.15" customHeight="1">
      <c r="A21" s="11">
        <v>520042615</v>
      </c>
      <c r="B21" s="206">
        <v>9935</v>
      </c>
      <c r="C21" s="207" t="s">
        <v>2977</v>
      </c>
      <c r="D21" s="207" t="s">
        <v>2689</v>
      </c>
      <c r="E21" s="207" t="s">
        <v>3005</v>
      </c>
      <c r="F21" s="207" t="s">
        <v>334</v>
      </c>
      <c r="G21" s="208" t="s">
        <v>3006</v>
      </c>
      <c r="H21" s="206">
        <v>62015862</v>
      </c>
      <c r="I21" s="209" t="s">
        <v>1345</v>
      </c>
      <c r="J21" s="208" t="s">
        <v>2969</v>
      </c>
      <c r="K21" s="215">
        <v>43915</v>
      </c>
      <c r="L21" s="211">
        <v>710000</v>
      </c>
      <c r="M21" s="212">
        <v>2613510</v>
      </c>
      <c r="N21" s="213">
        <v>21246.52</v>
      </c>
      <c r="O21" s="181">
        <v>78.208440120000006</v>
      </c>
      <c r="P21" s="181">
        <v>2.9924676056338029E-2</v>
      </c>
      <c r="Q21" s="214">
        <v>47543</v>
      </c>
    </row>
    <row r="22" spans="1:17" ht="14.15" customHeight="1">
      <c r="A22" s="11">
        <v>520042615</v>
      </c>
      <c r="B22" s="206">
        <v>9935</v>
      </c>
      <c r="C22" s="207" t="s">
        <v>2977</v>
      </c>
      <c r="D22" s="207" t="s">
        <v>2689</v>
      </c>
      <c r="E22" s="207" t="s">
        <v>3005</v>
      </c>
      <c r="F22" s="207" t="s">
        <v>334</v>
      </c>
      <c r="G22" s="208" t="s">
        <v>2631</v>
      </c>
      <c r="H22" s="206">
        <v>62018577</v>
      </c>
      <c r="I22" s="209" t="s">
        <v>1345</v>
      </c>
      <c r="J22" s="208" t="s">
        <v>2969</v>
      </c>
      <c r="K22" s="210">
        <v>44392</v>
      </c>
      <c r="L22" s="211">
        <v>750000</v>
      </c>
      <c r="M22" s="212">
        <v>2760750</v>
      </c>
      <c r="N22" s="213">
        <v>138750</v>
      </c>
      <c r="O22" s="181">
        <v>510.73874999999998</v>
      </c>
      <c r="P22" s="181">
        <v>0.185</v>
      </c>
      <c r="Q22" s="214">
        <v>48030</v>
      </c>
    </row>
    <row r="23" spans="1:17" ht="14.15" customHeight="1">
      <c r="A23" s="11">
        <v>520042615</v>
      </c>
      <c r="B23" s="206">
        <v>9935</v>
      </c>
      <c r="C23" s="207" t="s">
        <v>499</v>
      </c>
      <c r="D23" s="207" t="s">
        <v>3007</v>
      </c>
      <c r="E23" s="207" t="s">
        <v>3008</v>
      </c>
      <c r="F23" s="207" t="s">
        <v>332</v>
      </c>
      <c r="G23" s="208" t="s">
        <v>2634</v>
      </c>
      <c r="H23" s="206">
        <v>62020649</v>
      </c>
      <c r="I23" s="209" t="s">
        <v>1345</v>
      </c>
      <c r="J23" s="208" t="s">
        <v>2969</v>
      </c>
      <c r="K23" s="210">
        <v>44757</v>
      </c>
      <c r="L23" s="211">
        <v>1000000</v>
      </c>
      <c r="M23" s="212">
        <v>3681000</v>
      </c>
      <c r="N23" s="213">
        <v>155091</v>
      </c>
      <c r="O23" s="181">
        <v>570.88997100000006</v>
      </c>
      <c r="P23" s="181">
        <v>0.15509100000000001</v>
      </c>
      <c r="Q23" s="214">
        <v>46935</v>
      </c>
    </row>
    <row r="24" spans="1:17" ht="14.15" customHeight="1">
      <c r="A24" s="11">
        <v>520042615</v>
      </c>
      <c r="B24" s="206">
        <v>9935</v>
      </c>
      <c r="C24" s="207" t="s">
        <v>499</v>
      </c>
      <c r="D24" s="207" t="s">
        <v>2557</v>
      </c>
      <c r="E24" s="207" t="s">
        <v>3009</v>
      </c>
      <c r="F24" s="207" t="s">
        <v>332</v>
      </c>
      <c r="G24" s="208" t="s">
        <v>3010</v>
      </c>
      <c r="H24" s="206">
        <v>50001015</v>
      </c>
      <c r="I24" s="209" t="s">
        <v>1345</v>
      </c>
      <c r="J24" s="208" t="s">
        <v>2999</v>
      </c>
      <c r="K24" s="210">
        <v>43782</v>
      </c>
      <c r="L24" s="211">
        <v>5400000</v>
      </c>
      <c r="M24" s="212">
        <v>5400000</v>
      </c>
      <c r="N24" s="213">
        <v>1620000</v>
      </c>
      <c r="O24" s="181">
        <v>1620</v>
      </c>
      <c r="P24" s="181">
        <v>0.3</v>
      </c>
      <c r="Q24" s="214">
        <v>46692</v>
      </c>
    </row>
    <row r="25" spans="1:17" ht="14.15" customHeight="1">
      <c r="A25" s="11">
        <v>520042615</v>
      </c>
      <c r="B25" s="206">
        <v>9935</v>
      </c>
      <c r="C25" s="207" t="s">
        <v>499</v>
      </c>
      <c r="D25" s="207" t="s">
        <v>2557</v>
      </c>
      <c r="E25" s="207" t="s">
        <v>3011</v>
      </c>
      <c r="F25" s="207" t="s">
        <v>332</v>
      </c>
      <c r="G25" s="208" t="s">
        <v>2559</v>
      </c>
      <c r="H25" s="206">
        <v>50007921</v>
      </c>
      <c r="I25" s="209" t="s">
        <v>1345</v>
      </c>
      <c r="J25" s="208" t="s">
        <v>2999</v>
      </c>
      <c r="K25" s="210">
        <v>45040</v>
      </c>
      <c r="L25" s="211">
        <v>3000000</v>
      </c>
      <c r="M25" s="212">
        <v>3000000</v>
      </c>
      <c r="N25" s="213">
        <v>2100000</v>
      </c>
      <c r="O25" s="181">
        <v>2100</v>
      </c>
      <c r="P25" s="181">
        <v>0.7</v>
      </c>
      <c r="Q25" s="214">
        <v>47939</v>
      </c>
    </row>
    <row r="26" spans="1:17" ht="14.15" customHeight="1">
      <c r="A26" s="11">
        <v>520042615</v>
      </c>
      <c r="B26" s="206">
        <v>9935</v>
      </c>
      <c r="C26" s="206" t="s">
        <v>499</v>
      </c>
      <c r="D26" s="206"/>
      <c r="E26" s="206"/>
      <c r="F26" s="206"/>
      <c r="G26" s="206" t="s">
        <v>3012</v>
      </c>
      <c r="H26" s="206">
        <v>62018072</v>
      </c>
      <c r="I26" s="206" t="s">
        <v>1345</v>
      </c>
      <c r="J26" s="206" t="s">
        <v>2983</v>
      </c>
      <c r="K26" s="210">
        <v>44286</v>
      </c>
      <c r="L26" s="219">
        <v>600000</v>
      </c>
      <c r="M26" s="219">
        <v>2387460</v>
      </c>
      <c r="N26" s="213">
        <v>26348.2</v>
      </c>
      <c r="O26" s="181">
        <v>104.84212262</v>
      </c>
      <c r="P26" s="181">
        <v>4.3913666666666663E-2</v>
      </c>
      <c r="Q26" s="214"/>
    </row>
    <row r="27" spans="1:17" ht="14.15" customHeight="1">
      <c r="A27" s="11">
        <v>520042615</v>
      </c>
      <c r="B27" s="11">
        <v>9935</v>
      </c>
      <c r="C27" s="11" t="s">
        <v>499</v>
      </c>
      <c r="G27" s="11" t="s">
        <v>3013</v>
      </c>
      <c r="H27" s="11">
        <v>62017819</v>
      </c>
      <c r="I27" s="11" t="s">
        <v>1345</v>
      </c>
      <c r="J27" s="11" t="s">
        <v>2969</v>
      </c>
      <c r="K27" s="180">
        <v>44245</v>
      </c>
      <c r="L27" s="11">
        <v>1000000</v>
      </c>
      <c r="M27" s="11">
        <v>3681000</v>
      </c>
      <c r="N27" s="11">
        <v>555775</v>
      </c>
      <c r="O27" s="11">
        <v>2045.8077750000002</v>
      </c>
      <c r="P27" s="181">
        <v>0.55577500000000002</v>
      </c>
      <c r="Q27" s="180">
        <v>46054</v>
      </c>
    </row>
    <row r="28" spans="1:17" ht="14.15" customHeight="1">
      <c r="A28" s="11">
        <v>520042615</v>
      </c>
      <c r="B28" s="11">
        <v>9935</v>
      </c>
      <c r="C28" s="11" t="s">
        <v>2990</v>
      </c>
      <c r="D28" s="11" t="s">
        <v>3014</v>
      </c>
      <c r="E28" s="11" t="s">
        <v>3015</v>
      </c>
      <c r="F28" s="11" t="s">
        <v>332</v>
      </c>
      <c r="G28" s="11" t="s">
        <v>3016</v>
      </c>
      <c r="H28" s="11">
        <v>62009311</v>
      </c>
      <c r="I28" s="11" t="s">
        <v>1345</v>
      </c>
      <c r="J28" s="11" t="s">
        <v>2969</v>
      </c>
      <c r="K28" s="180">
        <v>43354</v>
      </c>
      <c r="L28" s="11">
        <v>2000000</v>
      </c>
      <c r="M28" s="11">
        <v>7362000</v>
      </c>
      <c r="N28" s="11">
        <v>159010.74</v>
      </c>
      <c r="O28" s="11">
        <v>585.31853393999995</v>
      </c>
      <c r="P28" s="181">
        <v>7.9505370000000006E-2</v>
      </c>
      <c r="Q28" s="180">
        <v>46174</v>
      </c>
    </row>
    <row r="29" spans="1:17" ht="14.15" customHeight="1">
      <c r="A29" s="11">
        <v>520042615</v>
      </c>
      <c r="B29" s="11">
        <v>9935</v>
      </c>
      <c r="C29" s="11" t="s">
        <v>2990</v>
      </c>
      <c r="D29" s="11" t="s">
        <v>3014</v>
      </c>
      <c r="E29" s="11" t="s">
        <v>3015</v>
      </c>
      <c r="F29" s="11" t="s">
        <v>332</v>
      </c>
      <c r="G29" s="11" t="s">
        <v>3017</v>
      </c>
      <c r="H29" s="11">
        <v>62019021</v>
      </c>
      <c r="I29" s="11" t="s">
        <v>1345</v>
      </c>
      <c r="J29" s="11" t="s">
        <v>2969</v>
      </c>
      <c r="K29" s="180">
        <v>44431</v>
      </c>
      <c r="L29" s="11">
        <v>700000</v>
      </c>
      <c r="M29" s="11">
        <v>2576700</v>
      </c>
      <c r="N29" s="11">
        <v>360746</v>
      </c>
      <c r="O29" s="11">
        <v>1327.9060260000001</v>
      </c>
      <c r="P29" s="181">
        <v>0.51535142857142857</v>
      </c>
    </row>
    <row r="30" spans="1:17" ht="14.15" customHeight="1">
      <c r="A30" s="11">
        <v>520042615</v>
      </c>
      <c r="B30" s="11">
        <v>9935</v>
      </c>
      <c r="C30" s="11" t="s">
        <v>499</v>
      </c>
      <c r="G30" s="11" t="s">
        <v>3018</v>
      </c>
      <c r="H30" s="11">
        <v>62021001</v>
      </c>
      <c r="I30" s="11" t="s">
        <v>1345</v>
      </c>
      <c r="J30" s="11" t="s">
        <v>2969</v>
      </c>
      <c r="K30" s="180">
        <v>44887</v>
      </c>
      <c r="L30" s="11">
        <v>1000000</v>
      </c>
      <c r="M30" s="11">
        <v>3681000</v>
      </c>
      <c r="N30" s="11">
        <v>532235.25</v>
      </c>
      <c r="O30" s="11">
        <v>1959.1579552500002</v>
      </c>
      <c r="P30" s="181">
        <v>0.53223525000000005</v>
      </c>
    </row>
    <row r="31" spans="1:17" ht="14.15" customHeight="1">
      <c r="A31" s="11">
        <v>520042615</v>
      </c>
      <c r="B31" s="11">
        <v>9935</v>
      </c>
      <c r="C31" s="11" t="s">
        <v>499</v>
      </c>
      <c r="D31" s="11" t="s">
        <v>3047</v>
      </c>
      <c r="E31" s="11" t="s">
        <v>2711</v>
      </c>
      <c r="F31" s="11" t="s">
        <v>332</v>
      </c>
      <c r="G31" s="11" t="s">
        <v>3019</v>
      </c>
      <c r="H31" s="11">
        <v>62017140</v>
      </c>
      <c r="I31" s="11" t="s">
        <v>1345</v>
      </c>
      <c r="J31" s="11" t="s">
        <v>2983</v>
      </c>
      <c r="K31" s="180">
        <v>44029</v>
      </c>
      <c r="L31" s="11">
        <v>1337000</v>
      </c>
      <c r="M31" s="11">
        <v>5320056.7</v>
      </c>
      <c r="N31" s="11">
        <v>118845.05</v>
      </c>
      <c r="O31" s="11">
        <v>472.89633845500003</v>
      </c>
      <c r="P31" s="181">
        <v>8.8889341810022435E-2</v>
      </c>
      <c r="Q31" s="180">
        <v>46753</v>
      </c>
    </row>
    <row r="32" spans="1:17" ht="14.15" customHeight="1">
      <c r="A32" s="11">
        <v>520042615</v>
      </c>
      <c r="B32" s="11">
        <v>9935</v>
      </c>
      <c r="G32" s="11" t="s">
        <v>3020</v>
      </c>
      <c r="H32" s="11">
        <v>62019740</v>
      </c>
      <c r="I32" s="11" t="s">
        <v>1345</v>
      </c>
      <c r="J32" s="11" t="s">
        <v>2969</v>
      </c>
      <c r="K32" s="180">
        <v>44518</v>
      </c>
      <c r="L32" s="11">
        <v>1000000</v>
      </c>
      <c r="M32" s="11">
        <v>3681000</v>
      </c>
      <c r="N32" s="11">
        <v>89369</v>
      </c>
      <c r="O32" s="11">
        <v>328.96728899999999</v>
      </c>
      <c r="P32" s="181">
        <v>8.9369000000000004E-2</v>
      </c>
    </row>
    <row r="33" spans="1:17" ht="14.15" customHeight="1">
      <c r="A33" s="11">
        <v>520042615</v>
      </c>
      <c r="B33" s="11">
        <v>9935</v>
      </c>
      <c r="C33" s="11" t="s">
        <v>506</v>
      </c>
      <c r="D33" s="11" t="s">
        <v>3048</v>
      </c>
      <c r="E33" s="11" t="s">
        <v>2715</v>
      </c>
      <c r="F33" s="11" t="s">
        <v>334</v>
      </c>
      <c r="G33" s="11" t="s">
        <v>3021</v>
      </c>
      <c r="H33" s="11">
        <v>62007083</v>
      </c>
      <c r="I33" s="11" t="s">
        <v>1345</v>
      </c>
      <c r="J33" s="11" t="s">
        <v>2969</v>
      </c>
      <c r="K33" s="180">
        <v>43227</v>
      </c>
      <c r="L33" s="11">
        <v>1400000</v>
      </c>
      <c r="M33" s="11">
        <v>5153400</v>
      </c>
      <c r="N33" s="11">
        <v>237300</v>
      </c>
      <c r="O33" s="11">
        <v>873.50130000000001</v>
      </c>
      <c r="P33" s="181">
        <v>0.16950000000000001</v>
      </c>
      <c r="Q33" s="180">
        <v>47969</v>
      </c>
    </row>
    <row r="34" spans="1:17" ht="14.15" customHeight="1">
      <c r="A34" s="11">
        <v>520042615</v>
      </c>
      <c r="B34" s="11">
        <v>9935</v>
      </c>
      <c r="G34" s="11" t="s">
        <v>3022</v>
      </c>
      <c r="H34" s="11">
        <v>62018619</v>
      </c>
      <c r="I34" s="11" t="s">
        <v>1345</v>
      </c>
      <c r="J34" s="11" t="s">
        <v>2969</v>
      </c>
      <c r="K34" s="180">
        <v>44389</v>
      </c>
      <c r="L34" s="11">
        <v>340000</v>
      </c>
      <c r="M34" s="11">
        <v>1251540</v>
      </c>
      <c r="N34" s="11">
        <v>126769</v>
      </c>
      <c r="O34" s="11">
        <v>466.63668899999999</v>
      </c>
      <c r="P34" s="181">
        <v>0.37285000000000001</v>
      </c>
    </row>
    <row r="35" spans="1:17" ht="14.15" customHeight="1">
      <c r="A35" s="11">
        <v>520042615</v>
      </c>
      <c r="B35" s="11">
        <v>9935</v>
      </c>
      <c r="C35" s="11" t="s">
        <v>2977</v>
      </c>
      <c r="G35" s="11" t="s">
        <v>2791</v>
      </c>
      <c r="H35" s="11">
        <v>62019716</v>
      </c>
      <c r="I35" s="11" t="s">
        <v>1345</v>
      </c>
      <c r="J35" s="11" t="s">
        <v>2983</v>
      </c>
      <c r="K35" s="180">
        <v>44508</v>
      </c>
      <c r="L35" s="11">
        <v>430000</v>
      </c>
      <c r="M35" s="11">
        <v>1711013</v>
      </c>
      <c r="N35" s="11">
        <v>118185.63</v>
      </c>
      <c r="O35" s="11">
        <v>470.27244033299996</v>
      </c>
      <c r="P35" s="181">
        <v>0.27485030232558139</v>
      </c>
    </row>
    <row r="36" spans="1:17" ht="14.15" customHeight="1">
      <c r="A36" s="11">
        <v>520042615</v>
      </c>
      <c r="B36" s="11">
        <v>9935</v>
      </c>
      <c r="C36" s="11" t="s">
        <v>2977</v>
      </c>
      <c r="G36" s="11" t="s">
        <v>3023</v>
      </c>
      <c r="H36" s="11">
        <v>62018965</v>
      </c>
      <c r="I36" s="11" t="s">
        <v>1345</v>
      </c>
      <c r="J36" s="11" t="s">
        <v>2969</v>
      </c>
      <c r="K36" s="180">
        <v>44426</v>
      </c>
      <c r="L36" s="11">
        <v>700000</v>
      </c>
      <c r="M36" s="11">
        <v>2576700</v>
      </c>
      <c r="N36" s="11">
        <v>196000</v>
      </c>
      <c r="O36" s="11">
        <v>721.476</v>
      </c>
      <c r="P36" s="181">
        <v>0.28000000000000003</v>
      </c>
    </row>
    <row r="37" spans="1:17" ht="14.15" customHeight="1">
      <c r="A37" s="11">
        <v>520042615</v>
      </c>
      <c r="B37" s="11">
        <v>9935</v>
      </c>
      <c r="C37" s="11" t="s">
        <v>499</v>
      </c>
      <c r="D37" s="11" t="s">
        <v>3024</v>
      </c>
      <c r="E37" s="11" t="s">
        <v>3025</v>
      </c>
      <c r="F37" s="11" t="s">
        <v>332</v>
      </c>
      <c r="G37" s="11" t="s">
        <v>3026</v>
      </c>
      <c r="H37" s="11">
        <v>62019633</v>
      </c>
      <c r="I37" s="11" t="s">
        <v>1345</v>
      </c>
      <c r="J37" s="11" t="s">
        <v>2969</v>
      </c>
      <c r="K37" s="180">
        <v>44496</v>
      </c>
      <c r="L37" s="11">
        <v>1000000</v>
      </c>
      <c r="M37" s="11">
        <v>3681000</v>
      </c>
      <c r="N37" s="11">
        <v>100000</v>
      </c>
      <c r="O37" s="11">
        <v>368.1</v>
      </c>
      <c r="P37" s="181">
        <v>0.1</v>
      </c>
      <c r="Q37" s="180">
        <v>47027</v>
      </c>
    </row>
    <row r="38" spans="1:17" ht="14.15" customHeight="1">
      <c r="A38" s="11">
        <v>520042615</v>
      </c>
      <c r="B38" s="11">
        <v>9935</v>
      </c>
      <c r="C38" s="11" t="s">
        <v>499</v>
      </c>
      <c r="D38" s="11" t="s">
        <v>3024</v>
      </c>
      <c r="E38" s="11" t="s">
        <v>3025</v>
      </c>
      <c r="F38" s="11" t="s">
        <v>332</v>
      </c>
      <c r="G38" s="11" t="s">
        <v>3027</v>
      </c>
      <c r="H38" s="11">
        <v>62020938</v>
      </c>
      <c r="I38" s="11" t="s">
        <v>1345</v>
      </c>
      <c r="J38" s="11" t="s">
        <v>2969</v>
      </c>
      <c r="K38" s="180">
        <v>44858</v>
      </c>
      <c r="L38" s="11">
        <v>315830</v>
      </c>
      <c r="M38" s="11">
        <v>1162570.23</v>
      </c>
      <c r="N38" s="11">
        <v>213109</v>
      </c>
      <c r="O38" s="11">
        <v>784.45422900000005</v>
      </c>
      <c r="P38" s="181">
        <v>0.67475857264984329</v>
      </c>
    </row>
    <row r="39" spans="1:17" ht="14.15" customHeight="1">
      <c r="A39" s="11">
        <v>520042615</v>
      </c>
      <c r="B39" s="11">
        <v>9935</v>
      </c>
      <c r="C39" s="11" t="s">
        <v>499</v>
      </c>
      <c r="D39" s="11" t="s">
        <v>2622</v>
      </c>
      <c r="E39" s="11" t="s">
        <v>2623</v>
      </c>
      <c r="F39" s="11" t="s">
        <v>334</v>
      </c>
      <c r="G39" s="11" t="s">
        <v>3028</v>
      </c>
      <c r="H39" s="11">
        <v>62018031</v>
      </c>
      <c r="I39" s="11" t="s">
        <v>1345</v>
      </c>
      <c r="J39" s="11" t="s">
        <v>2969</v>
      </c>
      <c r="K39" s="180">
        <v>44284</v>
      </c>
      <c r="L39" s="11">
        <v>1500000</v>
      </c>
      <c r="M39" s="11">
        <v>5521500</v>
      </c>
      <c r="N39" s="11">
        <v>146724</v>
      </c>
      <c r="O39" s="11">
        <v>540.09104400000001</v>
      </c>
      <c r="P39" s="181">
        <v>9.7816E-2</v>
      </c>
      <c r="Q39" s="180">
        <v>46082</v>
      </c>
    </row>
    <row r="40" spans="1:17" ht="14.15" customHeight="1">
      <c r="A40" s="11">
        <v>520042615</v>
      </c>
      <c r="B40" s="11">
        <v>9935</v>
      </c>
      <c r="C40" s="11" t="s">
        <v>2990</v>
      </c>
      <c r="G40" s="11" t="s">
        <v>3029</v>
      </c>
      <c r="H40" s="11">
        <v>62013958</v>
      </c>
      <c r="I40" s="11" t="s">
        <v>1345</v>
      </c>
      <c r="J40" s="11" t="s">
        <v>2969</v>
      </c>
      <c r="K40" s="180">
        <v>43696</v>
      </c>
      <c r="L40" s="11">
        <v>1000000</v>
      </c>
      <c r="M40" s="11">
        <v>3681000</v>
      </c>
      <c r="N40" s="11">
        <v>143392</v>
      </c>
      <c r="O40" s="11">
        <v>527.82595200000003</v>
      </c>
      <c r="P40" s="181">
        <v>0.14339200000000002</v>
      </c>
      <c r="Q40" s="180">
        <v>46600</v>
      </c>
    </row>
    <row r="41" spans="1:17" ht="14.15" customHeight="1">
      <c r="A41" s="11">
        <v>520042615</v>
      </c>
      <c r="B41" s="11">
        <v>9935</v>
      </c>
      <c r="C41" s="11" t="s">
        <v>499</v>
      </c>
      <c r="G41" s="11" t="s">
        <v>2724</v>
      </c>
      <c r="H41" s="11">
        <v>62016522</v>
      </c>
      <c r="I41" s="11" t="s">
        <v>1345</v>
      </c>
      <c r="J41" s="11" t="s">
        <v>2969</v>
      </c>
      <c r="K41" s="180">
        <v>43958</v>
      </c>
      <c r="L41" s="11">
        <v>1500000</v>
      </c>
      <c r="M41" s="11">
        <v>5521500</v>
      </c>
      <c r="N41" s="11">
        <v>35173.800000000003</v>
      </c>
      <c r="O41" s="11">
        <v>129.47475780000002</v>
      </c>
      <c r="P41" s="181">
        <v>2.34492E-2</v>
      </c>
      <c r="Q41" s="180">
        <v>45778</v>
      </c>
    </row>
    <row r="42" spans="1:17" ht="14.15" customHeight="1">
      <c r="A42" s="11">
        <v>520042615</v>
      </c>
      <c r="B42" s="11">
        <v>9935</v>
      </c>
      <c r="C42" s="11" t="s">
        <v>499</v>
      </c>
      <c r="D42" s="11" t="s">
        <v>3030</v>
      </c>
      <c r="E42" s="11" t="s">
        <v>3031</v>
      </c>
      <c r="F42" s="11" t="s">
        <v>332</v>
      </c>
      <c r="G42" s="11" t="s">
        <v>3032</v>
      </c>
      <c r="H42" s="11">
        <v>50006782</v>
      </c>
      <c r="I42" s="11" t="s">
        <v>1345</v>
      </c>
      <c r="J42" s="11" t="s">
        <v>2999</v>
      </c>
      <c r="K42" s="180">
        <v>43803</v>
      </c>
      <c r="L42" s="11">
        <v>7000000</v>
      </c>
      <c r="M42" s="11">
        <v>7000000</v>
      </c>
      <c r="N42" s="11">
        <v>2316540</v>
      </c>
      <c r="O42" s="11">
        <v>2316.54</v>
      </c>
      <c r="P42" s="181">
        <v>0.33093428571428574</v>
      </c>
      <c r="Q42" s="180">
        <v>46327</v>
      </c>
    </row>
    <row r="43" spans="1:17" ht="14.15" customHeight="1">
      <c r="A43" s="11">
        <v>520042615</v>
      </c>
      <c r="B43" s="11">
        <v>9935</v>
      </c>
      <c r="C43" s="11" t="s">
        <v>2977</v>
      </c>
      <c r="D43" s="11" t="s">
        <v>3033</v>
      </c>
      <c r="E43" s="11" t="s">
        <v>3034</v>
      </c>
      <c r="F43" s="11" t="s">
        <v>332</v>
      </c>
      <c r="G43" s="11" t="s">
        <v>3033</v>
      </c>
      <c r="H43" s="11">
        <v>62010434</v>
      </c>
      <c r="I43" s="11" t="s">
        <v>1345</v>
      </c>
      <c r="J43" s="11" t="s">
        <v>2969</v>
      </c>
      <c r="K43" s="180">
        <v>43489</v>
      </c>
      <c r="L43" s="11">
        <v>900000</v>
      </c>
      <c r="M43" s="11">
        <v>3312900</v>
      </c>
      <c r="N43" s="11">
        <v>67500</v>
      </c>
      <c r="O43" s="11">
        <v>248.4675</v>
      </c>
      <c r="P43" s="181">
        <v>7.4999999999999997E-2</v>
      </c>
      <c r="Q43" s="180">
        <v>46388</v>
      </c>
    </row>
    <row r="44" spans="1:17" ht="14.15" customHeight="1">
      <c r="A44" s="11">
        <v>520042615</v>
      </c>
      <c r="B44" s="11">
        <v>9935</v>
      </c>
      <c r="C44" s="11" t="s">
        <v>2975</v>
      </c>
      <c r="D44" s="11" t="s">
        <v>3035</v>
      </c>
      <c r="E44" s="11" t="s">
        <v>3036</v>
      </c>
      <c r="F44" s="11" t="s">
        <v>332</v>
      </c>
      <c r="G44" s="11" t="s">
        <v>3037</v>
      </c>
      <c r="H44" s="11">
        <v>50007145</v>
      </c>
      <c r="I44" s="11" t="s">
        <v>1345</v>
      </c>
      <c r="J44" s="11" t="s">
        <v>2999</v>
      </c>
      <c r="K44" s="180">
        <v>44545</v>
      </c>
      <c r="L44" s="11">
        <v>5000000</v>
      </c>
      <c r="M44" s="11">
        <v>5000000</v>
      </c>
      <c r="N44" s="11">
        <v>3139316</v>
      </c>
      <c r="O44" s="11">
        <v>3139.3159999999998</v>
      </c>
      <c r="P44" s="181">
        <v>0.62786319999999995</v>
      </c>
      <c r="Q44" s="180">
        <v>47088</v>
      </c>
    </row>
    <row r="45" spans="1:17" ht="14.15" customHeight="1">
      <c r="A45" s="11">
        <v>520042615</v>
      </c>
      <c r="B45" s="11">
        <v>9935</v>
      </c>
      <c r="C45" s="11" t="s">
        <v>2990</v>
      </c>
      <c r="D45" s="11" t="s">
        <v>3038</v>
      </c>
      <c r="E45" s="11" t="s">
        <v>3039</v>
      </c>
      <c r="F45" s="11" t="s">
        <v>332</v>
      </c>
      <c r="G45" s="11" t="s">
        <v>3040</v>
      </c>
      <c r="H45" s="11">
        <v>62016084</v>
      </c>
      <c r="I45" s="11" t="s">
        <v>1345</v>
      </c>
      <c r="J45" s="11" t="s">
        <v>2969</v>
      </c>
      <c r="K45" s="180">
        <v>43937</v>
      </c>
      <c r="L45" s="11">
        <v>1540000</v>
      </c>
      <c r="M45" s="11">
        <v>5668740</v>
      </c>
      <c r="N45" s="11">
        <v>46200</v>
      </c>
      <c r="O45" s="11">
        <v>170.06220000000002</v>
      </c>
      <c r="P45" s="181">
        <v>3.0000000000000002E-2</v>
      </c>
      <c r="Q45" s="180">
        <v>47574</v>
      </c>
    </row>
    <row r="46" spans="1:17" ht="14.15" customHeight="1">
      <c r="A46" s="11">
        <v>520042615</v>
      </c>
      <c r="B46" s="11">
        <v>9935</v>
      </c>
      <c r="C46" s="11" t="s">
        <v>2990</v>
      </c>
      <c r="D46" s="11" t="s">
        <v>3038</v>
      </c>
      <c r="E46" s="11" t="s">
        <v>3039</v>
      </c>
      <c r="F46" s="11" t="s">
        <v>332</v>
      </c>
      <c r="G46" s="11" t="s">
        <v>3041</v>
      </c>
      <c r="H46" s="11">
        <v>62021399</v>
      </c>
      <c r="I46" s="11" t="s">
        <v>1345</v>
      </c>
      <c r="J46" s="11" t="s">
        <v>2969</v>
      </c>
      <c r="K46" s="180">
        <v>45224</v>
      </c>
      <c r="L46" s="11">
        <v>1200000</v>
      </c>
      <c r="M46" s="11">
        <v>4417200</v>
      </c>
      <c r="N46" s="11">
        <v>1080000</v>
      </c>
      <c r="O46" s="11">
        <v>3975.48</v>
      </c>
      <c r="P46" s="181">
        <v>0.9</v>
      </c>
      <c r="Q46" s="180">
        <v>48853</v>
      </c>
    </row>
    <row r="47" spans="1:17" ht="14.15" customHeight="1">
      <c r="A47" s="11">
        <v>520042615</v>
      </c>
      <c r="B47" s="11">
        <v>9935</v>
      </c>
      <c r="C47" s="11" t="s">
        <v>2975</v>
      </c>
      <c r="D47" s="11" t="s">
        <v>3042</v>
      </c>
      <c r="E47" s="11" t="s">
        <v>3043</v>
      </c>
      <c r="F47" s="11" t="s">
        <v>332</v>
      </c>
      <c r="G47" s="11" t="s">
        <v>3042</v>
      </c>
      <c r="H47" s="11">
        <v>62019294</v>
      </c>
      <c r="I47" s="11" t="s">
        <v>1345</v>
      </c>
      <c r="J47" s="11" t="s">
        <v>2983</v>
      </c>
      <c r="K47" s="180">
        <v>42964</v>
      </c>
      <c r="L47" s="11">
        <v>750000</v>
      </c>
      <c r="M47" s="11">
        <v>2984325</v>
      </c>
      <c r="N47" s="11">
        <v>11568</v>
      </c>
      <c r="O47" s="11">
        <v>46.030228799999996</v>
      </c>
      <c r="P47" s="181">
        <v>1.5423999999999998E-2</v>
      </c>
      <c r="Q47" s="180">
        <v>45814</v>
      </c>
    </row>
    <row r="48" spans="1:17" ht="14.15" customHeight="1">
      <c r="A48" s="11">
        <v>520042615</v>
      </c>
      <c r="B48" s="11">
        <v>9935</v>
      </c>
      <c r="C48" s="11" t="s">
        <v>2990</v>
      </c>
      <c r="D48" s="11" t="s">
        <v>3044</v>
      </c>
      <c r="E48" s="11" t="s">
        <v>3045</v>
      </c>
      <c r="F48" s="11" t="s">
        <v>332</v>
      </c>
      <c r="G48" s="11" t="s">
        <v>3046</v>
      </c>
      <c r="H48" s="11">
        <v>62012059</v>
      </c>
      <c r="I48" s="11" t="s">
        <v>1345</v>
      </c>
      <c r="J48" s="11" t="s">
        <v>2969</v>
      </c>
      <c r="K48" s="180">
        <v>43575</v>
      </c>
      <c r="L48" s="11">
        <v>1000000</v>
      </c>
      <c r="M48" s="11">
        <v>3681000</v>
      </c>
      <c r="N48" s="11">
        <v>328954</v>
      </c>
      <c r="O48" s="11">
        <v>1210.879674</v>
      </c>
      <c r="P48" s="181">
        <v>0.32895400000000002</v>
      </c>
      <c r="Q48" s="180">
        <v>47178</v>
      </c>
    </row>
    <row r="49" spans="1:17" ht="14" customHeight="1">
      <c r="A49" s="11">
        <v>520042615</v>
      </c>
      <c r="B49" s="11">
        <v>9935</v>
      </c>
      <c r="C49" s="11" t="s">
        <v>499</v>
      </c>
      <c r="G49" s="11" t="s">
        <v>2611</v>
      </c>
      <c r="H49" s="11">
        <v>62020158</v>
      </c>
      <c r="I49" s="11" t="s">
        <v>1345</v>
      </c>
      <c r="J49" s="11" t="s">
        <v>2999</v>
      </c>
      <c r="K49" s="180">
        <v>44598</v>
      </c>
      <c r="L49" s="11">
        <v>3339391</v>
      </c>
      <c r="M49" s="11">
        <v>3339391</v>
      </c>
      <c r="N49" s="11">
        <v>1994340</v>
      </c>
      <c r="O49" s="11">
        <v>1994.34</v>
      </c>
      <c r="P49" s="181">
        <v>0.59721667813083279</v>
      </c>
      <c r="Q49" s="180">
        <v>48245</v>
      </c>
    </row>
    <row r="50" spans="1:17" ht="15" customHeight="1">
      <c r="A50" s="11">
        <v>520042615</v>
      </c>
      <c r="B50" s="11">
        <v>9935</v>
      </c>
      <c r="G50" s="11" t="s">
        <v>3063</v>
      </c>
      <c r="H50" s="11">
        <v>62018486</v>
      </c>
      <c r="J50" s="11" t="s">
        <v>2969</v>
      </c>
      <c r="O50" s="11">
        <v>-25.030799999999999</v>
      </c>
    </row>
    <row r="51" spans="1:17" ht="14.15" customHeight="1">
      <c r="A51" s="11">
        <v>520042615</v>
      </c>
      <c r="B51" s="11">
        <v>9935</v>
      </c>
      <c r="G51" s="11" t="s">
        <v>3064</v>
      </c>
      <c r="H51" s="11">
        <v>62018254</v>
      </c>
      <c r="O51" s="11">
        <v>325.40040000000005</v>
      </c>
    </row>
  </sheetData>
  <sheetProtection formatColumns="0"/>
  <dataConsolidate/>
  <dataValidations disablePrompts="1" count="3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  <dataValidation type="list" allowBlank="1" showInputMessage="1" showErrorMessage="1" sqref="C2" xr:uid="{4BE9BA66-FB23-46AF-BB15-03DF43E54647}"/>
  </dataValidations>
  <pageMargins left="0.7" right="0.7" top="0.75" bottom="0.75" header="0.3" footer="0.3"/>
  <pageSetup paperSize="9" orientation="portrait" verticalDpi="0"/>
  <ignoredErrors>
    <ignoredError sqref="E5:E48" numberStoredAsText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C3:C19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3D0B-A6D1-44F6-BE21-10A17226661F}">
  <sheetPr filterMode="1"/>
  <dimension ref="A1:K68"/>
  <sheetViews>
    <sheetView rightToLeft="1" workbookViewId="0">
      <selection activeCell="I68" sqref="I68"/>
    </sheetView>
  </sheetViews>
  <sheetFormatPr defaultRowHeight="14"/>
  <cols>
    <col min="1" max="1" width="12.25" style="201" customWidth="1"/>
    <col min="2" max="2" width="31.5" style="201" customWidth="1"/>
    <col min="3" max="3" width="21.25" style="201" hidden="1" customWidth="1"/>
    <col min="4" max="4" width="10" style="202" hidden="1" customWidth="1"/>
    <col min="5" max="5" width="20.08203125" style="202" hidden="1" customWidth="1"/>
    <col min="6" max="6" width="23.5" style="202" hidden="1" customWidth="1"/>
    <col min="7" max="7" width="31.58203125" style="203" hidden="1" customWidth="1"/>
    <col min="8" max="8" width="23.5" style="202" hidden="1" customWidth="1"/>
    <col min="9" max="9" width="24.58203125" style="201" customWidth="1"/>
    <col min="10" max="10" width="10.83203125" style="181" bestFit="1" customWidth="1"/>
    <col min="11" max="11" width="12" bestFit="1" customWidth="1"/>
  </cols>
  <sheetData>
    <row r="1" spans="1:11" ht="14.5">
      <c r="A1" s="182" t="s">
        <v>3049</v>
      </c>
      <c r="B1" s="182" t="s">
        <v>3050</v>
      </c>
      <c r="C1" s="182" t="s">
        <v>3051</v>
      </c>
      <c r="D1" s="183" t="s">
        <v>3052</v>
      </c>
      <c r="E1" s="183" t="s">
        <v>3053</v>
      </c>
      <c r="F1" s="183" t="s">
        <v>3054</v>
      </c>
      <c r="G1" s="184" t="s">
        <v>3055</v>
      </c>
      <c r="H1" s="183" t="s">
        <v>3056</v>
      </c>
      <c r="I1" s="182" t="s">
        <v>3057</v>
      </c>
      <c r="J1" s="181" t="s">
        <v>3077</v>
      </c>
    </row>
    <row r="2" spans="1:11" ht="14.5" hidden="1">
      <c r="A2" s="185">
        <v>62018577</v>
      </c>
      <c r="B2" s="186" t="s">
        <v>2631</v>
      </c>
      <c r="C2" s="186" t="s">
        <v>124</v>
      </c>
      <c r="D2" s="186" t="s">
        <v>2969</v>
      </c>
      <c r="E2" s="187">
        <v>750000</v>
      </c>
      <c r="F2" s="187">
        <v>611250</v>
      </c>
      <c r="G2" s="188">
        <v>138750</v>
      </c>
      <c r="H2" s="187">
        <v>562515</v>
      </c>
      <c r="I2" s="187">
        <v>510738.75</v>
      </c>
      <c r="J2">
        <f>INDEX('יתרות התחייבות להשקעה'!O:O,MATCH(A2,'יתרות התחייבות להשקעה'!H:H,0))</f>
        <v>510.73874999999998</v>
      </c>
      <c r="K2" s="204">
        <f>J2-I2</f>
        <v>-510228.01124999998</v>
      </c>
    </row>
    <row r="3" spans="1:11" ht="14.5" hidden="1">
      <c r="A3" s="185">
        <v>50007145</v>
      </c>
      <c r="B3" s="186" t="s">
        <v>3037</v>
      </c>
      <c r="C3" s="186" t="s">
        <v>3058</v>
      </c>
      <c r="D3" s="186" t="s">
        <v>2999</v>
      </c>
      <c r="E3" s="187">
        <v>5000000</v>
      </c>
      <c r="F3" s="187">
        <v>1860684</v>
      </c>
      <c r="G3" s="188">
        <v>3139316</v>
      </c>
      <c r="H3" s="187">
        <v>1692495</v>
      </c>
      <c r="I3" s="187">
        <v>3139316</v>
      </c>
      <c r="J3">
        <f>INDEX('יתרות התחייבות להשקעה'!O:O,MATCH(A3,'יתרות התחייבות להשקעה'!H:H,0))</f>
        <v>3139.3159999999998</v>
      </c>
      <c r="K3" s="204">
        <f t="shared" ref="K3:K66" si="0">J3-I3</f>
        <v>-3136176.6839999999</v>
      </c>
    </row>
    <row r="4" spans="1:11" ht="14.5" hidden="1">
      <c r="A4" s="185">
        <v>62021399</v>
      </c>
      <c r="B4" s="186" t="s">
        <v>3041</v>
      </c>
      <c r="C4" s="186" t="s">
        <v>3058</v>
      </c>
      <c r="D4" s="186" t="s">
        <v>2969</v>
      </c>
      <c r="E4" s="187">
        <v>1200000</v>
      </c>
      <c r="F4" s="187">
        <v>120000</v>
      </c>
      <c r="G4" s="188">
        <v>1080000</v>
      </c>
      <c r="H4" s="187">
        <v>114696</v>
      </c>
      <c r="I4" s="187">
        <v>3975480</v>
      </c>
      <c r="J4">
        <f>INDEX('יתרות התחייבות להשקעה'!O:O,MATCH(A4,'יתרות התחייבות להשקעה'!H:H,0))</f>
        <v>3975.48</v>
      </c>
      <c r="K4" s="204">
        <f t="shared" si="0"/>
        <v>-3971504.52</v>
      </c>
    </row>
    <row r="5" spans="1:11" ht="14.5" hidden="1">
      <c r="A5" s="185">
        <v>62020771</v>
      </c>
      <c r="B5" s="186" t="s">
        <v>2619</v>
      </c>
      <c r="C5" s="186" t="s">
        <v>124</v>
      </c>
      <c r="D5" s="186" t="s">
        <v>2969</v>
      </c>
      <c r="E5" s="187">
        <v>1300000</v>
      </c>
      <c r="F5" s="187">
        <v>728425.13</v>
      </c>
      <c r="G5" s="188">
        <v>571574.87</v>
      </c>
      <c r="H5" s="187">
        <v>670161</v>
      </c>
      <c r="I5" s="187">
        <v>2103967.0964700002</v>
      </c>
      <c r="J5">
        <f>INDEX('יתרות התחייבות להשקעה'!O:O,MATCH(A5,'יתרות התחייבות להשקעה'!H:H,0))</f>
        <v>2103.9670964700003</v>
      </c>
      <c r="K5" s="204">
        <f t="shared" si="0"/>
        <v>-2101863.1293735304</v>
      </c>
    </row>
    <row r="6" spans="1:11" ht="14.5" hidden="1">
      <c r="A6" s="185">
        <v>62018031</v>
      </c>
      <c r="B6" s="186" t="s">
        <v>3059</v>
      </c>
      <c r="C6" s="186" t="s">
        <v>124</v>
      </c>
      <c r="D6" s="186" t="s">
        <v>2969</v>
      </c>
      <c r="E6" s="187">
        <v>1500000</v>
      </c>
      <c r="F6" s="187">
        <v>1479223</v>
      </c>
      <c r="G6" s="188">
        <v>146724</v>
      </c>
      <c r="H6" s="187">
        <v>1114504</v>
      </c>
      <c r="I6" s="187">
        <v>540091.04399999999</v>
      </c>
      <c r="J6">
        <f>INDEX('יתרות התחייבות להשקעה'!O:O,MATCH(A6,'יתרות התחייבות להשקעה'!H:H,0))</f>
        <v>540.09104400000001</v>
      </c>
      <c r="K6" s="204">
        <f t="shared" si="0"/>
        <v>-539550.95295599999</v>
      </c>
    </row>
    <row r="7" spans="1:11" ht="14.5" hidden="1">
      <c r="A7" s="185">
        <v>62020599</v>
      </c>
      <c r="B7" s="186" t="s">
        <v>2627</v>
      </c>
      <c r="C7" s="186" t="s">
        <v>124</v>
      </c>
      <c r="D7" s="186" t="s">
        <v>2969</v>
      </c>
      <c r="E7" s="187">
        <v>1500000</v>
      </c>
      <c r="F7" s="187">
        <v>1324858</v>
      </c>
      <c r="G7" s="188">
        <v>287558</v>
      </c>
      <c r="H7" s="187">
        <v>1161047</v>
      </c>
      <c r="I7" s="187">
        <v>1058500.9979999999</v>
      </c>
      <c r="J7">
        <f>INDEX('יתרות התחייבות להשקעה'!O:O,MATCH(A7,'יתרות התחייבות להשקעה'!H:H,0))</f>
        <v>42.327819000000005</v>
      </c>
      <c r="K7" s="204">
        <f t="shared" si="0"/>
        <v>-1058458.6701809999</v>
      </c>
    </row>
    <row r="8" spans="1:11" ht="14.5" hidden="1">
      <c r="A8" s="185">
        <v>50007954</v>
      </c>
      <c r="B8" s="186" t="s">
        <v>2998</v>
      </c>
      <c r="C8" s="186" t="s">
        <v>3058</v>
      </c>
      <c r="D8" s="186" t="s">
        <v>2999</v>
      </c>
      <c r="E8" s="187">
        <v>5400000</v>
      </c>
      <c r="F8" s="187">
        <v>2015568</v>
      </c>
      <c r="G8" s="188">
        <v>3384432</v>
      </c>
      <c r="H8" s="187">
        <v>2026890</v>
      </c>
      <c r="I8" s="187">
        <v>3384432</v>
      </c>
      <c r="J8">
        <f>INDEX('יתרות התחייבות להשקעה'!O:O,MATCH(A8,'יתרות התחייבות להשקעה'!H:H,0))</f>
        <v>3384.4319999999998</v>
      </c>
      <c r="K8" s="204">
        <f t="shared" si="0"/>
        <v>-3381047.568</v>
      </c>
    </row>
    <row r="9" spans="1:11" ht="14.5" hidden="1">
      <c r="A9" s="189">
        <v>62020649</v>
      </c>
      <c r="B9" s="190" t="s">
        <v>2634</v>
      </c>
      <c r="C9" s="190" t="s">
        <v>124</v>
      </c>
      <c r="D9" s="190" t="s">
        <v>2969</v>
      </c>
      <c r="E9" s="191">
        <v>1000000</v>
      </c>
      <c r="F9" s="191">
        <v>844909</v>
      </c>
      <c r="G9" s="192">
        <v>155091</v>
      </c>
      <c r="H9" s="191">
        <v>1034956</v>
      </c>
      <c r="I9" s="191">
        <v>570889.97100000002</v>
      </c>
      <c r="J9" s="181">
        <f>INDEX('יתרות התחייבות להשקעה'!O:O,MATCH(A9,'יתרות התחייבות להשקעה'!H:H,0))</f>
        <v>28.535112000000002</v>
      </c>
      <c r="K9" s="204">
        <f t="shared" si="0"/>
        <v>-570861.43588800007</v>
      </c>
    </row>
    <row r="10" spans="1:11" ht="14.5" hidden="1">
      <c r="A10" s="189">
        <v>50007921</v>
      </c>
      <c r="B10" s="190" t="s">
        <v>2559</v>
      </c>
      <c r="C10" s="190" t="s">
        <v>3058</v>
      </c>
      <c r="D10" s="190" t="s">
        <v>2999</v>
      </c>
      <c r="E10" s="191">
        <v>3000000</v>
      </c>
      <c r="F10" s="191">
        <v>900000</v>
      </c>
      <c r="G10" s="192">
        <v>2100000</v>
      </c>
      <c r="H10" s="191">
        <v>977862</v>
      </c>
      <c r="I10" s="191">
        <v>2100000</v>
      </c>
      <c r="J10">
        <f>INDEX('יתרות התחייבות להשקעה'!O:O,MATCH(A10,'יתרות התחייבות להשקעה'!H:H,0))</f>
        <v>2100</v>
      </c>
      <c r="K10" s="204">
        <f t="shared" si="0"/>
        <v>-2097900</v>
      </c>
    </row>
    <row r="11" spans="1:11" ht="14.5" hidden="1">
      <c r="A11" s="189">
        <v>62019633</v>
      </c>
      <c r="B11" s="190" t="s">
        <v>3026</v>
      </c>
      <c r="C11" s="190" t="s">
        <v>124</v>
      </c>
      <c r="D11" s="190" t="s">
        <v>2969</v>
      </c>
      <c r="E11" s="191">
        <v>1000000</v>
      </c>
      <c r="F11" s="191">
        <v>900000</v>
      </c>
      <c r="G11" s="192">
        <v>100000</v>
      </c>
      <c r="H11" s="191">
        <v>913306</v>
      </c>
      <c r="I11" s="191">
        <v>368100</v>
      </c>
      <c r="J11">
        <f>INDEX('יתרות התחייבות להשקעה'!O:O,MATCH(A11,'יתרות התחייבות להשקעה'!H:H,0))</f>
        <v>368.1</v>
      </c>
      <c r="K11" s="204">
        <f t="shared" si="0"/>
        <v>-367731.9</v>
      </c>
    </row>
    <row r="12" spans="1:11" ht="14.5">
      <c r="A12" s="193">
        <v>62020409</v>
      </c>
      <c r="B12" s="194" t="s">
        <v>3060</v>
      </c>
      <c r="C12" s="194" t="s">
        <v>124</v>
      </c>
      <c r="D12" s="194" t="s">
        <v>2969</v>
      </c>
      <c r="E12" s="195">
        <v>1000000</v>
      </c>
      <c r="F12" s="195">
        <v>1000000</v>
      </c>
      <c r="G12" s="196">
        <v>0</v>
      </c>
      <c r="H12" s="195">
        <v>1160308</v>
      </c>
      <c r="I12" s="195">
        <v>0</v>
      </c>
      <c r="J12" t="e">
        <f>INDEX('יתרות התחייבות להשקעה'!O:O,MATCH(A12,'יתרות התחייבות להשקעה'!H:H,0))</f>
        <v>#N/A</v>
      </c>
      <c r="K12" s="204" t="e">
        <f t="shared" si="0"/>
        <v>#N/A</v>
      </c>
    </row>
    <row r="13" spans="1:11" ht="14.5" hidden="1">
      <c r="A13" s="193">
        <v>62020128</v>
      </c>
      <c r="B13" s="194" t="s">
        <v>2733</v>
      </c>
      <c r="C13" s="194" t="s">
        <v>3058</v>
      </c>
      <c r="D13" s="194" t="s">
        <v>2969</v>
      </c>
      <c r="E13" s="195">
        <v>500000</v>
      </c>
      <c r="F13" s="195">
        <v>89688</v>
      </c>
      <c r="G13" s="196">
        <v>410312</v>
      </c>
      <c r="H13" s="195">
        <v>73483</v>
      </c>
      <c r="I13" s="195">
        <v>1510358.4720000001</v>
      </c>
      <c r="J13">
        <f>INDEX('יתרות התחייבות להשקעה'!O:O,MATCH(A13,'יתרות התחייבות להשקעה'!H:H,0))</f>
        <v>1510.3584720000001</v>
      </c>
      <c r="K13" s="204">
        <f t="shared" si="0"/>
        <v>-1508848.113528</v>
      </c>
    </row>
    <row r="14" spans="1:11" ht="14.5" hidden="1">
      <c r="A14" s="193">
        <v>62021175</v>
      </c>
      <c r="B14" s="194" t="s">
        <v>2976</v>
      </c>
      <c r="C14" s="194" t="s">
        <v>124</v>
      </c>
      <c r="D14" s="194" t="s">
        <v>2969</v>
      </c>
      <c r="E14" s="195">
        <v>700000</v>
      </c>
      <c r="F14" s="195">
        <v>62730.71</v>
      </c>
      <c r="G14" s="196">
        <v>637269.29</v>
      </c>
      <c r="H14" s="195">
        <v>47155</v>
      </c>
      <c r="I14" s="195">
        <v>2345788.2564900001</v>
      </c>
      <c r="J14">
        <f>INDEX('יתרות התחייבות להשקעה'!O:O,MATCH(A14,'יתרות התחייבות להשקעה'!H:H,0))</f>
        <v>2345.7882564900001</v>
      </c>
      <c r="K14" s="204">
        <f t="shared" si="0"/>
        <v>-2343442.4682335099</v>
      </c>
    </row>
    <row r="15" spans="1:11" ht="14.5" hidden="1">
      <c r="A15" s="193">
        <v>62019286</v>
      </c>
      <c r="B15" s="194" t="s">
        <v>2981</v>
      </c>
      <c r="C15" s="194" t="s">
        <v>124</v>
      </c>
      <c r="D15" s="194" t="s">
        <v>2969</v>
      </c>
      <c r="E15" s="195">
        <v>1000000</v>
      </c>
      <c r="F15" s="195">
        <v>527865.29</v>
      </c>
      <c r="G15" s="196">
        <v>472134.71</v>
      </c>
      <c r="H15" s="195">
        <v>607587</v>
      </c>
      <c r="I15" s="195">
        <v>1737927.86751</v>
      </c>
      <c r="J15">
        <f>INDEX('יתרות התחייבות להשקעה'!O:O,MATCH(A15,'יתרות התחייבות להשקעה'!H:H,0))</f>
        <v>1737.9278675099999</v>
      </c>
      <c r="K15" s="204">
        <f t="shared" si="0"/>
        <v>-1736189.9396424901</v>
      </c>
    </row>
    <row r="16" spans="1:11" ht="14.5" hidden="1">
      <c r="A16" s="193">
        <v>62019765</v>
      </c>
      <c r="B16" s="194" t="s">
        <v>2982</v>
      </c>
      <c r="C16" s="194" t="s">
        <v>124</v>
      </c>
      <c r="D16" s="194" t="s">
        <v>2983</v>
      </c>
      <c r="E16" s="195">
        <v>468080</v>
      </c>
      <c r="F16" s="195">
        <v>299312</v>
      </c>
      <c r="G16" s="196">
        <v>168768</v>
      </c>
      <c r="H16" s="195">
        <v>300919</v>
      </c>
      <c r="I16" s="195">
        <v>671544.74879999994</v>
      </c>
      <c r="J16">
        <f>INDEX('יתרות התחייבות להשקעה'!O:O,MATCH(A16,'יתרות התחייבות להשקעה'!H:H,0))</f>
        <v>671.54474879999998</v>
      </c>
      <c r="K16" s="204">
        <f t="shared" si="0"/>
        <v>-670873.20405119995</v>
      </c>
    </row>
    <row r="17" spans="1:11" ht="14.5" hidden="1">
      <c r="A17" s="193">
        <v>62020359</v>
      </c>
      <c r="B17" s="194" t="s">
        <v>2745</v>
      </c>
      <c r="C17" s="194" t="s">
        <v>124</v>
      </c>
      <c r="D17" s="194" t="s">
        <v>2969</v>
      </c>
      <c r="E17" s="195">
        <v>1700000</v>
      </c>
      <c r="F17" s="195">
        <v>888975</v>
      </c>
      <c r="G17" s="196">
        <v>811025</v>
      </c>
      <c r="H17" s="195">
        <v>926999</v>
      </c>
      <c r="I17" s="195">
        <v>2985383.0249999999</v>
      </c>
      <c r="J17">
        <f>INDEX('יתרות התחייבות להשקעה'!O:O,MATCH(A17,'יתרות התחייבות להשקעה'!H:H,0))</f>
        <v>2985.3830250000001</v>
      </c>
      <c r="K17" s="204">
        <f t="shared" si="0"/>
        <v>-2982397.641975</v>
      </c>
    </row>
    <row r="18" spans="1:11" ht="14.5">
      <c r="A18" s="193">
        <v>62017876</v>
      </c>
      <c r="B18" s="194" t="s">
        <v>3061</v>
      </c>
      <c r="C18" s="194" t="s">
        <v>124</v>
      </c>
      <c r="D18" s="194" t="s">
        <v>2969</v>
      </c>
      <c r="E18" s="195">
        <v>700000</v>
      </c>
      <c r="F18" s="195">
        <v>700000</v>
      </c>
      <c r="G18" s="196">
        <v>0</v>
      </c>
      <c r="H18" s="195">
        <v>435880</v>
      </c>
      <c r="I18" s="195">
        <v>0</v>
      </c>
      <c r="J18" t="e">
        <f>INDEX('יתרות התחייבות להשקעה'!O:O,MATCH(A18,'יתרות התחייבות להשקעה'!H:H,0))</f>
        <v>#N/A</v>
      </c>
      <c r="K18" s="204" t="e">
        <f t="shared" si="0"/>
        <v>#N/A</v>
      </c>
    </row>
    <row r="19" spans="1:11" ht="14.5" hidden="1">
      <c r="A19" s="193">
        <v>62018734</v>
      </c>
      <c r="B19" s="194" t="s">
        <v>2992</v>
      </c>
      <c r="C19" s="194" t="s">
        <v>124</v>
      </c>
      <c r="D19" s="194" t="s">
        <v>2969</v>
      </c>
      <c r="E19" s="195">
        <v>400000</v>
      </c>
      <c r="F19" s="195">
        <v>320000</v>
      </c>
      <c r="G19" s="196">
        <v>80000</v>
      </c>
      <c r="H19" s="195">
        <v>367138</v>
      </c>
      <c r="I19" s="195">
        <v>294480</v>
      </c>
      <c r="J19">
        <f>INDEX('יתרות התחייבות להשקעה'!O:O,MATCH(A19,'יתרות התחייבות להשקעה'!H:H,0))</f>
        <v>294.48</v>
      </c>
      <c r="K19" s="204">
        <f t="shared" si="0"/>
        <v>-294185.52</v>
      </c>
    </row>
    <row r="20" spans="1:11" ht="14.5">
      <c r="A20" s="193">
        <v>50007822</v>
      </c>
      <c r="B20" s="194" t="s">
        <v>3062</v>
      </c>
      <c r="C20" s="194" t="s">
        <v>3058</v>
      </c>
      <c r="D20" s="194" t="s">
        <v>2999</v>
      </c>
      <c r="E20" s="195">
        <v>3500000</v>
      </c>
      <c r="F20" s="195">
        <v>3500000</v>
      </c>
      <c r="G20" s="196">
        <v>0</v>
      </c>
      <c r="H20" s="195">
        <v>3475037</v>
      </c>
      <c r="I20" s="195">
        <v>0</v>
      </c>
      <c r="J20" t="e">
        <f>INDEX('יתרות התחייבות להשקעה'!O:O,MATCH(A20,'יתרות התחייבות להשקעה'!H:H,0))</f>
        <v>#N/A</v>
      </c>
      <c r="K20" s="204" t="e">
        <f t="shared" si="0"/>
        <v>#N/A</v>
      </c>
    </row>
    <row r="21" spans="1:11" ht="14.5" hidden="1">
      <c r="A21" s="193">
        <v>62019328</v>
      </c>
      <c r="B21" s="194" t="s">
        <v>3001</v>
      </c>
      <c r="C21" s="194" t="s">
        <v>124</v>
      </c>
      <c r="D21" s="194" t="s">
        <v>2983</v>
      </c>
      <c r="E21" s="195">
        <v>1000000</v>
      </c>
      <c r="F21" s="195">
        <v>988020</v>
      </c>
      <c r="G21" s="196">
        <v>11980</v>
      </c>
      <c r="H21" s="195">
        <v>885627</v>
      </c>
      <c r="I21" s="195">
        <v>47669.618000000002</v>
      </c>
      <c r="J21">
        <f>INDEX('יתרות התחייבות להשקעה'!O:O,MATCH(A21,'יתרות התחייבות להשקעה'!H:H,0))</f>
        <v>47.669617999999993</v>
      </c>
      <c r="K21" s="204">
        <f t="shared" si="0"/>
        <v>-47621.948382000002</v>
      </c>
    </row>
    <row r="22" spans="1:11" ht="14.5" hidden="1">
      <c r="A22" s="193">
        <v>62018072</v>
      </c>
      <c r="B22" s="194" t="s">
        <v>3012</v>
      </c>
      <c r="C22" s="194" t="s">
        <v>124</v>
      </c>
      <c r="D22" s="194" t="s">
        <v>2983</v>
      </c>
      <c r="E22" s="195">
        <v>600000</v>
      </c>
      <c r="F22" s="195">
        <v>640015.66</v>
      </c>
      <c r="G22" s="196">
        <v>26348.2</v>
      </c>
      <c r="H22" s="195">
        <v>586738</v>
      </c>
      <c r="I22" s="195">
        <v>104842.12261999999</v>
      </c>
      <c r="J22">
        <f>INDEX('יתרות התחייבות להשקעה'!O:O,MATCH(A22,'יתרות התחייבות להשקעה'!H:H,0))</f>
        <v>104.84212262</v>
      </c>
      <c r="K22" s="204">
        <f t="shared" si="0"/>
        <v>-104737.28049737999</v>
      </c>
    </row>
    <row r="23" spans="1:11" ht="14.5" hidden="1">
      <c r="A23" s="193">
        <v>62019021</v>
      </c>
      <c r="B23" s="194" t="s">
        <v>3017</v>
      </c>
      <c r="C23" s="194" t="s">
        <v>124</v>
      </c>
      <c r="D23" s="194" t="s">
        <v>2969</v>
      </c>
      <c r="E23" s="195">
        <v>700000</v>
      </c>
      <c r="F23" s="195">
        <v>340486.73</v>
      </c>
      <c r="G23" s="196">
        <v>360746</v>
      </c>
      <c r="H23" s="195">
        <v>373427</v>
      </c>
      <c r="I23" s="195">
        <v>1327906.0260000001</v>
      </c>
      <c r="J23">
        <f>INDEX('יתרות התחייבות להשקעה'!O:O,MATCH(A23,'יתרות התחייבות להשקעה'!H:H,0))</f>
        <v>1327.9060260000001</v>
      </c>
      <c r="K23" s="204">
        <f t="shared" si="0"/>
        <v>-1326578.1199740001</v>
      </c>
    </row>
    <row r="24" spans="1:11" ht="14.5" hidden="1">
      <c r="A24" s="193">
        <v>62021001</v>
      </c>
      <c r="B24" s="194" t="s">
        <v>3018</v>
      </c>
      <c r="C24" s="194" t="s">
        <v>124</v>
      </c>
      <c r="D24" s="194" t="s">
        <v>2969</v>
      </c>
      <c r="E24" s="195">
        <v>1000000</v>
      </c>
      <c r="F24" s="195">
        <v>467764.75</v>
      </c>
      <c r="G24" s="196">
        <v>532235.25</v>
      </c>
      <c r="H24" s="195">
        <v>495888</v>
      </c>
      <c r="I24" s="195">
        <v>1959157.9552500001</v>
      </c>
      <c r="J24">
        <f>INDEX('יתרות התחייבות להשקעה'!O:O,MATCH(A24,'יתרות התחייבות להשקעה'!H:H,0))</f>
        <v>1959.1579552500002</v>
      </c>
      <c r="K24" s="204">
        <f t="shared" si="0"/>
        <v>-1957198.7972947501</v>
      </c>
    </row>
    <row r="25" spans="1:11" ht="14.5" hidden="1">
      <c r="A25" s="193">
        <v>62019740</v>
      </c>
      <c r="B25" s="194" t="s">
        <v>3020</v>
      </c>
      <c r="C25" s="194" t="s">
        <v>124</v>
      </c>
      <c r="D25" s="194" t="s">
        <v>2969</v>
      </c>
      <c r="E25" s="195">
        <v>1000000</v>
      </c>
      <c r="F25" s="195">
        <v>910631</v>
      </c>
      <c r="G25" s="196">
        <v>89369</v>
      </c>
      <c r="H25" s="195">
        <v>1254898</v>
      </c>
      <c r="I25" s="195">
        <v>328967.28899999999</v>
      </c>
      <c r="J25">
        <f>INDEX('יתרות התחייבות להשקעה'!O:O,MATCH(A25,'יתרות התחייבות להשקעה'!H:H,0))</f>
        <v>328.96728899999999</v>
      </c>
      <c r="K25" s="204">
        <f t="shared" si="0"/>
        <v>-328638.321711</v>
      </c>
    </row>
    <row r="26" spans="1:11" ht="14.5">
      <c r="A26" s="193">
        <v>62018486</v>
      </c>
      <c r="B26" s="194" t="s">
        <v>3063</v>
      </c>
      <c r="C26" s="194" t="s">
        <v>124</v>
      </c>
      <c r="D26" s="194" t="s">
        <v>2969</v>
      </c>
      <c r="E26" s="195">
        <v>686800</v>
      </c>
      <c r="F26" s="195">
        <v>693600</v>
      </c>
      <c r="G26" s="196">
        <v>-6800</v>
      </c>
      <c r="H26" s="195">
        <v>794226</v>
      </c>
      <c r="I26" s="195">
        <v>-25030.799999999999</v>
      </c>
      <c r="J26">
        <f>INDEX('יתרות התחייבות להשקעה'!O:O,MATCH(A26,'יתרות התחייבות להשקעה'!H:H,0))</f>
        <v>-25.030799999999999</v>
      </c>
      <c r="K26" s="204">
        <f t="shared" si="0"/>
        <v>25005.769199999999</v>
      </c>
    </row>
    <row r="27" spans="1:11" ht="14.5" hidden="1">
      <c r="A27" s="193">
        <v>62018619</v>
      </c>
      <c r="B27" s="194" t="s">
        <v>3022</v>
      </c>
      <c r="C27" s="194" t="s">
        <v>124</v>
      </c>
      <c r="D27" s="194" t="s">
        <v>2969</v>
      </c>
      <c r="E27" s="195">
        <v>340000</v>
      </c>
      <c r="F27" s="195">
        <v>213231</v>
      </c>
      <c r="G27" s="196">
        <v>126769</v>
      </c>
      <c r="H27" s="195">
        <v>231533</v>
      </c>
      <c r="I27" s="195">
        <v>466636.68900000001</v>
      </c>
      <c r="J27">
        <f>INDEX('יתרות התחייבות להשקעה'!O:O,MATCH(A27,'יתרות התחייבות להשקעה'!H:H,0))</f>
        <v>466.63668899999999</v>
      </c>
      <c r="K27" s="204">
        <f t="shared" si="0"/>
        <v>-466170.05231100001</v>
      </c>
    </row>
    <row r="28" spans="1:11" ht="14.5" hidden="1">
      <c r="A28" s="193">
        <v>62019716</v>
      </c>
      <c r="B28" s="194" t="s">
        <v>2791</v>
      </c>
      <c r="C28" s="194" t="s">
        <v>124</v>
      </c>
      <c r="D28" s="194" t="s">
        <v>2983</v>
      </c>
      <c r="E28" s="195">
        <v>430000</v>
      </c>
      <c r="F28" s="195">
        <v>311814.37</v>
      </c>
      <c r="G28" s="196">
        <v>118185.63</v>
      </c>
      <c r="H28" s="195">
        <v>300894</v>
      </c>
      <c r="I28" s="195">
        <v>470272.44033299998</v>
      </c>
      <c r="J28">
        <f>INDEX('יתרות התחייבות להשקעה'!O:O,MATCH(A28,'יתרות התחייבות להשקעה'!H:H,0))</f>
        <v>470.27244033299996</v>
      </c>
      <c r="K28" s="204">
        <f t="shared" si="0"/>
        <v>-469802.167892667</v>
      </c>
    </row>
    <row r="29" spans="1:11" ht="14.5" hidden="1">
      <c r="A29" s="193">
        <v>62018965</v>
      </c>
      <c r="B29" s="194" t="s">
        <v>3023</v>
      </c>
      <c r="C29" s="194" t="s">
        <v>3058</v>
      </c>
      <c r="D29" s="194" t="s">
        <v>2969</v>
      </c>
      <c r="E29" s="195">
        <v>700000</v>
      </c>
      <c r="F29" s="195">
        <v>504000</v>
      </c>
      <c r="G29" s="196">
        <v>196000</v>
      </c>
      <c r="H29" s="195">
        <v>527098</v>
      </c>
      <c r="I29" s="195">
        <v>721476</v>
      </c>
      <c r="J29">
        <f>INDEX('יתרות התחייבות להשקעה'!O:O,MATCH(A29,'יתרות התחייבות להשקעה'!H:H,0))</f>
        <v>721.476</v>
      </c>
      <c r="K29" s="204">
        <f t="shared" si="0"/>
        <v>-720754.52399999998</v>
      </c>
    </row>
    <row r="30" spans="1:11" ht="14.5" hidden="1">
      <c r="A30" s="193">
        <v>62020938</v>
      </c>
      <c r="B30" s="194" t="s">
        <v>3027</v>
      </c>
      <c r="C30" s="194" t="s">
        <v>124</v>
      </c>
      <c r="D30" s="194" t="s">
        <v>2969</v>
      </c>
      <c r="E30" s="195">
        <v>315830</v>
      </c>
      <c r="F30" s="195">
        <v>102721</v>
      </c>
      <c r="G30" s="196">
        <v>213109</v>
      </c>
      <c r="H30" s="195">
        <v>100210</v>
      </c>
      <c r="I30" s="195">
        <v>784454.22900000005</v>
      </c>
      <c r="J30">
        <f>INDEX('יתרות התחייבות להשקעה'!O:O,MATCH(A30,'יתרות התחייבות להשקעה'!H:H,0))</f>
        <v>784.45422900000005</v>
      </c>
      <c r="K30" s="204">
        <f t="shared" si="0"/>
        <v>-783669.77477100003</v>
      </c>
    </row>
    <row r="31" spans="1:11" ht="14.5">
      <c r="A31" s="193">
        <v>62018254</v>
      </c>
      <c r="B31" s="194" t="s">
        <v>3064</v>
      </c>
      <c r="C31" s="194" t="s">
        <v>3058</v>
      </c>
      <c r="D31" s="194" t="s">
        <v>2969</v>
      </c>
      <c r="E31" s="195">
        <v>340000</v>
      </c>
      <c r="F31" s="195">
        <v>251600</v>
      </c>
      <c r="G31" s="196">
        <v>88400</v>
      </c>
      <c r="H31" s="195">
        <v>228121</v>
      </c>
      <c r="I31" s="195">
        <v>325400.40000000002</v>
      </c>
      <c r="J31">
        <f>INDEX('יתרות התחייבות להשקעה'!O:O,MATCH(A31,'יתרות התחייבות להשקעה'!H:H,0))</f>
        <v>325.40040000000005</v>
      </c>
      <c r="K31" s="204">
        <f t="shared" si="0"/>
        <v>-325074.99960000004</v>
      </c>
    </row>
    <row r="32" spans="1:11" ht="14.5">
      <c r="A32" s="193">
        <v>62018411</v>
      </c>
      <c r="B32" s="194" t="s">
        <v>3065</v>
      </c>
      <c r="C32" s="194" t="s">
        <v>124</v>
      </c>
      <c r="D32" s="194" t="s">
        <v>2969</v>
      </c>
      <c r="E32" s="195">
        <v>1000000</v>
      </c>
      <c r="F32" s="195">
        <v>1000000</v>
      </c>
      <c r="G32" s="196">
        <v>0</v>
      </c>
      <c r="H32" s="195">
        <v>735990</v>
      </c>
      <c r="I32" s="195">
        <v>0</v>
      </c>
      <c r="J32" t="e">
        <f>INDEX('יתרות התחייבות להשקעה'!O:O,MATCH(A32,'יתרות התחייבות להשקעה'!H:H,0))</f>
        <v>#N/A</v>
      </c>
      <c r="K32" s="204" t="e">
        <f t="shared" si="0"/>
        <v>#N/A</v>
      </c>
    </row>
    <row r="33" spans="1:11" ht="14.5">
      <c r="A33" s="193">
        <v>60400009</v>
      </c>
      <c r="B33" s="194" t="s">
        <v>2758</v>
      </c>
      <c r="C33" s="194" t="s">
        <v>124</v>
      </c>
      <c r="D33" s="194" t="s">
        <v>2969</v>
      </c>
      <c r="E33" s="195">
        <v>500000</v>
      </c>
      <c r="F33" s="195">
        <v>500000</v>
      </c>
      <c r="G33" s="196">
        <v>0</v>
      </c>
      <c r="H33" s="195">
        <v>112309</v>
      </c>
      <c r="I33" s="195">
        <v>0</v>
      </c>
      <c r="J33" t="e">
        <f>INDEX('יתרות התחייבות להשקעה'!O:O,MATCH(A33,'יתרות התחייבות להשקעה'!H:H,0))</f>
        <v>#N/A</v>
      </c>
      <c r="K33" s="204" t="e">
        <f t="shared" si="0"/>
        <v>#N/A</v>
      </c>
    </row>
    <row r="34" spans="1:11" ht="14.5">
      <c r="A34" s="193">
        <v>62018585</v>
      </c>
      <c r="B34" s="194" t="s">
        <v>2758</v>
      </c>
      <c r="C34" s="194" t="s">
        <v>124</v>
      </c>
      <c r="D34" s="194" t="s">
        <v>2969</v>
      </c>
      <c r="E34" s="195">
        <v>600000</v>
      </c>
      <c r="F34" s="195">
        <v>600000</v>
      </c>
      <c r="G34" s="196">
        <v>0</v>
      </c>
      <c r="H34" s="195">
        <v>674451</v>
      </c>
      <c r="I34" s="195">
        <v>0</v>
      </c>
      <c r="J34" t="e">
        <f>INDEX('יתרות התחייבות להשקעה'!O:O,MATCH(A34,'יתרות התחייבות להשקעה'!H:H,0))</f>
        <v>#N/A</v>
      </c>
      <c r="K34" s="204" t="e">
        <f t="shared" si="0"/>
        <v>#N/A</v>
      </c>
    </row>
    <row r="35" spans="1:11" ht="14.5">
      <c r="A35" s="193">
        <v>62018445</v>
      </c>
      <c r="B35" s="194" t="s">
        <v>3066</v>
      </c>
      <c r="C35" s="194" t="s">
        <v>124</v>
      </c>
      <c r="D35" s="194" t="s">
        <v>2969</v>
      </c>
      <c r="E35" s="195">
        <v>1700000</v>
      </c>
      <c r="F35" s="195">
        <v>1700000</v>
      </c>
      <c r="G35" s="196">
        <v>0</v>
      </c>
      <c r="H35" s="195">
        <v>2337486</v>
      </c>
      <c r="I35" s="195">
        <v>0</v>
      </c>
      <c r="J35" t="e">
        <f>INDEX('יתרות התחייבות להשקעה'!O:O,MATCH(A35,'יתרות התחייבות להשקעה'!H:H,0))</f>
        <v>#N/A</v>
      </c>
      <c r="K35" s="204" t="e">
        <f t="shared" si="0"/>
        <v>#N/A</v>
      </c>
    </row>
    <row r="36" spans="1:11" ht="14.5" hidden="1">
      <c r="A36" s="193">
        <v>62020158</v>
      </c>
      <c r="B36" s="194" t="s">
        <v>2611</v>
      </c>
      <c r="C36" s="194" t="s">
        <v>3058</v>
      </c>
      <c r="D36" s="194" t="s">
        <v>2999</v>
      </c>
      <c r="E36" s="195">
        <v>3339391</v>
      </c>
      <c r="F36" s="195">
        <v>1345051</v>
      </c>
      <c r="G36" s="196">
        <v>1994340</v>
      </c>
      <c r="H36" s="195">
        <v>1450598</v>
      </c>
      <c r="I36" s="195">
        <v>1994340</v>
      </c>
      <c r="J36">
        <f>INDEX('יתרות התחייבות להשקעה'!O:O,MATCH(A36,'יתרות התחייבות להשקעה'!H:H,0))</f>
        <v>1994.34</v>
      </c>
      <c r="K36" s="204">
        <f t="shared" si="0"/>
        <v>-1992345.66</v>
      </c>
    </row>
    <row r="37" spans="1:11" ht="14.5">
      <c r="A37" s="193">
        <v>50007889</v>
      </c>
      <c r="B37" s="194" t="s">
        <v>3067</v>
      </c>
      <c r="C37" s="194" t="s">
        <v>3058</v>
      </c>
      <c r="D37" s="194" t="s">
        <v>2999</v>
      </c>
      <c r="E37" s="195">
        <v>5000000</v>
      </c>
      <c r="F37" s="195">
        <v>5000000</v>
      </c>
      <c r="G37" s="196">
        <v>0</v>
      </c>
      <c r="H37" s="195">
        <v>4947844</v>
      </c>
      <c r="I37" s="195">
        <v>0</v>
      </c>
      <c r="J37" t="e">
        <f>INDEX('יתרות התחייבות להשקעה'!O:O,MATCH(A37,'יתרות התחייבות להשקעה'!H:H,0))</f>
        <v>#N/A</v>
      </c>
      <c r="K37" s="204" t="e">
        <f t="shared" si="0"/>
        <v>#N/A</v>
      </c>
    </row>
    <row r="38" spans="1:11" ht="14.5">
      <c r="A38" s="197">
        <v>60399003</v>
      </c>
      <c r="B38" s="198" t="s">
        <v>3068</v>
      </c>
      <c r="C38" s="198" t="s">
        <v>124</v>
      </c>
      <c r="D38" s="198" t="s">
        <v>2969</v>
      </c>
      <c r="E38" s="199">
        <v>500000</v>
      </c>
      <c r="F38" s="199">
        <v>500000</v>
      </c>
      <c r="G38" s="200">
        <v>0</v>
      </c>
      <c r="H38" s="199">
        <v>302950</v>
      </c>
      <c r="I38" s="199">
        <v>0</v>
      </c>
      <c r="J38" t="e">
        <f>INDEX('יתרות התחייבות להשקעה'!O:O,MATCH(A38,'יתרות התחייבות להשקעה'!H:H,0))</f>
        <v>#N/A</v>
      </c>
      <c r="K38" s="204" t="e">
        <f t="shared" si="0"/>
        <v>#N/A</v>
      </c>
    </row>
    <row r="39" spans="1:11" ht="14.5">
      <c r="A39" s="197">
        <v>62006697</v>
      </c>
      <c r="B39" s="198" t="s">
        <v>3069</v>
      </c>
      <c r="C39" s="198" t="s">
        <v>124</v>
      </c>
      <c r="D39" s="198" t="s">
        <v>2969</v>
      </c>
      <c r="E39" s="199">
        <v>300000</v>
      </c>
      <c r="F39" s="199">
        <v>300000</v>
      </c>
      <c r="G39" s="200">
        <v>0</v>
      </c>
      <c r="H39" s="199">
        <v>280076</v>
      </c>
      <c r="I39" s="199">
        <v>0</v>
      </c>
      <c r="J39" t="e">
        <f>INDEX('יתרות התחייבות להשקעה'!O:O,MATCH(A39,'יתרות התחייבות להשקעה'!H:H,0))</f>
        <v>#N/A</v>
      </c>
      <c r="K39" s="204" t="e">
        <f t="shared" si="0"/>
        <v>#N/A</v>
      </c>
    </row>
    <row r="40" spans="1:11" ht="14.5">
      <c r="A40" s="197">
        <v>62002044</v>
      </c>
      <c r="B40" s="198" t="s">
        <v>3070</v>
      </c>
      <c r="C40" s="198" t="s">
        <v>124</v>
      </c>
      <c r="D40" s="198" t="s">
        <v>2969</v>
      </c>
      <c r="E40" s="199">
        <v>270000</v>
      </c>
      <c r="F40" s="199">
        <v>270000</v>
      </c>
      <c r="G40" s="200">
        <v>0</v>
      </c>
      <c r="H40" s="199">
        <v>440544</v>
      </c>
      <c r="I40" s="199">
        <v>0</v>
      </c>
      <c r="J40" t="e">
        <f>INDEX('יתרות התחייבות להשקעה'!O:O,MATCH(A40,'יתרות התחייבות להשקעה'!H:H,0))</f>
        <v>#N/A</v>
      </c>
      <c r="K40" s="204" t="e">
        <f t="shared" si="0"/>
        <v>#N/A</v>
      </c>
    </row>
    <row r="41" spans="1:11" ht="14.5" hidden="1">
      <c r="A41" s="197">
        <v>62014386</v>
      </c>
      <c r="B41" s="198" t="s">
        <v>2978</v>
      </c>
      <c r="C41" s="198" t="s">
        <v>3058</v>
      </c>
      <c r="D41" s="198" t="s">
        <v>2969</v>
      </c>
      <c r="E41" s="199">
        <v>555000</v>
      </c>
      <c r="F41" s="199">
        <v>493950</v>
      </c>
      <c r="G41" s="200">
        <v>61050</v>
      </c>
      <c r="H41" s="199">
        <v>550393</v>
      </c>
      <c r="I41" s="199">
        <v>224725.05</v>
      </c>
      <c r="J41">
        <f>INDEX('יתרות התחייבות להשקעה'!O:O,MATCH(A41,'יתרות התחייבות להשקעה'!H:H,0))</f>
        <v>224.72505000000001</v>
      </c>
      <c r="K41" s="204">
        <f t="shared" si="0"/>
        <v>-224500.32494999998</v>
      </c>
    </row>
    <row r="42" spans="1:11" ht="14.5" hidden="1">
      <c r="A42" s="197">
        <v>62018890</v>
      </c>
      <c r="B42" s="198" t="s">
        <v>2989</v>
      </c>
      <c r="C42" s="198" t="s">
        <v>124</v>
      </c>
      <c r="D42" s="198" t="s">
        <v>2983</v>
      </c>
      <c r="E42" s="199">
        <v>1300000</v>
      </c>
      <c r="F42" s="199">
        <v>1040409.93</v>
      </c>
      <c r="G42" s="200">
        <v>259590.07</v>
      </c>
      <c r="H42" s="199">
        <v>1242375</v>
      </c>
      <c r="I42" s="199">
        <v>1032934.847537</v>
      </c>
      <c r="J42">
        <f>INDEX('יתרות התחייבות להשקעה'!O:O,MATCH(A42,'יתרות התחייבות להשקעה'!H:H,0))</f>
        <v>1032.934847537</v>
      </c>
      <c r="K42" s="204">
        <f t="shared" si="0"/>
        <v>-1031901.912689463</v>
      </c>
    </row>
    <row r="43" spans="1:11" ht="14.5" hidden="1">
      <c r="A43" s="197">
        <v>62012778</v>
      </c>
      <c r="B43" s="198" t="s">
        <v>2991</v>
      </c>
      <c r="C43" s="198" t="s">
        <v>124</v>
      </c>
      <c r="D43" s="198" t="s">
        <v>2969</v>
      </c>
      <c r="E43" s="199">
        <v>2000000</v>
      </c>
      <c r="F43" s="199">
        <v>1921472</v>
      </c>
      <c r="G43" s="200">
        <v>433818</v>
      </c>
      <c r="H43" s="199">
        <v>2127310</v>
      </c>
      <c r="I43" s="199">
        <v>1596884.058</v>
      </c>
      <c r="J43">
        <f>INDEX('יתרות התחייבות להשקעה'!O:O,MATCH(A43,'יתרות התחייבות להשקעה'!H:H,0))</f>
        <v>1596.8840579999999</v>
      </c>
      <c r="K43" s="204">
        <f t="shared" si="0"/>
        <v>-1595287.1739419999</v>
      </c>
    </row>
    <row r="44" spans="1:11" ht="14.5" hidden="1">
      <c r="A44" s="197">
        <v>62010103</v>
      </c>
      <c r="B44" s="198" t="s">
        <v>2995</v>
      </c>
      <c r="C44" s="198" t="s">
        <v>124</v>
      </c>
      <c r="D44" s="198" t="s">
        <v>2969</v>
      </c>
      <c r="E44" s="199">
        <v>2000000</v>
      </c>
      <c r="F44" s="199">
        <v>1620000</v>
      </c>
      <c r="G44" s="200">
        <v>380000</v>
      </c>
      <c r="H44" s="199">
        <v>2115108</v>
      </c>
      <c r="I44" s="199">
        <v>1398780</v>
      </c>
      <c r="J44">
        <f>INDEX('יתרות התחייבות להשקעה'!O:O,MATCH(A44,'יתרות התחייבות להשקעה'!H:H,0))</f>
        <v>1398.78</v>
      </c>
      <c r="K44" s="204">
        <f t="shared" si="0"/>
        <v>-1397381.22</v>
      </c>
    </row>
    <row r="45" spans="1:11" ht="14.5" hidden="1">
      <c r="A45" s="197">
        <v>62017520</v>
      </c>
      <c r="B45" s="198" t="s">
        <v>3004</v>
      </c>
      <c r="C45" s="198" t="s">
        <v>3058</v>
      </c>
      <c r="D45" s="198" t="s">
        <v>2969</v>
      </c>
      <c r="E45" s="199">
        <v>2000000</v>
      </c>
      <c r="F45" s="199">
        <v>1600000</v>
      </c>
      <c r="G45" s="200">
        <v>400000</v>
      </c>
      <c r="H45" s="199">
        <v>1400102</v>
      </c>
      <c r="I45" s="199">
        <v>1472400</v>
      </c>
      <c r="J45">
        <f>INDEX('יתרות התחייבות להשקעה'!O:O,MATCH(A45,'יתרות התחייבות להשקעה'!H:H,0))</f>
        <v>1472.4</v>
      </c>
      <c r="K45" s="204">
        <f t="shared" si="0"/>
        <v>-1470927.6</v>
      </c>
    </row>
    <row r="46" spans="1:11" ht="14.5" hidden="1">
      <c r="A46" s="197">
        <v>62015862</v>
      </c>
      <c r="B46" s="198" t="s">
        <v>3006</v>
      </c>
      <c r="C46" s="198" t="s">
        <v>124</v>
      </c>
      <c r="D46" s="198" t="s">
        <v>2969</v>
      </c>
      <c r="E46" s="199">
        <v>710000</v>
      </c>
      <c r="F46" s="199">
        <v>690830</v>
      </c>
      <c r="G46" s="200">
        <v>21246.52</v>
      </c>
      <c r="H46" s="199">
        <v>1025942</v>
      </c>
      <c r="I46" s="199">
        <v>78208.440119999999</v>
      </c>
      <c r="J46">
        <f>INDEX('יתרות התחייבות להשקעה'!O:O,MATCH(A46,'יתרות התחייבות להשקעה'!H:H,0))</f>
        <v>78.208440120000006</v>
      </c>
      <c r="K46" s="204">
        <f t="shared" si="0"/>
        <v>-78130.231679880002</v>
      </c>
    </row>
    <row r="47" spans="1:11" ht="14.5" hidden="1">
      <c r="A47" s="197">
        <v>62009311</v>
      </c>
      <c r="B47" s="198" t="s">
        <v>3016</v>
      </c>
      <c r="C47" s="198" t="s">
        <v>124</v>
      </c>
      <c r="D47" s="198" t="s">
        <v>2969</v>
      </c>
      <c r="E47" s="199">
        <v>2000000</v>
      </c>
      <c r="F47" s="199">
        <v>2391514.67</v>
      </c>
      <c r="G47" s="200">
        <v>159010.74</v>
      </c>
      <c r="H47" s="199">
        <v>3078182</v>
      </c>
      <c r="I47" s="199">
        <v>585318.53393999999</v>
      </c>
      <c r="J47">
        <f>INDEX('יתרות התחייבות להשקעה'!O:O,MATCH(A47,'יתרות התחייבות להשקעה'!H:H,0))</f>
        <v>585.31853393999995</v>
      </c>
      <c r="K47" s="204">
        <f t="shared" si="0"/>
        <v>-584733.21540605999</v>
      </c>
    </row>
    <row r="48" spans="1:11" ht="14.5" hidden="1">
      <c r="A48" s="197">
        <v>62007083</v>
      </c>
      <c r="B48" s="198" t="s">
        <v>3021</v>
      </c>
      <c r="C48" s="198" t="s">
        <v>124</v>
      </c>
      <c r="D48" s="198" t="s">
        <v>2969</v>
      </c>
      <c r="E48" s="199">
        <v>1400000</v>
      </c>
      <c r="F48" s="199">
        <v>1162700</v>
      </c>
      <c r="G48" s="200">
        <v>237300</v>
      </c>
      <c r="H48" s="199">
        <v>1083654</v>
      </c>
      <c r="I48" s="199">
        <v>873501.3</v>
      </c>
      <c r="J48">
        <f>INDEX('יתרות התחייבות להשקעה'!O:O,MATCH(A48,'יתרות התחייבות להשקעה'!H:H,0))</f>
        <v>873.50130000000001</v>
      </c>
      <c r="K48" s="204">
        <f t="shared" si="0"/>
        <v>-872627.79870000004</v>
      </c>
    </row>
    <row r="49" spans="1:11" ht="14.5">
      <c r="A49" s="197">
        <v>62010558</v>
      </c>
      <c r="B49" s="198" t="s">
        <v>3071</v>
      </c>
      <c r="C49" s="198" t="s">
        <v>124</v>
      </c>
      <c r="D49" s="198" t="s">
        <v>2969</v>
      </c>
      <c r="E49" s="199">
        <v>1500000</v>
      </c>
      <c r="F49" s="199">
        <v>1500000</v>
      </c>
      <c r="G49" s="200">
        <v>0</v>
      </c>
      <c r="H49" s="199">
        <v>1439914</v>
      </c>
      <c r="I49" s="199">
        <v>0</v>
      </c>
      <c r="J49" t="e">
        <f>INDEX('יתרות התחייבות להשקעה'!O:O,MATCH(A49,'יתרות התחייבות להשקעה'!H:H,0))</f>
        <v>#N/A</v>
      </c>
      <c r="K49" s="204" t="e">
        <f t="shared" si="0"/>
        <v>#N/A</v>
      </c>
    </row>
    <row r="50" spans="1:11" ht="14.5" hidden="1">
      <c r="A50" s="197">
        <v>62013958</v>
      </c>
      <c r="B50" s="198" t="s">
        <v>3029</v>
      </c>
      <c r="C50" s="198" t="s">
        <v>124</v>
      </c>
      <c r="D50" s="198" t="s">
        <v>2969</v>
      </c>
      <c r="E50" s="199">
        <v>1000000</v>
      </c>
      <c r="F50" s="199">
        <v>856608</v>
      </c>
      <c r="G50" s="200">
        <v>143392</v>
      </c>
      <c r="H50" s="199">
        <v>1003991</v>
      </c>
      <c r="I50" s="199">
        <v>527825.95200000005</v>
      </c>
      <c r="J50">
        <f>INDEX('יתרות התחייבות להשקעה'!O:O,MATCH(A50,'יתרות התחייבות להשקעה'!H:H,0))</f>
        <v>527.82595200000003</v>
      </c>
      <c r="K50" s="204">
        <f t="shared" si="0"/>
        <v>-527298.12604800006</v>
      </c>
    </row>
    <row r="51" spans="1:11" ht="14.5" hidden="1">
      <c r="A51" s="197">
        <v>62010434</v>
      </c>
      <c r="B51" s="198" t="s">
        <v>3033</v>
      </c>
      <c r="C51" s="198" t="s">
        <v>3058</v>
      </c>
      <c r="D51" s="198" t="s">
        <v>2969</v>
      </c>
      <c r="E51" s="199">
        <v>900000</v>
      </c>
      <c r="F51" s="199">
        <v>832500</v>
      </c>
      <c r="G51" s="200">
        <v>67500</v>
      </c>
      <c r="H51" s="199">
        <v>977350</v>
      </c>
      <c r="I51" s="199">
        <v>248467.5</v>
      </c>
      <c r="J51">
        <f>INDEX('יתרות התחייבות להשקעה'!O:O,MATCH(A51,'יתרות התחייבות להשקעה'!H:H,0))</f>
        <v>248.4675</v>
      </c>
      <c r="K51" s="204">
        <f t="shared" si="0"/>
        <v>-248219.0325</v>
      </c>
    </row>
    <row r="52" spans="1:11" ht="14.5" hidden="1">
      <c r="A52" s="197">
        <v>62016084</v>
      </c>
      <c r="B52" s="198" t="s">
        <v>3040</v>
      </c>
      <c r="C52" s="198" t="s">
        <v>3058</v>
      </c>
      <c r="D52" s="198" t="s">
        <v>2969</v>
      </c>
      <c r="E52" s="199">
        <v>1540000</v>
      </c>
      <c r="F52" s="199">
        <v>1493800</v>
      </c>
      <c r="G52" s="200">
        <v>46200</v>
      </c>
      <c r="H52" s="199">
        <v>1647472</v>
      </c>
      <c r="I52" s="199">
        <v>170062.2</v>
      </c>
      <c r="J52">
        <f>INDEX('יתרות התחייבות להשקעה'!O:O,MATCH(A52,'יתרות התחייבות להשקעה'!H:H,0))</f>
        <v>170.06220000000002</v>
      </c>
      <c r="K52" s="204">
        <f t="shared" si="0"/>
        <v>-169892.13780000003</v>
      </c>
    </row>
    <row r="53" spans="1:11" ht="14.5" hidden="1">
      <c r="A53" s="197">
        <v>62019294</v>
      </c>
      <c r="B53" s="198" t="s">
        <v>3042</v>
      </c>
      <c r="C53" s="198" t="s">
        <v>124</v>
      </c>
      <c r="D53" s="198" t="s">
        <v>2983</v>
      </c>
      <c r="E53" s="199">
        <v>750000</v>
      </c>
      <c r="F53" s="199">
        <v>738432</v>
      </c>
      <c r="G53" s="200">
        <v>11568</v>
      </c>
      <c r="H53" s="199">
        <v>578753</v>
      </c>
      <c r="I53" s="199">
        <v>46030.228799999997</v>
      </c>
      <c r="J53">
        <f>INDEX('יתרות התחייבות להשקעה'!O:O,MATCH(A53,'יתרות התחייבות להשקעה'!H:H,0))</f>
        <v>46.030228799999996</v>
      </c>
      <c r="K53" s="204">
        <f t="shared" si="0"/>
        <v>-45984.198571199995</v>
      </c>
    </row>
    <row r="54" spans="1:11" ht="14.5" hidden="1">
      <c r="A54" s="197">
        <v>62012059</v>
      </c>
      <c r="B54" s="198" t="s">
        <v>3046</v>
      </c>
      <c r="C54" s="198" t="s">
        <v>3058</v>
      </c>
      <c r="D54" s="198" t="s">
        <v>2969</v>
      </c>
      <c r="E54" s="199">
        <v>1000000</v>
      </c>
      <c r="F54" s="199">
        <v>671046</v>
      </c>
      <c r="G54" s="200">
        <v>328954</v>
      </c>
      <c r="H54" s="199">
        <v>884043</v>
      </c>
      <c r="I54" s="199">
        <v>1210879.6740000001</v>
      </c>
      <c r="J54">
        <f>INDEX('יתרות התחייבות להשקעה'!O:O,MATCH(A54,'יתרות התחייבות להשקעה'!H:H,0))</f>
        <v>1210.879674</v>
      </c>
      <c r="K54" s="204">
        <f t="shared" si="0"/>
        <v>-1209668.7943260001</v>
      </c>
    </row>
    <row r="55" spans="1:11" ht="14.5" hidden="1">
      <c r="A55" s="197">
        <v>62016845</v>
      </c>
      <c r="B55" s="198" t="s">
        <v>2974</v>
      </c>
      <c r="C55" s="198" t="s">
        <v>124</v>
      </c>
      <c r="D55" s="198" t="s">
        <v>2969</v>
      </c>
      <c r="E55" s="199">
        <v>1500000</v>
      </c>
      <c r="F55" s="199">
        <v>1425000</v>
      </c>
      <c r="G55" s="200">
        <v>274135.8</v>
      </c>
      <c r="H55" s="199">
        <v>1887154</v>
      </c>
      <c r="I55" s="199">
        <v>1009093.8798</v>
      </c>
      <c r="J55">
        <f>INDEX('יתרות התחייבות להשקעה'!O:O,MATCH(A55,'יתרות התחייבות להשקעה'!H:H,0))</f>
        <v>1009.0938798</v>
      </c>
      <c r="K55" s="204">
        <f t="shared" si="0"/>
        <v>-1008084.7859201999</v>
      </c>
    </row>
    <row r="56" spans="1:11" ht="14.5">
      <c r="A56" s="197">
        <v>62013818</v>
      </c>
      <c r="B56" s="198" t="s">
        <v>3072</v>
      </c>
      <c r="C56" s="198" t="s">
        <v>124</v>
      </c>
      <c r="D56" s="198" t="s">
        <v>2969</v>
      </c>
      <c r="E56" s="199">
        <v>1000000</v>
      </c>
      <c r="F56" s="199">
        <v>1000000</v>
      </c>
      <c r="G56" s="200">
        <v>0</v>
      </c>
      <c r="H56" s="199">
        <v>104824</v>
      </c>
      <c r="I56" s="199">
        <v>0</v>
      </c>
      <c r="J56" t="e">
        <f>INDEX('יתרות התחייבות להשקעה'!O:O,MATCH(A56,'יתרות התחייבות להשקעה'!H:H,0))</f>
        <v>#N/A</v>
      </c>
      <c r="K56" s="204" t="e">
        <f t="shared" si="0"/>
        <v>#N/A</v>
      </c>
    </row>
    <row r="57" spans="1:11" ht="14.5" hidden="1">
      <c r="A57" s="197">
        <v>62017611</v>
      </c>
      <c r="B57" s="198" t="s">
        <v>2986</v>
      </c>
      <c r="C57" s="198" t="s">
        <v>124</v>
      </c>
      <c r="D57" s="198" t="s">
        <v>2983</v>
      </c>
      <c r="E57" s="199">
        <v>1000000</v>
      </c>
      <c r="F57" s="199">
        <v>767421.96</v>
      </c>
      <c r="G57" s="200">
        <v>232578.04</v>
      </c>
      <c r="H57" s="199">
        <v>830473</v>
      </c>
      <c r="I57" s="199">
        <v>925451.27896400006</v>
      </c>
      <c r="J57" s="181">
        <f>INDEX('יתרות התחייבות להשקעה'!O:O,MATCH(A57,'יתרות התחייבות להשקעה'!H:H,0))</f>
        <v>925.45100000000002</v>
      </c>
      <c r="K57" s="204">
        <f t="shared" si="0"/>
        <v>-924525.82796400005</v>
      </c>
    </row>
    <row r="58" spans="1:11" ht="14.5" hidden="1">
      <c r="A58" s="197">
        <v>50001015</v>
      </c>
      <c r="B58" s="198" t="s">
        <v>3010</v>
      </c>
      <c r="C58" s="198" t="s">
        <v>3058</v>
      </c>
      <c r="D58" s="198" t="s">
        <v>2999</v>
      </c>
      <c r="E58" s="199">
        <v>5400000</v>
      </c>
      <c r="F58" s="199">
        <v>3780000</v>
      </c>
      <c r="G58" s="200">
        <v>1620000</v>
      </c>
      <c r="H58" s="199">
        <v>3449757</v>
      </c>
      <c r="I58" s="199">
        <v>1620000</v>
      </c>
      <c r="J58">
        <f>INDEX('יתרות התחייבות להשקעה'!O:O,MATCH(A58,'יתרות התחייבות להשקעה'!H:H,0))</f>
        <v>1620</v>
      </c>
      <c r="K58" s="204">
        <f t="shared" si="0"/>
        <v>-1618380</v>
      </c>
    </row>
    <row r="59" spans="1:11" ht="14.5" hidden="1">
      <c r="A59" s="197">
        <v>62017819</v>
      </c>
      <c r="B59" s="198" t="s">
        <v>3013</v>
      </c>
      <c r="C59" s="198" t="s">
        <v>124</v>
      </c>
      <c r="D59" s="198" t="s">
        <v>2969</v>
      </c>
      <c r="E59" s="199">
        <v>1000000</v>
      </c>
      <c r="F59" s="199">
        <v>1273514</v>
      </c>
      <c r="G59" s="200">
        <v>555775</v>
      </c>
      <c r="H59" s="199">
        <v>476327</v>
      </c>
      <c r="I59" s="199">
        <v>2045807.7749999999</v>
      </c>
      <c r="J59">
        <f>INDEX('יתרות התחייבות להשקעה'!O:O,MATCH(A59,'יתרות התחייבות להשקעה'!H:H,0))</f>
        <v>2045.8077750000002</v>
      </c>
      <c r="K59" s="204">
        <f t="shared" si="0"/>
        <v>-2043761.9672249998</v>
      </c>
    </row>
    <row r="60" spans="1:11" ht="14.5" hidden="1">
      <c r="A60" s="197">
        <v>62017140</v>
      </c>
      <c r="B60" s="198" t="s">
        <v>3019</v>
      </c>
      <c r="C60" s="198" t="s">
        <v>124</v>
      </c>
      <c r="D60" s="198" t="s">
        <v>2983</v>
      </c>
      <c r="E60" s="199">
        <v>1337000</v>
      </c>
      <c r="F60" s="199">
        <v>1218154.95</v>
      </c>
      <c r="G60" s="200">
        <v>118845.05</v>
      </c>
      <c r="H60" s="199">
        <v>1000779</v>
      </c>
      <c r="I60" s="199">
        <v>472896.33845500002</v>
      </c>
      <c r="J60">
        <f>INDEX('יתרות התחייבות להשקעה'!O:O,MATCH(A60,'יתרות התחייבות להשקעה'!H:H,0))</f>
        <v>472.89633845500003</v>
      </c>
      <c r="K60" s="204">
        <f t="shared" si="0"/>
        <v>-472423.44211654505</v>
      </c>
    </row>
    <row r="61" spans="1:11" ht="14.5" hidden="1">
      <c r="A61" s="197">
        <v>62016522</v>
      </c>
      <c r="B61" s="198" t="s">
        <v>2724</v>
      </c>
      <c r="C61" s="198" t="s">
        <v>124</v>
      </c>
      <c r="D61" s="198" t="s">
        <v>2969</v>
      </c>
      <c r="E61" s="199">
        <v>1500000</v>
      </c>
      <c r="F61" s="199">
        <v>1464826.2</v>
      </c>
      <c r="G61" s="200">
        <v>35173.800000000003</v>
      </c>
      <c r="H61" s="199">
        <v>1503169</v>
      </c>
      <c r="I61" s="199">
        <v>129474.75780000001</v>
      </c>
      <c r="J61">
        <f>INDEX('יתרות התחייבות להשקעה'!O:O,MATCH(A61,'יתרות התחייבות להשקעה'!H:H,0))</f>
        <v>129.47475780000002</v>
      </c>
      <c r="K61" s="204">
        <f t="shared" si="0"/>
        <v>-129345.28304220001</v>
      </c>
    </row>
    <row r="62" spans="1:11" ht="14.5" hidden="1">
      <c r="A62" s="197">
        <v>50006782</v>
      </c>
      <c r="B62" s="198" t="s">
        <v>3032</v>
      </c>
      <c r="C62" s="198" t="s">
        <v>3058</v>
      </c>
      <c r="D62" s="198" t="s">
        <v>2999</v>
      </c>
      <c r="E62" s="199">
        <v>7000000</v>
      </c>
      <c r="F62" s="199">
        <v>4683460</v>
      </c>
      <c r="G62" s="200">
        <v>2316540</v>
      </c>
      <c r="H62" s="199">
        <v>4939066</v>
      </c>
      <c r="I62" s="199">
        <v>2316540</v>
      </c>
      <c r="J62">
        <f>INDEX('יתרות התחייבות להשקעה'!O:O,MATCH(A62,'יתרות התחייבות להשקעה'!H:H,0))</f>
        <v>2316.54</v>
      </c>
      <c r="K62" s="204">
        <f t="shared" si="0"/>
        <v>-2314223.46</v>
      </c>
    </row>
    <row r="63" spans="1:11" ht="14.5">
      <c r="A63" s="197">
        <v>62020797</v>
      </c>
      <c r="B63" s="198" t="s">
        <v>3073</v>
      </c>
      <c r="C63" s="198" t="s">
        <v>124</v>
      </c>
      <c r="D63" s="198" t="s">
        <v>2969</v>
      </c>
      <c r="E63" s="199">
        <v>2425000</v>
      </c>
      <c r="F63" s="199">
        <v>2425000</v>
      </c>
      <c r="G63" s="200">
        <v>0</v>
      </c>
      <c r="H63" s="199">
        <v>2397526</v>
      </c>
      <c r="I63" s="199">
        <v>0</v>
      </c>
      <c r="J63" t="e">
        <f>INDEX('יתרות התחייבות להשקעה'!O:O,MATCH(A63,'יתרות התחייבות להשקעה'!H:H,0))</f>
        <v>#N/A</v>
      </c>
      <c r="K63" s="204" t="e">
        <f t="shared" si="0"/>
        <v>#N/A</v>
      </c>
    </row>
    <row r="64" spans="1:11" ht="14.5">
      <c r="A64" s="197">
        <v>50005</v>
      </c>
      <c r="B64" s="198" t="s">
        <v>3074</v>
      </c>
      <c r="C64" s="198" t="s">
        <v>3058</v>
      </c>
      <c r="D64" s="198" t="s">
        <v>2999</v>
      </c>
      <c r="E64" s="199">
        <v>2000000</v>
      </c>
      <c r="F64" s="199">
        <v>2000000</v>
      </c>
      <c r="G64" s="200">
        <v>0</v>
      </c>
      <c r="H64" s="199">
        <v>3551916</v>
      </c>
      <c r="I64" s="199">
        <v>0</v>
      </c>
      <c r="J64" t="e">
        <f>INDEX('יתרות התחייבות להשקעה'!O:O,MATCH(A64,'יתרות התחייבות להשקעה'!H:H,0))</f>
        <v>#N/A</v>
      </c>
      <c r="K64" s="204" t="e">
        <f t="shared" si="0"/>
        <v>#N/A</v>
      </c>
    </row>
    <row r="65" spans="1:11" ht="14.5">
      <c r="A65" s="197">
        <v>50006121</v>
      </c>
      <c r="B65" s="198" t="s">
        <v>3075</v>
      </c>
      <c r="C65" s="198" t="s">
        <v>3058</v>
      </c>
      <c r="D65" s="198" t="s">
        <v>2999</v>
      </c>
      <c r="E65" s="199">
        <v>2000000</v>
      </c>
      <c r="F65" s="199">
        <v>2000000</v>
      </c>
      <c r="G65" s="200">
        <v>0</v>
      </c>
      <c r="H65" s="199">
        <v>2454371</v>
      </c>
      <c r="I65" s="199">
        <v>0</v>
      </c>
      <c r="J65" t="e">
        <f>INDEX('יתרות התחייבות להשקעה'!O:O,MATCH(A65,'יתרות התחייבות להשקעה'!H:H,0))</f>
        <v>#N/A</v>
      </c>
      <c r="K65" s="204" t="e">
        <f t="shared" si="0"/>
        <v>#N/A</v>
      </c>
    </row>
    <row r="66" spans="1:11" ht="14.5">
      <c r="A66" s="197">
        <v>99630</v>
      </c>
      <c r="B66" s="198" t="s">
        <v>3076</v>
      </c>
      <c r="C66" s="198" t="s">
        <v>3058</v>
      </c>
      <c r="D66" s="198" t="s">
        <v>2999</v>
      </c>
      <c r="E66" s="199">
        <v>2000000</v>
      </c>
      <c r="F66" s="199">
        <v>2000000</v>
      </c>
      <c r="G66" s="200">
        <v>0</v>
      </c>
      <c r="H66" s="199">
        <v>2714607</v>
      </c>
      <c r="I66" s="199">
        <v>0</v>
      </c>
      <c r="J66" t="e">
        <f>INDEX('יתרות התחייבות להשקעה'!O:O,MATCH(A66,'יתרות התחייבות להשקעה'!H:H,0))</f>
        <v>#N/A</v>
      </c>
      <c r="K66" s="204" t="e">
        <f t="shared" si="0"/>
        <v>#N/A</v>
      </c>
    </row>
    <row r="68" spans="1:11">
      <c r="I68" s="205">
        <f>I26+I31</f>
        <v>300369.60000000003</v>
      </c>
    </row>
  </sheetData>
  <autoFilter ref="A1:K66" xr:uid="{3D8FA057-CE1C-4DC3-8350-31670012CECE}">
    <filterColumn colId="10">
      <filters>
        <filter val="#N/A"/>
      </filters>
    </filterColumn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"/>
  <cols>
    <col min="1" max="1" width="29.5" style="11" customWidth="1"/>
    <col min="2" max="2" width="30.33203125" customWidth="1"/>
    <col min="3" max="3" width="90.83203125" style="18" customWidth="1"/>
    <col min="4" max="4" width="68.83203125" style="11" customWidth="1"/>
    <col min="5" max="5" width="17.33203125" customWidth="1"/>
    <col min="6" max="6" width="59.58203125" customWidth="1"/>
    <col min="7" max="7" width="63.5" customWidth="1"/>
    <col min="8" max="8" width="38.75" customWidth="1"/>
    <col min="9" max="9" width="9" customWidth="1"/>
  </cols>
  <sheetData>
    <row r="1" spans="1:5" s="54" customFormat="1" ht="42">
      <c r="A1" s="53" t="s">
        <v>225</v>
      </c>
      <c r="B1" s="53" t="s">
        <v>226</v>
      </c>
      <c r="C1" s="53" t="s">
        <v>227</v>
      </c>
      <c r="D1" s="53" t="s">
        <v>228</v>
      </c>
    </row>
    <row r="2" spans="1:5">
      <c r="A2" s="88"/>
      <c r="B2" s="88" t="s">
        <v>229</v>
      </c>
      <c r="C2" s="24" t="s">
        <v>31</v>
      </c>
      <c r="D2" s="24"/>
    </row>
    <row r="3" spans="1:5">
      <c r="A3" s="89"/>
      <c r="B3" s="89"/>
      <c r="C3" s="24" t="s">
        <v>124</v>
      </c>
      <c r="D3" s="24"/>
    </row>
    <row r="4" spans="1:5" ht="42">
      <c r="A4" s="81"/>
      <c r="B4" s="102" t="s">
        <v>230</v>
      </c>
      <c r="C4" s="25" t="s">
        <v>31</v>
      </c>
      <c r="D4" s="25"/>
    </row>
    <row r="5" spans="1:5">
      <c r="A5" s="82"/>
      <c r="B5" s="103"/>
      <c r="C5" s="25" t="s">
        <v>231</v>
      </c>
      <c r="D5" s="25"/>
    </row>
    <row r="6" spans="1:5">
      <c r="A6" s="82"/>
      <c r="B6" s="103"/>
      <c r="C6" s="25" t="s">
        <v>232</v>
      </c>
      <c r="D6" s="25"/>
    </row>
    <row r="7" spans="1:5">
      <c r="A7" s="82"/>
      <c r="B7" s="103"/>
      <c r="C7" s="25" t="s">
        <v>233</v>
      </c>
      <c r="D7" s="25"/>
    </row>
    <row r="8" spans="1:5">
      <c r="A8" s="82"/>
      <c r="B8" s="103"/>
      <c r="C8" s="25" t="s">
        <v>234</v>
      </c>
      <c r="D8" s="25"/>
    </row>
    <row r="9" spans="1:5">
      <c r="A9" s="82"/>
      <c r="B9" s="103"/>
      <c r="C9" s="25" t="s">
        <v>235</v>
      </c>
      <c r="D9" s="25"/>
    </row>
    <row r="10" spans="1:5">
      <c r="A10" s="82"/>
      <c r="B10" s="103"/>
      <c r="C10" s="25" t="s">
        <v>236</v>
      </c>
      <c r="D10" s="25"/>
    </row>
    <row r="11" spans="1:5">
      <c r="A11" s="82"/>
      <c r="B11" s="103"/>
      <c r="C11" s="25" t="s">
        <v>237</v>
      </c>
      <c r="D11" s="25"/>
      <c r="E11" t="s">
        <v>238</v>
      </c>
    </row>
    <row r="12" spans="1:5">
      <c r="A12" s="82"/>
      <c r="B12" s="103"/>
      <c r="C12" s="25" t="s">
        <v>239</v>
      </c>
      <c r="D12" s="25"/>
      <c r="E12" t="s">
        <v>238</v>
      </c>
    </row>
    <row r="13" spans="1:5">
      <c r="A13" s="82"/>
      <c r="B13" s="103"/>
      <c r="C13" s="25" t="s">
        <v>240</v>
      </c>
      <c r="D13" s="25"/>
    </row>
    <row r="14" spans="1:5">
      <c r="A14" s="82"/>
      <c r="B14" s="103"/>
      <c r="C14" s="25" t="s">
        <v>241</v>
      </c>
      <c r="D14" s="25"/>
    </row>
    <row r="15" spans="1:5">
      <c r="A15" s="82"/>
      <c r="B15" s="103"/>
      <c r="C15" s="25" t="s">
        <v>242</v>
      </c>
      <c r="D15" s="25"/>
    </row>
    <row r="16" spans="1:5">
      <c r="A16" s="82"/>
      <c r="B16" s="103"/>
      <c r="C16" s="25" t="s">
        <v>243</v>
      </c>
      <c r="D16" s="25"/>
    </row>
    <row r="17" spans="1:4">
      <c r="A17" s="82"/>
      <c r="B17" s="103"/>
      <c r="C17" s="25" t="s">
        <v>244</v>
      </c>
      <c r="D17" s="25"/>
    </row>
    <row r="18" spans="1:4">
      <c r="A18" s="82"/>
      <c r="B18" s="103"/>
      <c r="C18" s="25" t="s">
        <v>245</v>
      </c>
      <c r="D18" s="25"/>
    </row>
    <row r="19" spans="1:4">
      <c r="A19" s="82"/>
      <c r="B19" s="103"/>
      <c r="C19" s="25" t="s">
        <v>246</v>
      </c>
      <c r="D19" s="25"/>
    </row>
    <row r="20" spans="1:4">
      <c r="A20" s="82"/>
      <c r="B20" s="103"/>
      <c r="C20" s="25" t="s">
        <v>247</v>
      </c>
      <c r="D20" s="25"/>
    </row>
    <row r="21" spans="1:4">
      <c r="A21" s="82"/>
      <c r="B21" s="103"/>
      <c r="C21" s="25" t="s">
        <v>125</v>
      </c>
      <c r="D21" s="25"/>
    </row>
    <row r="22" spans="1:4">
      <c r="A22" s="82"/>
      <c r="B22" s="103"/>
      <c r="C22" s="25" t="s">
        <v>248</v>
      </c>
      <c r="D22" s="25"/>
    </row>
    <row r="23" spans="1:4">
      <c r="A23" s="82"/>
      <c r="B23" s="103"/>
      <c r="C23" s="25" t="s">
        <v>249</v>
      </c>
      <c r="D23" s="25"/>
    </row>
    <row r="24" spans="1:4">
      <c r="A24" s="82"/>
      <c r="B24" s="103"/>
      <c r="C24" s="25" t="s">
        <v>250</v>
      </c>
      <c r="D24" s="25"/>
    </row>
    <row r="25" spans="1:4">
      <c r="A25" s="82"/>
      <c r="B25" s="103"/>
      <c r="C25" s="25" t="s">
        <v>251</v>
      </c>
      <c r="D25" s="25"/>
    </row>
    <row r="26" spans="1:4">
      <c r="A26" s="82"/>
      <c r="B26" s="103"/>
      <c r="C26" s="25" t="s">
        <v>252</v>
      </c>
      <c r="D26" s="25"/>
    </row>
    <row r="27" spans="1:4">
      <c r="A27" s="82"/>
      <c r="B27" s="103"/>
      <c r="C27" s="25" t="s">
        <v>253</v>
      </c>
      <c r="D27" s="25"/>
    </row>
    <row r="28" spans="1:4">
      <c r="A28" s="82"/>
      <c r="B28" s="103"/>
      <c r="C28" s="25" t="s">
        <v>254</v>
      </c>
      <c r="D28" s="25"/>
    </row>
    <row r="29" spans="1:4">
      <c r="A29" s="82"/>
      <c r="B29" s="103"/>
      <c r="C29" s="25" t="s">
        <v>255</v>
      </c>
      <c r="D29" s="25"/>
    </row>
    <row r="30" spans="1:4">
      <c r="A30" s="82"/>
      <c r="B30" s="103"/>
      <c r="C30" s="25" t="s">
        <v>256</v>
      </c>
      <c r="D30" s="25"/>
    </row>
    <row r="31" spans="1:4">
      <c r="A31" s="82"/>
      <c r="B31" s="103"/>
      <c r="C31" s="25" t="s">
        <v>257</v>
      </c>
      <c r="D31" s="25"/>
    </row>
    <row r="32" spans="1:4">
      <c r="A32" s="82"/>
      <c r="B32" s="103"/>
      <c r="C32" s="25" t="s">
        <v>258</v>
      </c>
      <c r="D32" s="25"/>
    </row>
    <row r="33" spans="1:5">
      <c r="A33" s="82"/>
      <c r="B33" s="103"/>
      <c r="C33" s="25" t="s">
        <v>259</v>
      </c>
      <c r="D33" s="25"/>
    </row>
    <row r="34" spans="1:5">
      <c r="A34" s="82"/>
      <c r="B34" s="103"/>
      <c r="C34" s="25" t="s">
        <v>260</v>
      </c>
      <c r="D34" s="25"/>
    </row>
    <row r="35" spans="1:5">
      <c r="A35" s="82"/>
      <c r="B35" s="103"/>
      <c r="C35" s="25" t="s">
        <v>261</v>
      </c>
      <c r="D35" s="25"/>
    </row>
    <row r="36" spans="1:5">
      <c r="A36" s="82"/>
      <c r="B36" s="103"/>
      <c r="C36" s="25" t="s">
        <v>262</v>
      </c>
      <c r="D36" s="25"/>
      <c r="E36" t="s">
        <v>238</v>
      </c>
    </row>
    <row r="37" spans="1:5">
      <c r="A37" s="82"/>
      <c r="B37" s="103"/>
      <c r="C37" s="11" t="s">
        <v>263</v>
      </c>
      <c r="D37" s="25"/>
      <c r="E37" t="s">
        <v>238</v>
      </c>
    </row>
    <row r="38" spans="1:5">
      <c r="A38" s="82"/>
      <c r="B38" s="103"/>
      <c r="C38" s="25" t="s">
        <v>264</v>
      </c>
      <c r="D38" s="25"/>
    </row>
    <row r="39" spans="1:5">
      <c r="A39" s="82"/>
      <c r="B39" s="103"/>
      <c r="C39" s="25" t="s">
        <v>265</v>
      </c>
      <c r="D39" s="25"/>
    </row>
    <row r="40" spans="1:5">
      <c r="A40" s="82"/>
      <c r="B40" s="103"/>
      <c r="C40" s="25" t="s">
        <v>266</v>
      </c>
      <c r="D40" s="25"/>
      <c r="E40" t="s">
        <v>238</v>
      </c>
    </row>
    <row r="41" spans="1:5">
      <c r="A41" s="82"/>
      <c r="B41" s="103"/>
      <c r="C41" s="25" t="s">
        <v>267</v>
      </c>
      <c r="D41" s="25"/>
    </row>
    <row r="42" spans="1:5">
      <c r="A42" s="82"/>
      <c r="B42" s="103"/>
      <c r="C42" s="25" t="s">
        <v>268</v>
      </c>
      <c r="D42" s="25"/>
    </row>
    <row r="43" spans="1:5">
      <c r="A43" s="82"/>
      <c r="B43" s="103"/>
      <c r="C43" s="25" t="s">
        <v>269</v>
      </c>
      <c r="D43" s="25"/>
    </row>
    <row r="44" spans="1:5">
      <c r="A44" s="82"/>
      <c r="B44" s="103"/>
      <c r="C44" s="25" t="s">
        <v>270</v>
      </c>
      <c r="D44" s="25"/>
    </row>
    <row r="45" spans="1:5">
      <c r="A45" s="82"/>
      <c r="B45" s="103"/>
      <c r="C45" s="25" t="s">
        <v>271</v>
      </c>
      <c r="D45" s="25"/>
    </row>
    <row r="46" spans="1:5">
      <c r="A46" s="82"/>
      <c r="B46" s="103"/>
      <c r="C46" s="25" t="s">
        <v>272</v>
      </c>
      <c r="D46" s="25"/>
      <c r="E46" t="s">
        <v>238</v>
      </c>
    </row>
    <row r="47" spans="1:5">
      <c r="A47" s="82"/>
      <c r="B47" s="103"/>
      <c r="C47" s="25" t="s">
        <v>273</v>
      </c>
      <c r="D47" s="25"/>
    </row>
    <row r="48" spans="1:5">
      <c r="A48" s="82"/>
      <c r="B48" s="103"/>
      <c r="C48" s="25" t="s">
        <v>274</v>
      </c>
      <c r="D48" s="25"/>
    </row>
    <row r="49" spans="1:5">
      <c r="A49" s="82"/>
      <c r="B49" s="103"/>
      <c r="C49" s="25" t="s">
        <v>275</v>
      </c>
      <c r="D49" s="25"/>
    </row>
    <row r="50" spans="1:5">
      <c r="A50" s="82"/>
      <c r="B50" s="103"/>
      <c r="C50" s="25" t="s">
        <v>276</v>
      </c>
      <c r="D50" s="25"/>
    </row>
    <row r="51" spans="1:5">
      <c r="A51" s="82"/>
      <c r="B51" s="103"/>
      <c r="C51" s="25" t="s">
        <v>277</v>
      </c>
      <c r="D51" s="25"/>
    </row>
    <row r="52" spans="1:5">
      <c r="A52" s="82"/>
      <c r="B52" s="103"/>
      <c r="C52" s="25" t="s">
        <v>278</v>
      </c>
      <c r="D52" s="25"/>
    </row>
    <row r="53" spans="1:5">
      <c r="A53" s="82"/>
      <c r="B53" s="103"/>
      <c r="C53" s="25" t="s">
        <v>279</v>
      </c>
      <c r="D53" s="25"/>
    </row>
    <row r="54" spans="1:5">
      <c r="A54" s="82"/>
      <c r="B54" s="103"/>
      <c r="C54" s="25" t="s">
        <v>280</v>
      </c>
      <c r="D54" s="25"/>
    </row>
    <row r="55" spans="1:5">
      <c r="A55" s="82"/>
      <c r="B55" s="103"/>
      <c r="C55" s="25" t="s">
        <v>281</v>
      </c>
      <c r="D55" s="25"/>
    </row>
    <row r="56" spans="1:5">
      <c r="A56" s="82"/>
      <c r="B56" s="103"/>
      <c r="C56" s="25" t="s">
        <v>282</v>
      </c>
      <c r="D56" s="25"/>
    </row>
    <row r="57" spans="1:5">
      <c r="A57" s="82"/>
      <c r="B57" s="103"/>
      <c r="C57" s="25" t="s">
        <v>283</v>
      </c>
      <c r="D57" s="25"/>
    </row>
    <row r="58" spans="1:5">
      <c r="A58" s="82"/>
      <c r="B58" s="103"/>
      <c r="C58" s="25" t="s">
        <v>284</v>
      </c>
      <c r="D58" s="25"/>
    </row>
    <row r="59" spans="1:5">
      <c r="A59" s="82"/>
      <c r="B59" s="103"/>
      <c r="C59" s="25" t="s">
        <v>285</v>
      </c>
      <c r="D59" s="25"/>
    </row>
    <row r="60" spans="1:5">
      <c r="A60" s="82"/>
      <c r="B60" s="103"/>
      <c r="C60" s="25" t="s">
        <v>286</v>
      </c>
      <c r="D60" s="25"/>
    </row>
    <row r="61" spans="1:5">
      <c r="A61" s="82"/>
      <c r="B61" s="103"/>
      <c r="C61" s="25" t="s">
        <v>287</v>
      </c>
      <c r="D61" s="25"/>
    </row>
    <row r="62" spans="1:5">
      <c r="A62" s="82"/>
      <c r="B62" s="103"/>
      <c r="C62" s="25" t="s">
        <v>288</v>
      </c>
      <c r="D62" s="25"/>
    </row>
    <row r="63" spans="1:5">
      <c r="A63" s="82"/>
      <c r="B63" s="103"/>
      <c r="C63" s="25" t="s">
        <v>289</v>
      </c>
      <c r="D63" s="25"/>
      <c r="E63" t="s">
        <v>238</v>
      </c>
    </row>
    <row r="64" spans="1:5">
      <c r="A64" s="82"/>
      <c r="B64" s="103"/>
      <c r="C64" s="25" t="s">
        <v>290</v>
      </c>
      <c r="D64" s="25"/>
    </row>
    <row r="65" spans="1:4">
      <c r="A65" s="82"/>
      <c r="B65" s="103"/>
      <c r="C65" s="25" t="s">
        <v>291</v>
      </c>
      <c r="D65" s="25"/>
    </row>
    <row r="66" spans="1:4">
      <c r="A66" s="82"/>
      <c r="B66" s="103"/>
      <c r="C66" s="25" t="s">
        <v>292</v>
      </c>
      <c r="D66" s="25"/>
    </row>
    <row r="67" spans="1:4">
      <c r="A67" s="82"/>
      <c r="B67" s="103"/>
      <c r="C67" s="25" t="s">
        <v>293</v>
      </c>
      <c r="D67" s="25"/>
    </row>
    <row r="68" spans="1:4">
      <c r="A68" s="82"/>
      <c r="B68" s="103"/>
      <c r="C68" s="25" t="s">
        <v>294</v>
      </c>
      <c r="D68" s="25"/>
    </row>
    <row r="69" spans="1:4">
      <c r="A69" s="82"/>
      <c r="B69" s="103"/>
      <c r="C69" s="25" t="s">
        <v>295</v>
      </c>
      <c r="D69" s="25"/>
    </row>
    <row r="70" spans="1:4">
      <c r="A70" s="82"/>
      <c r="B70" s="103"/>
      <c r="C70" s="25" t="s">
        <v>296</v>
      </c>
      <c r="D70" s="25"/>
    </row>
    <row r="71" spans="1:4">
      <c r="A71" s="82"/>
      <c r="B71" s="103"/>
      <c r="C71" s="25" t="s">
        <v>297</v>
      </c>
      <c r="D71" s="25"/>
    </row>
    <row r="72" spans="1:4">
      <c r="A72" s="82"/>
      <c r="B72" s="103"/>
      <c r="C72" s="25" t="s">
        <v>298</v>
      </c>
      <c r="D72" s="25"/>
    </row>
    <row r="73" spans="1:4">
      <c r="A73" s="82"/>
      <c r="B73" s="103"/>
      <c r="C73" s="25" t="s">
        <v>299</v>
      </c>
      <c r="D73" s="25"/>
    </row>
    <row r="74" spans="1:4">
      <c r="A74" s="82"/>
      <c r="B74" s="103"/>
      <c r="C74" s="25" t="s">
        <v>300</v>
      </c>
      <c r="D74" s="25"/>
    </row>
    <row r="75" spans="1:4">
      <c r="A75" s="82"/>
      <c r="B75" s="103"/>
      <c r="C75" s="25" t="s">
        <v>301</v>
      </c>
      <c r="D75" s="25"/>
    </row>
    <row r="76" spans="1:4">
      <c r="A76" s="82"/>
      <c r="B76" s="103"/>
      <c r="C76" s="25" t="s">
        <v>302</v>
      </c>
      <c r="D76" s="25"/>
    </row>
    <row r="77" spans="1:4">
      <c r="A77" s="82"/>
      <c r="B77" s="103"/>
      <c r="C77" s="25" t="s">
        <v>303</v>
      </c>
      <c r="D77" s="25"/>
    </row>
    <row r="78" spans="1:4">
      <c r="A78" s="82"/>
      <c r="B78" s="103"/>
      <c r="C78" s="25" t="s">
        <v>304</v>
      </c>
      <c r="D78" s="25"/>
    </row>
    <row r="79" spans="1:4">
      <c r="A79" s="82"/>
      <c r="B79" s="103"/>
      <c r="C79" s="25" t="s">
        <v>305</v>
      </c>
      <c r="D79" s="25"/>
    </row>
    <row r="80" spans="1:4">
      <c r="A80" s="82"/>
      <c r="B80" s="103"/>
      <c r="C80" s="25" t="s">
        <v>306</v>
      </c>
      <c r="D80" s="25"/>
    </row>
    <row r="81" spans="1:5">
      <c r="A81" s="82"/>
      <c r="B81" s="103"/>
      <c r="C81" s="25" t="s">
        <v>307</v>
      </c>
      <c r="D81" s="25"/>
    </row>
    <row r="82" spans="1:5">
      <c r="A82" s="82"/>
      <c r="B82" s="103"/>
      <c r="C82" s="25" t="s">
        <v>308</v>
      </c>
      <c r="D82" s="25"/>
    </row>
    <row r="83" spans="1:5">
      <c r="A83" s="82"/>
      <c r="B83" s="103"/>
      <c r="C83" s="25" t="s">
        <v>309</v>
      </c>
      <c r="D83" s="25"/>
    </row>
    <row r="84" spans="1:5">
      <c r="A84" s="82"/>
      <c r="B84" s="103"/>
      <c r="C84" s="25" t="s">
        <v>310</v>
      </c>
      <c r="D84" s="25"/>
    </row>
    <row r="85" spans="1:5">
      <c r="A85" s="82"/>
      <c r="B85" s="103"/>
      <c r="C85" s="25" t="s">
        <v>311</v>
      </c>
      <c r="D85" s="25"/>
    </row>
    <row r="86" spans="1:5">
      <c r="A86" s="82"/>
      <c r="B86" s="103"/>
      <c r="C86" s="25" t="s">
        <v>312</v>
      </c>
      <c r="D86" s="25"/>
    </row>
    <row r="87" spans="1:5">
      <c r="A87" s="82"/>
      <c r="B87" s="103"/>
      <c r="C87" s="25" t="s">
        <v>313</v>
      </c>
      <c r="D87" s="25"/>
    </row>
    <row r="88" spans="1:5">
      <c r="A88" s="82"/>
      <c r="B88" s="103"/>
      <c r="C88" s="25" t="s">
        <v>314</v>
      </c>
      <c r="D88" s="25"/>
    </row>
    <row r="89" spans="1:5">
      <c r="A89" s="82"/>
      <c r="B89" s="103"/>
      <c r="C89" s="25" t="s">
        <v>315</v>
      </c>
      <c r="D89" s="25"/>
    </row>
    <row r="90" spans="1:5">
      <c r="A90" s="82"/>
      <c r="B90" s="103"/>
      <c r="C90" s="25" t="s">
        <v>316</v>
      </c>
      <c r="D90" s="25"/>
    </row>
    <row r="91" spans="1:5">
      <c r="A91" s="82"/>
      <c r="B91" s="103"/>
      <c r="C91" s="25" t="s">
        <v>317</v>
      </c>
      <c r="D91" s="25"/>
    </row>
    <row r="92" spans="1:5">
      <c r="A92" s="82"/>
      <c r="B92" s="103"/>
      <c r="C92" s="25" t="s">
        <v>318</v>
      </c>
      <c r="D92" s="25"/>
    </row>
    <row r="93" spans="1:5">
      <c r="A93" s="82"/>
      <c r="B93" s="103"/>
      <c r="C93" s="25" t="s">
        <v>319</v>
      </c>
      <c r="D93" s="25"/>
    </row>
    <row r="94" spans="1:5">
      <c r="A94" s="82"/>
      <c r="B94" s="103"/>
      <c r="C94" s="25" t="s">
        <v>320</v>
      </c>
      <c r="D94" s="25" t="s">
        <v>321</v>
      </c>
      <c r="E94" t="s">
        <v>238</v>
      </c>
    </row>
    <row r="95" spans="1:5">
      <c r="A95" s="82"/>
      <c r="B95" s="103"/>
      <c r="C95" s="25" t="s">
        <v>322</v>
      </c>
      <c r="D95" s="25" t="s">
        <v>323</v>
      </c>
      <c r="E95" t="s">
        <v>238</v>
      </c>
    </row>
    <row r="96" spans="1:5">
      <c r="A96" s="82"/>
      <c r="B96" s="103"/>
      <c r="C96" s="25" t="s">
        <v>324</v>
      </c>
      <c r="D96" s="25" t="s">
        <v>323</v>
      </c>
      <c r="E96" t="s">
        <v>238</v>
      </c>
    </row>
    <row r="97" spans="1:5">
      <c r="A97" s="82"/>
      <c r="B97" s="103"/>
      <c r="C97" s="25" t="s">
        <v>325</v>
      </c>
      <c r="D97" s="25" t="s">
        <v>323</v>
      </c>
      <c r="E97" t="s">
        <v>238</v>
      </c>
    </row>
    <row r="98" spans="1:5">
      <c r="A98" s="82"/>
      <c r="B98" s="103"/>
      <c r="C98" s="25" t="s">
        <v>326</v>
      </c>
      <c r="D98" s="25" t="s">
        <v>323</v>
      </c>
      <c r="E98" t="s">
        <v>238</v>
      </c>
    </row>
    <row r="99" spans="1:5">
      <c r="A99" s="82"/>
      <c r="B99" s="103"/>
      <c r="C99" s="25" t="s">
        <v>327</v>
      </c>
      <c r="D99" s="25" t="s">
        <v>323</v>
      </c>
      <c r="E99" t="s">
        <v>238</v>
      </c>
    </row>
    <row r="100" spans="1:5">
      <c r="A100" s="82"/>
      <c r="B100" s="103"/>
      <c r="C100" s="25" t="s">
        <v>328</v>
      </c>
      <c r="D100" s="25" t="s">
        <v>323</v>
      </c>
      <c r="E100" t="s">
        <v>238</v>
      </c>
    </row>
    <row r="101" spans="1:5">
      <c r="A101" s="82"/>
      <c r="B101" s="103"/>
      <c r="C101" s="25" t="s">
        <v>329</v>
      </c>
      <c r="D101" s="25" t="s">
        <v>323</v>
      </c>
      <c r="E101" t="s">
        <v>238</v>
      </c>
    </row>
    <row r="102" spans="1:5">
      <c r="A102" s="82"/>
      <c r="B102" s="103"/>
      <c r="C102" s="25" t="s">
        <v>330</v>
      </c>
      <c r="D102" s="25" t="s">
        <v>323</v>
      </c>
      <c r="E102" t="s">
        <v>238</v>
      </c>
    </row>
    <row r="103" spans="1:5">
      <c r="A103" s="82"/>
      <c r="B103" s="103"/>
      <c r="C103" s="25" t="s">
        <v>331</v>
      </c>
      <c r="D103" s="25" t="s">
        <v>323</v>
      </c>
      <c r="E103" t="s">
        <v>238</v>
      </c>
    </row>
    <row r="104" spans="1:5">
      <c r="A104" s="77"/>
      <c r="B104" s="77" t="s">
        <v>170</v>
      </c>
      <c r="C104" s="24" t="s">
        <v>332</v>
      </c>
      <c r="D104" s="24"/>
    </row>
    <row r="105" spans="1:5">
      <c r="A105" s="78"/>
      <c r="B105" s="78"/>
      <c r="C105" s="24" t="s">
        <v>169</v>
      </c>
      <c r="D105" s="24"/>
    </row>
    <row r="106" spans="1:5">
      <c r="A106" s="78"/>
      <c r="B106" s="78"/>
      <c r="C106" s="24" t="s">
        <v>333</v>
      </c>
      <c r="D106" s="24"/>
    </row>
    <row r="107" spans="1:5">
      <c r="A107" s="78"/>
      <c r="B107" s="78"/>
      <c r="C107" s="24" t="s">
        <v>334</v>
      </c>
      <c r="D107" s="24"/>
    </row>
    <row r="108" spans="1:5">
      <c r="A108" s="78"/>
      <c r="B108" s="78"/>
      <c r="C108" s="24" t="s">
        <v>44</v>
      </c>
      <c r="D108" s="24"/>
    </row>
    <row r="109" spans="1:5">
      <c r="A109" s="78"/>
      <c r="B109" s="78"/>
      <c r="C109" s="24" t="s">
        <v>335</v>
      </c>
      <c r="D109" s="24"/>
    </row>
    <row r="110" spans="1:5">
      <c r="A110" s="79"/>
      <c r="B110" s="79"/>
      <c r="C110" s="24" t="s">
        <v>336</v>
      </c>
      <c r="D110" s="24"/>
    </row>
    <row r="111" spans="1:5">
      <c r="A111" s="82"/>
      <c r="B111" s="68" t="s">
        <v>191</v>
      </c>
      <c r="C111" s="25" t="s">
        <v>332</v>
      </c>
      <c r="D111" s="25"/>
    </row>
    <row r="112" spans="1:5">
      <c r="A112" s="82"/>
      <c r="B112" s="69"/>
      <c r="C112" s="25" t="s">
        <v>337</v>
      </c>
      <c r="D112" s="25"/>
    </row>
    <row r="113" spans="1:4">
      <c r="A113" s="82"/>
      <c r="B113" s="70"/>
      <c r="C113" s="25" t="s">
        <v>338</v>
      </c>
      <c r="D113" s="25"/>
    </row>
    <row r="114" spans="1:4">
      <c r="A114" s="95"/>
      <c r="B114" s="95" t="s">
        <v>339</v>
      </c>
      <c r="C114" s="24" t="s">
        <v>332</v>
      </c>
      <c r="D114" s="24"/>
    </row>
    <row r="115" spans="1:4">
      <c r="A115" s="95"/>
      <c r="B115" s="95"/>
      <c r="C115" s="24" t="s">
        <v>333</v>
      </c>
      <c r="D115" s="24"/>
    </row>
    <row r="116" spans="1:4">
      <c r="A116" s="95"/>
      <c r="B116" s="95"/>
      <c r="C116" s="24" t="s">
        <v>334</v>
      </c>
      <c r="D116" s="24"/>
    </row>
    <row r="117" spans="1:4">
      <c r="A117" s="95"/>
      <c r="B117" s="95"/>
      <c r="C117" s="24" t="s">
        <v>335</v>
      </c>
      <c r="D117" s="24"/>
    </row>
    <row r="118" spans="1:4">
      <c r="A118" s="81"/>
      <c r="B118" s="96" t="s">
        <v>141</v>
      </c>
      <c r="C118" s="25" t="s">
        <v>332</v>
      </c>
      <c r="D118" s="25"/>
    </row>
    <row r="119" spans="1:4">
      <c r="A119" s="12"/>
      <c r="B119" s="116"/>
      <c r="C119" s="25" t="s">
        <v>340</v>
      </c>
      <c r="D119" s="25"/>
    </row>
    <row r="120" spans="1:4">
      <c r="A120" s="12"/>
      <c r="B120" s="116"/>
      <c r="C120" s="25" t="s">
        <v>334</v>
      </c>
      <c r="D120" s="25"/>
    </row>
    <row r="121" spans="1:4">
      <c r="A121" s="12"/>
      <c r="B121" s="116"/>
      <c r="C121" s="25" t="s">
        <v>44</v>
      </c>
      <c r="D121" s="25"/>
    </row>
    <row r="122" spans="1:4">
      <c r="A122" s="12"/>
      <c r="B122" s="116"/>
      <c r="C122" s="25" t="s">
        <v>333</v>
      </c>
      <c r="D122" s="25"/>
    </row>
    <row r="123" spans="1:4">
      <c r="A123" s="12"/>
      <c r="B123" s="116"/>
      <c r="C123" s="25" t="s">
        <v>341</v>
      </c>
      <c r="D123" s="25"/>
    </row>
    <row r="124" spans="1:4">
      <c r="A124" s="12"/>
      <c r="B124" s="116"/>
      <c r="C124" s="25" t="s">
        <v>342</v>
      </c>
      <c r="D124" s="25"/>
    </row>
    <row r="125" spans="1:4">
      <c r="A125" s="12"/>
      <c r="B125" s="116"/>
      <c r="C125" s="25" t="s">
        <v>335</v>
      </c>
      <c r="D125" s="25"/>
    </row>
    <row r="126" spans="1:4">
      <c r="A126" s="82"/>
      <c r="B126" s="97"/>
      <c r="C126" s="25" t="s">
        <v>336</v>
      </c>
      <c r="D126" s="25"/>
    </row>
    <row r="127" spans="1:4">
      <c r="A127" s="77"/>
      <c r="B127" s="77" t="s">
        <v>171</v>
      </c>
      <c r="C127" s="24" t="s">
        <v>343</v>
      </c>
      <c r="D127" s="24"/>
    </row>
    <row r="128" spans="1:4">
      <c r="A128" s="78"/>
      <c r="B128" s="78"/>
      <c r="C128" s="24" t="s">
        <v>344</v>
      </c>
      <c r="D128" s="24"/>
    </row>
    <row r="129" spans="1:5">
      <c r="A129" s="78"/>
      <c r="B129" s="78"/>
      <c r="C129" s="24" t="s">
        <v>345</v>
      </c>
      <c r="D129" s="24"/>
    </row>
    <row r="130" spans="1:5">
      <c r="A130" s="78"/>
      <c r="B130" s="78"/>
      <c r="C130" s="24" t="s">
        <v>346</v>
      </c>
      <c r="D130" s="24"/>
    </row>
    <row r="131" spans="1:5">
      <c r="A131" s="78"/>
      <c r="B131" s="78"/>
      <c r="C131" s="24" t="s">
        <v>44</v>
      </c>
      <c r="D131" s="24"/>
    </row>
    <row r="132" spans="1:5">
      <c r="A132" s="82"/>
      <c r="B132" s="69" t="s">
        <v>347</v>
      </c>
      <c r="C132" s="25" t="s">
        <v>343</v>
      </c>
      <c r="D132" s="25"/>
    </row>
    <row r="133" spans="1:5">
      <c r="A133" s="82"/>
      <c r="B133" s="69"/>
      <c r="C133" s="25" t="s">
        <v>44</v>
      </c>
      <c r="D133" s="25"/>
    </row>
    <row r="134" spans="1:5">
      <c r="A134" s="83"/>
      <c r="B134" s="70"/>
      <c r="C134" s="25" t="s">
        <v>336</v>
      </c>
      <c r="D134" s="25"/>
    </row>
    <row r="135" spans="1:5">
      <c r="A135" s="84"/>
      <c r="B135" s="84" t="s">
        <v>348</v>
      </c>
      <c r="C135" s="24" t="s">
        <v>349</v>
      </c>
      <c r="D135" s="24"/>
    </row>
    <row r="136" spans="1:5">
      <c r="A136" s="85"/>
      <c r="B136" s="85"/>
      <c r="C136" s="24" t="s">
        <v>350</v>
      </c>
      <c r="D136" s="24"/>
      <c r="E136" t="s">
        <v>238</v>
      </c>
    </row>
    <row r="137" spans="1:5">
      <c r="A137" s="85"/>
      <c r="B137" s="85"/>
      <c r="C137" s="24" t="s">
        <v>351</v>
      </c>
      <c r="D137" s="24" t="s">
        <v>352</v>
      </c>
    </row>
    <row r="138" spans="1:5">
      <c r="A138" s="85"/>
      <c r="B138" s="85"/>
      <c r="C138" s="24" t="s">
        <v>353</v>
      </c>
      <c r="D138" s="24" t="s">
        <v>354</v>
      </c>
    </row>
    <row r="139" spans="1:5">
      <c r="A139" s="85"/>
      <c r="B139" s="85"/>
      <c r="C139" s="24" t="s">
        <v>355</v>
      </c>
      <c r="D139" s="24"/>
    </row>
    <row r="140" spans="1:5">
      <c r="A140" s="85"/>
      <c r="B140" s="85"/>
      <c r="C140" s="24" t="s">
        <v>356</v>
      </c>
      <c r="D140" s="24"/>
    </row>
    <row r="141" spans="1:5">
      <c r="A141" s="85"/>
      <c r="B141" s="85"/>
      <c r="C141" s="24" t="s">
        <v>357</v>
      </c>
      <c r="D141" s="24"/>
    </row>
    <row r="142" spans="1:5">
      <c r="A142" s="85"/>
      <c r="B142" s="85"/>
      <c r="C142" s="24" t="s">
        <v>358</v>
      </c>
      <c r="D142" s="24"/>
    </row>
    <row r="143" spans="1:5">
      <c r="A143" s="85"/>
      <c r="B143" s="85"/>
      <c r="C143" s="24" t="s">
        <v>359</v>
      </c>
      <c r="D143" s="24"/>
    </row>
    <row r="144" spans="1:5">
      <c r="A144" s="85"/>
      <c r="B144" s="85"/>
      <c r="C144" s="24" t="s">
        <v>360</v>
      </c>
      <c r="D144" s="24"/>
    </row>
    <row r="145" spans="1:4">
      <c r="A145" s="85"/>
      <c r="B145" s="85"/>
      <c r="C145" s="24" t="s">
        <v>336</v>
      </c>
      <c r="D145" s="24"/>
    </row>
    <row r="146" spans="1:4">
      <c r="A146" s="81"/>
      <c r="B146" s="74" t="s">
        <v>361</v>
      </c>
      <c r="C146" s="25" t="s">
        <v>362</v>
      </c>
      <c r="D146" s="25"/>
    </row>
    <row r="147" spans="1:4">
      <c r="A147" s="83"/>
      <c r="B147" s="76"/>
      <c r="C147" s="25" t="s">
        <v>159</v>
      </c>
      <c r="D147" s="25"/>
    </row>
    <row r="148" spans="1:4">
      <c r="A148" s="63"/>
      <c r="B148" s="115" t="s">
        <v>8</v>
      </c>
      <c r="C148" s="24" t="s">
        <v>49</v>
      </c>
      <c r="D148" s="24" t="s">
        <v>363</v>
      </c>
    </row>
    <row r="149" spans="1:4">
      <c r="A149" s="64"/>
      <c r="B149" s="64"/>
      <c r="C149" s="24" t="s">
        <v>364</v>
      </c>
      <c r="D149" s="24" t="s">
        <v>365</v>
      </c>
    </row>
    <row r="150" spans="1:4">
      <c r="A150" s="64"/>
      <c r="B150" s="64"/>
      <c r="C150" s="24" t="s">
        <v>366</v>
      </c>
      <c r="D150" s="24" t="s">
        <v>367</v>
      </c>
    </row>
    <row r="151" spans="1:4">
      <c r="A151" s="64"/>
      <c r="B151" s="64"/>
      <c r="C151" s="24" t="s">
        <v>368</v>
      </c>
      <c r="D151" s="24" t="s">
        <v>369</v>
      </c>
    </row>
    <row r="152" spans="1:4">
      <c r="A152" s="64"/>
      <c r="B152" s="64"/>
      <c r="C152" s="24" t="s">
        <v>370</v>
      </c>
      <c r="D152" s="24" t="s">
        <v>371</v>
      </c>
    </row>
    <row r="153" spans="1:4">
      <c r="A153" s="64"/>
      <c r="B153" s="64"/>
      <c r="C153" s="24" t="s">
        <v>372</v>
      </c>
      <c r="D153" s="24" t="s">
        <v>373</v>
      </c>
    </row>
    <row r="154" spans="1:4">
      <c r="A154" s="64"/>
      <c r="B154" s="64"/>
      <c r="C154" s="24" t="s">
        <v>374</v>
      </c>
      <c r="D154" s="24" t="s">
        <v>375</v>
      </c>
    </row>
    <row r="155" spans="1:4">
      <c r="A155" s="64"/>
      <c r="B155" s="64"/>
      <c r="C155" s="24" t="s">
        <v>376</v>
      </c>
      <c r="D155" s="24" t="s">
        <v>377</v>
      </c>
    </row>
    <row r="156" spans="1:4">
      <c r="A156" s="64"/>
      <c r="B156" s="64"/>
      <c r="C156" s="24" t="s">
        <v>378</v>
      </c>
      <c r="D156" s="24" t="s">
        <v>379</v>
      </c>
    </row>
    <row r="157" spans="1:4">
      <c r="A157" s="64"/>
      <c r="B157" s="64"/>
      <c r="C157" s="24" t="s">
        <v>380</v>
      </c>
      <c r="D157" s="24" t="s">
        <v>381</v>
      </c>
    </row>
    <row r="158" spans="1:4">
      <c r="A158" s="64"/>
      <c r="B158" s="64"/>
      <c r="C158" s="24" t="s">
        <v>382</v>
      </c>
      <c r="D158" s="24" t="s">
        <v>383</v>
      </c>
    </row>
    <row r="159" spans="1:4">
      <c r="A159" s="64"/>
      <c r="B159" s="64"/>
      <c r="C159" s="24" t="s">
        <v>384</v>
      </c>
      <c r="D159" s="24" t="s">
        <v>385</v>
      </c>
    </row>
    <row r="160" spans="1:4">
      <c r="A160" s="64"/>
      <c r="B160" s="64"/>
      <c r="C160" s="24" t="s">
        <v>386</v>
      </c>
      <c r="D160" s="24" t="s">
        <v>387</v>
      </c>
    </row>
    <row r="161" spans="1:4">
      <c r="A161" s="64"/>
      <c r="B161" s="64"/>
      <c r="C161" s="24" t="s">
        <v>388</v>
      </c>
      <c r="D161" s="24" t="s">
        <v>389</v>
      </c>
    </row>
    <row r="162" spans="1:4">
      <c r="A162" s="64"/>
      <c r="B162" s="64"/>
      <c r="C162" s="24" t="s">
        <v>390</v>
      </c>
      <c r="D162" s="24" t="s">
        <v>391</v>
      </c>
    </row>
    <row r="163" spans="1:4">
      <c r="A163" s="64"/>
      <c r="B163" s="64"/>
      <c r="C163" s="24" t="s">
        <v>392</v>
      </c>
      <c r="D163" s="24" t="s">
        <v>393</v>
      </c>
    </row>
    <row r="164" spans="1:4">
      <c r="A164" s="64"/>
      <c r="B164" s="64"/>
      <c r="C164" s="24" t="s">
        <v>394</v>
      </c>
      <c r="D164" s="24" t="s">
        <v>395</v>
      </c>
    </row>
    <row r="165" spans="1:4">
      <c r="A165" s="64"/>
      <c r="B165" s="64"/>
      <c r="C165" s="24" t="s">
        <v>396</v>
      </c>
      <c r="D165" s="24" t="s">
        <v>397</v>
      </c>
    </row>
    <row r="166" spans="1:4">
      <c r="A166" s="64"/>
      <c r="B166" s="64"/>
      <c r="C166" s="24" t="s">
        <v>398</v>
      </c>
      <c r="D166" s="24" t="s">
        <v>399</v>
      </c>
    </row>
    <row r="167" spans="1:4">
      <c r="A167" s="64"/>
      <c r="B167" s="64"/>
      <c r="C167" s="24" t="s">
        <v>400</v>
      </c>
      <c r="D167" s="24" t="s">
        <v>401</v>
      </c>
    </row>
    <row r="168" spans="1:4">
      <c r="A168" s="64"/>
      <c r="B168" s="64"/>
      <c r="C168" s="24" t="s">
        <v>32</v>
      </c>
      <c r="D168" s="24" t="s">
        <v>402</v>
      </c>
    </row>
    <row r="169" spans="1:4">
      <c r="A169" s="64"/>
      <c r="B169" s="64"/>
      <c r="C169" s="24" t="s">
        <v>403</v>
      </c>
      <c r="D169" s="24" t="s">
        <v>404</v>
      </c>
    </row>
    <row r="170" spans="1:4">
      <c r="A170" s="64"/>
      <c r="B170" s="64"/>
      <c r="C170" s="24" t="s">
        <v>405</v>
      </c>
      <c r="D170" s="24" t="s">
        <v>406</v>
      </c>
    </row>
    <row r="171" spans="1:4">
      <c r="A171" s="64"/>
      <c r="B171" s="64"/>
      <c r="C171" s="24" t="s">
        <v>407</v>
      </c>
      <c r="D171" s="24" t="s">
        <v>408</v>
      </c>
    </row>
    <row r="172" spans="1:4">
      <c r="A172" s="64"/>
      <c r="B172" s="64"/>
      <c r="C172" s="24" t="s">
        <v>409</v>
      </c>
      <c r="D172" s="24" t="s">
        <v>410</v>
      </c>
    </row>
    <row r="173" spans="1:4">
      <c r="A173" s="64"/>
      <c r="B173" s="64"/>
      <c r="C173" s="24" t="s">
        <v>411</v>
      </c>
      <c r="D173" s="24" t="s">
        <v>412</v>
      </c>
    </row>
    <row r="174" spans="1:4">
      <c r="A174" s="64"/>
      <c r="B174" s="64"/>
      <c r="C174" s="24" t="s">
        <v>413</v>
      </c>
      <c r="D174" s="24" t="s">
        <v>414</v>
      </c>
    </row>
    <row r="175" spans="1:4">
      <c r="A175" s="64"/>
      <c r="B175" s="64"/>
      <c r="C175" s="24" t="s">
        <v>415</v>
      </c>
      <c r="D175" s="24" t="s">
        <v>416</v>
      </c>
    </row>
    <row r="176" spans="1:4">
      <c r="A176" s="64"/>
      <c r="B176" s="64"/>
      <c r="C176" s="24" t="s">
        <v>417</v>
      </c>
      <c r="D176" s="24" t="s">
        <v>418</v>
      </c>
    </row>
    <row r="177" spans="1:5">
      <c r="A177" s="64"/>
      <c r="B177" s="64"/>
      <c r="C177" s="24" t="s">
        <v>419</v>
      </c>
      <c r="D177" s="24" t="s">
        <v>420</v>
      </c>
    </row>
    <row r="178" spans="1:5">
      <c r="A178" s="64"/>
      <c r="B178" s="64"/>
      <c r="C178" s="24" t="s">
        <v>421</v>
      </c>
      <c r="D178" s="24" t="s">
        <v>422</v>
      </c>
    </row>
    <row r="179" spans="1:5">
      <c r="A179" s="64"/>
      <c r="B179" s="64"/>
      <c r="C179" s="24" t="s">
        <v>423</v>
      </c>
      <c r="D179" s="24" t="s">
        <v>424</v>
      </c>
    </row>
    <row r="180" spans="1:5">
      <c r="A180" s="64"/>
      <c r="B180" s="64"/>
      <c r="C180" s="24" t="s">
        <v>425</v>
      </c>
      <c r="D180" s="24" t="s">
        <v>426</v>
      </c>
      <c r="E180" t="s">
        <v>238</v>
      </c>
    </row>
    <row r="181" spans="1:5">
      <c r="A181" s="64"/>
      <c r="B181" s="64"/>
      <c r="C181" s="24" t="s">
        <v>336</v>
      </c>
      <c r="D181" s="24" t="s">
        <v>336</v>
      </c>
    </row>
    <row r="182" spans="1:5">
      <c r="A182" s="81"/>
      <c r="B182" s="74" t="s">
        <v>427</v>
      </c>
      <c r="C182" s="56" t="s">
        <v>428</v>
      </c>
      <c r="D182" s="56"/>
    </row>
    <row r="183" spans="1:5">
      <c r="A183" s="82"/>
      <c r="B183" s="75"/>
      <c r="C183" s="56" t="s">
        <v>429</v>
      </c>
      <c r="D183" s="56"/>
    </row>
    <row r="184" spans="1:5">
      <c r="A184" s="82"/>
      <c r="B184" s="75"/>
      <c r="C184" s="56" t="s">
        <v>430</v>
      </c>
      <c r="D184" s="56"/>
    </row>
    <row r="185" spans="1:5">
      <c r="A185" s="83"/>
      <c r="B185" s="76"/>
      <c r="C185" s="57" t="s">
        <v>431</v>
      </c>
      <c r="D185" s="57"/>
    </row>
    <row r="186" spans="1:5">
      <c r="A186" s="77"/>
      <c r="B186" s="77" t="s">
        <v>432</v>
      </c>
      <c r="C186" s="55" t="s">
        <v>433</v>
      </c>
      <c r="D186" s="55"/>
    </row>
    <row r="187" spans="1:5">
      <c r="A187" s="78"/>
      <c r="B187" s="78"/>
      <c r="C187" s="55" t="s">
        <v>434</v>
      </c>
      <c r="D187" s="55"/>
    </row>
    <row r="188" spans="1:5">
      <c r="A188" s="81"/>
      <c r="B188" s="74" t="s">
        <v>10</v>
      </c>
      <c r="C188" s="57" t="s">
        <v>435</v>
      </c>
      <c r="D188" s="57" t="s">
        <v>436</v>
      </c>
    </row>
    <row r="189" spans="1:5">
      <c r="A189" s="82"/>
      <c r="B189" s="75"/>
      <c r="C189" s="57" t="s">
        <v>128</v>
      </c>
      <c r="D189" s="57" t="s">
        <v>437</v>
      </c>
    </row>
    <row r="190" spans="1:5">
      <c r="A190" s="82"/>
      <c r="B190" s="75"/>
      <c r="C190" s="57" t="s">
        <v>44</v>
      </c>
      <c r="D190" s="57" t="s">
        <v>44</v>
      </c>
    </row>
    <row r="191" spans="1:5">
      <c r="A191" s="82"/>
      <c r="B191" s="75"/>
      <c r="C191" s="57" t="s">
        <v>438</v>
      </c>
      <c r="D191" s="57" t="s">
        <v>439</v>
      </c>
    </row>
    <row r="192" spans="1:5">
      <c r="A192" s="82"/>
      <c r="B192" s="75"/>
      <c r="C192" s="57" t="s">
        <v>440</v>
      </c>
      <c r="D192" s="57" t="s">
        <v>441</v>
      </c>
    </row>
    <row r="193" spans="1:4">
      <c r="A193" s="82"/>
      <c r="B193" s="75"/>
      <c r="C193" s="57" t="s">
        <v>442</v>
      </c>
      <c r="D193" s="57" t="s">
        <v>443</v>
      </c>
    </row>
    <row r="194" spans="1:4">
      <c r="A194" s="82"/>
      <c r="B194" s="75"/>
      <c r="C194" s="57" t="s">
        <v>444</v>
      </c>
      <c r="D194" s="57" t="s">
        <v>445</v>
      </c>
    </row>
    <row r="195" spans="1:4">
      <c r="A195" s="82"/>
      <c r="B195" s="75"/>
      <c r="C195" s="57" t="s">
        <v>446</v>
      </c>
      <c r="D195" s="57" t="s">
        <v>447</v>
      </c>
    </row>
    <row r="196" spans="1:4">
      <c r="A196" s="82"/>
      <c r="B196" s="75"/>
      <c r="C196" s="57" t="s">
        <v>448</v>
      </c>
      <c r="D196" s="57" t="s">
        <v>449</v>
      </c>
    </row>
    <row r="197" spans="1:4">
      <c r="A197" s="82"/>
      <c r="B197" s="75"/>
      <c r="C197" s="57" t="s">
        <v>450</v>
      </c>
      <c r="D197" s="57" t="s">
        <v>451</v>
      </c>
    </row>
    <row r="198" spans="1:4">
      <c r="A198" s="82"/>
      <c r="B198" s="75"/>
      <c r="C198" s="57" t="s">
        <v>34</v>
      </c>
      <c r="D198" s="57" t="s">
        <v>452</v>
      </c>
    </row>
    <row r="199" spans="1:4">
      <c r="A199" s="82"/>
      <c r="B199" s="75"/>
      <c r="C199" s="57" t="s">
        <v>453</v>
      </c>
      <c r="D199" s="57" t="s">
        <v>454</v>
      </c>
    </row>
    <row r="200" spans="1:4">
      <c r="A200" s="82"/>
      <c r="B200" s="75"/>
      <c r="C200" s="57" t="s">
        <v>336</v>
      </c>
      <c r="D200" s="57" t="s">
        <v>336</v>
      </c>
    </row>
    <row r="201" spans="1:4">
      <c r="A201" s="83"/>
      <c r="B201" s="76"/>
      <c r="C201" s="57" t="s">
        <v>431</v>
      </c>
      <c r="D201" s="57" t="s">
        <v>455</v>
      </c>
    </row>
    <row r="202" spans="1:4">
      <c r="A202" s="115"/>
      <c r="B202" s="115" t="s">
        <v>172</v>
      </c>
      <c r="C202" s="24" t="s">
        <v>456</v>
      </c>
      <c r="D202" s="24"/>
    </row>
    <row r="203" spans="1:4">
      <c r="A203" s="64"/>
      <c r="B203" s="64"/>
      <c r="C203" s="24" t="s">
        <v>457</v>
      </c>
      <c r="D203" s="24"/>
    </row>
    <row r="204" spans="1:4">
      <c r="A204" s="64"/>
      <c r="B204" s="64"/>
      <c r="C204" s="24" t="s">
        <v>458</v>
      </c>
      <c r="D204" s="24"/>
    </row>
    <row r="205" spans="1:4">
      <c r="A205" s="64"/>
      <c r="B205" s="64"/>
      <c r="C205" s="24" t="s">
        <v>459</v>
      </c>
      <c r="D205" s="24"/>
    </row>
    <row r="206" spans="1:4">
      <c r="A206" s="64"/>
      <c r="B206" s="64"/>
      <c r="C206" s="24" t="s">
        <v>460</v>
      </c>
      <c r="D206" s="24"/>
    </row>
    <row r="207" spans="1:4">
      <c r="A207" s="64"/>
      <c r="B207" s="64"/>
      <c r="C207" s="24" t="s">
        <v>461</v>
      </c>
      <c r="D207" s="24"/>
    </row>
    <row r="208" spans="1:4">
      <c r="A208" s="64"/>
      <c r="B208" s="64"/>
      <c r="C208" s="24" t="s">
        <v>462</v>
      </c>
      <c r="D208" s="24"/>
    </row>
    <row r="209" spans="1:5">
      <c r="A209" s="64"/>
      <c r="B209" s="64"/>
      <c r="C209" s="24" t="s">
        <v>463</v>
      </c>
      <c r="D209" s="24"/>
    </row>
    <row r="210" spans="1:5">
      <c r="A210" s="64"/>
      <c r="B210" s="64"/>
      <c r="C210" s="24" t="s">
        <v>464</v>
      </c>
      <c r="D210" s="24"/>
    </row>
    <row r="211" spans="1:5">
      <c r="A211" s="64"/>
      <c r="B211" s="64"/>
      <c r="C211" s="24" t="s">
        <v>465</v>
      </c>
      <c r="D211" s="24"/>
    </row>
    <row r="212" spans="1:5">
      <c r="A212" s="64"/>
      <c r="B212" s="64"/>
      <c r="C212" s="24" t="s">
        <v>466</v>
      </c>
      <c r="D212" s="24"/>
    </row>
    <row r="213" spans="1:5">
      <c r="A213" s="64"/>
      <c r="B213" s="64"/>
      <c r="C213" s="24" t="s">
        <v>467</v>
      </c>
      <c r="D213" s="24"/>
    </row>
    <row r="214" spans="1:5">
      <c r="A214" s="64"/>
      <c r="B214" s="64"/>
      <c r="C214" s="24" t="s">
        <v>468</v>
      </c>
      <c r="D214" s="24"/>
    </row>
    <row r="215" spans="1:5">
      <c r="A215" s="64"/>
      <c r="B215" s="64"/>
      <c r="C215" s="24" t="s">
        <v>469</v>
      </c>
      <c r="D215" s="24"/>
    </row>
    <row r="216" spans="1:5">
      <c r="A216" s="64"/>
      <c r="B216" s="64"/>
      <c r="C216" s="24" t="s">
        <v>470</v>
      </c>
      <c r="D216" s="24"/>
    </row>
    <row r="217" spans="1:5">
      <c r="A217" s="64"/>
      <c r="B217" s="64"/>
      <c r="C217" s="24" t="s">
        <v>471</v>
      </c>
      <c r="D217" s="24"/>
    </row>
    <row r="218" spans="1:5">
      <c r="A218" s="64"/>
      <c r="B218" s="64"/>
      <c r="C218" s="24" t="s">
        <v>472</v>
      </c>
      <c r="D218" s="24" t="s">
        <v>473</v>
      </c>
      <c r="E218" t="s">
        <v>238</v>
      </c>
    </row>
    <row r="219" spans="1:5">
      <c r="A219" s="64"/>
      <c r="B219" s="64"/>
      <c r="C219" s="24" t="s">
        <v>474</v>
      </c>
      <c r="D219" s="24"/>
    </row>
    <row r="220" spans="1:5">
      <c r="A220" s="64"/>
      <c r="B220" s="64"/>
      <c r="C220" s="24" t="s">
        <v>475</v>
      </c>
      <c r="D220" s="24"/>
    </row>
    <row r="221" spans="1:5">
      <c r="A221" s="64"/>
      <c r="B221" s="64"/>
      <c r="C221" s="24" t="s">
        <v>476</v>
      </c>
      <c r="D221" s="24"/>
    </row>
    <row r="222" spans="1:5">
      <c r="A222" s="64"/>
      <c r="B222" s="64"/>
      <c r="C222" s="24" t="s">
        <v>477</v>
      </c>
      <c r="D222" s="24"/>
    </row>
    <row r="223" spans="1:5">
      <c r="A223" s="64"/>
      <c r="B223" s="64"/>
      <c r="C223" s="24" t="s">
        <v>478</v>
      </c>
      <c r="D223" s="24"/>
    </row>
    <row r="224" spans="1:5">
      <c r="A224" s="64"/>
      <c r="B224" s="64"/>
      <c r="C224" s="24" t="s">
        <v>479</v>
      </c>
      <c r="D224" s="24"/>
    </row>
    <row r="225" spans="1:4">
      <c r="A225" s="64"/>
      <c r="B225" s="64"/>
      <c r="C225" s="24" t="s">
        <v>480</v>
      </c>
      <c r="D225" s="24"/>
    </row>
    <row r="226" spans="1:4">
      <c r="A226" s="64"/>
      <c r="B226" s="64"/>
      <c r="C226" s="24" t="s">
        <v>481</v>
      </c>
      <c r="D226" s="24"/>
    </row>
    <row r="227" spans="1:4">
      <c r="A227" s="64"/>
      <c r="B227" s="64"/>
      <c r="C227" s="24" t="s">
        <v>482</v>
      </c>
      <c r="D227" s="24"/>
    </row>
    <row r="228" spans="1:4">
      <c r="A228" s="64"/>
      <c r="B228" s="64"/>
      <c r="C228" s="24" t="s">
        <v>483</v>
      </c>
      <c r="D228" s="24"/>
    </row>
    <row r="229" spans="1:4">
      <c r="A229" s="64"/>
      <c r="B229" s="64"/>
      <c r="C229" s="24" t="s">
        <v>484</v>
      </c>
      <c r="D229" s="24"/>
    </row>
    <row r="230" spans="1:4">
      <c r="A230" s="64"/>
      <c r="B230" s="64"/>
      <c r="C230" s="24" t="s">
        <v>485</v>
      </c>
      <c r="D230" s="24"/>
    </row>
    <row r="231" spans="1:4">
      <c r="A231" s="64"/>
      <c r="B231" s="64"/>
      <c r="C231" s="24" t="s">
        <v>486</v>
      </c>
      <c r="D231" s="24"/>
    </row>
    <row r="232" spans="1:4">
      <c r="A232" s="64"/>
      <c r="B232" s="64"/>
      <c r="C232" s="24" t="s">
        <v>487</v>
      </c>
      <c r="D232" s="24"/>
    </row>
    <row r="233" spans="1:4">
      <c r="A233" s="64"/>
      <c r="B233" s="64"/>
      <c r="C233" s="24" t="s">
        <v>488</v>
      </c>
      <c r="D233" s="24"/>
    </row>
    <row r="234" spans="1:4">
      <c r="A234" s="64"/>
      <c r="B234" s="64"/>
      <c r="C234" s="24" t="s">
        <v>489</v>
      </c>
      <c r="D234" s="24"/>
    </row>
    <row r="235" spans="1:4">
      <c r="A235" s="64"/>
      <c r="B235" s="64"/>
      <c r="C235" s="24" t="s">
        <v>490</v>
      </c>
      <c r="D235" s="24"/>
    </row>
    <row r="236" spans="1:4">
      <c r="A236" s="64"/>
      <c r="B236" s="64"/>
      <c r="C236" s="24" t="s">
        <v>491</v>
      </c>
      <c r="D236" s="24"/>
    </row>
    <row r="237" spans="1:4">
      <c r="A237" s="64"/>
      <c r="B237" s="64"/>
      <c r="C237" s="24" t="s">
        <v>492</v>
      </c>
      <c r="D237" s="24"/>
    </row>
    <row r="238" spans="1:4">
      <c r="A238" s="64"/>
      <c r="B238" s="64"/>
      <c r="C238" s="24" t="s">
        <v>493</v>
      </c>
      <c r="D238" s="24"/>
    </row>
    <row r="239" spans="1:4">
      <c r="A239" s="64"/>
      <c r="B239" s="64"/>
      <c r="C239" s="24" t="s">
        <v>494</v>
      </c>
      <c r="D239" s="24"/>
    </row>
    <row r="240" spans="1:4">
      <c r="A240" s="64"/>
      <c r="B240" s="64"/>
      <c r="C240" s="24" t="s">
        <v>495</v>
      </c>
      <c r="D240" s="24"/>
    </row>
    <row r="241" spans="1:4">
      <c r="A241" s="64"/>
      <c r="B241" s="64"/>
      <c r="C241" s="24" t="s">
        <v>496</v>
      </c>
      <c r="D241" s="24"/>
    </row>
    <row r="242" spans="1:4">
      <c r="A242" s="64"/>
      <c r="B242" s="64"/>
      <c r="C242" s="24" t="s">
        <v>497</v>
      </c>
      <c r="D242" s="24"/>
    </row>
    <row r="243" spans="1:4">
      <c r="A243" s="64"/>
      <c r="B243" s="64"/>
      <c r="C243" s="24" t="s">
        <v>498</v>
      </c>
      <c r="D243" s="24"/>
    </row>
    <row r="244" spans="1:4">
      <c r="A244" s="64"/>
      <c r="B244" s="64"/>
      <c r="C244" s="24" t="s">
        <v>499</v>
      </c>
      <c r="D244" s="24"/>
    </row>
    <row r="245" spans="1:4">
      <c r="A245" s="64"/>
      <c r="B245" s="64"/>
      <c r="C245" s="24" t="s">
        <v>500</v>
      </c>
      <c r="D245" s="24"/>
    </row>
    <row r="246" spans="1:4">
      <c r="A246" s="64"/>
      <c r="B246" s="64"/>
      <c r="C246" s="24" t="s">
        <v>501</v>
      </c>
      <c r="D246" s="24"/>
    </row>
    <row r="247" spans="1:4">
      <c r="A247" s="64"/>
      <c r="B247" s="64"/>
      <c r="C247" s="24" t="s">
        <v>502</v>
      </c>
      <c r="D247" s="24"/>
    </row>
    <row r="248" spans="1:4">
      <c r="A248" s="64"/>
      <c r="B248" s="64"/>
      <c r="C248" s="24" t="s">
        <v>503</v>
      </c>
      <c r="D248" s="24"/>
    </row>
    <row r="249" spans="1:4">
      <c r="A249" s="64"/>
      <c r="B249" s="64"/>
      <c r="C249" s="24" t="s">
        <v>504</v>
      </c>
      <c r="D249" s="24"/>
    </row>
    <row r="250" spans="1:4">
      <c r="A250" s="64"/>
      <c r="B250" s="64"/>
      <c r="C250" s="24" t="s">
        <v>505</v>
      </c>
      <c r="D250" s="24"/>
    </row>
    <row r="251" spans="1:4">
      <c r="A251" s="64"/>
      <c r="B251" s="64"/>
      <c r="C251" s="24" t="s">
        <v>506</v>
      </c>
      <c r="D251" s="24"/>
    </row>
    <row r="252" spans="1:4">
      <c r="A252" s="64"/>
      <c r="B252" s="64"/>
      <c r="C252" s="24" t="s">
        <v>336</v>
      </c>
      <c r="D252" s="24"/>
    </row>
    <row r="253" spans="1:4">
      <c r="A253" s="64"/>
      <c r="B253" s="64"/>
      <c r="C253" s="24" t="s">
        <v>507</v>
      </c>
      <c r="D253" s="24"/>
    </row>
    <row r="254" spans="1:4">
      <c r="A254" s="64"/>
      <c r="B254" s="64"/>
      <c r="C254" s="24" t="s">
        <v>508</v>
      </c>
      <c r="D254" s="24"/>
    </row>
    <row r="255" spans="1:4">
      <c r="A255" s="64"/>
      <c r="B255" s="64"/>
      <c r="C255" s="24" t="s">
        <v>509</v>
      </c>
      <c r="D255" s="24"/>
    </row>
    <row r="256" spans="1:4">
      <c r="A256" s="64"/>
      <c r="B256" s="64"/>
      <c r="C256" s="24" t="s">
        <v>510</v>
      </c>
      <c r="D256" s="24"/>
    </row>
    <row r="257" spans="1:5">
      <c r="A257" s="64"/>
      <c r="B257" s="64"/>
      <c r="C257" s="24" t="s">
        <v>511</v>
      </c>
      <c r="D257" s="24"/>
    </row>
    <row r="258" spans="1:5">
      <c r="A258" s="64"/>
      <c r="B258" s="64"/>
      <c r="C258" s="24" t="s">
        <v>512</v>
      </c>
      <c r="D258" s="24"/>
    </row>
    <row r="259" spans="1:5">
      <c r="A259" s="64"/>
      <c r="B259" s="64"/>
      <c r="C259" s="24" t="s">
        <v>513</v>
      </c>
      <c r="D259" s="24"/>
    </row>
    <row r="260" spans="1:5">
      <c r="A260" s="64"/>
      <c r="B260" s="64"/>
      <c r="C260" s="24" t="s">
        <v>514</v>
      </c>
      <c r="D260" s="24"/>
    </row>
    <row r="261" spans="1:5">
      <c r="A261" s="64"/>
      <c r="B261" s="64"/>
      <c r="C261" s="24" t="s">
        <v>515</v>
      </c>
      <c r="D261" s="24"/>
    </row>
    <row r="262" spans="1:5">
      <c r="A262" s="64"/>
      <c r="B262" s="64"/>
      <c r="C262" s="24" t="s">
        <v>516</v>
      </c>
      <c r="D262" s="24"/>
    </row>
    <row r="263" spans="1:5">
      <c r="A263" s="64"/>
      <c r="B263" s="64"/>
      <c r="C263" s="24" t="s">
        <v>517</v>
      </c>
      <c r="D263" s="24"/>
    </row>
    <row r="264" spans="1:5">
      <c r="A264" s="64"/>
      <c r="B264" s="64"/>
      <c r="C264" s="24" t="s">
        <v>518</v>
      </c>
      <c r="D264" s="24"/>
    </row>
    <row r="265" spans="1:5">
      <c r="A265" s="64"/>
      <c r="B265" s="64"/>
      <c r="C265" s="24" t="s">
        <v>519</v>
      </c>
      <c r="D265" s="24"/>
    </row>
    <row r="266" spans="1:5">
      <c r="A266" s="64"/>
      <c r="B266" s="64"/>
      <c r="C266" s="24" t="s">
        <v>520</v>
      </c>
      <c r="D266" s="24"/>
    </row>
    <row r="267" spans="1:5">
      <c r="A267" s="64"/>
      <c r="B267" s="64"/>
      <c r="C267" s="24" t="s">
        <v>521</v>
      </c>
      <c r="D267" s="24"/>
    </row>
    <row r="268" spans="1:5">
      <c r="A268" s="64"/>
      <c r="B268" s="64"/>
      <c r="C268" s="24" t="s">
        <v>522</v>
      </c>
      <c r="D268" s="24"/>
    </row>
    <row r="269" spans="1:5">
      <c r="A269" s="64"/>
      <c r="B269" s="64"/>
      <c r="C269" s="24" t="s">
        <v>523</v>
      </c>
      <c r="D269" s="24"/>
    </row>
    <row r="270" spans="1:5">
      <c r="A270" s="64"/>
      <c r="B270" s="64"/>
      <c r="C270" s="24" t="s">
        <v>524</v>
      </c>
      <c r="D270" s="24" t="s">
        <v>525</v>
      </c>
      <c r="E270" t="s">
        <v>238</v>
      </c>
    </row>
    <row r="271" spans="1:5">
      <c r="A271" s="64"/>
      <c r="B271" s="64"/>
      <c r="C271" s="24" t="s">
        <v>526</v>
      </c>
      <c r="D271" s="24" t="s">
        <v>527</v>
      </c>
      <c r="E271" t="s">
        <v>238</v>
      </c>
    </row>
    <row r="272" spans="1:5">
      <c r="A272" s="64"/>
      <c r="B272" s="64"/>
      <c r="C272" s="24" t="s">
        <v>528</v>
      </c>
      <c r="D272" s="24" t="s">
        <v>529</v>
      </c>
      <c r="E272" t="s">
        <v>238</v>
      </c>
    </row>
    <row r="273" spans="1:5">
      <c r="A273" s="64"/>
      <c r="B273" s="64"/>
      <c r="C273" s="24" t="s">
        <v>530</v>
      </c>
      <c r="D273" s="24"/>
    </row>
    <row r="274" spans="1:5">
      <c r="A274" s="64"/>
      <c r="B274" s="64"/>
      <c r="C274" s="24" t="s">
        <v>531</v>
      </c>
      <c r="D274" s="24" t="s">
        <v>532</v>
      </c>
      <c r="E274" t="s">
        <v>238</v>
      </c>
    </row>
    <row r="275" spans="1:5">
      <c r="A275" s="64"/>
      <c r="B275" s="64"/>
      <c r="C275" s="24" t="s">
        <v>533</v>
      </c>
      <c r="D275" s="24"/>
    </row>
    <row r="276" spans="1:5">
      <c r="A276" s="64"/>
      <c r="B276" s="64"/>
      <c r="C276" s="24" t="s">
        <v>534</v>
      </c>
      <c r="D276" s="24"/>
    </row>
    <row r="277" spans="1:5">
      <c r="A277" s="64"/>
      <c r="B277" s="64"/>
      <c r="C277" s="24" t="s">
        <v>535</v>
      </c>
      <c r="D277" s="24"/>
    </row>
    <row r="278" spans="1:5">
      <c r="A278" s="64"/>
      <c r="B278" s="64"/>
      <c r="C278" s="24" t="s">
        <v>536</v>
      </c>
      <c r="D278" s="24"/>
    </row>
    <row r="279" spans="1:5">
      <c r="A279" s="64"/>
      <c r="B279" s="64"/>
      <c r="C279" s="24" t="s">
        <v>537</v>
      </c>
      <c r="D279" s="24"/>
    </row>
    <row r="280" spans="1:5">
      <c r="A280" s="64"/>
      <c r="B280" s="64"/>
      <c r="C280" s="24" t="s">
        <v>538</v>
      </c>
      <c r="D280" s="24"/>
    </row>
    <row r="281" spans="1:5">
      <c r="A281" s="64"/>
      <c r="B281" s="64"/>
      <c r="C281" s="24" t="s">
        <v>539</v>
      </c>
      <c r="D281" s="24"/>
    </row>
    <row r="282" spans="1:5">
      <c r="A282" s="64"/>
      <c r="B282" s="64"/>
      <c r="C282" s="24" t="s">
        <v>540</v>
      </c>
      <c r="D282" s="24" t="s">
        <v>541</v>
      </c>
      <c r="E282" t="s">
        <v>238</v>
      </c>
    </row>
    <row r="283" spans="1:5">
      <c r="A283" s="64"/>
      <c r="B283" s="64"/>
      <c r="C283" s="24" t="s">
        <v>542</v>
      </c>
      <c r="D283" s="24"/>
    </row>
    <row r="284" spans="1:5">
      <c r="A284" s="64"/>
      <c r="B284" s="64"/>
      <c r="C284" s="24" t="s">
        <v>543</v>
      </c>
      <c r="D284" s="24" t="s">
        <v>544</v>
      </c>
      <c r="E284" t="s">
        <v>238</v>
      </c>
    </row>
    <row r="285" spans="1:5">
      <c r="A285" s="64"/>
      <c r="B285" s="64"/>
      <c r="C285" s="24" t="s">
        <v>545</v>
      </c>
      <c r="D285" s="24"/>
    </row>
    <row r="286" spans="1:5">
      <c r="A286" s="64"/>
      <c r="B286" s="64"/>
      <c r="C286" s="24" t="s">
        <v>546</v>
      </c>
      <c r="D286" s="24"/>
    </row>
    <row r="287" spans="1:5">
      <c r="A287" s="64"/>
      <c r="B287" s="64"/>
      <c r="C287" s="24" t="s">
        <v>547</v>
      </c>
      <c r="D287" s="24"/>
    </row>
    <row r="288" spans="1:5">
      <c r="A288" s="64"/>
      <c r="B288" s="64"/>
      <c r="C288" s="24" t="s">
        <v>548</v>
      </c>
      <c r="D288" s="24"/>
    </row>
    <row r="289" spans="1:5">
      <c r="A289" s="64"/>
      <c r="B289" s="64"/>
      <c r="C289" s="24" t="s">
        <v>549</v>
      </c>
      <c r="D289" s="24" t="s">
        <v>550</v>
      </c>
      <c r="E289" t="s">
        <v>238</v>
      </c>
    </row>
    <row r="290" spans="1:5">
      <c r="A290" s="64"/>
      <c r="B290" s="64"/>
      <c r="C290" s="24" t="s">
        <v>551</v>
      </c>
      <c r="D290" s="24"/>
    </row>
    <row r="291" spans="1:5">
      <c r="A291" s="64"/>
      <c r="B291" s="64"/>
      <c r="C291" s="24" t="s">
        <v>552</v>
      </c>
      <c r="D291" s="24"/>
    </row>
    <row r="292" spans="1:5">
      <c r="A292" s="64"/>
      <c r="B292" s="64"/>
      <c r="C292" s="24" t="s">
        <v>553</v>
      </c>
      <c r="D292" s="24"/>
    </row>
    <row r="293" spans="1:5">
      <c r="A293" s="64"/>
      <c r="B293" s="64"/>
      <c r="C293" s="24" t="s">
        <v>554</v>
      </c>
      <c r="D293" s="24"/>
    </row>
    <row r="294" spans="1:5">
      <c r="A294" s="64"/>
      <c r="B294" s="64"/>
      <c r="C294" s="24" t="s">
        <v>555</v>
      </c>
      <c r="D294" s="24"/>
    </row>
    <row r="295" spans="1:5">
      <c r="A295" s="64"/>
      <c r="B295" s="64"/>
      <c r="C295" s="24" t="s">
        <v>556</v>
      </c>
      <c r="D295" s="24"/>
    </row>
    <row r="296" spans="1:5">
      <c r="A296" s="64"/>
      <c r="B296" s="64"/>
      <c r="C296" s="24" t="s">
        <v>557</v>
      </c>
      <c r="D296" s="24"/>
    </row>
    <row r="297" spans="1:5">
      <c r="A297" s="64"/>
      <c r="B297" s="64"/>
      <c r="C297" s="24" t="s">
        <v>558</v>
      </c>
      <c r="D297" s="24" t="s">
        <v>559</v>
      </c>
      <c r="E297" t="s">
        <v>238</v>
      </c>
    </row>
    <row r="298" spans="1:5">
      <c r="A298" s="64"/>
      <c r="B298" s="64"/>
      <c r="C298" s="24" t="s">
        <v>560</v>
      </c>
      <c r="D298" s="24"/>
    </row>
    <row r="299" spans="1:5">
      <c r="A299" s="64"/>
      <c r="B299" s="64"/>
      <c r="C299" s="24" t="s">
        <v>561</v>
      </c>
      <c r="D299" s="24"/>
    </row>
    <row r="300" spans="1:5">
      <c r="A300" s="64"/>
      <c r="B300" s="64"/>
      <c r="C300" s="134" t="s">
        <v>562</v>
      </c>
      <c r="D300" s="24"/>
      <c r="E300" t="s">
        <v>238</v>
      </c>
    </row>
    <row r="301" spans="1:5">
      <c r="A301" s="64"/>
      <c r="B301" s="64"/>
      <c r="C301" s="24" t="s">
        <v>563</v>
      </c>
      <c r="D301" s="24"/>
    </row>
    <row r="302" spans="1:5">
      <c r="A302" s="64"/>
      <c r="B302" s="64"/>
      <c r="C302" s="24" t="s">
        <v>564</v>
      </c>
      <c r="D302" s="24"/>
    </row>
    <row r="303" spans="1:5">
      <c r="A303" s="64"/>
      <c r="B303" s="64"/>
      <c r="C303" s="24" t="s">
        <v>565</v>
      </c>
      <c r="D303" s="24"/>
    </row>
    <row r="304" spans="1:5">
      <c r="A304" s="64"/>
      <c r="B304" s="64"/>
      <c r="C304" s="24" t="s">
        <v>566</v>
      </c>
      <c r="D304" s="24"/>
    </row>
    <row r="305" spans="1:5">
      <c r="A305" s="64"/>
      <c r="B305" s="64"/>
      <c r="C305" s="24" t="s">
        <v>567</v>
      </c>
      <c r="D305" s="24"/>
    </row>
    <row r="306" spans="1:5">
      <c r="A306" s="64"/>
      <c r="B306" s="64"/>
      <c r="C306" s="24" t="s">
        <v>568</v>
      </c>
      <c r="D306" s="24"/>
    </row>
    <row r="307" spans="1:5">
      <c r="A307" s="64"/>
      <c r="B307" s="64"/>
      <c r="C307" s="24" t="s">
        <v>569</v>
      </c>
      <c r="D307" s="24"/>
    </row>
    <row r="308" spans="1:5">
      <c r="A308" s="64"/>
      <c r="B308" s="64"/>
      <c r="C308" s="24" t="s">
        <v>570</v>
      </c>
      <c r="D308" s="24"/>
    </row>
    <row r="309" spans="1:5">
      <c r="A309" s="64"/>
      <c r="B309" s="64"/>
      <c r="C309" s="24" t="s">
        <v>571</v>
      </c>
      <c r="D309" s="24"/>
    </row>
    <row r="310" spans="1:5">
      <c r="A310" s="64"/>
      <c r="B310" s="64"/>
      <c r="C310" s="134" t="s">
        <v>572</v>
      </c>
      <c r="D310" s="24"/>
      <c r="E310" t="s">
        <v>238</v>
      </c>
    </row>
    <row r="311" spans="1:5">
      <c r="A311" s="64"/>
      <c r="B311" s="64"/>
      <c r="C311" s="134" t="s">
        <v>573</v>
      </c>
      <c r="D311" s="24"/>
      <c r="E311" t="s">
        <v>238</v>
      </c>
    </row>
    <row r="312" spans="1:5">
      <c r="A312" s="64"/>
      <c r="B312" s="64"/>
      <c r="C312" s="134" t="s">
        <v>574</v>
      </c>
      <c r="D312" s="24"/>
      <c r="E312" t="s">
        <v>238</v>
      </c>
    </row>
    <row r="313" spans="1:5">
      <c r="A313" s="64"/>
      <c r="B313" s="64"/>
      <c r="C313" s="24" t="s">
        <v>575</v>
      </c>
      <c r="D313" s="24"/>
    </row>
    <row r="314" spans="1:5">
      <c r="A314" s="64"/>
      <c r="B314" s="64"/>
      <c r="C314" s="24" t="s">
        <v>576</v>
      </c>
      <c r="D314" s="24"/>
    </row>
    <row r="315" spans="1:5">
      <c r="A315" s="64"/>
      <c r="B315" s="64"/>
      <c r="C315" s="24" t="s">
        <v>577</v>
      </c>
      <c r="D315" s="24"/>
    </row>
    <row r="316" spans="1:5">
      <c r="A316" s="64"/>
      <c r="B316" s="64"/>
      <c r="C316" s="24" t="s">
        <v>578</v>
      </c>
      <c r="D316" s="24"/>
    </row>
    <row r="317" spans="1:5">
      <c r="A317" s="64"/>
      <c r="B317" s="64"/>
      <c r="C317" s="24" t="s">
        <v>579</v>
      </c>
      <c r="D317" s="24"/>
    </row>
    <row r="318" spans="1:5">
      <c r="A318" s="64"/>
      <c r="B318" s="64"/>
      <c r="C318" s="24" t="s">
        <v>580</v>
      </c>
      <c r="D318" s="129" t="s">
        <v>581</v>
      </c>
      <c r="E318" t="s">
        <v>238</v>
      </c>
    </row>
    <row r="319" spans="1:5">
      <c r="A319" s="64"/>
      <c r="B319" s="64"/>
      <c r="C319" s="24" t="s">
        <v>582</v>
      </c>
      <c r="D319" s="24"/>
    </row>
    <row r="320" spans="1:5">
      <c r="A320" s="64"/>
      <c r="B320" s="64"/>
      <c r="C320" s="24" t="s">
        <v>583</v>
      </c>
      <c r="D320" s="24"/>
    </row>
    <row r="321" spans="1:5">
      <c r="A321" s="64"/>
      <c r="B321" s="64"/>
      <c r="C321" s="24" t="s">
        <v>584</v>
      </c>
      <c r="D321" s="24"/>
    </row>
    <row r="322" spans="1:5">
      <c r="A322" s="64"/>
      <c r="B322" s="64"/>
      <c r="C322" s="24" t="s">
        <v>585</v>
      </c>
      <c r="D322" s="24"/>
    </row>
    <row r="323" spans="1:5">
      <c r="A323" s="64"/>
      <c r="B323" s="64"/>
      <c r="C323" s="24" t="s">
        <v>586</v>
      </c>
      <c r="D323" s="24"/>
    </row>
    <row r="324" spans="1:5">
      <c r="A324" s="64"/>
      <c r="B324" s="64"/>
      <c r="C324" s="24" t="s">
        <v>587</v>
      </c>
      <c r="D324" s="24"/>
    </row>
    <row r="325" spans="1:5">
      <c r="A325" s="64"/>
      <c r="B325" s="64"/>
      <c r="C325" s="24" t="s">
        <v>588</v>
      </c>
      <c r="D325" s="24"/>
    </row>
    <row r="326" spans="1:5">
      <c r="A326" s="64"/>
      <c r="B326" s="64"/>
      <c r="C326" s="24" t="s">
        <v>589</v>
      </c>
      <c r="D326" s="24"/>
    </row>
    <row r="327" spans="1:5">
      <c r="A327" s="64"/>
      <c r="B327" s="64"/>
      <c r="C327" s="24" t="s">
        <v>590</v>
      </c>
      <c r="D327" s="24"/>
    </row>
    <row r="328" spans="1:5">
      <c r="A328" s="81"/>
      <c r="B328" s="71" t="s">
        <v>591</v>
      </c>
      <c r="C328" s="57" t="s">
        <v>592</v>
      </c>
      <c r="D328" s="57"/>
      <c r="E328" t="s">
        <v>238</v>
      </c>
    </row>
    <row r="329" spans="1:5">
      <c r="A329" s="82"/>
      <c r="B329" s="72"/>
      <c r="C329" s="57" t="s">
        <v>593</v>
      </c>
      <c r="D329" s="57"/>
      <c r="E329" t="s">
        <v>238</v>
      </c>
    </row>
    <row r="330" spans="1:5">
      <c r="A330" s="82"/>
      <c r="B330" s="72"/>
      <c r="C330" s="131" t="s">
        <v>594</v>
      </c>
      <c r="D330" s="57"/>
      <c r="E330" t="s">
        <v>238</v>
      </c>
    </row>
    <row r="331" spans="1:5">
      <c r="A331" s="82"/>
      <c r="B331" s="72"/>
      <c r="C331" s="130" t="s">
        <v>595</v>
      </c>
      <c r="D331" s="57"/>
      <c r="E331" t="s">
        <v>238</v>
      </c>
    </row>
    <row r="332" spans="1:5">
      <c r="A332" s="82"/>
      <c r="B332" s="72"/>
      <c r="C332" s="130" t="s">
        <v>596</v>
      </c>
      <c r="D332" s="57"/>
      <c r="E332" t="s">
        <v>238</v>
      </c>
    </row>
    <row r="333" spans="1:5">
      <c r="A333" s="82"/>
      <c r="B333" s="72"/>
      <c r="C333" s="130" t="s">
        <v>597</v>
      </c>
      <c r="D333" s="57"/>
      <c r="E333" t="s">
        <v>238</v>
      </c>
    </row>
    <row r="334" spans="1:5">
      <c r="A334" s="82"/>
      <c r="B334" s="72"/>
      <c r="C334" s="130" t="s">
        <v>598</v>
      </c>
      <c r="D334" s="57"/>
      <c r="E334" t="s">
        <v>238</v>
      </c>
    </row>
    <row r="335" spans="1:5">
      <c r="A335" s="82"/>
      <c r="B335" s="72"/>
      <c r="C335" s="57" t="s">
        <v>599</v>
      </c>
      <c r="D335" s="57"/>
      <c r="E335" t="s">
        <v>238</v>
      </c>
    </row>
    <row r="336" spans="1:5">
      <c r="A336" s="82"/>
      <c r="B336" s="72"/>
      <c r="C336" s="57" t="s">
        <v>600</v>
      </c>
      <c r="D336" s="57"/>
      <c r="E336" t="s">
        <v>238</v>
      </c>
    </row>
    <row r="337" spans="1:5">
      <c r="A337" s="82"/>
      <c r="B337" s="72"/>
      <c r="C337" s="57" t="s">
        <v>601</v>
      </c>
      <c r="D337" s="57"/>
      <c r="E337" t="s">
        <v>238</v>
      </c>
    </row>
    <row r="338" spans="1:5">
      <c r="A338" s="82"/>
      <c r="B338" s="72"/>
      <c r="C338" s="57" t="s">
        <v>602</v>
      </c>
      <c r="D338" s="57"/>
      <c r="E338" t="s">
        <v>238</v>
      </c>
    </row>
    <row r="339" spans="1:5">
      <c r="A339" s="82"/>
      <c r="B339" s="72"/>
      <c r="C339" s="57" t="s">
        <v>603</v>
      </c>
      <c r="D339" s="57"/>
      <c r="E339" t="s">
        <v>238</v>
      </c>
    </row>
    <row r="340" spans="1:5">
      <c r="A340" s="82"/>
      <c r="B340" s="72"/>
      <c r="C340" s="57" t="s">
        <v>604</v>
      </c>
      <c r="D340" s="57"/>
      <c r="E340" t="s">
        <v>238</v>
      </c>
    </row>
    <row r="341" spans="1:5">
      <c r="A341" s="82"/>
      <c r="B341" s="72"/>
      <c r="C341" s="57" t="s">
        <v>605</v>
      </c>
      <c r="D341" s="57"/>
      <c r="E341" t="s">
        <v>238</v>
      </c>
    </row>
    <row r="342" spans="1:5">
      <c r="A342" s="82"/>
      <c r="B342" s="72"/>
      <c r="C342" s="57" t="s">
        <v>606</v>
      </c>
      <c r="D342" s="57"/>
      <c r="E342" t="s">
        <v>238</v>
      </c>
    </row>
    <row r="343" spans="1:5">
      <c r="A343" s="82"/>
      <c r="B343" s="72"/>
      <c r="C343" s="57" t="s">
        <v>607</v>
      </c>
      <c r="D343" s="57"/>
      <c r="E343" t="s">
        <v>238</v>
      </c>
    </row>
    <row r="344" spans="1:5">
      <c r="A344" s="82"/>
      <c r="B344" s="72"/>
      <c r="C344" s="57" t="s">
        <v>608</v>
      </c>
      <c r="D344" s="57"/>
      <c r="E344" t="s">
        <v>238</v>
      </c>
    </row>
    <row r="345" spans="1:5">
      <c r="A345" s="82"/>
      <c r="B345" s="72"/>
      <c r="C345" s="57" t="s">
        <v>609</v>
      </c>
      <c r="D345" s="57"/>
      <c r="E345" t="s">
        <v>238</v>
      </c>
    </row>
    <row r="346" spans="1:5">
      <c r="A346" s="82"/>
      <c r="B346" s="72"/>
      <c r="C346" s="57" t="s">
        <v>610</v>
      </c>
      <c r="D346" s="57"/>
      <c r="E346" t="s">
        <v>238</v>
      </c>
    </row>
    <row r="347" spans="1:5">
      <c r="A347" s="82"/>
      <c r="B347" s="72"/>
      <c r="C347" s="57" t="s">
        <v>611</v>
      </c>
      <c r="D347" s="57"/>
      <c r="E347" t="s">
        <v>238</v>
      </c>
    </row>
    <row r="348" spans="1:5">
      <c r="A348" s="82"/>
      <c r="B348" s="72"/>
      <c r="C348" s="57" t="s">
        <v>612</v>
      </c>
      <c r="D348" s="57"/>
      <c r="E348" t="s">
        <v>238</v>
      </c>
    </row>
    <row r="349" spans="1:5">
      <c r="A349" s="82"/>
      <c r="B349" s="72"/>
      <c r="C349" s="57" t="s">
        <v>613</v>
      </c>
      <c r="D349" s="57"/>
      <c r="E349" t="s">
        <v>238</v>
      </c>
    </row>
    <row r="350" spans="1:5">
      <c r="A350" s="82"/>
      <c r="B350" s="72"/>
      <c r="C350" s="57" t="s">
        <v>614</v>
      </c>
      <c r="D350" s="57"/>
      <c r="E350" t="s">
        <v>238</v>
      </c>
    </row>
    <row r="351" spans="1:5">
      <c r="A351" s="82"/>
      <c r="B351" s="72"/>
      <c r="C351" s="57" t="s">
        <v>615</v>
      </c>
      <c r="D351" s="57"/>
      <c r="E351" t="s">
        <v>238</v>
      </c>
    </row>
    <row r="352" spans="1:5">
      <c r="A352" s="82"/>
      <c r="B352" s="72"/>
      <c r="C352" s="57" t="s">
        <v>616</v>
      </c>
      <c r="D352" s="57"/>
      <c r="E352" t="s">
        <v>238</v>
      </c>
    </row>
    <row r="353" spans="1:5">
      <c r="A353" s="82"/>
      <c r="B353" s="72"/>
      <c r="C353" s="57" t="s">
        <v>617</v>
      </c>
      <c r="D353" s="57"/>
      <c r="E353" t="s">
        <v>238</v>
      </c>
    </row>
    <row r="354" spans="1:5">
      <c r="A354" s="82"/>
      <c r="B354" s="72"/>
      <c r="C354" s="57" t="s">
        <v>618</v>
      </c>
      <c r="D354" s="57"/>
      <c r="E354" t="s">
        <v>238</v>
      </c>
    </row>
    <row r="355" spans="1:5">
      <c r="A355" s="82"/>
      <c r="B355" s="72"/>
      <c r="C355" s="57" t="s">
        <v>619</v>
      </c>
      <c r="D355" s="57"/>
      <c r="E355" t="s">
        <v>238</v>
      </c>
    </row>
    <row r="356" spans="1:5">
      <c r="A356" s="82"/>
      <c r="B356" s="72"/>
      <c r="C356" s="57" t="s">
        <v>620</v>
      </c>
      <c r="D356" s="57"/>
      <c r="E356" t="s">
        <v>238</v>
      </c>
    </row>
    <row r="357" spans="1:5">
      <c r="A357" s="82"/>
      <c r="B357" s="72"/>
      <c r="C357" s="57" t="s">
        <v>621</v>
      </c>
      <c r="D357" s="57"/>
      <c r="E357" t="s">
        <v>238</v>
      </c>
    </row>
    <row r="358" spans="1:5">
      <c r="A358" s="82"/>
      <c r="B358" s="72"/>
      <c r="C358" s="57" t="s">
        <v>622</v>
      </c>
      <c r="D358" s="57"/>
      <c r="E358" t="s">
        <v>238</v>
      </c>
    </row>
    <row r="359" spans="1:5">
      <c r="A359" s="82"/>
      <c r="B359" s="72"/>
      <c r="C359" s="57" t="s">
        <v>623</v>
      </c>
      <c r="D359" s="57"/>
      <c r="E359" t="s">
        <v>238</v>
      </c>
    </row>
    <row r="360" spans="1:5">
      <c r="A360" s="82"/>
      <c r="B360" s="72"/>
      <c r="C360" s="57" t="s">
        <v>624</v>
      </c>
      <c r="D360" s="57"/>
      <c r="E360" t="s">
        <v>238</v>
      </c>
    </row>
    <row r="361" spans="1:5">
      <c r="A361" s="82"/>
      <c r="B361" s="72"/>
      <c r="C361" s="57" t="s">
        <v>625</v>
      </c>
      <c r="D361" s="57"/>
      <c r="E361" t="s">
        <v>238</v>
      </c>
    </row>
    <row r="362" spans="1:5">
      <c r="A362" s="82"/>
      <c r="B362" s="72"/>
      <c r="C362" s="57" t="s">
        <v>626</v>
      </c>
      <c r="D362" s="57"/>
      <c r="E362" t="s">
        <v>238</v>
      </c>
    </row>
    <row r="363" spans="1:5">
      <c r="A363" s="82"/>
      <c r="B363" s="72"/>
      <c r="C363" s="57" t="s">
        <v>627</v>
      </c>
      <c r="D363" s="57"/>
      <c r="E363" t="s">
        <v>238</v>
      </c>
    </row>
    <row r="364" spans="1:5">
      <c r="A364" s="82"/>
      <c r="B364" s="72"/>
      <c r="C364" s="57" t="s">
        <v>628</v>
      </c>
      <c r="D364" s="57"/>
      <c r="E364" t="s">
        <v>238</v>
      </c>
    </row>
    <row r="365" spans="1:5">
      <c r="A365" s="82"/>
      <c r="B365" s="72"/>
      <c r="C365" s="57" t="s">
        <v>629</v>
      </c>
      <c r="D365" s="57"/>
      <c r="E365" t="s">
        <v>238</v>
      </c>
    </row>
    <row r="366" spans="1:5">
      <c r="A366" s="82"/>
      <c r="B366" s="72"/>
      <c r="C366" s="57" t="s">
        <v>630</v>
      </c>
      <c r="D366" s="57"/>
      <c r="E366" t="s">
        <v>238</v>
      </c>
    </row>
    <row r="367" spans="1:5">
      <c r="A367" s="82"/>
      <c r="B367" s="72"/>
      <c r="C367" s="57" t="s">
        <v>631</v>
      </c>
      <c r="D367" s="57"/>
      <c r="E367" t="s">
        <v>238</v>
      </c>
    </row>
    <row r="368" spans="1:5">
      <c r="A368" s="82"/>
      <c r="B368" s="72"/>
      <c r="C368" s="57" t="s">
        <v>632</v>
      </c>
      <c r="D368" s="57"/>
      <c r="E368" t="s">
        <v>238</v>
      </c>
    </row>
    <row r="369" spans="1:5">
      <c r="A369" s="82"/>
      <c r="B369" s="72"/>
      <c r="C369" s="57" t="s">
        <v>633</v>
      </c>
      <c r="D369" s="57"/>
      <c r="E369" t="s">
        <v>238</v>
      </c>
    </row>
    <row r="370" spans="1:5">
      <c r="A370" s="82"/>
      <c r="B370" s="72"/>
      <c r="C370" s="57" t="s">
        <v>634</v>
      </c>
      <c r="D370" s="57"/>
      <c r="E370" t="s">
        <v>238</v>
      </c>
    </row>
    <row r="371" spans="1:5">
      <c r="A371" s="82"/>
      <c r="B371" s="72"/>
      <c r="C371" s="57" t="s">
        <v>635</v>
      </c>
      <c r="D371" s="57"/>
      <c r="E371" t="s">
        <v>238</v>
      </c>
    </row>
    <row r="372" spans="1:5">
      <c r="A372" s="82"/>
      <c r="B372" s="72"/>
      <c r="C372" s="57" t="s">
        <v>636</v>
      </c>
      <c r="D372" s="57"/>
      <c r="E372" t="s">
        <v>238</v>
      </c>
    </row>
    <row r="373" spans="1:5">
      <c r="A373" s="82"/>
      <c r="B373" s="72"/>
      <c r="C373" s="57" t="s">
        <v>637</v>
      </c>
      <c r="D373" s="57"/>
      <c r="E373" t="s">
        <v>238</v>
      </c>
    </row>
    <row r="374" spans="1:5">
      <c r="A374" s="82"/>
      <c r="B374" s="72"/>
      <c r="C374" s="57" t="s">
        <v>638</v>
      </c>
      <c r="D374" s="57"/>
      <c r="E374" t="s">
        <v>238</v>
      </c>
    </row>
    <row r="375" spans="1:5">
      <c r="A375" s="82"/>
      <c r="B375" s="72"/>
      <c r="C375" s="57" t="s">
        <v>639</v>
      </c>
      <c r="D375" s="57"/>
      <c r="E375" t="s">
        <v>238</v>
      </c>
    </row>
    <row r="376" spans="1:5">
      <c r="A376" s="82"/>
      <c r="B376" s="72"/>
      <c r="C376" s="57" t="s">
        <v>640</v>
      </c>
      <c r="D376" s="57"/>
      <c r="E376" t="s">
        <v>238</v>
      </c>
    </row>
    <row r="377" spans="1:5">
      <c r="A377" s="82"/>
      <c r="B377" s="72"/>
      <c r="C377" s="57" t="s">
        <v>641</v>
      </c>
      <c r="D377" s="57"/>
      <c r="E377" t="s">
        <v>238</v>
      </c>
    </row>
    <row r="378" spans="1:5">
      <c r="A378" s="82"/>
      <c r="B378" s="72"/>
      <c r="C378" s="57" t="s">
        <v>642</v>
      </c>
      <c r="D378" s="57"/>
      <c r="E378" t="s">
        <v>238</v>
      </c>
    </row>
    <row r="379" spans="1:5">
      <c r="A379" s="82"/>
      <c r="B379" s="72"/>
      <c r="C379" s="57" t="s">
        <v>643</v>
      </c>
      <c r="D379" s="57"/>
      <c r="E379" t="s">
        <v>238</v>
      </c>
    </row>
    <row r="380" spans="1:5">
      <c r="A380" s="82"/>
      <c r="B380" s="72"/>
      <c r="C380" s="57" t="s">
        <v>644</v>
      </c>
      <c r="D380" s="57"/>
      <c r="E380" t="s">
        <v>238</v>
      </c>
    </row>
    <row r="381" spans="1:5">
      <c r="A381" s="82"/>
      <c r="B381" s="72"/>
      <c r="C381" s="57" t="s">
        <v>645</v>
      </c>
      <c r="D381" s="57"/>
      <c r="E381" t="s">
        <v>238</v>
      </c>
    </row>
    <row r="382" spans="1:5">
      <c r="A382" s="82"/>
      <c r="B382" s="72"/>
      <c r="C382" s="57" t="s">
        <v>646</v>
      </c>
      <c r="D382" s="57"/>
      <c r="E382" t="s">
        <v>238</v>
      </c>
    </row>
    <row r="383" spans="1:5">
      <c r="A383" s="82"/>
      <c r="B383" s="72"/>
      <c r="C383" s="57" t="s">
        <v>647</v>
      </c>
      <c r="D383" s="57"/>
      <c r="E383" t="s">
        <v>238</v>
      </c>
    </row>
    <row r="384" spans="1:5">
      <c r="A384" s="82"/>
      <c r="B384" s="72"/>
      <c r="C384" s="57" t="s">
        <v>648</v>
      </c>
      <c r="D384" s="57"/>
      <c r="E384" t="s">
        <v>238</v>
      </c>
    </row>
    <row r="385" spans="1:5">
      <c r="A385" s="82"/>
      <c r="B385" s="72"/>
      <c r="C385" s="57" t="s">
        <v>649</v>
      </c>
      <c r="D385" s="57"/>
      <c r="E385" t="s">
        <v>238</v>
      </c>
    </row>
    <row r="386" spans="1:5">
      <c r="A386" s="82"/>
      <c r="B386" s="72"/>
      <c r="C386" s="57" t="s">
        <v>650</v>
      </c>
      <c r="D386" s="57"/>
      <c r="E386" t="s">
        <v>238</v>
      </c>
    </row>
    <row r="387" spans="1:5">
      <c r="A387" s="82"/>
      <c r="B387" s="72"/>
      <c r="C387" s="57" t="s">
        <v>651</v>
      </c>
      <c r="D387" s="57"/>
      <c r="E387" t="s">
        <v>238</v>
      </c>
    </row>
    <row r="388" spans="1:5">
      <c r="A388" s="82"/>
      <c r="B388" s="72"/>
      <c r="C388" s="57" t="s">
        <v>652</v>
      </c>
      <c r="D388" s="57"/>
      <c r="E388" t="s">
        <v>238</v>
      </c>
    </row>
    <row r="389" spans="1:5">
      <c r="A389" s="82"/>
      <c r="B389" s="72"/>
      <c r="C389" s="57" t="s">
        <v>653</v>
      </c>
      <c r="D389" s="57"/>
      <c r="E389" t="s">
        <v>238</v>
      </c>
    </row>
    <row r="390" spans="1:5">
      <c r="A390" s="82"/>
      <c r="B390" s="72"/>
      <c r="C390" s="57" t="s">
        <v>654</v>
      </c>
      <c r="D390" s="57"/>
      <c r="E390" t="s">
        <v>238</v>
      </c>
    </row>
    <row r="391" spans="1:5">
      <c r="A391" s="82"/>
      <c r="B391" s="72"/>
      <c r="C391" s="57" t="s">
        <v>655</v>
      </c>
      <c r="D391" s="57"/>
      <c r="E391" t="s">
        <v>238</v>
      </c>
    </row>
    <row r="392" spans="1:5">
      <c r="A392" s="82"/>
      <c r="B392" s="72"/>
      <c r="C392" s="57" t="s">
        <v>656</v>
      </c>
      <c r="D392" s="57"/>
      <c r="E392" t="s">
        <v>238</v>
      </c>
    </row>
    <row r="393" spans="1:5">
      <c r="A393" s="82"/>
      <c r="B393" s="72"/>
      <c r="C393" s="57" t="s">
        <v>657</v>
      </c>
      <c r="D393" s="57"/>
      <c r="E393" t="s">
        <v>238</v>
      </c>
    </row>
    <row r="394" spans="1:5">
      <c r="A394" s="82"/>
      <c r="B394" s="72"/>
      <c r="C394" s="57" t="s">
        <v>658</v>
      </c>
      <c r="D394" s="57"/>
      <c r="E394" t="s">
        <v>238</v>
      </c>
    </row>
    <row r="395" spans="1:5">
      <c r="A395" s="82"/>
      <c r="B395" s="72"/>
      <c r="C395" s="57" t="s">
        <v>659</v>
      </c>
      <c r="D395" s="57"/>
      <c r="E395" t="s">
        <v>238</v>
      </c>
    </row>
    <row r="396" spans="1:5">
      <c r="A396" s="82"/>
      <c r="B396" s="72"/>
      <c r="C396" s="57" t="s">
        <v>660</v>
      </c>
      <c r="D396" s="57"/>
      <c r="E396" t="s">
        <v>238</v>
      </c>
    </row>
    <row r="397" spans="1:5">
      <c r="A397" s="82"/>
      <c r="B397" s="72"/>
      <c r="C397" s="57" t="s">
        <v>661</v>
      </c>
      <c r="D397" s="57"/>
      <c r="E397" t="s">
        <v>238</v>
      </c>
    </row>
    <row r="398" spans="1:5">
      <c r="A398" s="82"/>
      <c r="B398" s="72"/>
      <c r="C398" s="57" t="s">
        <v>662</v>
      </c>
      <c r="D398" s="57"/>
      <c r="E398" t="s">
        <v>238</v>
      </c>
    </row>
    <row r="399" spans="1:5">
      <c r="A399" s="82"/>
      <c r="B399" s="72"/>
      <c r="C399" s="57" t="s">
        <v>663</v>
      </c>
      <c r="D399" s="57"/>
      <c r="E399" t="s">
        <v>238</v>
      </c>
    </row>
    <row r="400" spans="1:5">
      <c r="A400" s="82"/>
      <c r="B400" s="72"/>
      <c r="C400" s="57" t="s">
        <v>664</v>
      </c>
      <c r="D400" s="57"/>
      <c r="E400" t="s">
        <v>238</v>
      </c>
    </row>
    <row r="401" spans="1:5">
      <c r="A401" s="82"/>
      <c r="B401" s="72"/>
      <c r="C401" s="57" t="s">
        <v>665</v>
      </c>
      <c r="D401" s="57"/>
      <c r="E401" t="s">
        <v>238</v>
      </c>
    </row>
    <row r="402" spans="1:5">
      <c r="A402" s="82"/>
      <c r="B402" s="72"/>
      <c r="C402" s="57" t="s">
        <v>666</v>
      </c>
      <c r="D402" s="57"/>
      <c r="E402" t="s">
        <v>238</v>
      </c>
    </row>
    <row r="403" spans="1:5">
      <c r="A403" s="82"/>
      <c r="B403" s="72"/>
      <c r="C403" s="57" t="s">
        <v>667</v>
      </c>
      <c r="D403" s="57"/>
      <c r="E403" t="s">
        <v>238</v>
      </c>
    </row>
    <row r="404" spans="1:5">
      <c r="A404" s="82"/>
      <c r="B404" s="72"/>
      <c r="C404" s="57" t="s">
        <v>668</v>
      </c>
      <c r="D404" s="57"/>
      <c r="E404" t="s">
        <v>238</v>
      </c>
    </row>
    <row r="405" spans="1:5">
      <c r="A405" s="82"/>
      <c r="B405" s="72"/>
      <c r="C405" s="57" t="s">
        <v>669</v>
      </c>
      <c r="D405" s="57"/>
      <c r="E405" t="s">
        <v>238</v>
      </c>
    </row>
    <row r="406" spans="1:5">
      <c r="A406" s="82"/>
      <c r="B406" s="72"/>
      <c r="C406" s="57" t="s">
        <v>670</v>
      </c>
      <c r="D406" s="57"/>
      <c r="E406" t="s">
        <v>238</v>
      </c>
    </row>
    <row r="407" spans="1:5">
      <c r="A407" s="82"/>
      <c r="B407" s="72"/>
      <c r="C407" s="57" t="s">
        <v>671</v>
      </c>
      <c r="D407" s="57"/>
      <c r="E407" t="s">
        <v>238</v>
      </c>
    </row>
    <row r="408" spans="1:5">
      <c r="A408" s="82"/>
      <c r="B408" s="72"/>
      <c r="C408" s="57" t="s">
        <v>672</v>
      </c>
      <c r="D408" s="57"/>
      <c r="E408" t="s">
        <v>238</v>
      </c>
    </row>
    <row r="409" spans="1:5">
      <c r="A409" s="82"/>
      <c r="B409" s="72"/>
      <c r="C409" s="57" t="s">
        <v>673</v>
      </c>
      <c r="D409" s="57"/>
      <c r="E409" t="s">
        <v>238</v>
      </c>
    </row>
    <row r="410" spans="1:5">
      <c r="A410" s="82"/>
      <c r="B410" s="72"/>
      <c r="C410" s="57" t="s">
        <v>674</v>
      </c>
      <c r="D410" s="57"/>
      <c r="E410" t="s">
        <v>238</v>
      </c>
    </row>
    <row r="411" spans="1:5">
      <c r="A411" s="82"/>
      <c r="B411" s="72"/>
      <c r="C411" s="57" t="s">
        <v>675</v>
      </c>
      <c r="D411" s="57"/>
      <c r="E411" t="s">
        <v>238</v>
      </c>
    </row>
    <row r="412" spans="1:5">
      <c r="A412" s="82"/>
      <c r="B412" s="72"/>
      <c r="C412" s="57" t="s">
        <v>676</v>
      </c>
      <c r="D412" s="57"/>
      <c r="E412" t="s">
        <v>238</v>
      </c>
    </row>
    <row r="413" spans="1:5">
      <c r="A413" s="82"/>
      <c r="B413" s="72"/>
      <c r="C413" s="57" t="s">
        <v>677</v>
      </c>
      <c r="D413" s="57"/>
      <c r="E413" t="s">
        <v>238</v>
      </c>
    </row>
    <row r="414" spans="1:5">
      <c r="A414" s="82"/>
      <c r="B414" s="72"/>
      <c r="C414" s="57" t="s">
        <v>678</v>
      </c>
      <c r="D414" s="57"/>
      <c r="E414" t="s">
        <v>238</v>
      </c>
    </row>
    <row r="415" spans="1:5">
      <c r="A415" s="82"/>
      <c r="B415" s="72"/>
      <c r="C415" s="57" t="s">
        <v>679</v>
      </c>
      <c r="D415" s="57"/>
      <c r="E415" t="s">
        <v>238</v>
      </c>
    </row>
    <row r="416" spans="1:5">
      <c r="A416" s="82"/>
      <c r="B416" s="72"/>
      <c r="C416" s="57" t="s">
        <v>680</v>
      </c>
      <c r="D416" s="57"/>
      <c r="E416" t="s">
        <v>238</v>
      </c>
    </row>
    <row r="417" spans="1:5">
      <c r="A417" s="82"/>
      <c r="B417" s="72"/>
      <c r="C417" s="57" t="s">
        <v>681</v>
      </c>
      <c r="D417" s="57"/>
      <c r="E417" t="s">
        <v>238</v>
      </c>
    </row>
    <row r="418" spans="1:5">
      <c r="A418" s="82"/>
      <c r="B418" s="72"/>
      <c r="C418" s="57" t="s">
        <v>682</v>
      </c>
      <c r="D418" s="57"/>
      <c r="E418" t="s">
        <v>238</v>
      </c>
    </row>
    <row r="419" spans="1:5">
      <c r="A419" s="82"/>
      <c r="B419" s="72"/>
      <c r="C419" s="57" t="s">
        <v>683</v>
      </c>
      <c r="D419" s="57"/>
      <c r="E419" t="s">
        <v>238</v>
      </c>
    </row>
    <row r="420" spans="1:5">
      <c r="A420" s="82"/>
      <c r="B420" s="72"/>
      <c r="C420" s="57" t="s">
        <v>684</v>
      </c>
      <c r="D420" s="57"/>
      <c r="E420" t="s">
        <v>238</v>
      </c>
    </row>
    <row r="421" spans="1:5">
      <c r="A421" s="82"/>
      <c r="B421" s="72"/>
      <c r="C421" s="57" t="s">
        <v>685</v>
      </c>
      <c r="D421" s="57"/>
      <c r="E421" t="s">
        <v>238</v>
      </c>
    </row>
    <row r="422" spans="1:5">
      <c r="A422" s="82"/>
      <c r="B422" s="72"/>
      <c r="C422" s="57" t="s">
        <v>686</v>
      </c>
      <c r="D422" s="57"/>
      <c r="E422" t="s">
        <v>238</v>
      </c>
    </row>
    <row r="423" spans="1:5">
      <c r="A423" s="82"/>
      <c r="B423" s="72"/>
      <c r="C423" s="57" t="s">
        <v>687</v>
      </c>
      <c r="D423" s="57"/>
      <c r="E423" t="s">
        <v>238</v>
      </c>
    </row>
    <row r="424" spans="1:5">
      <c r="A424" s="82"/>
      <c r="B424" s="72"/>
      <c r="C424" s="57" t="s">
        <v>688</v>
      </c>
      <c r="D424" s="57"/>
      <c r="E424" t="s">
        <v>238</v>
      </c>
    </row>
    <row r="425" spans="1:5">
      <c r="A425" s="82"/>
      <c r="B425" s="72"/>
      <c r="C425" s="57" t="s">
        <v>689</v>
      </c>
      <c r="D425" s="57"/>
      <c r="E425" t="s">
        <v>238</v>
      </c>
    </row>
    <row r="426" spans="1:5">
      <c r="A426" s="82"/>
      <c r="B426" s="72"/>
      <c r="C426" s="57" t="s">
        <v>690</v>
      </c>
      <c r="D426" s="57"/>
      <c r="E426" t="s">
        <v>238</v>
      </c>
    </row>
    <row r="427" spans="1:5">
      <c r="A427" s="82"/>
      <c r="B427" s="72"/>
      <c r="C427" s="57" t="s">
        <v>691</v>
      </c>
      <c r="D427" s="57"/>
      <c r="E427" t="s">
        <v>238</v>
      </c>
    </row>
    <row r="428" spans="1:5">
      <c r="A428" s="82"/>
      <c r="B428" s="72"/>
      <c r="C428" s="57" t="s">
        <v>692</v>
      </c>
      <c r="D428" s="57"/>
      <c r="E428" t="s">
        <v>238</v>
      </c>
    </row>
    <row r="429" spans="1:5">
      <c r="A429" s="82"/>
      <c r="B429" s="72"/>
      <c r="C429" s="57" t="s">
        <v>693</v>
      </c>
      <c r="D429" s="57"/>
      <c r="E429" t="s">
        <v>238</v>
      </c>
    </row>
    <row r="430" spans="1:5">
      <c r="A430" s="82"/>
      <c r="B430" s="72"/>
      <c r="C430" s="57" t="s">
        <v>694</v>
      </c>
      <c r="D430" s="57"/>
      <c r="E430" t="s">
        <v>238</v>
      </c>
    </row>
    <row r="431" spans="1:5">
      <c r="A431" s="82"/>
      <c r="B431" s="72"/>
      <c r="C431" s="57" t="s">
        <v>695</v>
      </c>
      <c r="D431" s="57"/>
      <c r="E431" t="s">
        <v>238</v>
      </c>
    </row>
    <row r="432" spans="1:5">
      <c r="A432" s="82"/>
      <c r="B432" s="72"/>
      <c r="C432" s="57" t="s">
        <v>696</v>
      </c>
      <c r="D432" s="57"/>
      <c r="E432" t="s">
        <v>238</v>
      </c>
    </row>
    <row r="433" spans="1:5">
      <c r="A433" s="82"/>
      <c r="B433" s="72"/>
      <c r="C433" s="57" t="s">
        <v>697</v>
      </c>
      <c r="D433" s="57"/>
      <c r="E433" t="s">
        <v>238</v>
      </c>
    </row>
    <row r="434" spans="1:5">
      <c r="A434" s="82"/>
      <c r="B434" s="72"/>
      <c r="C434" s="57" t="s">
        <v>698</v>
      </c>
      <c r="D434" s="57"/>
      <c r="E434" t="s">
        <v>238</v>
      </c>
    </row>
    <row r="435" spans="1:5">
      <c r="A435" s="82"/>
      <c r="B435" s="72"/>
      <c r="C435" s="57" t="s">
        <v>699</v>
      </c>
      <c r="D435" s="57"/>
      <c r="E435" t="s">
        <v>238</v>
      </c>
    </row>
    <row r="436" spans="1:5">
      <c r="A436" s="82"/>
      <c r="B436" s="72"/>
      <c r="C436" s="57" t="s">
        <v>700</v>
      </c>
      <c r="D436" s="57"/>
      <c r="E436" t="s">
        <v>238</v>
      </c>
    </row>
    <row r="437" spans="1:5">
      <c r="A437" s="82"/>
      <c r="B437" s="72"/>
      <c r="C437" s="57" t="s">
        <v>701</v>
      </c>
      <c r="D437" s="57"/>
      <c r="E437" t="s">
        <v>238</v>
      </c>
    </row>
    <row r="438" spans="1:5">
      <c r="A438" s="82"/>
      <c r="B438" s="72"/>
      <c r="C438" s="57" t="s">
        <v>702</v>
      </c>
      <c r="D438" s="57"/>
      <c r="E438" t="s">
        <v>238</v>
      </c>
    </row>
    <row r="439" spans="1:5">
      <c r="A439" s="82"/>
      <c r="B439" s="72"/>
      <c r="C439" s="57" t="s">
        <v>703</v>
      </c>
      <c r="D439" s="57"/>
      <c r="E439" t="s">
        <v>238</v>
      </c>
    </row>
    <row r="440" spans="1:5">
      <c r="A440" s="82"/>
      <c r="B440" s="72"/>
      <c r="C440" s="57" t="s">
        <v>704</v>
      </c>
      <c r="D440" s="57"/>
      <c r="E440" t="s">
        <v>238</v>
      </c>
    </row>
    <row r="441" spans="1:5">
      <c r="A441" s="82"/>
      <c r="B441" s="72"/>
      <c r="C441" s="57" t="s">
        <v>705</v>
      </c>
      <c r="D441" s="57"/>
      <c r="E441" t="s">
        <v>238</v>
      </c>
    </row>
    <row r="442" spans="1:5">
      <c r="A442" s="82"/>
      <c r="B442" s="72"/>
      <c r="C442" s="57" t="s">
        <v>706</v>
      </c>
      <c r="D442" s="57"/>
      <c r="E442" t="s">
        <v>238</v>
      </c>
    </row>
    <row r="443" spans="1:5">
      <c r="A443" s="82"/>
      <c r="B443" s="72"/>
      <c r="C443" s="57" t="s">
        <v>707</v>
      </c>
      <c r="D443" s="57"/>
      <c r="E443" t="s">
        <v>238</v>
      </c>
    </row>
    <row r="444" spans="1:5">
      <c r="A444" s="82"/>
      <c r="B444" s="72"/>
      <c r="C444" s="57" t="s">
        <v>708</v>
      </c>
      <c r="D444" s="57"/>
      <c r="E444" t="s">
        <v>238</v>
      </c>
    </row>
    <row r="445" spans="1:5">
      <c r="A445" s="82"/>
      <c r="B445" s="72"/>
      <c r="C445" s="57" t="s">
        <v>709</v>
      </c>
      <c r="D445" s="57"/>
      <c r="E445" t="s">
        <v>238</v>
      </c>
    </row>
    <row r="446" spans="1:5">
      <c r="A446" s="82"/>
      <c r="B446" s="72"/>
      <c r="C446" s="57" t="s">
        <v>710</v>
      </c>
      <c r="D446" s="57"/>
      <c r="E446" t="s">
        <v>238</v>
      </c>
    </row>
    <row r="447" spans="1:5">
      <c r="A447" s="82"/>
      <c r="B447" s="72"/>
      <c r="C447" s="57" t="s">
        <v>711</v>
      </c>
      <c r="D447" s="57"/>
      <c r="E447" t="s">
        <v>238</v>
      </c>
    </row>
    <row r="448" spans="1:5">
      <c r="A448" s="82"/>
      <c r="B448" s="72"/>
      <c r="C448" s="57" t="s">
        <v>712</v>
      </c>
      <c r="D448" s="57"/>
      <c r="E448" t="s">
        <v>238</v>
      </c>
    </row>
    <row r="449" spans="1:5">
      <c r="A449" s="82"/>
      <c r="B449" s="72"/>
      <c r="C449" s="57" t="s">
        <v>713</v>
      </c>
      <c r="D449" s="57"/>
      <c r="E449" t="s">
        <v>238</v>
      </c>
    </row>
    <row r="450" spans="1:5">
      <c r="A450" s="82"/>
      <c r="B450" s="72"/>
      <c r="C450" s="57" t="s">
        <v>714</v>
      </c>
      <c r="D450" s="57"/>
      <c r="E450" t="s">
        <v>238</v>
      </c>
    </row>
    <row r="451" spans="1:5">
      <c r="A451" s="82"/>
      <c r="B451" s="72"/>
      <c r="C451" s="57" t="s">
        <v>715</v>
      </c>
      <c r="D451" s="57"/>
      <c r="E451" t="s">
        <v>238</v>
      </c>
    </row>
    <row r="452" spans="1:5">
      <c r="A452" s="82"/>
      <c r="B452" s="72"/>
      <c r="C452" s="57" t="s">
        <v>716</v>
      </c>
      <c r="D452" s="57"/>
      <c r="E452" t="s">
        <v>238</v>
      </c>
    </row>
    <row r="453" spans="1:5">
      <c r="A453" s="82"/>
      <c r="B453" s="72"/>
      <c r="C453" s="57" t="s">
        <v>717</v>
      </c>
      <c r="D453" s="57"/>
      <c r="E453" t="s">
        <v>238</v>
      </c>
    </row>
    <row r="454" spans="1:5">
      <c r="A454" s="82"/>
      <c r="B454" s="72"/>
      <c r="C454" s="57" t="s">
        <v>718</v>
      </c>
      <c r="D454" s="57"/>
      <c r="E454" t="s">
        <v>238</v>
      </c>
    </row>
    <row r="455" spans="1:5">
      <c r="A455" s="82"/>
      <c r="B455" s="72"/>
      <c r="C455" s="57" t="s">
        <v>719</v>
      </c>
      <c r="D455" s="57"/>
      <c r="E455" t="s">
        <v>238</v>
      </c>
    </row>
    <row r="456" spans="1:5">
      <c r="A456" s="82"/>
      <c r="B456" s="72"/>
      <c r="C456" s="57" t="s">
        <v>720</v>
      </c>
      <c r="D456" s="57"/>
      <c r="E456" t="s">
        <v>238</v>
      </c>
    </row>
    <row r="457" spans="1:5">
      <c r="A457" s="82"/>
      <c r="B457" s="72"/>
      <c r="C457" s="57" t="s">
        <v>721</v>
      </c>
      <c r="D457" s="57"/>
      <c r="E457" t="s">
        <v>238</v>
      </c>
    </row>
    <row r="458" spans="1:5">
      <c r="A458" s="82"/>
      <c r="B458" s="72"/>
      <c r="C458" s="57" t="s">
        <v>722</v>
      </c>
      <c r="D458" s="57"/>
      <c r="E458" t="s">
        <v>238</v>
      </c>
    </row>
    <row r="459" spans="1:5">
      <c r="A459" s="82"/>
      <c r="B459" s="72"/>
      <c r="C459" s="57" t="s">
        <v>723</v>
      </c>
      <c r="D459" s="57"/>
      <c r="E459" t="s">
        <v>238</v>
      </c>
    </row>
    <row r="460" spans="1:5">
      <c r="A460" s="82"/>
      <c r="B460" s="72"/>
      <c r="C460" s="57" t="s">
        <v>724</v>
      </c>
      <c r="D460" s="57"/>
      <c r="E460" t="s">
        <v>238</v>
      </c>
    </row>
    <row r="461" spans="1:5">
      <c r="A461" s="82"/>
      <c r="B461" s="72"/>
      <c r="C461" s="57" t="s">
        <v>725</v>
      </c>
      <c r="D461" s="57"/>
      <c r="E461" t="s">
        <v>238</v>
      </c>
    </row>
    <row r="462" spans="1:5">
      <c r="A462" s="82"/>
      <c r="B462" s="72"/>
      <c r="C462" s="57" t="s">
        <v>726</v>
      </c>
      <c r="D462" s="57"/>
      <c r="E462" t="s">
        <v>238</v>
      </c>
    </row>
    <row r="463" spans="1:5">
      <c r="A463" s="82"/>
      <c r="B463" s="72"/>
      <c r="C463" s="57" t="s">
        <v>727</v>
      </c>
      <c r="D463" s="57"/>
      <c r="E463" t="s">
        <v>238</v>
      </c>
    </row>
    <row r="464" spans="1:5">
      <c r="A464" s="82"/>
      <c r="B464" s="72"/>
      <c r="C464" s="57" t="s">
        <v>728</v>
      </c>
      <c r="D464" s="57"/>
      <c r="E464" t="s">
        <v>238</v>
      </c>
    </row>
    <row r="465" spans="1:5">
      <c r="A465" s="82"/>
      <c r="B465" s="72"/>
      <c r="C465" s="57" t="s">
        <v>729</v>
      </c>
      <c r="D465" s="57"/>
      <c r="E465" t="s">
        <v>238</v>
      </c>
    </row>
    <row r="466" spans="1:5">
      <c r="A466" s="82"/>
      <c r="B466" s="72"/>
      <c r="C466" s="57" t="s">
        <v>730</v>
      </c>
      <c r="D466" s="57"/>
      <c r="E466" t="s">
        <v>238</v>
      </c>
    </row>
    <row r="467" spans="1:5">
      <c r="A467" s="82"/>
      <c r="B467" s="72"/>
      <c r="C467" s="57" t="s">
        <v>731</v>
      </c>
      <c r="D467" s="57"/>
      <c r="E467" t="s">
        <v>238</v>
      </c>
    </row>
    <row r="468" spans="1:5">
      <c r="A468" s="82"/>
      <c r="B468" s="72"/>
      <c r="C468" s="57" t="s">
        <v>732</v>
      </c>
      <c r="D468" s="57"/>
      <c r="E468" t="s">
        <v>238</v>
      </c>
    </row>
    <row r="469" spans="1:5">
      <c r="A469" s="82"/>
      <c r="B469" s="72"/>
      <c r="C469" s="57" t="s">
        <v>733</v>
      </c>
      <c r="D469" s="57"/>
      <c r="E469" t="s">
        <v>238</v>
      </c>
    </row>
    <row r="470" spans="1:5">
      <c r="A470" s="82"/>
      <c r="B470" s="72"/>
      <c r="C470" s="57" t="s">
        <v>734</v>
      </c>
      <c r="D470" s="57"/>
      <c r="E470" t="s">
        <v>238</v>
      </c>
    </row>
    <row r="471" spans="1:5">
      <c r="A471" s="82"/>
      <c r="B471" s="72"/>
      <c r="C471" s="57" t="s">
        <v>735</v>
      </c>
      <c r="D471" s="57"/>
      <c r="E471" t="s">
        <v>238</v>
      </c>
    </row>
    <row r="472" spans="1:5">
      <c r="A472" s="82"/>
      <c r="B472" s="72"/>
      <c r="C472" s="57" t="s">
        <v>736</v>
      </c>
      <c r="D472" s="57"/>
      <c r="E472" t="s">
        <v>238</v>
      </c>
    </row>
    <row r="473" spans="1:5">
      <c r="A473" s="82"/>
      <c r="B473" s="72"/>
      <c r="C473" s="57" t="s">
        <v>737</v>
      </c>
      <c r="D473" s="57"/>
      <c r="E473" t="s">
        <v>238</v>
      </c>
    </row>
    <row r="474" spans="1:5">
      <c r="A474" s="82"/>
      <c r="B474" s="72"/>
      <c r="C474" s="57" t="s">
        <v>738</v>
      </c>
      <c r="D474" s="57"/>
      <c r="E474" t="s">
        <v>238</v>
      </c>
    </row>
    <row r="475" spans="1:5">
      <c r="A475" s="82"/>
      <c r="B475" s="72"/>
      <c r="C475" s="57" t="s">
        <v>739</v>
      </c>
      <c r="D475" s="57"/>
      <c r="E475" t="s">
        <v>238</v>
      </c>
    </row>
    <row r="476" spans="1:5">
      <c r="A476" s="82"/>
      <c r="B476" s="72"/>
      <c r="C476" s="57" t="s">
        <v>740</v>
      </c>
      <c r="D476" s="57"/>
      <c r="E476" t="s">
        <v>238</v>
      </c>
    </row>
    <row r="477" spans="1:5">
      <c r="A477" s="82"/>
      <c r="B477" s="72"/>
      <c r="C477" s="57" t="s">
        <v>741</v>
      </c>
      <c r="D477" s="57"/>
      <c r="E477" t="s">
        <v>238</v>
      </c>
    </row>
    <row r="478" spans="1:5">
      <c r="A478" s="82"/>
      <c r="B478" s="72"/>
      <c r="C478" s="57" t="s">
        <v>742</v>
      </c>
      <c r="D478" s="57"/>
      <c r="E478" t="s">
        <v>238</v>
      </c>
    </row>
    <row r="479" spans="1:5">
      <c r="A479" s="82"/>
      <c r="B479" s="72"/>
      <c r="C479" s="57" t="s">
        <v>743</v>
      </c>
      <c r="D479" s="57"/>
      <c r="E479" t="s">
        <v>238</v>
      </c>
    </row>
    <row r="480" spans="1:5">
      <c r="A480" s="82"/>
      <c r="B480" s="72"/>
      <c r="C480" s="57" t="s">
        <v>744</v>
      </c>
      <c r="D480" s="57"/>
      <c r="E480" t="s">
        <v>238</v>
      </c>
    </row>
    <row r="481" spans="1:5">
      <c r="A481" s="82"/>
      <c r="B481" s="72"/>
      <c r="C481" s="57" t="s">
        <v>745</v>
      </c>
      <c r="D481" s="57"/>
      <c r="E481" t="s">
        <v>238</v>
      </c>
    </row>
    <row r="482" spans="1:5">
      <c r="A482" s="82"/>
      <c r="B482" s="72"/>
      <c r="C482" s="57" t="s">
        <v>746</v>
      </c>
      <c r="D482" s="57"/>
      <c r="E482" t="s">
        <v>238</v>
      </c>
    </row>
    <row r="483" spans="1:5">
      <c r="A483" s="82"/>
      <c r="B483" s="72"/>
      <c r="C483" s="57" t="s">
        <v>747</v>
      </c>
      <c r="D483" s="57"/>
      <c r="E483" t="s">
        <v>238</v>
      </c>
    </row>
    <row r="484" spans="1:5">
      <c r="A484" s="82"/>
      <c r="B484" s="72"/>
      <c r="C484" s="57" t="s">
        <v>748</v>
      </c>
      <c r="D484" s="57"/>
      <c r="E484" t="s">
        <v>238</v>
      </c>
    </row>
    <row r="485" spans="1:5">
      <c r="A485" s="82"/>
      <c r="B485" s="72"/>
      <c r="C485" s="57" t="s">
        <v>749</v>
      </c>
      <c r="D485" s="57"/>
      <c r="E485" t="s">
        <v>238</v>
      </c>
    </row>
    <row r="486" spans="1:5">
      <c r="A486" s="82"/>
      <c r="B486" s="72"/>
      <c r="C486" s="57" t="s">
        <v>750</v>
      </c>
      <c r="D486" s="57"/>
      <c r="E486" t="s">
        <v>238</v>
      </c>
    </row>
    <row r="487" spans="1:5">
      <c r="A487" s="82"/>
      <c r="B487" s="72"/>
      <c r="C487" s="57" t="s">
        <v>751</v>
      </c>
      <c r="D487" s="57"/>
      <c r="E487" t="s">
        <v>238</v>
      </c>
    </row>
    <row r="488" spans="1:5">
      <c r="A488" s="82"/>
      <c r="B488" s="72"/>
      <c r="C488" s="57" t="s">
        <v>752</v>
      </c>
      <c r="D488" s="57"/>
      <c r="E488" t="s">
        <v>238</v>
      </c>
    </row>
    <row r="489" spans="1:5">
      <c r="A489" s="82"/>
      <c r="B489" s="72"/>
      <c r="C489" s="57" t="s">
        <v>336</v>
      </c>
      <c r="D489" s="57"/>
    </row>
    <row r="490" spans="1:5">
      <c r="A490" s="82"/>
      <c r="B490" s="72"/>
      <c r="C490" s="57" t="s">
        <v>753</v>
      </c>
      <c r="D490" s="57"/>
    </row>
    <row r="491" spans="1:5">
      <c r="A491" s="82"/>
      <c r="B491" s="72"/>
      <c r="C491" s="57" t="s">
        <v>754</v>
      </c>
      <c r="D491" s="57"/>
    </row>
    <row r="492" spans="1:5">
      <c r="A492" s="82"/>
      <c r="B492" s="72"/>
      <c r="C492" s="57" t="s">
        <v>755</v>
      </c>
      <c r="D492" s="57"/>
    </row>
    <row r="493" spans="1:5">
      <c r="A493" s="82"/>
      <c r="B493" s="72"/>
      <c r="C493" s="57" t="s">
        <v>756</v>
      </c>
      <c r="D493" s="57"/>
    </row>
    <row r="494" spans="1:5">
      <c r="A494" s="82"/>
      <c r="B494" s="72"/>
      <c r="C494" s="57" t="s">
        <v>757</v>
      </c>
      <c r="D494" s="57"/>
    </row>
    <row r="495" spans="1:5">
      <c r="A495" s="82"/>
      <c r="B495" s="72"/>
      <c r="C495" s="57" t="s">
        <v>758</v>
      </c>
      <c r="D495" s="57"/>
    </row>
    <row r="496" spans="1:5">
      <c r="A496" s="82"/>
      <c r="B496" s="72"/>
      <c r="C496" s="57" t="s">
        <v>759</v>
      </c>
      <c r="D496" s="57"/>
    </row>
    <row r="497" spans="1:4">
      <c r="A497" s="82"/>
      <c r="B497" s="72"/>
      <c r="C497" s="57" t="s">
        <v>760</v>
      </c>
      <c r="D497" s="57"/>
    </row>
    <row r="498" spans="1:4">
      <c r="A498" s="83"/>
      <c r="B498" s="73"/>
      <c r="C498" s="57" t="s">
        <v>590</v>
      </c>
      <c r="D498" s="57"/>
    </row>
    <row r="499" spans="1:4">
      <c r="A499" s="115"/>
      <c r="B499" s="119" t="s">
        <v>761</v>
      </c>
      <c r="C499" s="55" t="s">
        <v>460</v>
      </c>
      <c r="D499" s="55"/>
    </row>
    <row r="500" spans="1:4">
      <c r="A500" s="64"/>
      <c r="B500" s="119"/>
      <c r="C500" s="55" t="s">
        <v>762</v>
      </c>
      <c r="D500" s="55"/>
    </row>
    <row r="501" spans="1:4">
      <c r="A501" s="64"/>
      <c r="B501" s="119"/>
      <c r="C501" s="55" t="s">
        <v>763</v>
      </c>
      <c r="D501" s="55"/>
    </row>
    <row r="502" spans="1:4">
      <c r="A502" s="64"/>
      <c r="B502" s="119"/>
      <c r="C502" s="55" t="s">
        <v>764</v>
      </c>
      <c r="D502" s="55"/>
    </row>
    <row r="503" spans="1:4">
      <c r="A503" s="64"/>
      <c r="B503" s="119"/>
      <c r="C503" s="55" t="s">
        <v>765</v>
      </c>
      <c r="D503" s="55"/>
    </row>
    <row r="504" spans="1:4">
      <c r="A504" s="64"/>
      <c r="B504" s="119"/>
      <c r="C504" s="55" t="s">
        <v>766</v>
      </c>
      <c r="D504" s="55"/>
    </row>
    <row r="505" spans="1:4">
      <c r="A505" s="64"/>
      <c r="B505" s="119"/>
      <c r="C505" s="55" t="s">
        <v>767</v>
      </c>
      <c r="D505" s="55"/>
    </row>
    <row r="506" spans="1:4">
      <c r="A506" s="64"/>
      <c r="B506" s="119"/>
      <c r="C506" s="55" t="s">
        <v>768</v>
      </c>
      <c r="D506" s="55"/>
    </row>
    <row r="507" spans="1:4">
      <c r="A507" s="64"/>
      <c r="B507" s="119"/>
      <c r="C507" s="55" t="s">
        <v>769</v>
      </c>
      <c r="D507" s="55"/>
    </row>
    <row r="508" spans="1:4">
      <c r="A508" s="64"/>
      <c r="B508" s="119"/>
      <c r="C508" s="55" t="s">
        <v>770</v>
      </c>
      <c r="D508" s="55"/>
    </row>
    <row r="509" spans="1:4">
      <c r="A509" s="64"/>
      <c r="B509" s="119"/>
      <c r="C509" s="55" t="s">
        <v>771</v>
      </c>
      <c r="D509" s="55"/>
    </row>
    <row r="510" spans="1:4">
      <c r="A510" s="64"/>
      <c r="B510" s="119"/>
      <c r="C510" s="55" t="s">
        <v>772</v>
      </c>
      <c r="D510" s="55"/>
    </row>
    <row r="511" spans="1:4">
      <c r="A511" s="64"/>
      <c r="B511" s="119"/>
      <c r="C511" s="55" t="s">
        <v>773</v>
      </c>
      <c r="D511" s="55"/>
    </row>
    <row r="512" spans="1:4">
      <c r="A512" s="64"/>
      <c r="B512" s="119"/>
      <c r="C512" s="55" t="s">
        <v>506</v>
      </c>
      <c r="D512" s="55"/>
    </row>
    <row r="513" spans="1:4">
      <c r="A513" s="64"/>
      <c r="B513" s="119"/>
      <c r="C513" s="55" t="s">
        <v>336</v>
      </c>
      <c r="D513" s="55"/>
    </row>
    <row r="514" spans="1:4">
      <c r="A514" s="82"/>
      <c r="B514" s="68" t="s">
        <v>774</v>
      </c>
      <c r="C514" s="57" t="s">
        <v>362</v>
      </c>
      <c r="D514" s="57"/>
    </row>
    <row r="515" spans="1:4">
      <c r="A515" s="83"/>
      <c r="B515" s="70"/>
      <c r="C515" s="57" t="s">
        <v>159</v>
      </c>
      <c r="D515" s="57"/>
    </row>
    <row r="516" spans="1:4">
      <c r="A516" s="64"/>
      <c r="B516" s="119" t="s">
        <v>775</v>
      </c>
      <c r="C516" s="55" t="s">
        <v>776</v>
      </c>
      <c r="D516" s="55"/>
    </row>
    <row r="517" spans="1:4">
      <c r="A517" s="64"/>
      <c r="B517" s="119"/>
      <c r="C517" s="55" t="s">
        <v>777</v>
      </c>
      <c r="D517" s="55"/>
    </row>
    <row r="518" spans="1:4">
      <c r="A518" s="64"/>
      <c r="B518" s="119"/>
      <c r="C518" s="55" t="s">
        <v>778</v>
      </c>
      <c r="D518" s="55"/>
    </row>
    <row r="519" spans="1:4">
      <c r="A519" s="64"/>
      <c r="B519" s="119"/>
      <c r="C519" s="55" t="s">
        <v>779</v>
      </c>
      <c r="D519" s="55"/>
    </row>
    <row r="520" spans="1:4">
      <c r="A520" s="117"/>
      <c r="B520" s="68" t="s">
        <v>780</v>
      </c>
      <c r="C520" s="57" t="s">
        <v>781</v>
      </c>
      <c r="D520" s="57"/>
    </row>
    <row r="521" spans="1:4">
      <c r="A521" s="80"/>
      <c r="B521" s="69"/>
      <c r="C521" s="57" t="s">
        <v>782</v>
      </c>
      <c r="D521" s="57"/>
    </row>
    <row r="522" spans="1:4">
      <c r="A522" s="80"/>
      <c r="B522" s="69"/>
      <c r="C522" s="57" t="s">
        <v>783</v>
      </c>
      <c r="D522" s="57"/>
    </row>
    <row r="523" spans="1:4">
      <c r="A523" s="80"/>
      <c r="B523" s="69"/>
      <c r="C523" s="57" t="s">
        <v>784</v>
      </c>
      <c r="D523" s="57"/>
    </row>
    <row r="524" spans="1:4">
      <c r="A524" s="80"/>
      <c r="B524" s="69"/>
      <c r="C524" s="57" t="s">
        <v>785</v>
      </c>
      <c r="D524" s="57"/>
    </row>
    <row r="525" spans="1:4">
      <c r="A525" s="80"/>
      <c r="B525" s="69"/>
      <c r="C525" s="57" t="s">
        <v>786</v>
      </c>
      <c r="D525" s="57"/>
    </row>
    <row r="526" spans="1:4">
      <c r="A526" s="80"/>
      <c r="B526" s="69"/>
      <c r="C526" s="57" t="s">
        <v>787</v>
      </c>
      <c r="D526" s="57"/>
    </row>
    <row r="527" spans="1:4">
      <c r="A527" s="80"/>
      <c r="B527" s="69"/>
      <c r="C527" s="57" t="s">
        <v>788</v>
      </c>
      <c r="D527" s="57"/>
    </row>
    <row r="528" spans="1:4">
      <c r="A528" s="80"/>
      <c r="B528" s="69"/>
      <c r="C528" s="57" t="s">
        <v>789</v>
      </c>
      <c r="D528" s="57"/>
    </row>
    <row r="529" spans="1:4">
      <c r="A529" s="80"/>
      <c r="B529" s="69"/>
      <c r="C529" s="57" t="s">
        <v>770</v>
      </c>
      <c r="D529" s="57"/>
    </row>
    <row r="530" spans="1:4">
      <c r="B530" s="69"/>
      <c r="C530" s="57" t="s">
        <v>790</v>
      </c>
      <c r="D530" s="57"/>
    </row>
    <row r="531" spans="1:4">
      <c r="A531" s="80"/>
      <c r="B531" s="69"/>
      <c r="C531" s="57" t="s">
        <v>791</v>
      </c>
      <c r="D531" s="57" t="s">
        <v>792</v>
      </c>
    </row>
    <row r="532" spans="1:4">
      <c r="A532" s="80"/>
      <c r="B532" s="69"/>
      <c r="C532" s="57" t="s">
        <v>793</v>
      </c>
      <c r="D532" s="57" t="s">
        <v>792</v>
      </c>
    </row>
    <row r="533" spans="1:4">
      <c r="A533" s="80"/>
      <c r="B533" s="69"/>
      <c r="C533" s="57" t="s">
        <v>794</v>
      </c>
      <c r="D533" s="57" t="s">
        <v>792</v>
      </c>
    </row>
    <row r="534" spans="1:4">
      <c r="A534" s="80"/>
      <c r="B534" s="69"/>
      <c r="C534" s="57" t="s">
        <v>795</v>
      </c>
      <c r="D534" s="57"/>
    </row>
    <row r="535" spans="1:4">
      <c r="A535" s="80"/>
      <c r="B535" s="69"/>
      <c r="C535" s="57" t="s">
        <v>796</v>
      </c>
      <c r="D535" s="57"/>
    </row>
    <row r="536" spans="1:4">
      <c r="A536" s="80"/>
      <c r="B536" s="69"/>
      <c r="C536" s="57" t="s">
        <v>797</v>
      </c>
      <c r="D536" s="57"/>
    </row>
    <row r="537" spans="1:4">
      <c r="A537" s="80"/>
      <c r="B537" s="69"/>
      <c r="C537" s="57" t="s">
        <v>798</v>
      </c>
      <c r="D537" s="57"/>
    </row>
    <row r="538" spans="1:4">
      <c r="A538" s="80"/>
      <c r="B538" s="69"/>
      <c r="C538" s="57" t="s">
        <v>799</v>
      </c>
      <c r="D538" s="57"/>
    </row>
    <row r="539" spans="1:4">
      <c r="A539" s="80"/>
      <c r="B539" s="69"/>
      <c r="C539" s="57" t="s">
        <v>800</v>
      </c>
      <c r="D539" s="57"/>
    </row>
    <row r="540" spans="1:4">
      <c r="A540" s="80"/>
      <c r="B540" s="69"/>
      <c r="C540" s="57" t="s">
        <v>801</v>
      </c>
      <c r="D540" s="57"/>
    </row>
    <row r="541" spans="1:4">
      <c r="A541" s="80"/>
      <c r="B541" s="69"/>
      <c r="C541" s="57" t="s">
        <v>802</v>
      </c>
      <c r="D541" s="57"/>
    </row>
    <row r="542" spans="1:4">
      <c r="A542" s="80"/>
      <c r="B542" s="69"/>
      <c r="C542" s="57" t="s">
        <v>506</v>
      </c>
      <c r="D542" s="57"/>
    </row>
    <row r="543" spans="1:4">
      <c r="A543" s="80"/>
      <c r="B543" s="69"/>
      <c r="C543" s="57" t="s">
        <v>336</v>
      </c>
      <c r="D543" s="58"/>
    </row>
    <row r="544" spans="1:4">
      <c r="A544" s="86"/>
      <c r="B544" s="59" t="s">
        <v>803</v>
      </c>
      <c r="C544" s="55" t="s">
        <v>362</v>
      </c>
      <c r="D544" s="55"/>
    </row>
    <row r="545" spans="1:4">
      <c r="A545" s="87"/>
      <c r="B545" s="118"/>
      <c r="C545" s="55" t="s">
        <v>159</v>
      </c>
      <c r="D545" s="55"/>
    </row>
    <row r="546" spans="1:4">
      <c r="A546" s="80"/>
      <c r="B546" s="68" t="s">
        <v>804</v>
      </c>
      <c r="C546" s="57" t="s">
        <v>805</v>
      </c>
      <c r="D546" s="57"/>
    </row>
    <row r="547" spans="1:4">
      <c r="A547" s="80"/>
      <c r="B547" s="69"/>
      <c r="C547" s="57" t="s">
        <v>806</v>
      </c>
      <c r="D547" s="57"/>
    </row>
    <row r="548" spans="1:4">
      <c r="A548" s="80"/>
      <c r="B548" s="69"/>
      <c r="C548" s="57" t="s">
        <v>807</v>
      </c>
      <c r="D548" s="57"/>
    </row>
    <row r="549" spans="1:4">
      <c r="A549" s="80"/>
      <c r="B549" s="69"/>
      <c r="C549" s="57" t="s">
        <v>808</v>
      </c>
      <c r="D549" s="57"/>
    </row>
    <row r="550" spans="1:4">
      <c r="A550" s="80"/>
      <c r="B550" s="69"/>
      <c r="C550" s="57" t="s">
        <v>809</v>
      </c>
      <c r="D550" s="57"/>
    </row>
    <row r="551" spans="1:4">
      <c r="A551" s="86"/>
      <c r="B551" s="59" t="s">
        <v>810</v>
      </c>
      <c r="C551" s="55" t="s">
        <v>362</v>
      </c>
      <c r="D551" s="55"/>
    </row>
    <row r="552" spans="1:4">
      <c r="A552" s="87"/>
      <c r="B552" s="118"/>
      <c r="C552" s="55" t="s">
        <v>159</v>
      </c>
      <c r="D552" s="55"/>
    </row>
    <row r="553" spans="1:4">
      <c r="A553" s="65"/>
      <c r="B553" s="68" t="s">
        <v>811</v>
      </c>
      <c r="C553" s="57" t="s">
        <v>812</v>
      </c>
      <c r="D553" s="57"/>
    </row>
    <row r="554" spans="1:4">
      <c r="A554" s="66"/>
      <c r="B554" s="66"/>
      <c r="C554" s="57" t="s">
        <v>813</v>
      </c>
      <c r="D554" s="57"/>
    </row>
    <row r="555" spans="1:4">
      <c r="A555" s="66"/>
      <c r="B555" s="66"/>
      <c r="C555" s="57" t="s">
        <v>814</v>
      </c>
      <c r="D555" s="57"/>
    </row>
    <row r="556" spans="1:4">
      <c r="A556" s="66"/>
      <c r="B556" s="66"/>
      <c r="C556" s="57" t="s">
        <v>815</v>
      </c>
      <c r="D556" s="57"/>
    </row>
    <row r="557" spans="1:4">
      <c r="A557" s="66"/>
      <c r="B557" s="66"/>
      <c r="C557" s="57" t="s">
        <v>816</v>
      </c>
      <c r="D557" s="57"/>
    </row>
    <row r="558" spans="1:4">
      <c r="A558" s="66"/>
      <c r="B558" s="66"/>
      <c r="C558" s="57" t="s">
        <v>817</v>
      </c>
      <c r="D558" s="57"/>
    </row>
    <row r="559" spans="1:4">
      <c r="A559" s="66"/>
      <c r="B559" s="66"/>
      <c r="C559" s="57" t="s">
        <v>818</v>
      </c>
      <c r="D559" s="57"/>
    </row>
    <row r="560" spans="1:4">
      <c r="A560" s="66"/>
      <c r="B560" s="66"/>
      <c r="C560" s="57" t="s">
        <v>819</v>
      </c>
      <c r="D560" s="57"/>
    </row>
    <row r="561" spans="1:4">
      <c r="A561" s="66"/>
      <c r="B561" s="66"/>
      <c r="C561" s="57" t="s">
        <v>820</v>
      </c>
      <c r="D561" s="57"/>
    </row>
    <row r="562" spans="1:4">
      <c r="A562" s="66"/>
      <c r="B562" s="66"/>
      <c r="C562" s="57" t="s">
        <v>821</v>
      </c>
      <c r="D562" s="57"/>
    </row>
    <row r="563" spans="1:4">
      <c r="A563" s="66"/>
      <c r="B563" s="66"/>
      <c r="C563" s="57" t="s">
        <v>822</v>
      </c>
      <c r="D563" s="57"/>
    </row>
    <row r="564" spans="1:4">
      <c r="A564" s="66"/>
      <c r="B564" s="66"/>
      <c r="C564" s="57" t="s">
        <v>823</v>
      </c>
      <c r="D564" s="57"/>
    </row>
    <row r="565" spans="1:4">
      <c r="A565" s="66"/>
      <c r="B565" s="66"/>
      <c r="C565" s="57" t="s">
        <v>824</v>
      </c>
      <c r="D565" s="57"/>
    </row>
    <row r="566" spans="1:4">
      <c r="A566" s="66"/>
      <c r="B566" s="66"/>
      <c r="C566" s="57" t="s">
        <v>825</v>
      </c>
      <c r="D566" s="57"/>
    </row>
    <row r="567" spans="1:4">
      <c r="A567" s="66"/>
      <c r="B567" s="66"/>
      <c r="C567" s="57" t="s">
        <v>826</v>
      </c>
      <c r="D567" s="57"/>
    </row>
    <row r="568" spans="1:4">
      <c r="A568" s="66"/>
      <c r="B568" s="66"/>
      <c r="C568" s="57" t="s">
        <v>827</v>
      </c>
      <c r="D568" s="57"/>
    </row>
    <row r="569" spans="1:4">
      <c r="A569" s="66"/>
      <c r="B569" s="66"/>
      <c r="C569" s="57" t="s">
        <v>828</v>
      </c>
      <c r="D569" s="57"/>
    </row>
    <row r="570" spans="1:4">
      <c r="A570" s="66"/>
      <c r="B570" s="66"/>
      <c r="C570" s="57" t="s">
        <v>829</v>
      </c>
      <c r="D570" s="57"/>
    </row>
    <row r="571" spans="1:4">
      <c r="A571" s="66"/>
      <c r="B571" s="66"/>
      <c r="C571" s="57" t="s">
        <v>830</v>
      </c>
      <c r="D571" s="57"/>
    </row>
    <row r="572" spans="1:4">
      <c r="A572" s="66"/>
      <c r="B572" s="66"/>
      <c r="C572" s="57" t="s">
        <v>831</v>
      </c>
      <c r="D572" s="57"/>
    </row>
    <row r="573" spans="1:4">
      <c r="A573" s="66"/>
      <c r="B573" s="66"/>
      <c r="C573" s="57" t="s">
        <v>832</v>
      </c>
      <c r="D573" s="57"/>
    </row>
    <row r="574" spans="1:4">
      <c r="A574" s="66"/>
      <c r="B574" s="66"/>
      <c r="C574" s="57" t="s">
        <v>833</v>
      </c>
      <c r="D574" s="57"/>
    </row>
    <row r="575" spans="1:4">
      <c r="A575" s="66"/>
      <c r="B575" s="66"/>
      <c r="C575" s="57" t="s">
        <v>834</v>
      </c>
      <c r="D575" s="57"/>
    </row>
    <row r="576" spans="1:4">
      <c r="A576" s="66"/>
      <c r="B576" s="66"/>
      <c r="C576" s="57" t="s">
        <v>835</v>
      </c>
      <c r="D576" s="57"/>
    </row>
    <row r="577" spans="1:5">
      <c r="A577" s="66"/>
      <c r="B577" s="66"/>
      <c r="C577" s="57" t="s">
        <v>836</v>
      </c>
      <c r="D577" s="57"/>
    </row>
    <row r="578" spans="1:5">
      <c r="A578" s="66"/>
      <c r="B578" s="66"/>
      <c r="C578" s="57" t="s">
        <v>837</v>
      </c>
      <c r="D578" s="57"/>
    </row>
    <row r="579" spans="1:5">
      <c r="A579" s="66"/>
      <c r="B579" s="66"/>
      <c r="C579" s="57" t="s">
        <v>838</v>
      </c>
      <c r="D579" s="57"/>
    </row>
    <row r="580" spans="1:5">
      <c r="A580" s="66"/>
      <c r="B580" s="66"/>
      <c r="C580" s="57" t="s">
        <v>839</v>
      </c>
      <c r="D580" s="57"/>
      <c r="E580" t="s">
        <v>238</v>
      </c>
    </row>
    <row r="581" spans="1:5">
      <c r="A581" s="66"/>
      <c r="B581" s="66"/>
      <c r="C581" s="57" t="s">
        <v>840</v>
      </c>
      <c r="D581" s="57"/>
      <c r="E581" t="s">
        <v>238</v>
      </c>
    </row>
    <row r="582" spans="1:5">
      <c r="A582" s="66"/>
      <c r="B582" s="66"/>
      <c r="C582" s="57" t="s">
        <v>841</v>
      </c>
      <c r="D582" s="57"/>
    </row>
    <row r="583" spans="1:5">
      <c r="A583" s="66"/>
      <c r="B583" s="66"/>
      <c r="C583" s="57" t="s">
        <v>842</v>
      </c>
      <c r="D583" s="57"/>
    </row>
    <row r="584" spans="1:5">
      <c r="A584" s="66"/>
      <c r="B584" s="66"/>
      <c r="C584" s="57" t="s">
        <v>843</v>
      </c>
      <c r="D584" s="57"/>
    </row>
    <row r="585" spans="1:5">
      <c r="A585" s="66"/>
      <c r="B585" s="66"/>
      <c r="C585" s="57" t="s">
        <v>844</v>
      </c>
      <c r="D585" s="57"/>
    </row>
    <row r="586" spans="1:5">
      <c r="A586" s="66"/>
      <c r="B586" s="66"/>
      <c r="C586" s="57" t="s">
        <v>845</v>
      </c>
      <c r="D586" s="57"/>
    </row>
    <row r="587" spans="1:5">
      <c r="A587" s="66"/>
      <c r="B587" s="66"/>
      <c r="C587" s="57" t="s">
        <v>846</v>
      </c>
      <c r="D587" s="57"/>
    </row>
    <row r="588" spans="1:5">
      <c r="A588" s="66"/>
      <c r="B588" s="66"/>
      <c r="C588" s="57" t="s">
        <v>847</v>
      </c>
      <c r="D588" s="57"/>
    </row>
    <row r="589" spans="1:5">
      <c r="A589" s="66"/>
      <c r="B589" s="66"/>
      <c r="C589" s="57" t="s">
        <v>848</v>
      </c>
      <c r="D589" s="57"/>
    </row>
    <row r="590" spans="1:5">
      <c r="A590" s="66"/>
      <c r="B590" s="66"/>
      <c r="C590" s="57" t="s">
        <v>849</v>
      </c>
      <c r="D590" s="57"/>
    </row>
    <row r="591" spans="1:5">
      <c r="A591" s="67"/>
      <c r="B591" s="67"/>
      <c r="C591" s="57" t="s">
        <v>850</v>
      </c>
      <c r="D591" s="57"/>
    </row>
    <row r="592" spans="1:5">
      <c r="A592" s="64"/>
      <c r="B592" s="119" t="s">
        <v>147</v>
      </c>
      <c r="C592" s="55" t="s">
        <v>851</v>
      </c>
      <c r="D592" s="55"/>
    </row>
    <row r="593" spans="1:4">
      <c r="A593" s="64"/>
      <c r="B593" s="119"/>
      <c r="C593" s="55" t="s">
        <v>852</v>
      </c>
      <c r="D593" s="55"/>
    </row>
    <row r="594" spans="1:4">
      <c r="A594" s="64"/>
      <c r="B594" s="119"/>
      <c r="C594" s="55" t="s">
        <v>336</v>
      </c>
      <c r="D594" s="55"/>
    </row>
    <row r="595" spans="1:4">
      <c r="A595" s="68"/>
      <c r="B595" s="74" t="s">
        <v>853</v>
      </c>
      <c r="C595" s="57" t="s">
        <v>362</v>
      </c>
      <c r="D595" s="57"/>
    </row>
    <row r="596" spans="1:4">
      <c r="A596" s="120"/>
      <c r="B596" s="122"/>
      <c r="C596" s="121" t="s">
        <v>159</v>
      </c>
      <c r="D596" s="57"/>
    </row>
    <row r="597" spans="1:4">
      <c r="A597" s="115"/>
      <c r="B597" s="115" t="s">
        <v>854</v>
      </c>
      <c r="C597" s="55" t="s">
        <v>855</v>
      </c>
      <c r="D597" s="55"/>
    </row>
    <row r="598" spans="1:4">
      <c r="A598" s="64"/>
      <c r="B598" s="64"/>
      <c r="C598" s="55" t="s">
        <v>856</v>
      </c>
      <c r="D598" s="55"/>
    </row>
    <row r="599" spans="1:4">
      <c r="A599" s="64"/>
      <c r="B599" s="64"/>
      <c r="C599" s="55" t="s">
        <v>857</v>
      </c>
      <c r="D599" s="55"/>
    </row>
    <row r="600" spans="1:4">
      <c r="A600" s="64"/>
      <c r="B600" s="64"/>
      <c r="C600" s="55" t="s">
        <v>858</v>
      </c>
      <c r="D600" s="55"/>
    </row>
    <row r="601" spans="1:4">
      <c r="A601" s="64"/>
      <c r="B601" s="64"/>
      <c r="C601" s="55" t="s">
        <v>859</v>
      </c>
      <c r="D601" s="55"/>
    </row>
    <row r="602" spans="1:4">
      <c r="A602" s="64"/>
      <c r="B602" s="64"/>
      <c r="C602" s="55" t="s">
        <v>860</v>
      </c>
      <c r="D602" s="55"/>
    </row>
    <row r="603" spans="1:4">
      <c r="A603" s="64"/>
      <c r="B603" s="64"/>
      <c r="C603" s="55" t="s">
        <v>861</v>
      </c>
      <c r="D603" s="55"/>
    </row>
    <row r="604" spans="1:4">
      <c r="A604" s="64"/>
      <c r="B604" s="64"/>
      <c r="C604" s="55" t="s">
        <v>862</v>
      </c>
      <c r="D604" s="55"/>
    </row>
    <row r="605" spans="1:4">
      <c r="A605" s="64"/>
      <c r="B605" s="64"/>
      <c r="C605" s="55" t="s">
        <v>863</v>
      </c>
      <c r="D605" s="55"/>
    </row>
    <row r="606" spans="1:4">
      <c r="A606" s="64"/>
      <c r="B606" s="64"/>
      <c r="C606" s="55" t="s">
        <v>864</v>
      </c>
      <c r="D606" s="55"/>
    </row>
    <row r="607" spans="1:4">
      <c r="A607" s="64"/>
      <c r="B607" s="64"/>
      <c r="C607" s="55" t="s">
        <v>865</v>
      </c>
      <c r="D607" s="55"/>
    </row>
    <row r="608" spans="1:4">
      <c r="A608" s="64"/>
      <c r="B608" s="64"/>
      <c r="C608" s="55" t="s">
        <v>866</v>
      </c>
      <c r="D608" s="55"/>
    </row>
    <row r="609" spans="1:5">
      <c r="A609" s="64"/>
      <c r="B609" s="64"/>
      <c r="C609" s="55" t="s">
        <v>867</v>
      </c>
      <c r="D609" s="55"/>
    </row>
    <row r="610" spans="1:5">
      <c r="A610" s="64"/>
      <c r="B610" s="64"/>
      <c r="C610" s="55" t="s">
        <v>868</v>
      </c>
      <c r="D610" s="55"/>
    </row>
    <row r="611" spans="1:5">
      <c r="A611" s="64"/>
      <c r="B611" s="64"/>
      <c r="C611" s="55" t="s">
        <v>869</v>
      </c>
      <c r="D611" s="55"/>
    </row>
    <row r="612" spans="1:5">
      <c r="A612" s="64"/>
      <c r="B612" s="64"/>
      <c r="C612" s="55" t="s">
        <v>870</v>
      </c>
      <c r="D612" s="55"/>
    </row>
    <row r="613" spans="1:5">
      <c r="A613" s="64"/>
      <c r="B613" s="64"/>
      <c r="C613" s="55" t="s">
        <v>871</v>
      </c>
      <c r="D613" s="55"/>
    </row>
    <row r="614" spans="1:5">
      <c r="A614" s="64"/>
      <c r="B614" s="64"/>
      <c r="C614" s="55" t="s">
        <v>872</v>
      </c>
      <c r="D614" s="55"/>
    </row>
    <row r="615" spans="1:5">
      <c r="A615" s="64"/>
      <c r="B615" s="64"/>
      <c r="C615" s="55" t="s">
        <v>873</v>
      </c>
      <c r="D615" s="55"/>
    </row>
    <row r="616" spans="1:5">
      <c r="A616" s="64"/>
      <c r="B616" s="64"/>
      <c r="C616" s="55" t="s">
        <v>874</v>
      </c>
      <c r="D616" s="55"/>
    </row>
    <row r="617" spans="1:5">
      <c r="A617" s="64"/>
      <c r="B617" s="64"/>
      <c r="C617" s="55" t="s">
        <v>875</v>
      </c>
      <c r="D617" s="55"/>
    </row>
    <row r="618" spans="1:5">
      <c r="A618" s="64"/>
      <c r="B618" s="64"/>
      <c r="C618" s="55" t="s">
        <v>876</v>
      </c>
      <c r="D618" s="55"/>
    </row>
    <row r="619" spans="1:5">
      <c r="A619" s="64"/>
      <c r="B619" s="64"/>
      <c r="C619" s="55" t="s">
        <v>877</v>
      </c>
      <c r="D619" s="55"/>
    </row>
    <row r="620" spans="1:5">
      <c r="A620" s="64"/>
      <c r="B620" s="64"/>
      <c r="C620" s="55" t="s">
        <v>590</v>
      </c>
      <c r="D620" s="55"/>
    </row>
    <row r="621" spans="1:5">
      <c r="A621" s="64"/>
      <c r="B621" s="64"/>
      <c r="C621" s="55" t="s">
        <v>878</v>
      </c>
      <c r="D621" s="55"/>
      <c r="E621" t="s">
        <v>238</v>
      </c>
    </row>
    <row r="622" spans="1:5">
      <c r="A622" s="68"/>
      <c r="B622" s="68" t="s">
        <v>181</v>
      </c>
      <c r="C622" s="57" t="s">
        <v>879</v>
      </c>
      <c r="D622" s="57"/>
    </row>
    <row r="623" spans="1:5">
      <c r="A623" s="69"/>
      <c r="B623" s="69"/>
      <c r="C623" s="57" t="s">
        <v>880</v>
      </c>
      <c r="D623" s="57"/>
    </row>
    <row r="624" spans="1:5">
      <c r="A624" s="69"/>
      <c r="B624" s="69"/>
      <c r="C624" s="57" t="s">
        <v>881</v>
      </c>
      <c r="D624" s="57"/>
    </row>
    <row r="625" spans="1:5">
      <c r="A625" s="69"/>
      <c r="B625" s="69"/>
      <c r="C625" s="57" t="s">
        <v>882</v>
      </c>
      <c r="D625" s="57"/>
    </row>
    <row r="626" spans="1:5">
      <c r="A626" s="69"/>
      <c r="B626" s="69"/>
      <c r="C626" s="57" t="s">
        <v>883</v>
      </c>
      <c r="D626" s="57"/>
      <c r="E626" t="s">
        <v>238</v>
      </c>
    </row>
    <row r="627" spans="1:5">
      <c r="A627" s="69"/>
      <c r="B627" s="69"/>
      <c r="C627" s="57" t="s">
        <v>884</v>
      </c>
      <c r="D627" s="57"/>
    </row>
    <row r="628" spans="1:5">
      <c r="A628" s="69"/>
      <c r="B628" s="69"/>
      <c r="C628" s="57" t="s">
        <v>885</v>
      </c>
      <c r="D628" s="57"/>
    </row>
    <row r="629" spans="1:5">
      <c r="A629" s="69"/>
      <c r="B629" s="69"/>
      <c r="C629" s="57" t="s">
        <v>482</v>
      </c>
      <c r="D629" s="57"/>
    </row>
    <row r="630" spans="1:5">
      <c r="A630" s="69"/>
      <c r="B630" s="69"/>
      <c r="C630" s="57" t="s">
        <v>886</v>
      </c>
      <c r="D630" s="57"/>
    </row>
    <row r="631" spans="1:5">
      <c r="A631" s="69"/>
      <c r="B631" s="69"/>
      <c r="C631" s="57" t="s">
        <v>887</v>
      </c>
      <c r="D631" s="57"/>
    </row>
    <row r="632" spans="1:5">
      <c r="A632" s="69"/>
      <c r="B632" s="69"/>
      <c r="C632" s="57" t="s">
        <v>888</v>
      </c>
      <c r="D632" s="57"/>
    </row>
    <row r="633" spans="1:5">
      <c r="A633" s="70"/>
      <c r="B633" s="70"/>
      <c r="C633" s="57" t="s">
        <v>336</v>
      </c>
      <c r="D633" s="57"/>
    </row>
    <row r="634" spans="1:5">
      <c r="A634" s="64"/>
      <c r="B634" s="119" t="s">
        <v>182</v>
      </c>
      <c r="C634" s="55" t="s">
        <v>889</v>
      </c>
      <c r="D634" s="55" t="s">
        <v>890</v>
      </c>
    </row>
    <row r="635" spans="1:5">
      <c r="A635" s="64"/>
      <c r="B635" s="119"/>
      <c r="C635" s="55" t="s">
        <v>891</v>
      </c>
      <c r="D635" s="55" t="s">
        <v>892</v>
      </c>
    </row>
    <row r="636" spans="1:5">
      <c r="A636" s="64"/>
      <c r="B636" s="119"/>
      <c r="C636" s="55" t="s">
        <v>893</v>
      </c>
      <c r="D636" s="55" t="s">
        <v>894</v>
      </c>
    </row>
    <row r="637" spans="1:5">
      <c r="A637" s="64"/>
      <c r="B637" s="119"/>
      <c r="C637" s="55" t="s">
        <v>895</v>
      </c>
      <c r="D637" s="55" t="s">
        <v>896</v>
      </c>
    </row>
    <row r="638" spans="1:5">
      <c r="A638" s="64"/>
      <c r="B638" s="119"/>
      <c r="C638" s="55" t="s">
        <v>897</v>
      </c>
      <c r="D638" s="55" t="s">
        <v>898</v>
      </c>
    </row>
    <row r="639" spans="1:5">
      <c r="A639" s="64"/>
      <c r="B639" s="119"/>
      <c r="C639" s="55" t="s">
        <v>899</v>
      </c>
      <c r="D639" s="55" t="s">
        <v>900</v>
      </c>
    </row>
    <row r="640" spans="1:5">
      <c r="A640" s="64"/>
      <c r="B640" s="119"/>
      <c r="C640" s="55" t="s">
        <v>901</v>
      </c>
      <c r="D640" s="55" t="s">
        <v>902</v>
      </c>
    </row>
    <row r="641" spans="1:4">
      <c r="A641" s="64"/>
      <c r="B641" s="119"/>
      <c r="C641" s="55" t="s">
        <v>903</v>
      </c>
      <c r="D641" s="55" t="s">
        <v>903</v>
      </c>
    </row>
    <row r="642" spans="1:4">
      <c r="A642" s="64"/>
      <c r="B642" s="119"/>
      <c r="C642" s="55" t="s">
        <v>336</v>
      </c>
      <c r="D642" s="55"/>
    </row>
    <row r="643" spans="1:4">
      <c r="A643" s="71"/>
      <c r="B643" s="71" t="s">
        <v>904</v>
      </c>
      <c r="C643" s="57" t="s">
        <v>905</v>
      </c>
      <c r="D643" s="57" t="s">
        <v>906</v>
      </c>
    </row>
    <row r="644" spans="1:4">
      <c r="A644" s="72"/>
      <c r="B644" s="72"/>
      <c r="C644" s="57" t="s">
        <v>907</v>
      </c>
      <c r="D644" s="57" t="s">
        <v>908</v>
      </c>
    </row>
    <row r="645" spans="1:4">
      <c r="A645" s="72"/>
      <c r="B645" s="72"/>
      <c r="C645" s="57" t="s">
        <v>909</v>
      </c>
      <c r="D645" s="57" t="s">
        <v>910</v>
      </c>
    </row>
    <row r="646" spans="1:4">
      <c r="A646" s="72"/>
      <c r="B646" s="72"/>
      <c r="C646" s="57" t="s">
        <v>911</v>
      </c>
      <c r="D646" s="57" t="s">
        <v>912</v>
      </c>
    </row>
    <row r="647" spans="1:4">
      <c r="A647" s="72"/>
      <c r="B647" s="72"/>
      <c r="C647" s="57" t="s">
        <v>913</v>
      </c>
      <c r="D647" s="57"/>
    </row>
    <row r="648" spans="1:4">
      <c r="A648" s="73"/>
      <c r="B648" s="73"/>
      <c r="C648" s="57" t="s">
        <v>336</v>
      </c>
      <c r="D648" s="57"/>
    </row>
    <row r="649" spans="1:4">
      <c r="A649" s="64"/>
      <c r="B649" s="119" t="s">
        <v>173</v>
      </c>
      <c r="C649" s="55" t="s">
        <v>914</v>
      </c>
      <c r="D649" s="55"/>
    </row>
    <row r="650" spans="1:4">
      <c r="A650" s="64"/>
      <c r="B650" s="119"/>
      <c r="C650" s="55" t="s">
        <v>915</v>
      </c>
      <c r="D650" s="55"/>
    </row>
    <row r="651" spans="1:4">
      <c r="A651" s="64"/>
      <c r="B651" s="119"/>
      <c r="C651" s="55" t="s">
        <v>916</v>
      </c>
      <c r="D651" s="55"/>
    </row>
    <row r="652" spans="1:4">
      <c r="A652" s="64"/>
      <c r="B652" s="119"/>
      <c r="C652" s="55" t="s">
        <v>917</v>
      </c>
      <c r="D652" s="55"/>
    </row>
    <row r="653" spans="1:4">
      <c r="A653" s="64"/>
      <c r="B653" s="119"/>
      <c r="C653" s="55" t="s">
        <v>336</v>
      </c>
      <c r="D653" s="55"/>
    </row>
    <row r="654" spans="1:4">
      <c r="A654" s="71"/>
      <c r="B654" s="71" t="s">
        <v>174</v>
      </c>
      <c r="C654" s="57" t="s">
        <v>918</v>
      </c>
      <c r="D654" s="57"/>
    </row>
    <row r="655" spans="1:4">
      <c r="A655" s="72"/>
      <c r="B655" s="72"/>
      <c r="C655" s="57" t="s">
        <v>919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920</v>
      </c>
      <c r="D657" s="55"/>
    </row>
    <row r="658" spans="1:6">
      <c r="A658" s="71"/>
      <c r="B658" s="71" t="s">
        <v>921</v>
      </c>
      <c r="C658" s="57" t="s">
        <v>922</v>
      </c>
      <c r="D658" s="57"/>
    </row>
    <row r="659" spans="1:6">
      <c r="A659" s="72"/>
      <c r="B659" s="72"/>
      <c r="C659" s="57" t="s">
        <v>923</v>
      </c>
      <c r="D659" s="57"/>
    </row>
    <row r="660" spans="1:6">
      <c r="A660" s="72"/>
      <c r="B660" s="72"/>
      <c r="C660" s="57" t="s">
        <v>924</v>
      </c>
      <c r="D660" s="57"/>
    </row>
    <row r="661" spans="1:6">
      <c r="A661" s="72"/>
      <c r="B661" s="72"/>
      <c r="C661" s="57" t="s">
        <v>925</v>
      </c>
      <c r="D661" s="57"/>
    </row>
    <row r="662" spans="1:6">
      <c r="A662" s="72"/>
      <c r="B662" s="72"/>
      <c r="C662" s="57" t="s">
        <v>926</v>
      </c>
      <c r="D662" s="57"/>
    </row>
    <row r="663" spans="1:6">
      <c r="A663" s="72"/>
      <c r="B663" s="72"/>
      <c r="C663" s="57" t="s">
        <v>927</v>
      </c>
      <c r="D663" s="57"/>
    </row>
    <row r="664" spans="1:6">
      <c r="A664" s="72"/>
      <c r="B664" s="72"/>
      <c r="C664" s="57" t="s">
        <v>336</v>
      </c>
      <c r="D664" s="57"/>
    </row>
    <row r="665" spans="1:6">
      <c r="A665" s="73"/>
      <c r="B665" s="73"/>
      <c r="C665" s="57" t="s">
        <v>928</v>
      </c>
      <c r="D665" s="57"/>
    </row>
    <row r="666" spans="1:6">
      <c r="A666" s="64"/>
      <c r="B666" s="119" t="s">
        <v>929</v>
      </c>
      <c r="C666" s="55" t="s">
        <v>930</v>
      </c>
      <c r="D666" s="55"/>
    </row>
    <row r="667" spans="1:6">
      <c r="A667" s="64"/>
      <c r="B667" s="119"/>
      <c r="C667" s="55" t="s">
        <v>931</v>
      </c>
      <c r="D667" s="55"/>
      <c r="F667" s="8"/>
    </row>
    <row r="668" spans="1:6">
      <c r="A668" s="71"/>
      <c r="B668" s="71" t="s">
        <v>932</v>
      </c>
      <c r="C668" s="57" t="s">
        <v>933</v>
      </c>
      <c r="D668" s="57"/>
    </row>
    <row r="669" spans="1:6">
      <c r="A669" s="72"/>
      <c r="B669" s="72"/>
      <c r="C669" s="57" t="s">
        <v>934</v>
      </c>
      <c r="D669" s="57"/>
    </row>
    <row r="670" spans="1:6">
      <c r="A670" s="72"/>
      <c r="B670" s="72"/>
      <c r="C670" s="57" t="s">
        <v>935</v>
      </c>
      <c r="D670" s="57"/>
    </row>
    <row r="671" spans="1:6">
      <c r="A671" s="72"/>
      <c r="B671" s="72"/>
      <c r="C671" s="57" t="s">
        <v>936</v>
      </c>
      <c r="D671" s="57"/>
    </row>
    <row r="672" spans="1:6">
      <c r="A672" s="72"/>
      <c r="B672" s="72"/>
      <c r="C672" s="57" t="s">
        <v>937</v>
      </c>
      <c r="D672" s="57"/>
    </row>
    <row r="673" spans="1:4">
      <c r="A673" s="72"/>
      <c r="B673" s="72"/>
      <c r="C673" s="57" t="s">
        <v>938</v>
      </c>
      <c r="D673" s="57"/>
    </row>
    <row r="674" spans="1:4">
      <c r="A674" s="72"/>
      <c r="B674" s="72"/>
      <c r="C674" s="57" t="s">
        <v>939</v>
      </c>
      <c r="D674" s="57"/>
    </row>
    <row r="675" spans="1:4">
      <c r="A675" s="72"/>
      <c r="B675" s="72"/>
      <c r="C675" s="57" t="s">
        <v>940</v>
      </c>
      <c r="D675" s="57"/>
    </row>
    <row r="676" spans="1:4">
      <c r="A676" s="72"/>
      <c r="B676" s="72"/>
      <c r="C676" s="57" t="s">
        <v>941</v>
      </c>
      <c r="D676" s="57"/>
    </row>
    <row r="677" spans="1:4">
      <c r="A677" s="72"/>
      <c r="B677" s="72"/>
      <c r="C677" s="57" t="s">
        <v>942</v>
      </c>
      <c r="D677" s="57"/>
    </row>
    <row r="678" spans="1:4">
      <c r="A678" s="72"/>
      <c r="B678" s="72"/>
      <c r="C678" s="57" t="s">
        <v>590</v>
      </c>
      <c r="D678" s="57"/>
    </row>
    <row r="679" spans="1:4">
      <c r="A679" s="73"/>
      <c r="B679" s="73"/>
      <c r="C679" s="57" t="s">
        <v>928</v>
      </c>
      <c r="D679" s="57"/>
    </row>
    <row r="680" spans="1:4">
      <c r="A680" s="93"/>
      <c r="B680" s="93" t="s">
        <v>943</v>
      </c>
      <c r="C680" s="55" t="s">
        <v>922</v>
      </c>
      <c r="D680" s="55"/>
    </row>
    <row r="681" spans="1:4">
      <c r="A681" s="95"/>
      <c r="B681" s="95"/>
      <c r="C681" s="55" t="s">
        <v>923</v>
      </c>
      <c r="D681" s="55"/>
    </row>
    <row r="682" spans="1:4">
      <c r="A682" s="95"/>
      <c r="B682" s="95"/>
      <c r="C682" s="55" t="s">
        <v>924</v>
      </c>
      <c r="D682" s="55"/>
    </row>
    <row r="683" spans="1:4">
      <c r="A683" s="95"/>
      <c r="B683" s="95"/>
      <c r="C683" s="55" t="s">
        <v>925</v>
      </c>
      <c r="D683" s="55"/>
    </row>
    <row r="684" spans="1:4">
      <c r="A684" s="95"/>
      <c r="B684" s="95"/>
      <c r="C684" s="55" t="s">
        <v>926</v>
      </c>
      <c r="D684" s="55"/>
    </row>
    <row r="685" spans="1:4">
      <c r="A685" s="95"/>
      <c r="B685" s="95"/>
      <c r="C685" s="55" t="s">
        <v>927</v>
      </c>
      <c r="D685" s="55"/>
    </row>
    <row r="686" spans="1:4">
      <c r="A686" s="95"/>
      <c r="B686" s="95"/>
      <c r="C686" s="55" t="s">
        <v>336</v>
      </c>
      <c r="D686" s="55"/>
    </row>
    <row r="687" spans="1:4">
      <c r="A687" s="95"/>
      <c r="B687" s="95"/>
      <c r="C687" s="55" t="s">
        <v>928</v>
      </c>
      <c r="D687" s="55"/>
    </row>
    <row r="688" spans="1:4">
      <c r="A688" s="71"/>
      <c r="B688" s="68" t="s">
        <v>944</v>
      </c>
      <c r="C688" s="57" t="s">
        <v>945</v>
      </c>
      <c r="D688" s="57"/>
    </row>
    <row r="689" spans="1:4">
      <c r="A689" s="72"/>
      <c r="B689" s="70"/>
      <c r="C689" s="57" t="s">
        <v>946</v>
      </c>
      <c r="D689" s="57"/>
    </row>
    <row r="690" spans="1:4">
      <c r="A690" s="93"/>
      <c r="B690" s="93" t="s">
        <v>947</v>
      </c>
      <c r="C690" s="55" t="s">
        <v>948</v>
      </c>
      <c r="D690" s="55"/>
    </row>
    <row r="691" spans="1:4">
      <c r="A691" s="95"/>
      <c r="B691" s="95"/>
      <c r="C691" s="55" t="s">
        <v>949</v>
      </c>
      <c r="D691" s="55"/>
    </row>
    <row r="692" spans="1:4">
      <c r="A692" s="71"/>
      <c r="B692" s="71" t="s">
        <v>950</v>
      </c>
      <c r="C692" s="57" t="s">
        <v>951</v>
      </c>
      <c r="D692" s="57"/>
    </row>
    <row r="693" spans="1:4">
      <c r="A693" s="72"/>
      <c r="B693" s="72"/>
      <c r="C693" s="57" t="s">
        <v>767</v>
      </c>
      <c r="D693" s="57"/>
    </row>
    <row r="694" spans="1:4">
      <c r="A694" s="72"/>
      <c r="B694" s="72"/>
      <c r="C694" s="57" t="s">
        <v>952</v>
      </c>
      <c r="D694" s="57"/>
    </row>
    <row r="695" spans="1:4">
      <c r="A695" s="72"/>
      <c r="B695" s="72"/>
      <c r="C695" s="57" t="s">
        <v>953</v>
      </c>
      <c r="D695" s="57"/>
    </row>
    <row r="696" spans="1:4">
      <c r="A696" s="72"/>
      <c r="B696" s="72"/>
      <c r="C696" s="57" t="s">
        <v>954</v>
      </c>
      <c r="D696" s="57"/>
    </row>
    <row r="697" spans="1:4">
      <c r="A697" s="72"/>
      <c r="B697" s="72"/>
      <c r="C697" s="57" t="s">
        <v>172</v>
      </c>
      <c r="D697" s="57"/>
    </row>
    <row r="698" spans="1:4">
      <c r="A698" s="72"/>
      <c r="B698" s="72"/>
      <c r="C698" s="57" t="s">
        <v>955</v>
      </c>
      <c r="D698" s="57"/>
    </row>
    <row r="699" spans="1:4">
      <c r="A699" s="72"/>
      <c r="B699" s="72"/>
      <c r="C699" s="57" t="s">
        <v>956</v>
      </c>
      <c r="D699" s="57"/>
    </row>
    <row r="700" spans="1:4">
      <c r="A700" s="72"/>
      <c r="B700" s="72"/>
      <c r="C700" s="57" t="s">
        <v>336</v>
      </c>
      <c r="D700" s="57"/>
    </row>
    <row r="701" spans="1:4">
      <c r="A701" s="93"/>
      <c r="B701" s="93" t="s">
        <v>957</v>
      </c>
      <c r="C701" s="55" t="s">
        <v>456</v>
      </c>
      <c r="D701" s="55"/>
    </row>
    <row r="702" spans="1:4">
      <c r="A702" s="95"/>
      <c r="B702" s="95"/>
      <c r="C702" s="55" t="s">
        <v>457</v>
      </c>
      <c r="D702" s="55"/>
    </row>
    <row r="703" spans="1:4">
      <c r="A703" s="95"/>
      <c r="B703" s="95"/>
      <c r="C703" s="55" t="s">
        <v>458</v>
      </c>
      <c r="D703" s="55"/>
    </row>
    <row r="704" spans="1:4">
      <c r="A704" s="95"/>
      <c r="B704" s="95"/>
      <c r="C704" s="55" t="s">
        <v>459</v>
      </c>
      <c r="D704" s="55"/>
    </row>
    <row r="705" spans="1:5">
      <c r="A705" s="95"/>
      <c r="B705" s="95"/>
      <c r="C705" s="55" t="s">
        <v>460</v>
      </c>
      <c r="D705" s="55"/>
    </row>
    <row r="706" spans="1:5">
      <c r="A706" s="95"/>
      <c r="B706" s="95"/>
      <c r="C706" s="55" t="s">
        <v>461</v>
      </c>
      <c r="D706" s="55"/>
    </row>
    <row r="707" spans="1:5">
      <c r="A707" s="95"/>
      <c r="B707" s="95"/>
      <c r="C707" s="55" t="s">
        <v>463</v>
      </c>
      <c r="D707" s="55"/>
    </row>
    <row r="708" spans="1:5">
      <c r="A708" s="95"/>
      <c r="B708" s="95"/>
      <c r="C708" s="55" t="s">
        <v>464</v>
      </c>
      <c r="D708" s="55"/>
    </row>
    <row r="709" spans="1:5">
      <c r="A709" s="95"/>
      <c r="B709" s="95"/>
      <c r="C709" s="55" t="s">
        <v>465</v>
      </c>
      <c r="D709" s="55"/>
    </row>
    <row r="710" spans="1:5">
      <c r="A710" s="95"/>
      <c r="B710" s="95"/>
      <c r="C710" s="55" t="s">
        <v>466</v>
      </c>
      <c r="D710" s="55"/>
    </row>
    <row r="711" spans="1:5">
      <c r="A711" s="95"/>
      <c r="B711" s="95"/>
      <c r="C711" s="55" t="s">
        <v>467</v>
      </c>
      <c r="D711" s="55"/>
    </row>
    <row r="712" spans="1:5">
      <c r="A712" s="95"/>
      <c r="B712" s="95"/>
      <c r="C712" s="55" t="s">
        <v>468</v>
      </c>
      <c r="D712" s="55"/>
    </row>
    <row r="713" spans="1:5">
      <c r="A713" s="95"/>
      <c r="B713" s="95"/>
      <c r="C713" s="55" t="s">
        <v>469</v>
      </c>
      <c r="D713" s="55"/>
    </row>
    <row r="714" spans="1:5">
      <c r="A714" s="95"/>
      <c r="B714" s="95"/>
      <c r="C714" s="55" t="s">
        <v>470</v>
      </c>
      <c r="D714" s="55"/>
    </row>
    <row r="715" spans="1:5">
      <c r="A715" s="95"/>
      <c r="B715" s="95"/>
      <c r="C715" s="55" t="s">
        <v>471</v>
      </c>
      <c r="D715" s="55"/>
    </row>
    <row r="716" spans="1:5">
      <c r="A716" s="95"/>
      <c r="B716" s="95"/>
      <c r="C716" s="55" t="s">
        <v>472</v>
      </c>
      <c r="D716" s="55" t="s">
        <v>473</v>
      </c>
      <c r="E716" t="s">
        <v>238</v>
      </c>
    </row>
    <row r="717" spans="1:5">
      <c r="A717" s="95"/>
      <c r="B717" s="95"/>
      <c r="C717" s="55" t="s">
        <v>474</v>
      </c>
      <c r="D717" s="55"/>
    </row>
    <row r="718" spans="1:5">
      <c r="A718" s="95"/>
      <c r="B718" s="95"/>
      <c r="C718" s="55" t="s">
        <v>475</v>
      </c>
      <c r="D718" s="55"/>
    </row>
    <row r="719" spans="1:5">
      <c r="A719" s="95"/>
      <c r="B719" s="95"/>
      <c r="C719" s="55" t="s">
        <v>476</v>
      </c>
      <c r="D719" s="55"/>
    </row>
    <row r="720" spans="1:5">
      <c r="A720" s="95"/>
      <c r="B720" s="95"/>
      <c r="C720" s="55" t="s">
        <v>477</v>
      </c>
      <c r="D720" s="55"/>
    </row>
    <row r="721" spans="1:4">
      <c r="A721" s="95"/>
      <c r="B721" s="95"/>
      <c r="C721" s="55" t="s">
        <v>478</v>
      </c>
      <c r="D721" s="55"/>
    </row>
    <row r="722" spans="1:4">
      <c r="A722" s="95"/>
      <c r="B722" s="95"/>
      <c r="C722" s="55" t="s">
        <v>479</v>
      </c>
      <c r="D722" s="55"/>
    </row>
    <row r="723" spans="1:4">
      <c r="A723" s="95"/>
      <c r="B723" s="95"/>
      <c r="C723" s="55" t="s">
        <v>480</v>
      </c>
      <c r="D723" s="55"/>
    </row>
    <row r="724" spans="1:4">
      <c r="A724" s="95"/>
      <c r="B724" s="95"/>
      <c r="C724" s="55" t="s">
        <v>481</v>
      </c>
      <c r="D724" s="55"/>
    </row>
    <row r="725" spans="1:4">
      <c r="A725" s="95"/>
      <c r="B725" s="95"/>
      <c r="C725" s="55" t="s">
        <v>482</v>
      </c>
      <c r="D725" s="55"/>
    </row>
    <row r="726" spans="1:4">
      <c r="A726" s="95"/>
      <c r="B726" s="95"/>
      <c r="C726" s="55" t="s">
        <v>483</v>
      </c>
      <c r="D726" s="55"/>
    </row>
    <row r="727" spans="1:4">
      <c r="A727" s="95"/>
      <c r="B727" s="95"/>
      <c r="C727" s="55" t="s">
        <v>484</v>
      </c>
      <c r="D727" s="55"/>
    </row>
    <row r="728" spans="1:4">
      <c r="A728" s="95"/>
      <c r="B728" s="95"/>
      <c r="C728" s="55" t="s">
        <v>485</v>
      </c>
      <c r="D728" s="55"/>
    </row>
    <row r="729" spans="1:4">
      <c r="A729" s="95"/>
      <c r="B729" s="95"/>
      <c r="C729" s="55" t="s">
        <v>486</v>
      </c>
      <c r="D729" s="55"/>
    </row>
    <row r="730" spans="1:4">
      <c r="A730" s="95"/>
      <c r="B730" s="95"/>
      <c r="C730" s="55" t="s">
        <v>487</v>
      </c>
      <c r="D730" s="55"/>
    </row>
    <row r="731" spans="1:4">
      <c r="A731" s="95"/>
      <c r="B731" s="95"/>
      <c r="C731" s="55" t="s">
        <v>488</v>
      </c>
      <c r="D731" s="55"/>
    </row>
    <row r="732" spans="1:4">
      <c r="A732" s="95"/>
      <c r="B732" s="95"/>
      <c r="C732" s="55" t="s">
        <v>489</v>
      </c>
      <c r="D732" s="55"/>
    </row>
    <row r="733" spans="1:4">
      <c r="A733" s="95"/>
      <c r="B733" s="95"/>
      <c r="C733" s="55" t="s">
        <v>490</v>
      </c>
      <c r="D733" s="55"/>
    </row>
    <row r="734" spans="1:4">
      <c r="A734" s="95"/>
      <c r="B734" s="95"/>
      <c r="C734" s="55" t="s">
        <v>491</v>
      </c>
      <c r="D734" s="55"/>
    </row>
    <row r="735" spans="1:4">
      <c r="A735" s="95"/>
      <c r="B735" s="95"/>
      <c r="C735" s="55" t="s">
        <v>492</v>
      </c>
      <c r="D735" s="55"/>
    </row>
    <row r="736" spans="1:4">
      <c r="A736" s="95"/>
      <c r="B736" s="95"/>
      <c r="C736" s="55" t="s">
        <v>493</v>
      </c>
      <c r="D736" s="55"/>
    </row>
    <row r="737" spans="1:4">
      <c r="A737" s="95"/>
      <c r="B737" s="95"/>
      <c r="C737" s="55" t="s">
        <v>494</v>
      </c>
      <c r="D737" s="55"/>
    </row>
    <row r="738" spans="1:4">
      <c r="A738" s="95"/>
      <c r="B738" s="95"/>
      <c r="C738" s="55" t="s">
        <v>495</v>
      </c>
      <c r="D738" s="55"/>
    </row>
    <row r="739" spans="1:4">
      <c r="A739" s="95"/>
      <c r="B739" s="95"/>
      <c r="C739" s="55" t="s">
        <v>496</v>
      </c>
      <c r="D739" s="55"/>
    </row>
    <row r="740" spans="1:4">
      <c r="A740" s="95"/>
      <c r="B740" s="95"/>
      <c r="C740" s="55" t="s">
        <v>497</v>
      </c>
      <c r="D740" s="55"/>
    </row>
    <row r="741" spans="1:4">
      <c r="A741" s="95"/>
      <c r="B741" s="95"/>
      <c r="C741" s="55" t="s">
        <v>498</v>
      </c>
      <c r="D741" s="55"/>
    </row>
    <row r="742" spans="1:4">
      <c r="A742" s="95"/>
      <c r="B742" s="95"/>
      <c r="C742" s="55" t="s">
        <v>499</v>
      </c>
      <c r="D742" s="55"/>
    </row>
    <row r="743" spans="1:4">
      <c r="A743" s="95"/>
      <c r="B743" s="95"/>
      <c r="C743" s="55" t="s">
        <v>500</v>
      </c>
      <c r="D743" s="55"/>
    </row>
    <row r="744" spans="1:4">
      <c r="A744" s="95"/>
      <c r="B744" s="95"/>
      <c r="C744" s="55" t="s">
        <v>501</v>
      </c>
      <c r="D744" s="55"/>
    </row>
    <row r="745" spans="1:4">
      <c r="A745" s="95"/>
      <c r="B745" s="95"/>
      <c r="C745" s="55" t="s">
        <v>502</v>
      </c>
      <c r="D745" s="55"/>
    </row>
    <row r="746" spans="1:4">
      <c r="A746" s="95"/>
      <c r="B746" s="95"/>
      <c r="C746" s="55" t="s">
        <v>503</v>
      </c>
      <c r="D746" s="55"/>
    </row>
    <row r="747" spans="1:4">
      <c r="A747" s="95"/>
      <c r="B747" s="95"/>
      <c r="C747" s="55" t="s">
        <v>504</v>
      </c>
      <c r="D747" s="55"/>
    </row>
    <row r="748" spans="1:4">
      <c r="A748" s="95"/>
      <c r="B748" s="95"/>
      <c r="C748" s="55" t="s">
        <v>505</v>
      </c>
      <c r="D748" s="55"/>
    </row>
    <row r="749" spans="1:4">
      <c r="A749" s="95"/>
      <c r="B749" s="95"/>
      <c r="C749" s="55" t="s">
        <v>506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231</v>
      </c>
      <c r="D751" s="55"/>
    </row>
    <row r="752" spans="1:4">
      <c r="A752" s="95"/>
      <c r="B752" s="95"/>
      <c r="C752" s="55" t="s">
        <v>232</v>
      </c>
      <c r="D752" s="55"/>
    </row>
    <row r="753" spans="1:4">
      <c r="A753" s="95"/>
      <c r="B753" s="95"/>
      <c r="C753" s="55" t="s">
        <v>233</v>
      </c>
      <c r="D753" s="55"/>
    </row>
    <row r="754" spans="1:4">
      <c r="A754" s="95"/>
      <c r="B754" s="95"/>
      <c r="C754" s="55" t="s">
        <v>234</v>
      </c>
      <c r="D754" s="55"/>
    </row>
    <row r="755" spans="1:4">
      <c r="A755" s="95"/>
      <c r="B755" s="95"/>
      <c r="C755" s="55" t="s">
        <v>235</v>
      </c>
      <c r="D755" s="55"/>
    </row>
    <row r="756" spans="1:4">
      <c r="A756" s="95"/>
      <c r="B756" s="95"/>
      <c r="C756" s="55" t="s">
        <v>236</v>
      </c>
      <c r="D756" s="55"/>
    </row>
    <row r="757" spans="1:4">
      <c r="A757" s="95"/>
      <c r="B757" s="95"/>
      <c r="C757" s="55" t="s">
        <v>237</v>
      </c>
      <c r="D757" s="55"/>
    </row>
    <row r="758" spans="1:4">
      <c r="A758" s="95"/>
      <c r="B758" s="95"/>
      <c r="C758" s="55" t="s">
        <v>239</v>
      </c>
      <c r="D758" s="55"/>
    </row>
    <row r="759" spans="1:4">
      <c r="A759" s="95"/>
      <c r="B759" s="95"/>
      <c r="C759" s="55" t="s">
        <v>240</v>
      </c>
      <c r="D759" s="55"/>
    </row>
    <row r="760" spans="1:4">
      <c r="A760" s="95"/>
      <c r="B760" s="95"/>
      <c r="C760" s="55" t="s">
        <v>241</v>
      </c>
      <c r="D760" s="55"/>
    </row>
    <row r="761" spans="1:4">
      <c r="A761" s="95"/>
      <c r="B761" s="95"/>
      <c r="C761" s="55" t="s">
        <v>242</v>
      </c>
      <c r="D761" s="55"/>
    </row>
    <row r="762" spans="1:4">
      <c r="A762" s="95"/>
      <c r="B762" s="95"/>
      <c r="C762" s="55" t="s">
        <v>243</v>
      </c>
      <c r="D762" s="55"/>
    </row>
    <row r="763" spans="1:4">
      <c r="A763" s="95"/>
      <c r="B763" s="95"/>
      <c r="C763" s="55" t="s">
        <v>244</v>
      </c>
      <c r="D763" s="55"/>
    </row>
    <row r="764" spans="1:4">
      <c r="A764" s="95"/>
      <c r="B764" s="95"/>
      <c r="C764" s="55" t="s">
        <v>245</v>
      </c>
      <c r="D764" s="55"/>
    </row>
    <row r="765" spans="1:4">
      <c r="A765" s="95"/>
      <c r="B765" s="95"/>
      <c r="C765" s="55" t="s">
        <v>246</v>
      </c>
      <c r="D765" s="55"/>
    </row>
    <row r="766" spans="1:4">
      <c r="A766" s="95"/>
      <c r="B766" s="95"/>
      <c r="C766" s="55" t="s">
        <v>247</v>
      </c>
      <c r="D766" s="55"/>
    </row>
    <row r="767" spans="1:4">
      <c r="A767" s="95"/>
      <c r="B767" s="95"/>
      <c r="C767" s="55" t="s">
        <v>125</v>
      </c>
      <c r="D767" s="55"/>
    </row>
    <row r="768" spans="1:4">
      <c r="A768" s="95"/>
      <c r="B768" s="95"/>
      <c r="C768" s="55" t="s">
        <v>248</v>
      </c>
      <c r="D768" s="55"/>
    </row>
    <row r="769" spans="1:5">
      <c r="A769" s="95"/>
      <c r="B769" s="95"/>
      <c r="C769" s="55" t="s">
        <v>249</v>
      </c>
      <c r="D769" s="55"/>
    </row>
    <row r="770" spans="1:5">
      <c r="A770" s="95"/>
      <c r="B770" s="95"/>
      <c r="C770" s="55" t="s">
        <v>250</v>
      </c>
      <c r="D770" s="55"/>
    </row>
    <row r="771" spans="1:5">
      <c r="A771" s="95"/>
      <c r="B771" s="95"/>
      <c r="C771" s="55" t="s">
        <v>251</v>
      </c>
      <c r="D771" s="55"/>
    </row>
    <row r="772" spans="1:5">
      <c r="A772" s="95"/>
      <c r="B772" s="95"/>
      <c r="C772" s="55" t="s">
        <v>252</v>
      </c>
      <c r="D772" s="55"/>
    </row>
    <row r="773" spans="1:5">
      <c r="A773" s="95"/>
      <c r="B773" s="95"/>
      <c r="C773" s="55" t="s">
        <v>253</v>
      </c>
      <c r="D773" s="55"/>
    </row>
    <row r="774" spans="1:5">
      <c r="A774" s="95"/>
      <c r="B774" s="95"/>
      <c r="C774" s="55" t="s">
        <v>254</v>
      </c>
      <c r="D774" s="55"/>
    </row>
    <row r="775" spans="1:5">
      <c r="A775" s="95"/>
      <c r="B775" s="95"/>
      <c r="C775" s="55" t="s">
        <v>255</v>
      </c>
      <c r="D775" s="55"/>
    </row>
    <row r="776" spans="1:5">
      <c r="A776" s="95"/>
      <c r="B776" s="95"/>
      <c r="C776" s="55" t="s">
        <v>256</v>
      </c>
      <c r="D776" s="55"/>
    </row>
    <row r="777" spans="1:5">
      <c r="A777" s="95"/>
      <c r="B777" s="95"/>
      <c r="C777" s="55" t="s">
        <v>257</v>
      </c>
      <c r="D777" s="55"/>
    </row>
    <row r="778" spans="1:5">
      <c r="A778" s="95"/>
      <c r="B778" s="95"/>
      <c r="C778" s="55" t="s">
        <v>258</v>
      </c>
      <c r="D778" s="55"/>
    </row>
    <row r="779" spans="1:5">
      <c r="A779" s="95"/>
      <c r="B779" s="95"/>
      <c r="C779" s="55" t="s">
        <v>259</v>
      </c>
      <c r="D779" s="55"/>
    </row>
    <row r="780" spans="1:5">
      <c r="A780" s="95"/>
      <c r="B780" s="95"/>
      <c r="C780" s="55" t="s">
        <v>260</v>
      </c>
      <c r="D780" s="55"/>
    </row>
    <row r="781" spans="1:5">
      <c r="A781" s="95"/>
      <c r="B781" s="95"/>
      <c r="C781" s="55" t="s">
        <v>261</v>
      </c>
      <c r="D781" s="55"/>
    </row>
    <row r="782" spans="1:5">
      <c r="A782" s="95"/>
      <c r="B782" s="95"/>
      <c r="C782" s="55" t="s">
        <v>262</v>
      </c>
      <c r="D782" s="55"/>
      <c r="E782" t="s">
        <v>238</v>
      </c>
    </row>
    <row r="783" spans="1:5">
      <c r="A783" s="95"/>
      <c r="B783" s="95"/>
      <c r="C783" s="55" t="s">
        <v>263</v>
      </c>
      <c r="D783" s="55"/>
      <c r="E783" t="s">
        <v>238</v>
      </c>
    </row>
    <row r="784" spans="1:5">
      <c r="A784" s="95"/>
      <c r="B784" s="95"/>
      <c r="C784" s="55" t="s">
        <v>266</v>
      </c>
      <c r="D784" s="55"/>
      <c r="E784" t="s">
        <v>238</v>
      </c>
    </row>
    <row r="785" spans="1:5">
      <c r="A785" s="95"/>
      <c r="B785" s="95"/>
      <c r="C785" s="55" t="s">
        <v>267</v>
      </c>
      <c r="D785" s="55"/>
    </row>
    <row r="786" spans="1:5">
      <c r="A786" s="95"/>
      <c r="B786" s="95"/>
      <c r="C786" s="55" t="s">
        <v>268</v>
      </c>
      <c r="D786" s="55"/>
    </row>
    <row r="787" spans="1:5">
      <c r="A787" s="95"/>
      <c r="B787" s="95"/>
      <c r="C787" s="55" t="s">
        <v>269</v>
      </c>
      <c r="D787" s="55"/>
    </row>
    <row r="788" spans="1:5">
      <c r="A788" s="95"/>
      <c r="B788" s="95"/>
      <c r="C788" s="55" t="s">
        <v>270</v>
      </c>
      <c r="D788" s="55"/>
    </row>
    <row r="789" spans="1:5">
      <c r="A789" s="95"/>
      <c r="B789" s="95"/>
      <c r="C789" s="55" t="s">
        <v>271</v>
      </c>
      <c r="D789" s="55"/>
    </row>
    <row r="790" spans="1:5">
      <c r="A790" s="95"/>
      <c r="B790" s="95"/>
      <c r="C790" s="55" t="s">
        <v>272</v>
      </c>
      <c r="D790" s="55"/>
      <c r="E790" t="s">
        <v>238</v>
      </c>
    </row>
    <row r="791" spans="1:5">
      <c r="A791" s="95"/>
      <c r="B791" s="95"/>
      <c r="C791" s="55" t="s">
        <v>273</v>
      </c>
      <c r="D791" s="55"/>
    </row>
    <row r="792" spans="1:5">
      <c r="A792" s="95"/>
      <c r="B792" s="95"/>
      <c r="C792" s="55" t="s">
        <v>274</v>
      </c>
      <c r="D792" s="55"/>
    </row>
    <row r="793" spans="1:5">
      <c r="A793" s="95"/>
      <c r="B793" s="95"/>
      <c r="C793" s="55" t="s">
        <v>275</v>
      </c>
      <c r="D793" s="55"/>
    </row>
    <row r="794" spans="1:5">
      <c r="A794" s="95"/>
      <c r="B794" s="95"/>
      <c r="C794" s="55" t="s">
        <v>958</v>
      </c>
      <c r="D794" s="55"/>
    </row>
    <row r="795" spans="1:5">
      <c r="A795" s="95"/>
      <c r="B795" s="95"/>
      <c r="C795" s="55" t="s">
        <v>276</v>
      </c>
      <c r="D795" s="55"/>
    </row>
    <row r="796" spans="1:5">
      <c r="A796" s="95"/>
      <c r="B796" s="95"/>
      <c r="C796" s="55" t="s">
        <v>277</v>
      </c>
      <c r="D796" s="55"/>
    </row>
    <row r="797" spans="1:5">
      <c r="A797" s="95"/>
      <c r="B797" s="95"/>
      <c r="C797" s="55" t="s">
        <v>278</v>
      </c>
      <c r="D797" s="55"/>
    </row>
    <row r="798" spans="1:5">
      <c r="A798" s="95"/>
      <c r="B798" s="95"/>
      <c r="C798" s="55" t="s">
        <v>279</v>
      </c>
      <c r="D798" s="55"/>
    </row>
    <row r="799" spans="1:5">
      <c r="A799" s="95"/>
      <c r="B799" s="95"/>
      <c r="C799" s="55" t="s">
        <v>280</v>
      </c>
      <c r="D799" s="55"/>
    </row>
    <row r="800" spans="1:5">
      <c r="A800" s="95"/>
      <c r="B800" s="95"/>
      <c r="C800" s="55" t="s">
        <v>281</v>
      </c>
      <c r="D800" s="55"/>
    </row>
    <row r="801" spans="1:5">
      <c r="A801" s="95"/>
      <c r="B801" s="95"/>
      <c r="C801" s="55" t="s">
        <v>282</v>
      </c>
      <c r="D801" s="55"/>
    </row>
    <row r="802" spans="1:5">
      <c r="A802" s="95"/>
      <c r="B802" s="95"/>
      <c r="C802" s="55" t="s">
        <v>283</v>
      </c>
      <c r="D802" s="55"/>
    </row>
    <row r="803" spans="1:5">
      <c r="A803" s="95"/>
      <c r="B803" s="95"/>
      <c r="C803" s="55" t="s">
        <v>284</v>
      </c>
      <c r="D803" s="55"/>
    </row>
    <row r="804" spans="1:5">
      <c r="A804" s="95"/>
      <c r="B804" s="95"/>
      <c r="C804" s="55" t="s">
        <v>285</v>
      </c>
      <c r="D804" s="55"/>
    </row>
    <row r="805" spans="1:5">
      <c r="A805" s="95"/>
      <c r="B805" s="95"/>
      <c r="C805" s="55" t="s">
        <v>286</v>
      </c>
      <c r="D805" s="55"/>
    </row>
    <row r="806" spans="1:5">
      <c r="A806" s="95"/>
      <c r="B806" s="95"/>
      <c r="C806" s="55" t="s">
        <v>287</v>
      </c>
      <c r="D806" s="55"/>
    </row>
    <row r="807" spans="1:5">
      <c r="A807" s="95"/>
      <c r="B807" s="95"/>
      <c r="C807" s="55" t="s">
        <v>288</v>
      </c>
      <c r="D807" s="55"/>
    </row>
    <row r="808" spans="1:5">
      <c r="A808" s="95"/>
      <c r="B808" s="95"/>
      <c r="C808" s="55" t="s">
        <v>290</v>
      </c>
      <c r="D808" s="55"/>
    </row>
    <row r="809" spans="1:5">
      <c r="A809" s="95"/>
      <c r="B809" s="95"/>
      <c r="C809" s="55" t="s">
        <v>289</v>
      </c>
      <c r="D809" s="55"/>
      <c r="E809" t="s">
        <v>238</v>
      </c>
    </row>
    <row r="810" spans="1:5">
      <c r="A810" s="95"/>
      <c r="B810" s="95"/>
      <c r="C810" s="55" t="s">
        <v>291</v>
      </c>
      <c r="D810" s="55"/>
    </row>
    <row r="811" spans="1:5">
      <c r="A811" s="95"/>
      <c r="B811" s="95"/>
      <c r="C811" s="55" t="s">
        <v>292</v>
      </c>
      <c r="D811" s="55"/>
    </row>
    <row r="812" spans="1:5">
      <c r="A812" s="95"/>
      <c r="B812" s="95"/>
      <c r="C812" s="55" t="s">
        <v>293</v>
      </c>
      <c r="D812" s="55"/>
    </row>
    <row r="813" spans="1:5">
      <c r="A813" s="95"/>
      <c r="B813" s="95"/>
      <c r="C813" s="55" t="s">
        <v>294</v>
      </c>
      <c r="D813" s="55"/>
    </row>
    <row r="814" spans="1:5">
      <c r="A814" s="95"/>
      <c r="B814" s="95"/>
      <c r="C814" s="55" t="s">
        <v>295</v>
      </c>
      <c r="D814" s="55"/>
    </row>
    <row r="815" spans="1:5">
      <c r="A815" s="95"/>
      <c r="B815" s="95"/>
      <c r="C815" s="55" t="s">
        <v>296</v>
      </c>
      <c r="D815" s="55"/>
    </row>
    <row r="816" spans="1:5">
      <c r="A816" s="95"/>
      <c r="B816" s="95"/>
      <c r="C816" s="55" t="s">
        <v>297</v>
      </c>
      <c r="D816" s="55"/>
    </row>
    <row r="817" spans="1:4">
      <c r="A817" s="95"/>
      <c r="B817" s="95"/>
      <c r="C817" s="55" t="s">
        <v>298</v>
      </c>
      <c r="D817" s="55"/>
    </row>
    <row r="818" spans="1:4">
      <c r="A818" s="95"/>
      <c r="B818" s="95"/>
      <c r="C818" s="55" t="s">
        <v>299</v>
      </c>
      <c r="D818" s="55"/>
    </row>
    <row r="819" spans="1:4">
      <c r="A819" s="95"/>
      <c r="B819" s="95"/>
      <c r="C819" s="55" t="s">
        <v>300</v>
      </c>
      <c r="D819" s="55"/>
    </row>
    <row r="820" spans="1:4">
      <c r="A820" s="95"/>
      <c r="B820" s="95"/>
      <c r="C820" s="55" t="s">
        <v>301</v>
      </c>
      <c r="D820" s="55"/>
    </row>
    <row r="821" spans="1:4">
      <c r="A821" s="95"/>
      <c r="B821" s="95"/>
      <c r="C821" s="55" t="s">
        <v>302</v>
      </c>
      <c r="D821" s="55"/>
    </row>
    <row r="822" spans="1:4">
      <c r="A822" s="95"/>
      <c r="B822" s="95"/>
      <c r="C822" s="55" t="s">
        <v>303</v>
      </c>
      <c r="D822" s="55"/>
    </row>
    <row r="823" spans="1:4">
      <c r="A823" s="95"/>
      <c r="B823" s="95"/>
      <c r="C823" s="55" t="s">
        <v>304</v>
      </c>
      <c r="D823" s="55"/>
    </row>
    <row r="824" spans="1:4">
      <c r="A824" s="95"/>
      <c r="B824" s="95"/>
      <c r="C824" s="55" t="s">
        <v>305</v>
      </c>
      <c r="D824" s="55"/>
    </row>
    <row r="825" spans="1:4">
      <c r="A825" s="95"/>
      <c r="B825" s="95"/>
      <c r="C825" s="55" t="s">
        <v>306</v>
      </c>
      <c r="D825" s="55"/>
    </row>
    <row r="826" spans="1:4">
      <c r="A826" s="95"/>
      <c r="B826" s="95"/>
      <c r="C826" s="55" t="s">
        <v>307</v>
      </c>
      <c r="D826" s="55"/>
    </row>
    <row r="827" spans="1:4">
      <c r="A827" s="95"/>
      <c r="B827" s="95"/>
      <c r="C827" s="55" t="s">
        <v>308</v>
      </c>
      <c r="D827" s="55"/>
    </row>
    <row r="828" spans="1:4">
      <c r="A828" s="95"/>
      <c r="B828" s="95"/>
      <c r="C828" s="55" t="s">
        <v>309</v>
      </c>
      <c r="D828" s="55"/>
    </row>
    <row r="829" spans="1:4">
      <c r="A829" s="95"/>
      <c r="B829" s="95"/>
      <c r="C829" s="55" t="s">
        <v>310</v>
      </c>
      <c r="D829" s="55"/>
    </row>
    <row r="830" spans="1:4">
      <c r="A830" s="95"/>
      <c r="B830" s="95"/>
      <c r="C830" s="55" t="s">
        <v>311</v>
      </c>
      <c r="D830" s="55"/>
    </row>
    <row r="831" spans="1:4">
      <c r="A831" s="95"/>
      <c r="B831" s="95"/>
      <c r="C831" s="55" t="s">
        <v>959</v>
      </c>
      <c r="D831" s="127" t="s">
        <v>960</v>
      </c>
    </row>
    <row r="832" spans="1:4">
      <c r="A832" s="95"/>
      <c r="B832" s="95"/>
      <c r="C832" s="55" t="s">
        <v>961</v>
      </c>
      <c r="D832" s="127" t="s">
        <v>323</v>
      </c>
    </row>
    <row r="833" spans="1:4">
      <c r="A833" s="95"/>
      <c r="B833" s="95"/>
      <c r="C833" s="55" t="s">
        <v>962</v>
      </c>
      <c r="D833" s="127" t="s">
        <v>323</v>
      </c>
    </row>
    <row r="834" spans="1:4">
      <c r="A834" s="95"/>
      <c r="B834" s="95"/>
      <c r="C834" s="55" t="s">
        <v>963</v>
      </c>
      <c r="D834" s="125"/>
    </row>
    <row r="835" spans="1:4">
      <c r="A835" s="95"/>
      <c r="B835" s="95"/>
      <c r="C835" s="55" t="s">
        <v>319</v>
      </c>
      <c r="D835" s="55"/>
    </row>
    <row r="836" spans="1:4">
      <c r="A836" s="95"/>
      <c r="B836" s="95"/>
      <c r="C836" s="55" t="s">
        <v>314</v>
      </c>
      <c r="D836" s="55"/>
    </row>
    <row r="837" spans="1:4">
      <c r="A837" s="95"/>
      <c r="B837" s="95"/>
      <c r="C837" s="55" t="s">
        <v>315</v>
      </c>
      <c r="D837" s="55"/>
    </row>
    <row r="838" spans="1:4">
      <c r="A838" s="95"/>
      <c r="B838" s="95"/>
      <c r="C838" s="55" t="s">
        <v>312</v>
      </c>
      <c r="D838" s="55"/>
    </row>
    <row r="839" spans="1:4">
      <c r="A839" s="95"/>
      <c r="B839" s="95"/>
      <c r="C839" s="55" t="s">
        <v>316</v>
      </c>
      <c r="D839" s="55"/>
    </row>
    <row r="840" spans="1:4">
      <c r="A840" s="95"/>
      <c r="B840" s="95"/>
      <c r="C840" s="55" t="s">
        <v>313</v>
      </c>
      <c r="D840" s="55"/>
    </row>
    <row r="841" spans="1:4">
      <c r="A841" s="95"/>
      <c r="B841" s="95"/>
      <c r="C841" s="55" t="s">
        <v>317</v>
      </c>
      <c r="D841" s="55"/>
    </row>
    <row r="842" spans="1:4">
      <c r="A842" s="95"/>
      <c r="B842" s="95"/>
      <c r="C842" s="55" t="s">
        <v>964</v>
      </c>
      <c r="D842" s="55"/>
    </row>
    <row r="843" spans="1:4">
      <c r="A843" s="95"/>
      <c r="B843" s="95"/>
      <c r="C843" s="55" t="s">
        <v>965</v>
      </c>
      <c r="D843" s="55"/>
    </row>
    <row r="844" spans="1:4">
      <c r="A844" s="95"/>
      <c r="B844" s="95"/>
      <c r="C844" s="55" t="s">
        <v>966</v>
      </c>
      <c r="D844" s="55"/>
    </row>
    <row r="845" spans="1:4">
      <c r="A845" s="95"/>
      <c r="B845" s="95"/>
      <c r="C845" s="55" t="s">
        <v>967</v>
      </c>
      <c r="D845" s="55"/>
    </row>
    <row r="846" spans="1:4">
      <c r="A846" s="95"/>
      <c r="B846" s="95"/>
      <c r="C846" s="55" t="s">
        <v>968</v>
      </c>
      <c r="D846" s="55"/>
    </row>
    <row r="847" spans="1:4">
      <c r="A847" s="95"/>
      <c r="B847" s="95"/>
      <c r="C847" s="55" t="s">
        <v>969</v>
      </c>
      <c r="D847" s="55"/>
    </row>
    <row r="848" spans="1:4">
      <c r="A848" s="95"/>
      <c r="B848" s="95"/>
      <c r="C848" s="55" t="s">
        <v>970</v>
      </c>
      <c r="D848" s="55"/>
    </row>
    <row r="849" spans="1:4">
      <c r="A849" s="95"/>
      <c r="B849" s="95"/>
      <c r="C849" s="55" t="s">
        <v>971</v>
      </c>
      <c r="D849" s="55"/>
    </row>
    <row r="850" spans="1:4">
      <c r="A850" s="95"/>
      <c r="B850" s="95"/>
      <c r="C850" s="55" t="s">
        <v>336</v>
      </c>
      <c r="D850" s="55"/>
    </row>
    <row r="851" spans="1:4">
      <c r="A851" s="68" t="s">
        <v>972</v>
      </c>
      <c r="B851" s="68"/>
      <c r="C851" s="57" t="s">
        <v>362</v>
      </c>
      <c r="D851" s="57"/>
    </row>
    <row r="852" spans="1:4">
      <c r="A852" s="69"/>
      <c r="B852" s="69"/>
      <c r="C852" s="57" t="s">
        <v>159</v>
      </c>
      <c r="D852" s="57"/>
    </row>
    <row r="853" spans="1:4">
      <c r="A853" s="95" t="s">
        <v>973</v>
      </c>
      <c r="B853" s="95" t="s">
        <v>5</v>
      </c>
      <c r="C853" s="55" t="s">
        <v>974</v>
      </c>
      <c r="D853" s="55"/>
    </row>
    <row r="854" spans="1:4">
      <c r="A854" s="95"/>
      <c r="B854" s="95"/>
      <c r="C854" s="55" t="s">
        <v>975</v>
      </c>
      <c r="D854" s="55"/>
    </row>
    <row r="855" spans="1:4">
      <c r="A855" s="95"/>
      <c r="B855" s="95"/>
      <c r="C855" s="55" t="s">
        <v>976</v>
      </c>
      <c r="D855" s="55"/>
    </row>
    <row r="856" spans="1:4">
      <c r="A856" s="95"/>
      <c r="B856" s="95"/>
      <c r="C856" s="55" t="s">
        <v>977</v>
      </c>
      <c r="D856" s="55"/>
    </row>
    <row r="857" spans="1:4">
      <c r="A857" s="95"/>
      <c r="B857" s="95"/>
      <c r="C857" s="55" t="s">
        <v>978</v>
      </c>
      <c r="D857" s="55"/>
    </row>
    <row r="858" spans="1:4">
      <c r="A858" s="95"/>
      <c r="B858" s="95"/>
      <c r="C858" s="55" t="s">
        <v>979</v>
      </c>
      <c r="D858" s="55"/>
    </row>
    <row r="859" spans="1:4">
      <c r="A859" s="95"/>
      <c r="B859" s="95"/>
      <c r="C859" s="55" t="s">
        <v>980</v>
      </c>
      <c r="D859" s="55"/>
    </row>
    <row r="860" spans="1:4">
      <c r="A860" s="95"/>
      <c r="B860" s="95"/>
      <c r="C860" s="55" t="s">
        <v>981</v>
      </c>
      <c r="D860" s="55"/>
    </row>
    <row r="861" spans="1:4">
      <c r="A861" s="95"/>
      <c r="B861" s="95"/>
      <c r="C861" s="55" t="s">
        <v>982</v>
      </c>
      <c r="D861" s="55"/>
    </row>
    <row r="862" spans="1:4">
      <c r="A862" s="68" t="s">
        <v>983</v>
      </c>
      <c r="B862" s="68" t="s">
        <v>5</v>
      </c>
      <c r="C862" s="57" t="s">
        <v>60</v>
      </c>
      <c r="D862" s="57"/>
    </row>
    <row r="863" spans="1:4">
      <c r="A863" s="69"/>
      <c r="B863" s="69"/>
      <c r="C863" s="57" t="s">
        <v>984</v>
      </c>
      <c r="D863" s="57"/>
    </row>
    <row r="864" spans="1:4">
      <c r="A864" s="69"/>
      <c r="B864" s="69"/>
      <c r="C864" s="57" t="s">
        <v>71</v>
      </c>
      <c r="D864" s="57"/>
    </row>
    <row r="865" spans="1:4">
      <c r="A865" s="69"/>
      <c r="B865" s="69"/>
      <c r="C865" s="57" t="s">
        <v>985</v>
      </c>
      <c r="D865" s="57"/>
    </row>
    <row r="866" spans="1:4">
      <c r="A866" s="69"/>
      <c r="B866" s="69"/>
      <c r="C866" s="57" t="s">
        <v>30</v>
      </c>
      <c r="D866" s="57"/>
    </row>
    <row r="867" spans="1:4">
      <c r="A867" s="69"/>
      <c r="B867" s="69"/>
      <c r="C867" s="57" t="s">
        <v>986</v>
      </c>
      <c r="D867" s="57"/>
    </row>
    <row r="868" spans="1:4">
      <c r="A868" s="69"/>
      <c r="B868" s="69"/>
      <c r="C868" s="57" t="s">
        <v>41</v>
      </c>
      <c r="D868" s="57"/>
    </row>
    <row r="869" spans="1:4">
      <c r="A869" s="69"/>
      <c r="B869" s="69"/>
      <c r="C869" s="57" t="s">
        <v>987</v>
      </c>
      <c r="D869" s="57"/>
    </row>
    <row r="870" spans="1:4">
      <c r="A870" s="95" t="s">
        <v>988</v>
      </c>
      <c r="B870" s="95" t="s">
        <v>5</v>
      </c>
      <c r="C870" s="55" t="s">
        <v>60</v>
      </c>
      <c r="D870" s="55"/>
    </row>
    <row r="871" spans="1:4">
      <c r="A871" s="95"/>
      <c r="B871" s="95"/>
      <c r="C871" s="55" t="s">
        <v>71</v>
      </c>
      <c r="D871" s="55"/>
    </row>
    <row r="872" spans="1:4">
      <c r="A872" s="95"/>
      <c r="B872" s="95"/>
      <c r="C872" s="55" t="s">
        <v>30</v>
      </c>
      <c r="D872" s="55"/>
    </row>
    <row r="873" spans="1:4">
      <c r="A873" s="95"/>
      <c r="B873" s="95"/>
      <c r="C873" s="55" t="s">
        <v>336</v>
      </c>
      <c r="D873" s="55"/>
    </row>
    <row r="874" spans="1:4">
      <c r="A874" s="68" t="s">
        <v>989</v>
      </c>
      <c r="B874" s="68" t="s">
        <v>5</v>
      </c>
      <c r="C874" s="57" t="s">
        <v>990</v>
      </c>
      <c r="D874" s="57"/>
    </row>
    <row r="875" spans="1:4">
      <c r="A875" s="69"/>
      <c r="B875" s="69"/>
      <c r="C875" s="57" t="s">
        <v>777</v>
      </c>
      <c r="D875" s="57"/>
    </row>
    <row r="876" spans="1:4">
      <c r="A876" s="69"/>
      <c r="B876" s="69"/>
      <c r="C876" s="57" t="s">
        <v>778</v>
      </c>
      <c r="D876" s="57"/>
    </row>
    <row r="877" spans="1:4">
      <c r="A877" s="69"/>
      <c r="B877" s="69"/>
      <c r="C877" s="57" t="s">
        <v>779</v>
      </c>
      <c r="D877" s="57"/>
    </row>
    <row r="878" spans="1:4">
      <c r="A878" s="69"/>
      <c r="B878" s="69"/>
      <c r="C878" s="57" t="s">
        <v>991</v>
      </c>
      <c r="D878" s="57"/>
    </row>
    <row r="879" spans="1:4">
      <c r="A879" s="69"/>
      <c r="B879" s="69"/>
      <c r="C879" s="57" t="s">
        <v>992</v>
      </c>
      <c r="D879" s="57"/>
    </row>
    <row r="880" spans="1:4">
      <c r="A880" s="69"/>
      <c r="B880" s="69"/>
      <c r="C880" s="57" t="s">
        <v>993</v>
      </c>
      <c r="D880" s="57"/>
    </row>
    <row r="881" spans="1:5">
      <c r="A881" s="69"/>
      <c r="B881" s="69"/>
      <c r="C881" s="57" t="s">
        <v>994</v>
      </c>
      <c r="D881" s="57"/>
    </row>
    <row r="882" spans="1:5">
      <c r="A882" s="69"/>
      <c r="B882" s="69"/>
      <c r="C882" s="57" t="s">
        <v>995</v>
      </c>
      <c r="D882" s="57" t="s">
        <v>995</v>
      </c>
      <c r="E882" t="s">
        <v>238</v>
      </c>
    </row>
    <row r="883" spans="1:5">
      <c r="A883" s="70"/>
      <c r="B883" s="70"/>
      <c r="C883" s="57" t="s">
        <v>336</v>
      </c>
      <c r="D883" s="57"/>
    </row>
    <row r="884" spans="1:5">
      <c r="A884" s="84" t="s">
        <v>996</v>
      </c>
      <c r="B884" s="84" t="s">
        <v>5</v>
      </c>
      <c r="C884" s="55" t="s">
        <v>954</v>
      </c>
      <c r="D884" s="55"/>
    </row>
    <row r="885" spans="1:5">
      <c r="A885" s="85"/>
      <c r="B885" s="85"/>
      <c r="C885" s="55" t="s">
        <v>997</v>
      </c>
      <c r="D885" s="55"/>
    </row>
    <row r="886" spans="1:5">
      <c r="A886" s="85"/>
      <c r="B886" s="85"/>
      <c r="C886" s="55" t="s">
        <v>998</v>
      </c>
      <c r="D886" s="55"/>
    </row>
    <row r="887" spans="1:5">
      <c r="A887" s="85"/>
      <c r="B887" s="85"/>
      <c r="C887" s="55" t="s">
        <v>999</v>
      </c>
      <c r="D887" s="55"/>
    </row>
    <row r="888" spans="1:5">
      <c r="A888" s="85"/>
      <c r="B888" s="85"/>
      <c r="C888" s="55" t="s">
        <v>1000</v>
      </c>
      <c r="D888" s="55"/>
    </row>
    <row r="889" spans="1:5">
      <c r="A889" s="85"/>
      <c r="B889" s="85"/>
      <c r="C889" s="55" t="s">
        <v>1001</v>
      </c>
      <c r="D889" s="55" t="s">
        <v>1002</v>
      </c>
    </row>
    <row r="890" spans="1:5">
      <c r="A890" s="85"/>
      <c r="B890" s="85"/>
      <c r="C890" s="55" t="s">
        <v>1003</v>
      </c>
      <c r="D890" s="55"/>
    </row>
    <row r="891" spans="1:5">
      <c r="A891" s="68" t="s">
        <v>493</v>
      </c>
      <c r="B891" s="68" t="s">
        <v>5</v>
      </c>
      <c r="C891" s="57" t="s">
        <v>1004</v>
      </c>
      <c r="D891" s="57"/>
    </row>
    <row r="892" spans="1:5">
      <c r="A892" s="69"/>
      <c r="B892" s="69"/>
      <c r="C892" s="57" t="s">
        <v>1005</v>
      </c>
      <c r="D892" s="57"/>
    </row>
    <row r="893" spans="1:5">
      <c r="A893" s="69"/>
      <c r="B893" s="69"/>
      <c r="C893" s="57" t="s">
        <v>1006</v>
      </c>
      <c r="D893" s="57"/>
    </row>
    <row r="894" spans="1:5">
      <c r="A894" s="69"/>
      <c r="B894" s="69"/>
      <c r="C894" s="57" t="s">
        <v>1007</v>
      </c>
      <c r="D894" s="57"/>
    </row>
    <row r="895" spans="1:5">
      <c r="A895" s="69"/>
      <c r="B895" s="69"/>
      <c r="C895" s="57" t="s">
        <v>1008</v>
      </c>
      <c r="D895" s="57"/>
    </row>
    <row r="896" spans="1:5">
      <c r="A896" s="69"/>
      <c r="B896" s="69"/>
      <c r="C896" s="57" t="s">
        <v>336</v>
      </c>
      <c r="D896" s="57"/>
    </row>
    <row r="897" spans="1:4">
      <c r="A897" s="84" t="s">
        <v>1009</v>
      </c>
      <c r="B897" s="84" t="s">
        <v>5</v>
      </c>
      <c r="C897" s="55" t="s">
        <v>1010</v>
      </c>
      <c r="D897" s="55"/>
    </row>
    <row r="898" spans="1:4">
      <c r="A898" s="85"/>
      <c r="B898" s="85"/>
      <c r="C898" s="55" t="s">
        <v>1011</v>
      </c>
      <c r="D898" s="55"/>
    </row>
    <row r="899" spans="1:4">
      <c r="A899" s="85"/>
      <c r="B899" s="85"/>
      <c r="C899" s="55" t="s">
        <v>954</v>
      </c>
      <c r="D899" s="55"/>
    </row>
    <row r="900" spans="1:4">
      <c r="A900" s="85"/>
      <c r="B900" s="85"/>
      <c r="C900" s="55" t="s">
        <v>336</v>
      </c>
      <c r="D900" s="55"/>
    </row>
    <row r="901" spans="1:4">
      <c r="A901" s="68" t="s">
        <v>1012</v>
      </c>
      <c r="B901" s="68" t="s">
        <v>5</v>
      </c>
      <c r="C901" s="57" t="s">
        <v>1013</v>
      </c>
      <c r="D901" s="57"/>
    </row>
    <row r="902" spans="1:4">
      <c r="A902" s="69"/>
      <c r="B902" s="69"/>
      <c r="C902" s="57" t="s">
        <v>1014</v>
      </c>
      <c r="D902" s="57"/>
    </row>
    <row r="903" spans="1:4">
      <c r="A903" s="69"/>
      <c r="B903" s="69"/>
      <c r="C903" s="57" t="s">
        <v>768</v>
      </c>
      <c r="D903" s="57"/>
    </row>
    <row r="904" spans="1:4">
      <c r="A904" s="69"/>
      <c r="B904" s="69"/>
      <c r="C904" s="57" t="s">
        <v>1015</v>
      </c>
      <c r="D904" s="57"/>
    </row>
    <row r="905" spans="1:4">
      <c r="A905" s="69"/>
      <c r="B905" s="69"/>
      <c r="C905" s="57" t="s">
        <v>1016</v>
      </c>
      <c r="D905" s="57"/>
    </row>
    <row r="906" spans="1:4">
      <c r="A906" s="94" t="s">
        <v>1017</v>
      </c>
      <c r="B906" s="94" t="s">
        <v>5</v>
      </c>
      <c r="C906" s="60" t="s">
        <v>1018</v>
      </c>
      <c r="D906" s="60"/>
    </row>
    <row r="907" spans="1:4">
      <c r="A907" s="95"/>
      <c r="B907" s="95"/>
      <c r="C907" s="60" t="s">
        <v>1019</v>
      </c>
      <c r="D907" s="60"/>
    </row>
    <row r="908" spans="1:4">
      <c r="A908" s="95"/>
      <c r="B908" s="95"/>
      <c r="C908" s="55" t="s">
        <v>1020</v>
      </c>
      <c r="D908" s="55"/>
    </row>
    <row r="909" spans="1:4">
      <c r="A909" s="95"/>
      <c r="B909" s="95"/>
      <c r="C909" s="55" t="s">
        <v>1021</v>
      </c>
      <c r="D909" s="55"/>
    </row>
    <row r="910" spans="1:4">
      <c r="A910" s="95"/>
      <c r="B910" s="95"/>
      <c r="C910" s="55" t="s">
        <v>1022</v>
      </c>
      <c r="D910" s="55"/>
    </row>
    <row r="911" spans="1:4">
      <c r="A911" s="95"/>
      <c r="B911" s="95"/>
      <c r="C911" s="55" t="s">
        <v>1023</v>
      </c>
      <c r="D911" s="55"/>
    </row>
    <row r="912" spans="1:4">
      <c r="A912" s="90" t="s">
        <v>1024</v>
      </c>
      <c r="B912" s="90" t="s">
        <v>5</v>
      </c>
      <c r="C912" s="62" t="s">
        <v>60</v>
      </c>
      <c r="D912" s="62"/>
    </row>
    <row r="913" spans="1:5">
      <c r="A913" s="72"/>
      <c r="B913" s="72"/>
      <c r="C913" s="62" t="s">
        <v>984</v>
      </c>
      <c r="D913" s="62"/>
    </row>
    <row r="914" spans="1:5">
      <c r="A914" s="72"/>
      <c r="B914" s="72"/>
      <c r="C914" s="57" t="s">
        <v>71</v>
      </c>
      <c r="D914" s="57"/>
    </row>
    <row r="915" spans="1:5">
      <c r="A915" s="72"/>
      <c r="B915" s="72"/>
      <c r="C915" s="57" t="s">
        <v>985</v>
      </c>
      <c r="D915" s="57"/>
    </row>
    <row r="916" spans="1:5">
      <c r="A916" s="72"/>
      <c r="B916" s="72"/>
      <c r="C916" s="57" t="s">
        <v>30</v>
      </c>
      <c r="D916" s="57"/>
    </row>
    <row r="917" spans="1:5">
      <c r="A917" s="72"/>
      <c r="B917" s="72"/>
      <c r="C917" s="57" t="s">
        <v>986</v>
      </c>
      <c r="D917" s="57"/>
    </row>
    <row r="918" spans="1:5">
      <c r="A918" s="72"/>
      <c r="B918" s="72"/>
      <c r="C918" s="62" t="s">
        <v>41</v>
      </c>
      <c r="D918" s="62"/>
    </row>
    <row r="919" spans="1:5">
      <c r="A919" s="72"/>
      <c r="B919" s="72"/>
      <c r="C919" s="62" t="s">
        <v>987</v>
      </c>
      <c r="D919" s="62"/>
    </row>
    <row r="920" spans="1:5">
      <c r="A920" s="94" t="s">
        <v>1025</v>
      </c>
      <c r="B920" s="94" t="s">
        <v>5</v>
      </c>
      <c r="C920" s="60" t="s">
        <v>1026</v>
      </c>
      <c r="D920" s="60"/>
      <c r="E920" s="61"/>
    </row>
    <row r="921" spans="1:5">
      <c r="A921" s="95"/>
      <c r="B921" s="95"/>
      <c r="C921" s="60" t="s">
        <v>1027</v>
      </c>
      <c r="D921" s="60"/>
      <c r="E921" s="61"/>
    </row>
    <row r="922" spans="1:5">
      <c r="A922" s="95"/>
      <c r="B922" s="95"/>
      <c r="C922" s="55" t="s">
        <v>1028</v>
      </c>
      <c r="D922" s="55"/>
      <c r="E922" s="61"/>
    </row>
    <row r="923" spans="1:5">
      <c r="A923" s="95"/>
      <c r="B923" s="95"/>
      <c r="C923" s="55" t="s">
        <v>1029</v>
      </c>
      <c r="D923" s="55"/>
      <c r="E923" s="61"/>
    </row>
    <row r="924" spans="1:5">
      <c r="A924" s="95"/>
      <c r="B924" s="95"/>
      <c r="C924" s="55" t="s">
        <v>1030</v>
      </c>
      <c r="D924" s="55"/>
      <c r="E924" s="61"/>
    </row>
    <row r="925" spans="1:5">
      <c r="A925" s="95"/>
      <c r="B925" s="95"/>
      <c r="C925" s="55" t="s">
        <v>336</v>
      </c>
      <c r="D925" s="55"/>
    </row>
    <row r="926" spans="1:5">
      <c r="A926" s="90" t="s">
        <v>1031</v>
      </c>
      <c r="B926" s="90" t="s">
        <v>5</v>
      </c>
      <c r="C926" s="57" t="s">
        <v>1032</v>
      </c>
      <c r="D926" s="57"/>
    </row>
    <row r="927" spans="1:5">
      <c r="A927" s="72"/>
      <c r="B927" s="72"/>
      <c r="C927" s="57" t="s">
        <v>1033</v>
      </c>
      <c r="D927" s="57"/>
    </row>
    <row r="928" spans="1:5">
      <c r="A928" s="72"/>
      <c r="B928" s="72"/>
      <c r="C928" s="57" t="s">
        <v>1034</v>
      </c>
      <c r="D928" s="57"/>
    </row>
    <row r="929" spans="1:5">
      <c r="A929" s="91" t="s">
        <v>1035</v>
      </c>
      <c r="B929" s="91" t="s">
        <v>5</v>
      </c>
      <c r="C929" s="60" t="s">
        <v>1036</v>
      </c>
      <c r="D929" s="60"/>
    </row>
    <row r="930" spans="1:5">
      <c r="A930" s="92"/>
      <c r="B930" s="92"/>
      <c r="C930" s="60" t="s">
        <v>777</v>
      </c>
      <c r="D930" s="60"/>
    </row>
    <row r="931" spans="1:5">
      <c r="A931" s="92"/>
      <c r="B931" s="92"/>
      <c r="C931" s="55" t="s">
        <v>990</v>
      </c>
      <c r="D931" s="55"/>
    </row>
    <row r="932" spans="1:5">
      <c r="A932" s="92"/>
      <c r="B932" s="92"/>
      <c r="C932" s="55" t="s">
        <v>778</v>
      </c>
      <c r="D932" s="55"/>
    </row>
    <row r="933" spans="1:5">
      <c r="A933" s="92"/>
      <c r="B933" s="92"/>
      <c r="C933" s="55" t="s">
        <v>336</v>
      </c>
      <c r="D933" s="55"/>
    </row>
    <row r="934" spans="1:5">
      <c r="A934" s="98" t="s">
        <v>1037</v>
      </c>
      <c r="B934" s="98" t="s">
        <v>5</v>
      </c>
      <c r="C934" s="62" t="s">
        <v>990</v>
      </c>
      <c r="D934" s="62"/>
    </row>
    <row r="935" spans="1:5">
      <c r="A935" s="99"/>
      <c r="B935" s="99"/>
      <c r="C935" s="62" t="s">
        <v>777</v>
      </c>
      <c r="D935" s="62"/>
    </row>
    <row r="936" spans="1:5">
      <c r="A936" s="99"/>
      <c r="B936" s="99"/>
      <c r="C936" s="57" t="s">
        <v>778</v>
      </c>
      <c r="D936" s="57"/>
    </row>
    <row r="937" spans="1:5">
      <c r="A937" s="99"/>
      <c r="B937" s="99"/>
      <c r="C937" s="57" t="s">
        <v>779</v>
      </c>
      <c r="D937" s="57"/>
    </row>
    <row r="938" spans="1:5">
      <c r="A938" s="99"/>
      <c r="B938" s="99"/>
      <c r="C938" s="57" t="s">
        <v>1038</v>
      </c>
      <c r="D938" s="57"/>
    </row>
    <row r="939" spans="1:5">
      <c r="A939" s="99"/>
      <c r="B939" s="99"/>
      <c r="C939" s="62" t="s">
        <v>1038</v>
      </c>
      <c r="D939" s="62"/>
    </row>
    <row r="940" spans="1:5">
      <c r="A940" s="99"/>
      <c r="B940" s="99"/>
      <c r="C940" s="62" t="s">
        <v>992</v>
      </c>
      <c r="D940" s="62"/>
    </row>
    <row r="941" spans="1:5">
      <c r="A941" s="99"/>
      <c r="B941" s="99"/>
      <c r="C941" s="57" t="s">
        <v>993</v>
      </c>
      <c r="D941" s="57"/>
    </row>
    <row r="942" spans="1:5">
      <c r="A942" s="99"/>
      <c r="B942" s="99"/>
      <c r="C942" s="62" t="s">
        <v>994</v>
      </c>
      <c r="D942" s="62"/>
    </row>
    <row r="943" spans="1:5">
      <c r="A943" s="99"/>
      <c r="B943" s="99"/>
      <c r="C943" s="62" t="s">
        <v>1036</v>
      </c>
      <c r="D943" s="62"/>
    </row>
    <row r="944" spans="1:5">
      <c r="A944" s="99"/>
      <c r="B944" s="99"/>
      <c r="C944" s="57" t="s">
        <v>1039</v>
      </c>
      <c r="D944" s="57" t="s">
        <v>1039</v>
      </c>
      <c r="E944" t="s">
        <v>238</v>
      </c>
    </row>
    <row r="945" spans="1:4">
      <c r="A945" s="123"/>
      <c r="B945" s="123"/>
      <c r="C945" s="57" t="s">
        <v>336</v>
      </c>
      <c r="D945" s="57"/>
    </row>
    <row r="946" spans="1:4" ht="14.25" customHeight="1">
      <c r="A946" s="91" t="s">
        <v>1040</v>
      </c>
      <c r="B946" s="91" t="s">
        <v>5</v>
      </c>
      <c r="C946" s="60" t="s">
        <v>1041</v>
      </c>
      <c r="D946" s="60"/>
    </row>
    <row r="947" spans="1:4">
      <c r="A947" s="92"/>
      <c r="B947" s="92"/>
      <c r="C947" s="60" t="s">
        <v>1042</v>
      </c>
      <c r="D947" s="60"/>
    </row>
    <row r="948" spans="1:4">
      <c r="A948" s="92"/>
      <c r="B948" s="92"/>
      <c r="C948" s="55" t="s">
        <v>1043</v>
      </c>
      <c r="D948" s="55"/>
    </row>
    <row r="949" spans="1:4">
      <c r="A949" s="92"/>
      <c r="B949" s="92"/>
      <c r="C949" s="55" t="s">
        <v>1044</v>
      </c>
      <c r="D949" s="55"/>
    </row>
    <row r="950" spans="1:4">
      <c r="A950" s="92"/>
      <c r="B950" s="92"/>
      <c r="C950" s="55" t="s">
        <v>1045</v>
      </c>
      <c r="D950" s="55"/>
    </row>
    <row r="951" spans="1:4">
      <c r="A951" s="92"/>
      <c r="B951" s="92"/>
      <c r="C951" s="60" t="s">
        <v>789</v>
      </c>
      <c r="D951" s="60"/>
    </row>
    <row r="952" spans="1:4">
      <c r="A952" s="92"/>
      <c r="B952" s="92"/>
      <c r="C952" s="60" t="s">
        <v>1036</v>
      </c>
      <c r="D952" s="60"/>
    </row>
    <row r="953" spans="1:4">
      <c r="A953" s="92"/>
      <c r="B953" s="92"/>
      <c r="C953" s="55" t="s">
        <v>1046</v>
      </c>
      <c r="D953" s="55" t="s">
        <v>1047</v>
      </c>
    </row>
    <row r="954" spans="1:4">
      <c r="A954" s="92"/>
      <c r="B954" s="92"/>
      <c r="C954" s="55" t="s">
        <v>1001</v>
      </c>
      <c r="D954" s="55" t="s">
        <v>1002</v>
      </c>
    </row>
    <row r="955" spans="1:4">
      <c r="A955" s="92"/>
      <c r="B955" s="92"/>
      <c r="C955" s="55" t="s">
        <v>336</v>
      </c>
      <c r="D955" s="55"/>
    </row>
    <row r="956" spans="1:4">
      <c r="A956" s="98" t="s">
        <v>797</v>
      </c>
      <c r="B956" s="98" t="s">
        <v>5</v>
      </c>
      <c r="C956" s="57" t="s">
        <v>1048</v>
      </c>
      <c r="D956" s="57"/>
    </row>
    <row r="957" spans="1:4">
      <c r="A957" s="99"/>
      <c r="B957" s="99"/>
      <c r="C957" s="57" t="s">
        <v>1049</v>
      </c>
      <c r="D957" s="57"/>
    </row>
    <row r="958" spans="1:4">
      <c r="A958" s="99"/>
      <c r="B958" s="99"/>
      <c r="C958" s="57" t="s">
        <v>1050</v>
      </c>
      <c r="D958" s="57"/>
    </row>
    <row r="959" spans="1:4">
      <c r="A959" s="99"/>
      <c r="B959" s="99"/>
      <c r="C959" s="57" t="s">
        <v>1051</v>
      </c>
      <c r="D959" s="57"/>
    </row>
    <row r="960" spans="1:4">
      <c r="A960" s="99"/>
      <c r="B960" s="99"/>
      <c r="C960" s="57" t="s">
        <v>1052</v>
      </c>
      <c r="D960" s="57"/>
    </row>
    <row r="961" spans="1:5">
      <c r="A961" s="99"/>
      <c r="B961" s="99"/>
      <c r="C961" s="57" t="s">
        <v>1053</v>
      </c>
      <c r="D961" s="57"/>
    </row>
    <row r="962" spans="1:5">
      <c r="A962" s="99"/>
      <c r="B962" s="99"/>
      <c r="C962" s="57" t="s">
        <v>1054</v>
      </c>
      <c r="D962" s="57"/>
    </row>
    <row r="963" spans="1:5">
      <c r="A963" s="99"/>
      <c r="B963" s="99"/>
      <c r="C963" s="57" t="s">
        <v>878</v>
      </c>
      <c r="D963" s="57"/>
      <c r="E963" t="s">
        <v>238</v>
      </c>
    </row>
    <row r="964" spans="1:5">
      <c r="A964" s="100" t="s">
        <v>1055</v>
      </c>
      <c r="B964" s="91" t="s">
        <v>5</v>
      </c>
      <c r="C964" s="55" t="s">
        <v>1013</v>
      </c>
      <c r="D964" s="55"/>
    </row>
    <row r="965" spans="1:5">
      <c r="A965" s="101"/>
      <c r="B965" s="92"/>
      <c r="C965" s="55" t="s">
        <v>1014</v>
      </c>
      <c r="D965" s="55"/>
    </row>
    <row r="966" spans="1:5">
      <c r="A966" s="101"/>
      <c r="B966" s="92"/>
      <c r="C966" s="55" t="s">
        <v>768</v>
      </c>
      <c r="D966" s="55"/>
    </row>
    <row r="967" spans="1:5">
      <c r="A967" s="101"/>
      <c r="B967" s="92"/>
      <c r="C967" s="55" t="s">
        <v>1015</v>
      </c>
      <c r="D967" s="55"/>
    </row>
    <row r="968" spans="1:5">
      <c r="A968" s="101"/>
      <c r="B968" s="92"/>
      <c r="C968" s="55" t="s">
        <v>1016</v>
      </c>
      <c r="D968" s="55"/>
    </row>
    <row r="969" spans="1:5">
      <c r="A969" s="101"/>
      <c r="B969" s="92"/>
      <c r="C969" s="55" t="s">
        <v>1056</v>
      </c>
      <c r="D969" s="55"/>
      <c r="E969" t="s">
        <v>238</v>
      </c>
    </row>
    <row r="970" spans="1:5">
      <c r="A970" s="102" t="s">
        <v>1057</v>
      </c>
      <c r="B970" s="98" t="s">
        <v>5</v>
      </c>
      <c r="C970" s="57" t="s">
        <v>1058</v>
      </c>
      <c r="D970" s="57"/>
    </row>
    <row r="971" spans="1:5">
      <c r="A971" s="103"/>
      <c r="B971" s="99"/>
      <c r="C971" s="57" t="s">
        <v>1059</v>
      </c>
      <c r="D971" s="57"/>
    </row>
    <row r="972" spans="1:5">
      <c r="A972" s="103"/>
      <c r="B972" s="99"/>
      <c r="C972" s="57" t="s">
        <v>1060</v>
      </c>
      <c r="D972" s="57"/>
    </row>
    <row r="973" spans="1:5">
      <c r="A973" s="103"/>
      <c r="B973" s="99"/>
      <c r="C973" s="57" t="s">
        <v>1061</v>
      </c>
      <c r="D973" s="57"/>
    </row>
    <row r="974" spans="1:5">
      <c r="A974" s="103"/>
      <c r="B974" s="99"/>
      <c r="C974" s="57" t="s">
        <v>1062</v>
      </c>
      <c r="D974" s="57"/>
    </row>
    <row r="975" spans="1:5">
      <c r="A975" s="103"/>
      <c r="B975" s="99"/>
      <c r="C975" s="57" t="s">
        <v>1063</v>
      </c>
      <c r="D975" s="57"/>
    </row>
    <row r="976" spans="1:5">
      <c r="A976" s="124"/>
      <c r="B976" s="123"/>
      <c r="C976" s="57" t="s">
        <v>336</v>
      </c>
      <c r="D976" s="57"/>
    </row>
    <row r="977" spans="1:5">
      <c r="A977" s="91" t="s">
        <v>1064</v>
      </c>
      <c r="B977" s="91" t="s">
        <v>5</v>
      </c>
      <c r="C977" s="55" t="s">
        <v>1065</v>
      </c>
      <c r="D977" s="55"/>
      <c r="E977" t="s">
        <v>1066</v>
      </c>
    </row>
    <row r="978" spans="1:5">
      <c r="A978" s="92"/>
      <c r="B978" s="92"/>
      <c r="C978" s="55" t="s">
        <v>1067</v>
      </c>
      <c r="D978" s="55"/>
    </row>
    <row r="979" spans="1:5">
      <c r="A979" s="92"/>
      <c r="B979" s="92"/>
      <c r="C979" s="55" t="s">
        <v>1068</v>
      </c>
      <c r="D979" s="55"/>
    </row>
    <row r="980" spans="1:5">
      <c r="A980" s="92"/>
      <c r="B980" s="92"/>
      <c r="C980" s="55" t="s">
        <v>1069</v>
      </c>
      <c r="D980" s="55"/>
    </row>
    <row r="981" spans="1:5">
      <c r="A981" s="92"/>
      <c r="B981" s="92"/>
      <c r="C981" s="55" t="s">
        <v>1070</v>
      </c>
      <c r="D981" s="55"/>
    </row>
    <row r="982" spans="1:5">
      <c r="A982" s="92"/>
      <c r="B982" s="92"/>
      <c r="C982" s="55" t="s">
        <v>1071</v>
      </c>
      <c r="D982" s="55"/>
    </row>
    <row r="983" spans="1:5">
      <c r="A983" s="92"/>
      <c r="B983" s="92"/>
      <c r="C983" s="55" t="s">
        <v>1072</v>
      </c>
      <c r="D983" s="55"/>
    </row>
    <row r="984" spans="1:5">
      <c r="A984" s="92"/>
      <c r="B984" s="92"/>
      <c r="C984" s="55" t="s">
        <v>1073</v>
      </c>
      <c r="D984" s="55"/>
    </row>
    <row r="985" spans="1:5">
      <c r="A985" s="92"/>
      <c r="B985" s="92"/>
      <c r="C985" s="55" t="s">
        <v>1074</v>
      </c>
      <c r="D985" s="55" t="s">
        <v>1075</v>
      </c>
      <c r="E985" t="s">
        <v>238</v>
      </c>
    </row>
    <row r="986" spans="1:5">
      <c r="A986" s="102" t="s">
        <v>1076</v>
      </c>
      <c r="B986" s="98" t="s">
        <v>5</v>
      </c>
      <c r="C986" s="57" t="s">
        <v>1018</v>
      </c>
      <c r="D986" s="57"/>
    </row>
    <row r="987" spans="1:5">
      <c r="A987" s="103"/>
      <c r="B987" s="99"/>
      <c r="C987" s="57" t="s">
        <v>1019</v>
      </c>
      <c r="D987" s="57"/>
    </row>
    <row r="988" spans="1:5">
      <c r="A988" s="103"/>
      <c r="B988" s="99"/>
      <c r="C988" s="57" t="s">
        <v>1077</v>
      </c>
      <c r="D988" s="57"/>
    </row>
    <row r="989" spans="1:5">
      <c r="A989" s="103"/>
      <c r="B989" s="99"/>
      <c r="C989" s="57" t="s">
        <v>1078</v>
      </c>
      <c r="D989" s="57"/>
    </row>
    <row r="990" spans="1:5">
      <c r="A990" s="103"/>
      <c r="B990" s="99"/>
      <c r="C990" s="57" t="s">
        <v>1079</v>
      </c>
      <c r="D990" s="57"/>
    </row>
    <row r="991" spans="1:5">
      <c r="A991" s="103"/>
      <c r="B991" s="99"/>
      <c r="C991" s="57" t="s">
        <v>1080</v>
      </c>
      <c r="D991" s="57"/>
    </row>
    <row r="992" spans="1:5">
      <c r="A992" s="91" t="s">
        <v>1081</v>
      </c>
      <c r="B992" s="91" t="s">
        <v>5</v>
      </c>
      <c r="C992" s="55" t="s">
        <v>777</v>
      </c>
      <c r="D992" s="55"/>
    </row>
    <row r="993" spans="1:5">
      <c r="A993" s="92"/>
      <c r="B993" s="92"/>
      <c r="C993" s="55" t="s">
        <v>990</v>
      </c>
      <c r="D993" s="55"/>
    </row>
    <row r="994" spans="1:5">
      <c r="A994" s="92"/>
      <c r="B994" s="92"/>
      <c r="C994" s="55" t="s">
        <v>987</v>
      </c>
      <c r="D994" s="55"/>
    </row>
    <row r="995" spans="1:5">
      <c r="A995" s="92"/>
      <c r="B995" s="92"/>
      <c r="C995" s="55" t="s">
        <v>778</v>
      </c>
      <c r="D995" s="55"/>
    </row>
    <row r="996" spans="1:5">
      <c r="A996" s="92"/>
      <c r="B996" s="92"/>
      <c r="C996" s="55" t="s">
        <v>1082</v>
      </c>
      <c r="D996" s="55" t="s">
        <v>1083</v>
      </c>
    </row>
    <row r="997" spans="1:5">
      <c r="A997" s="92"/>
      <c r="B997" s="92"/>
      <c r="C997" s="55" t="s">
        <v>336</v>
      </c>
      <c r="D997" s="55"/>
    </row>
    <row r="998" spans="1:5">
      <c r="A998" s="98" t="s">
        <v>1084</v>
      </c>
      <c r="B998" s="98" t="s">
        <v>5</v>
      </c>
      <c r="C998" s="57" t="s">
        <v>1085</v>
      </c>
      <c r="D998" s="57"/>
      <c r="E998" t="s">
        <v>1066</v>
      </c>
    </row>
    <row r="999" spans="1:5">
      <c r="A999" s="99"/>
      <c r="B999" s="99"/>
      <c r="C999" s="57" t="s">
        <v>1086</v>
      </c>
      <c r="D999" s="57"/>
    </row>
    <row r="1000" spans="1:5">
      <c r="A1000" s="91" t="s">
        <v>1087</v>
      </c>
      <c r="B1000" s="91" t="s">
        <v>5</v>
      </c>
      <c r="C1000" s="55" t="s">
        <v>1088</v>
      </c>
      <c r="D1000" s="55"/>
    </row>
    <row r="1001" spans="1:5">
      <c r="A1001" s="92"/>
      <c r="B1001" s="92"/>
      <c r="C1001" s="55" t="s">
        <v>1089</v>
      </c>
      <c r="D1001" s="55"/>
    </row>
    <row r="1002" spans="1:5">
      <c r="A1002" s="92"/>
      <c r="B1002" s="92"/>
      <c r="C1002" s="55" t="s">
        <v>1090</v>
      </c>
      <c r="D1002" s="55"/>
    </row>
    <row r="1003" spans="1:5">
      <c r="A1003" s="92"/>
      <c r="B1003" s="92"/>
      <c r="C1003" s="55" t="s">
        <v>1091</v>
      </c>
      <c r="D1003" s="55"/>
      <c r="E1003" t="s">
        <v>238</v>
      </c>
    </row>
    <row r="1004" spans="1:5">
      <c r="A1004" s="92"/>
      <c r="B1004" s="92"/>
      <c r="C1004" s="55" t="s">
        <v>1092</v>
      </c>
      <c r="D1004" s="55"/>
    </row>
    <row r="1005" spans="1:5">
      <c r="A1005" s="92"/>
      <c r="B1005" s="92"/>
      <c r="C1005" s="55" t="s">
        <v>1093</v>
      </c>
      <c r="D1005" s="55"/>
    </row>
    <row r="1006" spans="1:5">
      <c r="A1006" s="92"/>
      <c r="B1006" s="92"/>
      <c r="C1006" s="55" t="s">
        <v>1094</v>
      </c>
      <c r="D1006" s="55"/>
      <c r="E1006" t="s">
        <v>238</v>
      </c>
    </row>
    <row r="1007" spans="1:5">
      <c r="A1007" s="92"/>
      <c r="B1007" s="92"/>
      <c r="C1007" s="55" t="s">
        <v>1095</v>
      </c>
      <c r="D1007" s="55"/>
    </row>
    <row r="1008" spans="1:5">
      <c r="A1008" s="92"/>
      <c r="B1008" s="92"/>
      <c r="C1008" s="55" t="s">
        <v>1096</v>
      </c>
      <c r="D1008" s="55"/>
    </row>
    <row r="1009" spans="1:4">
      <c r="A1009" s="92"/>
      <c r="B1009" s="92"/>
      <c r="C1009" s="55" t="s">
        <v>1097</v>
      </c>
      <c r="D1009" s="55"/>
    </row>
    <row r="1010" spans="1:4">
      <c r="A1010" s="92"/>
      <c r="B1010" s="92"/>
      <c r="C1010" s="55" t="s">
        <v>166</v>
      </c>
      <c r="D1010" s="55"/>
    </row>
    <row r="1011" spans="1:4">
      <c r="A1011" s="92"/>
      <c r="B1011" s="92"/>
      <c r="C1011" s="55" t="s">
        <v>1098</v>
      </c>
      <c r="D1011" s="55"/>
    </row>
    <row r="1012" spans="1:4">
      <c r="A1012" s="92"/>
      <c r="B1012" s="92"/>
      <c r="C1012" s="55" t="s">
        <v>1099</v>
      </c>
      <c r="D1012" s="55"/>
    </row>
    <row r="1013" spans="1:4">
      <c r="A1013" s="92"/>
      <c r="B1013" s="92"/>
      <c r="C1013" s="55" t="s">
        <v>1100</v>
      </c>
      <c r="D1013" s="55"/>
    </row>
    <row r="1014" spans="1:4">
      <c r="A1014" s="92"/>
      <c r="B1014" s="92"/>
      <c r="C1014" s="55" t="s">
        <v>1101</v>
      </c>
      <c r="D1014" s="55"/>
    </row>
    <row r="1015" spans="1:4">
      <c r="A1015" s="92"/>
      <c r="B1015" s="92"/>
      <c r="C1015" s="55" t="s">
        <v>158</v>
      </c>
      <c r="D1015" s="55"/>
    </row>
    <row r="1016" spans="1:4">
      <c r="A1016" s="92"/>
      <c r="B1016" s="92"/>
      <c r="C1016" s="55" t="s">
        <v>1102</v>
      </c>
      <c r="D1016" s="55"/>
    </row>
    <row r="1017" spans="1:4">
      <c r="A1017" s="92"/>
      <c r="B1017" s="92"/>
      <c r="C1017" s="55" t="s">
        <v>163</v>
      </c>
      <c r="D1017" s="55"/>
    </row>
    <row r="1018" spans="1:4">
      <c r="A1018" s="92"/>
      <c r="B1018" s="92"/>
      <c r="C1018" s="55" t="s">
        <v>1103</v>
      </c>
      <c r="D1018" s="55"/>
    </row>
    <row r="1019" spans="1:4">
      <c r="A1019" s="92"/>
      <c r="B1019" s="92"/>
      <c r="C1019" s="55" t="s">
        <v>1104</v>
      </c>
      <c r="D1019" s="55"/>
    </row>
    <row r="1020" spans="1:4">
      <c r="A1020" s="92"/>
      <c r="B1020" s="92"/>
      <c r="C1020" s="55" t="s">
        <v>1105</v>
      </c>
      <c r="D1020" s="55"/>
    </row>
    <row r="1021" spans="1:4">
      <c r="A1021" s="92"/>
      <c r="B1021" s="92"/>
      <c r="C1021" s="55" t="s">
        <v>1106</v>
      </c>
      <c r="D1021" s="55"/>
    </row>
    <row r="1022" spans="1:4">
      <c r="A1022" s="92"/>
      <c r="B1022" s="92"/>
      <c r="C1022" s="55" t="s">
        <v>1107</v>
      </c>
      <c r="D1022" s="55"/>
    </row>
    <row r="1023" spans="1:4">
      <c r="A1023" s="92"/>
      <c r="B1023" s="92"/>
      <c r="C1023" s="55" t="s">
        <v>1108</v>
      </c>
      <c r="D1023" s="55"/>
    </row>
    <row r="1024" spans="1:4">
      <c r="A1024" s="92"/>
      <c r="B1024" s="92"/>
      <c r="C1024" s="55" t="s">
        <v>1109</v>
      </c>
      <c r="D1024" s="55"/>
    </row>
    <row r="1025" spans="1:5">
      <c r="A1025" s="92"/>
      <c r="B1025" s="92"/>
      <c r="C1025" s="55" t="s">
        <v>1110</v>
      </c>
      <c r="D1025" s="55"/>
    </row>
    <row r="1026" spans="1:5">
      <c r="A1026" s="92"/>
      <c r="B1026" s="92"/>
      <c r="C1026" s="55" t="s">
        <v>1111</v>
      </c>
      <c r="D1026" s="55"/>
    </row>
    <row r="1027" spans="1:5">
      <c r="A1027" s="92"/>
      <c r="B1027" s="92"/>
      <c r="C1027" s="55" t="s">
        <v>1112</v>
      </c>
      <c r="D1027" s="55"/>
    </row>
    <row r="1028" spans="1:5">
      <c r="A1028" s="92"/>
      <c r="B1028" s="92"/>
      <c r="C1028" s="55" t="s">
        <v>1113</v>
      </c>
      <c r="D1028" s="55"/>
    </row>
    <row r="1029" spans="1:5">
      <c r="A1029" s="92"/>
      <c r="B1029" s="92"/>
      <c r="C1029" s="55" t="s">
        <v>1114</v>
      </c>
      <c r="D1029" s="55"/>
    </row>
    <row r="1030" spans="1:5">
      <c r="A1030" s="92"/>
      <c r="B1030" s="92"/>
      <c r="C1030" s="55" t="s">
        <v>1115</v>
      </c>
      <c r="D1030" s="55"/>
    </row>
    <row r="1031" spans="1:5">
      <c r="A1031" s="92"/>
      <c r="B1031" s="92"/>
      <c r="C1031" s="133" t="s">
        <v>1116</v>
      </c>
      <c r="D1031" s="55"/>
      <c r="E1031" t="s">
        <v>238</v>
      </c>
    </row>
    <row r="1032" spans="1:5">
      <c r="A1032" s="92"/>
      <c r="B1032" s="92"/>
      <c r="C1032" s="55" t="s">
        <v>1117</v>
      </c>
      <c r="D1032" s="55"/>
    </row>
    <row r="1033" spans="1:5">
      <c r="A1033" s="92"/>
      <c r="B1033" s="92"/>
      <c r="C1033" s="55" t="s">
        <v>336</v>
      </c>
      <c r="D1033" s="55"/>
    </row>
    <row r="1034" spans="1:5">
      <c r="A1034" s="68" t="s">
        <v>1118</v>
      </c>
      <c r="B1034" s="68" t="s">
        <v>5</v>
      </c>
      <c r="C1034" s="57" t="s">
        <v>1119</v>
      </c>
      <c r="D1034" s="57"/>
      <c r="E1034" t="s">
        <v>1066</v>
      </c>
    </row>
    <row r="1035" spans="1:5">
      <c r="A1035" s="69"/>
      <c r="B1035" s="69"/>
      <c r="C1035" s="57" t="s">
        <v>1120</v>
      </c>
      <c r="D1035" s="57"/>
    </row>
    <row r="1036" spans="1:5">
      <c r="A1036" s="69"/>
      <c r="B1036" s="69"/>
      <c r="C1036" s="57" t="s">
        <v>336</v>
      </c>
      <c r="D1036" s="57"/>
    </row>
    <row r="1037" spans="1:5">
      <c r="A1037" s="91" t="s">
        <v>1121</v>
      </c>
      <c r="B1037" s="91" t="s">
        <v>5</v>
      </c>
      <c r="C1037" s="55" t="s">
        <v>1122</v>
      </c>
      <c r="D1037" s="55"/>
    </row>
    <row r="1038" spans="1:5">
      <c r="A1038" s="92"/>
      <c r="B1038" s="92"/>
      <c r="C1038" s="55" t="s">
        <v>1123</v>
      </c>
      <c r="D1038" s="55" t="s">
        <v>1124</v>
      </c>
    </row>
    <row r="1039" spans="1:5">
      <c r="A1039" s="92"/>
      <c r="B1039" s="92"/>
      <c r="C1039" s="55" t="s">
        <v>1125</v>
      </c>
      <c r="D1039" s="55" t="s">
        <v>1126</v>
      </c>
    </row>
    <row r="1040" spans="1:5">
      <c r="A1040" s="92"/>
      <c r="B1040" s="92"/>
      <c r="C1040" s="55" t="s">
        <v>1127</v>
      </c>
      <c r="D1040" s="55" t="s">
        <v>1128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332</v>
      </c>
    </row>
    <row r="1077" spans="1:3" s="11" customFormat="1">
      <c r="C1077" s="18" t="s">
        <v>169</v>
      </c>
    </row>
    <row r="1078" spans="1:3" s="11" customFormat="1">
      <c r="C1078" s="18" t="s">
        <v>333</v>
      </c>
    </row>
    <row r="1079" spans="1:3" s="11" customFormat="1">
      <c r="C1079" s="18" t="s">
        <v>335</v>
      </c>
    </row>
    <row r="1080" spans="1:3" s="11" customFormat="1">
      <c r="C1080" s="18"/>
    </row>
    <row r="1081" spans="1:3" s="11" customFormat="1">
      <c r="C1081" s="18" t="s">
        <v>332</v>
      </c>
    </row>
    <row r="1082" spans="1:3" s="11" customFormat="1">
      <c r="C1082" s="18" t="s">
        <v>169</v>
      </c>
    </row>
    <row r="1083" spans="1:3" s="11" customFormat="1">
      <c r="C1083" s="18" t="s">
        <v>333</v>
      </c>
    </row>
    <row r="1084" spans="1:3" s="11" customFormat="1">
      <c r="C1084" s="18" t="s">
        <v>335</v>
      </c>
    </row>
    <row r="1085" spans="1:3" s="11" customFormat="1">
      <c r="C1085" s="18" t="s">
        <v>334</v>
      </c>
    </row>
    <row r="1086" spans="1:3" s="11" customFormat="1">
      <c r="C1086" s="18"/>
    </row>
    <row r="1087" spans="1:3" s="11" customFormat="1">
      <c r="C1087" s="18" t="s">
        <v>332</v>
      </c>
    </row>
    <row r="1088" spans="1:3" s="11" customFormat="1">
      <c r="C1088" s="18" t="s">
        <v>169</v>
      </c>
    </row>
    <row r="1089" spans="3:3" s="11" customFormat="1">
      <c r="C1089" s="18" t="s">
        <v>335</v>
      </c>
    </row>
    <row r="1090" spans="3:3" s="11" customFormat="1">
      <c r="C1090" s="18"/>
    </row>
    <row r="1091" spans="3:3" s="11" customFormat="1">
      <c r="C1091" s="18" t="s">
        <v>916</v>
      </c>
    </row>
    <row r="1092" spans="3:3" s="11" customFormat="1">
      <c r="C1092" s="18" t="s">
        <v>336</v>
      </c>
    </row>
    <row r="1093" spans="3:3" s="11" customFormat="1">
      <c r="C1093" s="18"/>
    </row>
    <row r="1094" spans="3:3" s="11" customFormat="1">
      <c r="C1094" s="18" t="s">
        <v>460</v>
      </c>
    </row>
    <row r="1095" spans="3:3" s="11" customFormat="1">
      <c r="C1095" s="18" t="s">
        <v>762</v>
      </c>
    </row>
    <row r="1096" spans="3:3" s="11" customFormat="1">
      <c r="C1096" s="18" t="s">
        <v>763</v>
      </c>
    </row>
    <row r="1097" spans="3:3" s="11" customFormat="1">
      <c r="C1097" s="18" t="s">
        <v>766</v>
      </c>
    </row>
    <row r="1098" spans="3:3" s="11" customFormat="1">
      <c r="C1098" s="18" t="s">
        <v>767</v>
      </c>
    </row>
    <row r="1099" spans="3:3" s="11" customFormat="1">
      <c r="C1099" s="18" t="s">
        <v>768</v>
      </c>
    </row>
    <row r="1100" spans="3:3" s="11" customFormat="1">
      <c r="C1100" s="18" t="s">
        <v>769</v>
      </c>
    </row>
    <row r="1101" spans="3:3" s="11" customFormat="1">
      <c r="C1101" s="18" t="s">
        <v>770</v>
      </c>
    </row>
    <row r="1102" spans="3:3" s="11" customFormat="1">
      <c r="C1102" s="18" t="s">
        <v>771</v>
      </c>
    </row>
    <row r="1103" spans="3:3" s="11" customFormat="1">
      <c r="C1103" s="18" t="s">
        <v>773</v>
      </c>
    </row>
    <row r="1104" spans="3:3" s="11" customFormat="1">
      <c r="C1104" s="18" t="s">
        <v>506</v>
      </c>
    </row>
    <row r="1105" spans="3:3" s="11" customFormat="1">
      <c r="C1105" s="18" t="s">
        <v>336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914</v>
      </c>
    </row>
    <row r="1109" spans="3:3" s="11" customFormat="1">
      <c r="C1109" s="18" t="s">
        <v>915</v>
      </c>
    </row>
    <row r="1110" spans="3:3" s="11" customFormat="1">
      <c r="C1110" s="18" t="s">
        <v>917</v>
      </c>
    </row>
    <row r="1111" spans="3:3" s="11" customFormat="1">
      <c r="C1111" s="18" t="s">
        <v>336</v>
      </c>
    </row>
    <row r="1112" spans="3:3" s="11" customFormat="1">
      <c r="C1112" s="18"/>
    </row>
    <row r="1113" spans="3:3" s="11" customFormat="1">
      <c r="C1113" s="18" t="s">
        <v>343</v>
      </c>
    </row>
    <row r="1114" spans="3:3" s="11" customFormat="1">
      <c r="C1114" s="18" t="s">
        <v>344</v>
      </c>
    </row>
    <row r="1115" spans="3:3" s="11" customFormat="1">
      <c r="C1115" s="18" t="s">
        <v>44</v>
      </c>
    </row>
    <row r="1116" spans="3:3" s="11" customFormat="1">
      <c r="C1116" s="18" t="s">
        <v>336</v>
      </c>
    </row>
    <row r="1117" spans="3:3" s="11" customFormat="1">
      <c r="C1117" s="18"/>
    </row>
    <row r="1118" spans="3:3" s="11" customFormat="1">
      <c r="C1118" s="18" t="s">
        <v>349</v>
      </c>
    </row>
    <row r="1119" spans="3:3" s="11" customFormat="1">
      <c r="C1119" s="18" t="s">
        <v>1129</v>
      </c>
    </row>
    <row r="1120" spans="3:3" s="11" customFormat="1">
      <c r="C1120" s="18"/>
    </row>
    <row r="1121" spans="3:3">
      <c r="C1121" s="18" t="s">
        <v>349</v>
      </c>
    </row>
    <row r="1122" spans="3:3" s="11" customFormat="1">
      <c r="C1122" s="18" t="s">
        <v>351</v>
      </c>
    </row>
    <row r="1123" spans="3:3" s="11" customFormat="1">
      <c r="C1123" s="18" t="s">
        <v>353</v>
      </c>
    </row>
    <row r="1124" spans="3:3" s="11" customFormat="1">
      <c r="C1124" s="18" t="s">
        <v>355</v>
      </c>
    </row>
    <row r="1125" spans="3:3">
      <c r="C1125" s="18" t="s">
        <v>360</v>
      </c>
    </row>
    <row r="1126" spans="3:3">
      <c r="C1126" s="18" t="s">
        <v>336</v>
      </c>
    </row>
    <row r="1129" spans="3:3">
      <c r="C1129" s="18" t="s">
        <v>456</v>
      </c>
    </row>
    <row r="1130" spans="3:3">
      <c r="C1130" s="18" t="s">
        <v>457</v>
      </c>
    </row>
    <row r="1131" spans="3:3">
      <c r="C1131" s="18" t="s">
        <v>459</v>
      </c>
    </row>
    <row r="1132" spans="3:3">
      <c r="C1132" s="18" t="s">
        <v>460</v>
      </c>
    </row>
    <row r="1133" spans="3:3">
      <c r="C1133" s="18" t="s">
        <v>461</v>
      </c>
    </row>
    <row r="1134" spans="3:3">
      <c r="C1134" s="18" t="s">
        <v>463</v>
      </c>
    </row>
    <row r="1135" spans="3:3">
      <c r="C1135" s="18" t="s">
        <v>464</v>
      </c>
    </row>
    <row r="1136" spans="3:3">
      <c r="C1136" s="18" t="s">
        <v>465</v>
      </c>
    </row>
    <row r="1137" spans="3:3">
      <c r="C1137" s="18" t="s">
        <v>466</v>
      </c>
    </row>
    <row r="1138" spans="3:3">
      <c r="C1138" s="18" t="s">
        <v>467</v>
      </c>
    </row>
    <row r="1139" spans="3:3">
      <c r="C1139" s="18" t="s">
        <v>468</v>
      </c>
    </row>
    <row r="1140" spans="3:3">
      <c r="C1140" s="18" t="s">
        <v>469</v>
      </c>
    </row>
    <row r="1141" spans="3:3">
      <c r="C1141" s="18" t="s">
        <v>470</v>
      </c>
    </row>
    <row r="1142" spans="3:3">
      <c r="C1142" s="18" t="s">
        <v>471</v>
      </c>
    </row>
    <row r="1143" spans="3:3">
      <c r="C1143" s="18" t="s">
        <v>472</v>
      </c>
    </row>
    <row r="1144" spans="3:3">
      <c r="C1144" s="18" t="s">
        <v>474</v>
      </c>
    </row>
    <row r="1145" spans="3:3">
      <c r="C1145" s="18" t="s">
        <v>475</v>
      </c>
    </row>
    <row r="1146" spans="3:3">
      <c r="C1146" s="18" t="s">
        <v>476</v>
      </c>
    </row>
    <row r="1147" spans="3:3">
      <c r="C1147" s="18" t="s">
        <v>478</v>
      </c>
    </row>
    <row r="1148" spans="3:3">
      <c r="C1148" s="18" t="s">
        <v>479</v>
      </c>
    </row>
    <row r="1149" spans="3:3">
      <c r="C1149" s="18" t="s">
        <v>480</v>
      </c>
    </row>
    <row r="1150" spans="3:3">
      <c r="C1150" s="18" t="s">
        <v>481</v>
      </c>
    </row>
    <row r="1151" spans="3:3">
      <c r="C1151" s="18" t="s">
        <v>482</v>
      </c>
    </row>
    <row r="1152" spans="3:3">
      <c r="C1152" s="18" t="s">
        <v>483</v>
      </c>
    </row>
    <row r="1153" spans="3:3">
      <c r="C1153" s="18" t="s">
        <v>484</v>
      </c>
    </row>
    <row r="1154" spans="3:3">
      <c r="C1154" s="18" t="s">
        <v>485</v>
      </c>
    </row>
    <row r="1155" spans="3:3">
      <c r="C1155" s="18" t="s">
        <v>486</v>
      </c>
    </row>
    <row r="1156" spans="3:3">
      <c r="C1156" s="18" t="s">
        <v>487</v>
      </c>
    </row>
    <row r="1157" spans="3:3">
      <c r="C1157" s="18" t="s">
        <v>488</v>
      </c>
    </row>
    <row r="1158" spans="3:3">
      <c r="C1158" s="18" t="s">
        <v>489</v>
      </c>
    </row>
    <row r="1159" spans="3:3">
      <c r="C1159" s="18" t="s">
        <v>490</v>
      </c>
    </row>
    <row r="1160" spans="3:3">
      <c r="C1160" s="18" t="s">
        <v>491</v>
      </c>
    </row>
    <row r="1161" spans="3:3">
      <c r="C1161" s="18" t="s">
        <v>492</v>
      </c>
    </row>
    <row r="1162" spans="3:3">
      <c r="C1162" s="18" t="s">
        <v>493</v>
      </c>
    </row>
    <row r="1163" spans="3:3" ht="14.5" customHeight="1">
      <c r="C1163" s="18" t="s">
        <v>494</v>
      </c>
    </row>
    <row r="1164" spans="3:3">
      <c r="C1164" s="18" t="s">
        <v>496</v>
      </c>
    </row>
    <row r="1165" spans="3:3">
      <c r="C1165" s="18" t="s">
        <v>497</v>
      </c>
    </row>
    <row r="1166" spans="3:3">
      <c r="C1166" s="18" t="s">
        <v>498</v>
      </c>
    </row>
    <row r="1167" spans="3:3">
      <c r="C1167" s="18" t="s">
        <v>499</v>
      </c>
    </row>
    <row r="1168" spans="3:3">
      <c r="C1168" s="18" t="s">
        <v>501</v>
      </c>
    </row>
    <row r="1169" spans="3:3">
      <c r="C1169" s="18" t="s">
        <v>505</v>
      </c>
    </row>
    <row r="1170" spans="3:3">
      <c r="C1170" s="18" t="s">
        <v>336</v>
      </c>
    </row>
    <row r="1171" spans="3:3">
      <c r="C1171" s="18" t="s">
        <v>507</v>
      </c>
    </row>
    <row r="1172" spans="3:3">
      <c r="C1172" s="18" t="s">
        <v>508</v>
      </c>
    </row>
    <row r="1173" spans="3:3">
      <c r="C1173" s="18" t="s">
        <v>509</v>
      </c>
    </row>
    <row r="1174" spans="3:3">
      <c r="C1174" s="18" t="s">
        <v>510</v>
      </c>
    </row>
    <row r="1175" spans="3:3">
      <c r="C1175" s="18" t="s">
        <v>511</v>
      </c>
    </row>
    <row r="1176" spans="3:3">
      <c r="C1176" s="18" t="s">
        <v>512</v>
      </c>
    </row>
    <row r="1177" spans="3:3">
      <c r="C1177" s="18" t="s">
        <v>513</v>
      </c>
    </row>
    <row r="1178" spans="3:3">
      <c r="C1178" s="18" t="s">
        <v>514</v>
      </c>
    </row>
    <row r="1179" spans="3:3">
      <c r="C1179" s="18" t="s">
        <v>515</v>
      </c>
    </row>
    <row r="1180" spans="3:3">
      <c r="C1180" s="18" t="s">
        <v>516</v>
      </c>
    </row>
    <row r="1181" spans="3:3">
      <c r="C1181" s="18" t="s">
        <v>517</v>
      </c>
    </row>
    <row r="1182" spans="3:3">
      <c r="C1182" s="18" t="s">
        <v>518</v>
      </c>
    </row>
    <row r="1183" spans="3:3">
      <c r="C1183" s="18" t="s">
        <v>519</v>
      </c>
    </row>
    <row r="1184" spans="3:3">
      <c r="C1184" s="18" t="s">
        <v>520</v>
      </c>
    </row>
    <row r="1185" spans="3:3">
      <c r="C1185" s="18" t="s">
        <v>521</v>
      </c>
    </row>
    <row r="1186" spans="3:3">
      <c r="C1186" s="18" t="s">
        <v>522</v>
      </c>
    </row>
    <row r="1187" spans="3:3">
      <c r="C1187" s="18" t="s">
        <v>523</v>
      </c>
    </row>
    <row r="1188" spans="3:3">
      <c r="C1188" s="18" t="s">
        <v>524</v>
      </c>
    </row>
    <row r="1189" spans="3:3">
      <c r="C1189" s="18" t="s">
        <v>526</v>
      </c>
    </row>
    <row r="1190" spans="3:3">
      <c r="C1190" s="18" t="s">
        <v>528</v>
      </c>
    </row>
    <row r="1191" spans="3:3">
      <c r="C1191" s="18" t="s">
        <v>530</v>
      </c>
    </row>
    <row r="1192" spans="3:3">
      <c r="C1192" s="132" t="s">
        <v>531</v>
      </c>
    </row>
    <row r="1193" spans="3:3">
      <c r="C1193" s="18" t="s">
        <v>533</v>
      </c>
    </row>
    <row r="1194" spans="3:3">
      <c r="C1194" s="18" t="s">
        <v>534</v>
      </c>
    </row>
    <row r="1195" spans="3:3">
      <c r="C1195" s="18" t="s">
        <v>535</v>
      </c>
    </row>
    <row r="1196" spans="3:3">
      <c r="C1196" s="18" t="s">
        <v>536</v>
      </c>
    </row>
    <row r="1197" spans="3:3">
      <c r="C1197" s="18" t="s">
        <v>537</v>
      </c>
    </row>
    <row r="1198" spans="3:3">
      <c r="C1198" s="18" t="s">
        <v>538</v>
      </c>
    </row>
    <row r="1199" spans="3:3">
      <c r="C1199" s="18" t="s">
        <v>539</v>
      </c>
    </row>
    <row r="1200" spans="3:3">
      <c r="C1200" s="18" t="s">
        <v>540</v>
      </c>
    </row>
    <row r="1201" spans="3:3">
      <c r="C1201" s="18" t="s">
        <v>542</v>
      </c>
    </row>
    <row r="1202" spans="3:3">
      <c r="C1202" s="18" t="s">
        <v>543</v>
      </c>
    </row>
    <row r="1203" spans="3:3">
      <c r="C1203" s="18" t="s">
        <v>545</v>
      </c>
    </row>
    <row r="1204" spans="3:3">
      <c r="C1204" s="18" t="s">
        <v>546</v>
      </c>
    </row>
    <row r="1205" spans="3:3">
      <c r="C1205" s="18" t="s">
        <v>547</v>
      </c>
    </row>
    <row r="1206" spans="3:3">
      <c r="C1206" s="18" t="s">
        <v>548</v>
      </c>
    </row>
    <row r="1207" spans="3:3">
      <c r="C1207" s="18" t="s">
        <v>549</v>
      </c>
    </row>
    <row r="1208" spans="3:3">
      <c r="C1208" s="18" t="s">
        <v>551</v>
      </c>
    </row>
    <row r="1209" spans="3:3">
      <c r="C1209" s="18" t="s">
        <v>552</v>
      </c>
    </row>
    <row r="1210" spans="3:3">
      <c r="C1210" s="18" t="s">
        <v>553</v>
      </c>
    </row>
    <row r="1211" spans="3:3">
      <c r="C1211" s="18" t="s">
        <v>554</v>
      </c>
    </row>
    <row r="1212" spans="3:3">
      <c r="C1212" s="18" t="s">
        <v>555</v>
      </c>
    </row>
    <row r="1213" spans="3:3">
      <c r="C1213" s="18" t="s">
        <v>556</v>
      </c>
    </row>
    <row r="1214" spans="3:3">
      <c r="C1214" s="18" t="s">
        <v>557</v>
      </c>
    </row>
    <row r="1215" spans="3:3">
      <c r="C1215" s="18" t="s">
        <v>558</v>
      </c>
    </row>
    <row r="1216" spans="3:3">
      <c r="C1216" s="18" t="s">
        <v>560</v>
      </c>
    </row>
    <row r="1217" spans="3:3">
      <c r="C1217" s="18" t="s">
        <v>561</v>
      </c>
    </row>
    <row r="1218" spans="3:3">
      <c r="C1218" s="18" t="s">
        <v>562</v>
      </c>
    </row>
    <row r="1219" spans="3:3">
      <c r="C1219" s="18" t="s">
        <v>563</v>
      </c>
    </row>
    <row r="1220" spans="3:3">
      <c r="C1220" s="18" t="s">
        <v>564</v>
      </c>
    </row>
    <row r="1221" spans="3:3">
      <c r="C1221" s="18" t="s">
        <v>565</v>
      </c>
    </row>
    <row r="1222" spans="3:3">
      <c r="C1222" s="18" t="s">
        <v>566</v>
      </c>
    </row>
    <row r="1223" spans="3:3">
      <c r="C1223" s="18" t="s">
        <v>567</v>
      </c>
    </row>
    <row r="1224" spans="3:3">
      <c r="C1224" s="18" t="s">
        <v>568</v>
      </c>
    </row>
    <row r="1225" spans="3:3">
      <c r="C1225" s="18" t="s">
        <v>569</v>
      </c>
    </row>
    <row r="1226" spans="3:3">
      <c r="C1226" s="18" t="s">
        <v>570</v>
      </c>
    </row>
    <row r="1227" spans="3:3">
      <c r="C1227" s="18" t="s">
        <v>571</v>
      </c>
    </row>
    <row r="1228" spans="3:3">
      <c r="C1228" s="18" t="s">
        <v>572</v>
      </c>
    </row>
    <row r="1229" spans="3:3">
      <c r="C1229" s="18" t="s">
        <v>573</v>
      </c>
    </row>
    <row r="1230" spans="3:3">
      <c r="C1230" s="18" t="s">
        <v>574</v>
      </c>
    </row>
    <row r="1231" spans="3:3">
      <c r="C1231" s="18" t="s">
        <v>575</v>
      </c>
    </row>
    <row r="1232" spans="3:3">
      <c r="C1232" s="18" t="s">
        <v>576</v>
      </c>
    </row>
    <row r="1233" spans="3:3">
      <c r="C1233" s="18" t="s">
        <v>577</v>
      </c>
    </row>
    <row r="1234" spans="3:3">
      <c r="C1234" s="18" t="s">
        <v>578</v>
      </c>
    </row>
    <row r="1235" spans="3:3">
      <c r="C1235" s="18" t="s">
        <v>579</v>
      </c>
    </row>
    <row r="1236" spans="3:3">
      <c r="C1236" s="18" t="s">
        <v>580</v>
      </c>
    </row>
    <row r="1237" spans="3:3">
      <c r="C1237" s="18" t="s">
        <v>582</v>
      </c>
    </row>
    <row r="1238" spans="3:3">
      <c r="C1238" s="18" t="s">
        <v>583</v>
      </c>
    </row>
    <row r="1239" spans="3:3">
      <c r="C1239" s="18" t="s">
        <v>584</v>
      </c>
    </row>
    <row r="1240" spans="3:3">
      <c r="C1240" s="18" t="s">
        <v>585</v>
      </c>
    </row>
    <row r="1241" spans="3:3">
      <c r="C1241" s="18" t="s">
        <v>586</v>
      </c>
    </row>
    <row r="1242" spans="3:3">
      <c r="C1242" s="18" t="s">
        <v>587</v>
      </c>
    </row>
    <row r="1243" spans="3:3">
      <c r="C1243" s="18" t="s">
        <v>588</v>
      </c>
    </row>
    <row r="1244" spans="3:3">
      <c r="C1244" s="18" t="s">
        <v>589</v>
      </c>
    </row>
    <row r="1245" spans="3:3">
      <c r="C1245" s="18" t="s">
        <v>590</v>
      </c>
    </row>
    <row r="1248" spans="3:3">
      <c r="C1248" s="18" t="s">
        <v>350</v>
      </c>
    </row>
    <row r="1249" spans="3:3">
      <c r="C1249" s="18" t="s">
        <v>351</v>
      </c>
    </row>
    <row r="1250" spans="3:3">
      <c r="C1250" s="18" t="s">
        <v>353</v>
      </c>
    </row>
    <row r="1251" spans="3:3">
      <c r="C1251" s="18" t="s">
        <v>356</v>
      </c>
    </row>
    <row r="1252" spans="3:3">
      <c r="C1252" s="18" t="s">
        <v>358</v>
      </c>
    </row>
    <row r="1253" spans="3:3">
      <c r="C1253" s="18" t="s">
        <v>336</v>
      </c>
    </row>
    <row r="1255" spans="3:3">
      <c r="C1255" s="18" t="s">
        <v>350</v>
      </c>
    </row>
    <row r="1256" spans="3:3">
      <c r="C1256" s="18" t="s">
        <v>355</v>
      </c>
    </row>
    <row r="1257" spans="3:3">
      <c r="C1257" s="18" t="s">
        <v>360</v>
      </c>
    </row>
    <row r="1258" spans="3:3">
      <c r="C1258" s="18" t="s">
        <v>351</v>
      </c>
    </row>
    <row r="1259" spans="3:3">
      <c r="C1259" s="18" t="s">
        <v>336</v>
      </c>
    </row>
    <row r="1261" spans="3:3">
      <c r="C1261" s="18" t="s">
        <v>349</v>
      </c>
    </row>
    <row r="1262" spans="3:3">
      <c r="C1262" s="18" t="s">
        <v>351</v>
      </c>
    </row>
    <row r="1263" spans="3:3">
      <c r="C1263" s="18" t="s">
        <v>358</v>
      </c>
    </row>
    <row r="1264" spans="3:3">
      <c r="C1264" s="18" t="s">
        <v>356</v>
      </c>
    </row>
    <row r="1265" spans="3:3">
      <c r="C1265" s="18" t="s">
        <v>336</v>
      </c>
    </row>
    <row r="1267" spans="3:3">
      <c r="C1267" s="18" t="s">
        <v>350</v>
      </c>
    </row>
    <row r="1268" spans="3:3">
      <c r="C1268" s="18" t="s">
        <v>351</v>
      </c>
    </row>
    <row r="1269" spans="3:3">
      <c r="C1269" s="18" t="s">
        <v>336</v>
      </c>
    </row>
    <row r="1272" spans="3:3">
      <c r="C1272" s="18" t="s">
        <v>349</v>
      </c>
    </row>
    <row r="1273" spans="3:3">
      <c r="C1273" s="18" t="s">
        <v>351</v>
      </c>
    </row>
    <row r="1274" spans="3:3">
      <c r="C1274" s="18" t="s">
        <v>353</v>
      </c>
    </row>
    <row r="1275" spans="3:3">
      <c r="C1275" s="18" t="s">
        <v>355</v>
      </c>
    </row>
    <row r="1276" spans="3:3">
      <c r="C1276" s="18" t="s">
        <v>356</v>
      </c>
    </row>
    <row r="1277" spans="3:3">
      <c r="C1277" s="18" t="s">
        <v>357</v>
      </c>
    </row>
    <row r="1278" spans="3:3">
      <c r="C1278" s="18" t="s">
        <v>358</v>
      </c>
    </row>
    <row r="1279" spans="3:3">
      <c r="C1279" s="18" t="s">
        <v>359</v>
      </c>
    </row>
    <row r="1280" spans="3:3">
      <c r="C1280" s="18" t="s">
        <v>360</v>
      </c>
    </row>
    <row r="1281" spans="3:3">
      <c r="C1281" s="18" t="s">
        <v>336</v>
      </c>
    </row>
    <row r="1283" spans="3:3">
      <c r="C1283" s="18" t="s">
        <v>49</v>
      </c>
    </row>
    <row r="1284" spans="3:3">
      <c r="C1284" s="18" t="s">
        <v>364</v>
      </c>
    </row>
    <row r="1285" spans="3:3">
      <c r="C1285" s="18" t="s">
        <v>366</v>
      </c>
    </row>
    <row r="1286" spans="3:3">
      <c r="C1286" s="18" t="s">
        <v>368</v>
      </c>
    </row>
    <row r="1287" spans="3:3">
      <c r="C1287" s="18" t="s">
        <v>370</v>
      </c>
    </row>
    <row r="1288" spans="3:3">
      <c r="C1288" s="18" t="s">
        <v>372</v>
      </c>
    </row>
    <row r="1289" spans="3:3">
      <c r="C1289" s="18" t="s">
        <v>374</v>
      </c>
    </row>
    <row r="1290" spans="3:3">
      <c r="C1290" s="18" t="s">
        <v>376</v>
      </c>
    </row>
    <row r="1291" spans="3:3">
      <c r="C1291" s="18" t="s">
        <v>378</v>
      </c>
    </row>
    <row r="1292" spans="3:3">
      <c r="C1292" s="18" t="s">
        <v>380</v>
      </c>
    </row>
    <row r="1293" spans="3:3">
      <c r="C1293" s="18" t="s">
        <v>382</v>
      </c>
    </row>
    <row r="1294" spans="3:3">
      <c r="C1294" s="18" t="s">
        <v>384</v>
      </c>
    </row>
    <row r="1295" spans="3:3">
      <c r="C1295" s="18" t="s">
        <v>386</v>
      </c>
    </row>
    <row r="1296" spans="3:3">
      <c r="C1296" s="18" t="s">
        <v>388</v>
      </c>
    </row>
    <row r="1297" spans="3:3">
      <c r="C1297" s="18" t="s">
        <v>390</v>
      </c>
    </row>
    <row r="1298" spans="3:3">
      <c r="C1298" s="18" t="s">
        <v>392</v>
      </c>
    </row>
    <row r="1299" spans="3:3">
      <c r="C1299" s="18" t="s">
        <v>394</v>
      </c>
    </row>
    <row r="1300" spans="3:3">
      <c r="C1300" s="18" t="s">
        <v>396</v>
      </c>
    </row>
    <row r="1301" spans="3:3">
      <c r="C1301" s="18" t="s">
        <v>398</v>
      </c>
    </row>
    <row r="1302" spans="3:3">
      <c r="C1302" s="18" t="s">
        <v>400</v>
      </c>
    </row>
    <row r="1303" spans="3:3">
      <c r="C1303" s="18" t="s">
        <v>32</v>
      </c>
    </row>
    <row r="1304" spans="3:3">
      <c r="C1304" s="18" t="s">
        <v>403</v>
      </c>
    </row>
    <row r="1305" spans="3:3">
      <c r="C1305" s="18" t="s">
        <v>405</v>
      </c>
    </row>
    <row r="1306" spans="3:3">
      <c r="C1306" s="18" t="s">
        <v>407</v>
      </c>
    </row>
    <row r="1307" spans="3:3">
      <c r="C1307" s="18" t="s">
        <v>409</v>
      </c>
    </row>
    <row r="1308" spans="3:3">
      <c r="C1308" s="18" t="s">
        <v>411</v>
      </c>
    </row>
    <row r="1309" spans="3:3">
      <c r="C1309" s="18" t="s">
        <v>413</v>
      </c>
    </row>
    <row r="1310" spans="3:3">
      <c r="C1310" s="18" t="s">
        <v>415</v>
      </c>
    </row>
    <row r="1311" spans="3:3">
      <c r="C1311" s="18" t="s">
        <v>417</v>
      </c>
    </row>
    <row r="1312" spans="3:3">
      <c r="C1312" s="18" t="s">
        <v>419</v>
      </c>
    </row>
    <row r="1313" spans="3:3">
      <c r="C1313" s="18" t="s">
        <v>421</v>
      </c>
    </row>
    <row r="1314" spans="3:3">
      <c r="C1314" s="18" t="s">
        <v>423</v>
      </c>
    </row>
    <row r="1315" spans="3:3">
      <c r="C1315" s="18" t="s">
        <v>336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4" outlineLevelRow="1"/>
  <cols>
    <col min="1" max="1" width="25.582031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5">
      <c r="A1" s="110" t="s">
        <v>1130</v>
      </c>
      <c r="B1" s="111" t="s">
        <v>1131</v>
      </c>
      <c r="C1" s="111" t="s">
        <v>1132</v>
      </c>
      <c r="D1" s="112" t="s">
        <v>1133</v>
      </c>
      <c r="E1" s="126"/>
    </row>
    <row r="2" spans="1:5" ht="15.5" outlineLevel="1">
      <c r="A2" s="40" t="s">
        <v>973</v>
      </c>
      <c r="B2" s="41" t="s">
        <v>0</v>
      </c>
      <c r="C2" s="40">
        <v>5.0999999999999996</v>
      </c>
      <c r="D2" s="114"/>
    </row>
    <row r="3" spans="1:5" ht="15.5" outlineLevel="1">
      <c r="A3" s="40" t="s">
        <v>973</v>
      </c>
      <c r="B3" s="41" t="s">
        <v>1</v>
      </c>
      <c r="C3" s="40">
        <v>5.2</v>
      </c>
      <c r="D3" s="114"/>
    </row>
    <row r="4" spans="1:5" ht="15.5" outlineLevel="1">
      <c r="A4" s="40" t="s">
        <v>973</v>
      </c>
      <c r="B4" s="41" t="s">
        <v>189</v>
      </c>
      <c r="C4" s="40">
        <v>5.4</v>
      </c>
      <c r="D4" s="114"/>
    </row>
    <row r="5" spans="1:5" ht="15.5" outlineLevel="1">
      <c r="A5" s="40" t="s">
        <v>973</v>
      </c>
      <c r="B5" s="41" t="s">
        <v>190</v>
      </c>
      <c r="C5" s="40">
        <v>5.7</v>
      </c>
      <c r="D5" s="114"/>
    </row>
    <row r="6" spans="1:5" ht="15.5" outlineLevel="1">
      <c r="A6" s="40" t="s">
        <v>973</v>
      </c>
      <c r="B6" s="41" t="s">
        <v>191</v>
      </c>
      <c r="C6" s="40">
        <v>5.1100000000000003</v>
      </c>
      <c r="D6" s="114"/>
    </row>
    <row r="7" spans="1:5" ht="15.5" outlineLevel="1">
      <c r="A7" s="40" t="s">
        <v>973</v>
      </c>
      <c r="B7" s="41" t="s">
        <v>5</v>
      </c>
      <c r="C7" s="40">
        <v>5.26</v>
      </c>
      <c r="D7" s="114"/>
    </row>
    <row r="8" spans="1:5" ht="15.5" outlineLevel="1">
      <c r="A8" s="40" t="s">
        <v>973</v>
      </c>
      <c r="B8" s="41" t="s">
        <v>6</v>
      </c>
      <c r="C8" s="40">
        <v>5.27</v>
      </c>
      <c r="D8" s="114"/>
    </row>
    <row r="9" spans="1:5" ht="15.5" outlineLevel="1">
      <c r="A9" s="40" t="s">
        <v>973</v>
      </c>
      <c r="B9" s="41" t="s">
        <v>145</v>
      </c>
      <c r="C9" s="40">
        <v>5.36</v>
      </c>
      <c r="D9" s="114"/>
    </row>
    <row r="10" spans="1:5" ht="15.5" outlineLevel="1">
      <c r="A10" s="40" t="s">
        <v>973</v>
      </c>
      <c r="B10" s="41" t="s">
        <v>193</v>
      </c>
      <c r="C10" s="42">
        <v>5.5</v>
      </c>
      <c r="D10" s="114"/>
    </row>
    <row r="11" spans="1:5" ht="15.5" outlineLevel="1">
      <c r="A11" s="40" t="s">
        <v>973</v>
      </c>
      <c r="B11" s="41" t="s">
        <v>10</v>
      </c>
      <c r="C11" s="40">
        <v>5.51</v>
      </c>
      <c r="D11" s="114"/>
    </row>
    <row r="12" spans="1:5" ht="15.5" outlineLevel="1">
      <c r="A12" s="40" t="s">
        <v>973</v>
      </c>
      <c r="B12" s="41" t="s">
        <v>11</v>
      </c>
      <c r="C12" s="40">
        <v>5.53</v>
      </c>
      <c r="D12" s="114"/>
    </row>
    <row r="13" spans="1:5" ht="15.5" outlineLevel="1">
      <c r="A13" s="40" t="s">
        <v>973</v>
      </c>
      <c r="B13" s="41" t="s">
        <v>155</v>
      </c>
      <c r="C13" s="40">
        <v>5.59</v>
      </c>
      <c r="D13" s="114"/>
    </row>
    <row r="14" spans="1:5" ht="15.5" outlineLevel="1">
      <c r="A14" s="40" t="s">
        <v>973</v>
      </c>
      <c r="B14" s="41" t="s">
        <v>18</v>
      </c>
      <c r="C14" s="40">
        <v>5.54</v>
      </c>
      <c r="D14" s="114"/>
    </row>
    <row r="15" spans="1:5" ht="15.5" outlineLevel="1">
      <c r="A15" s="40" t="s">
        <v>973</v>
      </c>
      <c r="B15" s="41" t="s">
        <v>14</v>
      </c>
      <c r="C15" s="42">
        <v>5.7</v>
      </c>
      <c r="D15" s="113" t="s">
        <v>1134</v>
      </c>
    </row>
    <row r="16" spans="1:5" ht="15.5" outlineLevel="1">
      <c r="A16" s="40" t="s">
        <v>973</v>
      </c>
      <c r="B16" s="41" t="s">
        <v>20</v>
      </c>
      <c r="C16" s="40">
        <v>5.63</v>
      </c>
      <c r="D16" s="114"/>
    </row>
    <row r="17" spans="1:4" ht="15.5" outlineLevel="1">
      <c r="A17" s="40" t="s">
        <v>973</v>
      </c>
      <c r="B17" s="41" t="s">
        <v>24</v>
      </c>
      <c r="C17" s="40">
        <v>5.47</v>
      </c>
      <c r="D17" s="114"/>
    </row>
    <row r="18" spans="1:4" ht="15.5" outlineLevel="1">
      <c r="A18" s="40" t="s">
        <v>973</v>
      </c>
      <c r="B18" s="41" t="s">
        <v>25</v>
      </c>
      <c r="C18" s="40">
        <v>5.48</v>
      </c>
      <c r="D18" s="114"/>
    </row>
    <row r="19" spans="1:4" ht="15.5">
      <c r="A19" s="46" t="s">
        <v>973</v>
      </c>
      <c r="B19" s="41"/>
      <c r="C19" s="40"/>
      <c r="D19" s="114"/>
    </row>
    <row r="20" spans="1:4" ht="15.5" outlineLevel="1">
      <c r="A20" s="40" t="s">
        <v>983</v>
      </c>
      <c r="B20" s="41" t="s">
        <v>0</v>
      </c>
      <c r="C20" s="40">
        <v>5.0999999999999996</v>
      </c>
      <c r="D20" s="114"/>
    </row>
    <row r="21" spans="1:4" ht="15.5" outlineLevel="1">
      <c r="A21" s="40" t="s">
        <v>983</v>
      </c>
      <c r="B21" s="41" t="s">
        <v>1</v>
      </c>
      <c r="C21" s="40">
        <v>5.2</v>
      </c>
      <c r="D21" s="114"/>
    </row>
    <row r="22" spans="1:4" ht="15.5" outlineLevel="1">
      <c r="A22" s="40" t="s">
        <v>983</v>
      </c>
      <c r="B22" s="41" t="s">
        <v>2</v>
      </c>
      <c r="C22" s="40">
        <v>5.3</v>
      </c>
      <c r="D22" s="114"/>
    </row>
    <row r="23" spans="1:4" ht="15.5" outlineLevel="1">
      <c r="A23" s="40" t="s">
        <v>983</v>
      </c>
      <c r="B23" s="41" t="s">
        <v>1135</v>
      </c>
      <c r="C23" s="40">
        <v>5.14</v>
      </c>
      <c r="D23" s="114"/>
    </row>
    <row r="24" spans="1:4" ht="15.5" outlineLevel="1">
      <c r="A24" s="40" t="s">
        <v>983</v>
      </c>
      <c r="B24" s="41" t="s">
        <v>4</v>
      </c>
      <c r="C24" s="40">
        <v>5.19</v>
      </c>
      <c r="D24" s="114"/>
    </row>
    <row r="25" spans="1:4" ht="15.5" outlineLevel="1">
      <c r="A25" s="40" t="s">
        <v>983</v>
      </c>
      <c r="B25" s="41" t="s">
        <v>5</v>
      </c>
      <c r="C25" s="40">
        <v>5.26</v>
      </c>
      <c r="D25" s="114"/>
    </row>
    <row r="26" spans="1:4" ht="15.5" outlineLevel="1">
      <c r="A26" s="40" t="s">
        <v>983</v>
      </c>
      <c r="B26" s="41" t="s">
        <v>6</v>
      </c>
      <c r="C26" s="40">
        <v>5.27</v>
      </c>
      <c r="D26" s="114"/>
    </row>
    <row r="27" spans="1:4" ht="15.5" outlineLevel="1">
      <c r="A27" s="40" t="s">
        <v>983</v>
      </c>
      <c r="B27" s="41" t="s">
        <v>7</v>
      </c>
      <c r="C27" s="40">
        <v>5.28</v>
      </c>
      <c r="D27" s="114"/>
    </row>
    <row r="28" spans="1:4" ht="15.5" outlineLevel="1">
      <c r="A28" s="40" t="s">
        <v>983</v>
      </c>
      <c r="B28" s="41" t="s">
        <v>8</v>
      </c>
      <c r="C28" s="42">
        <v>5.3</v>
      </c>
      <c r="D28" s="114"/>
    </row>
    <row r="29" spans="1:4" ht="15.5" outlineLevel="1">
      <c r="A29" s="40" t="s">
        <v>983</v>
      </c>
      <c r="B29" s="41" t="s">
        <v>9</v>
      </c>
      <c r="C29" s="40">
        <v>5.49</v>
      </c>
      <c r="D29" s="114"/>
    </row>
    <row r="30" spans="1:4" ht="15.5" outlineLevel="1">
      <c r="A30" s="40" t="s">
        <v>983</v>
      </c>
      <c r="B30" s="41" t="s">
        <v>10</v>
      </c>
      <c r="C30" s="40">
        <v>5.51</v>
      </c>
      <c r="D30" s="114"/>
    </row>
    <row r="31" spans="1:4" ht="15.5" outlineLevel="1">
      <c r="A31" s="40" t="s">
        <v>983</v>
      </c>
      <c r="B31" s="41" t="s">
        <v>11</v>
      </c>
      <c r="C31" s="40">
        <v>5.53</v>
      </c>
      <c r="D31" s="114"/>
    </row>
    <row r="32" spans="1:4" ht="15.5" outlineLevel="1">
      <c r="A32" s="40" t="s">
        <v>983</v>
      </c>
      <c r="B32" s="41" t="s">
        <v>12</v>
      </c>
      <c r="C32" s="40">
        <v>5.69</v>
      </c>
      <c r="D32" s="114"/>
    </row>
    <row r="33" spans="1:4" ht="15.5" outlineLevel="1">
      <c r="A33" s="40" t="s">
        <v>983</v>
      </c>
      <c r="B33" s="41" t="s">
        <v>13</v>
      </c>
      <c r="C33" s="40">
        <v>5.75</v>
      </c>
      <c r="D33" s="114"/>
    </row>
    <row r="34" spans="1:4" ht="15.5" outlineLevel="1">
      <c r="A34" s="40" t="s">
        <v>983</v>
      </c>
      <c r="B34" s="41" t="s">
        <v>14</v>
      </c>
      <c r="C34" s="42">
        <v>5.7</v>
      </c>
      <c r="D34" s="114"/>
    </row>
    <row r="35" spans="1:4" ht="15.5" outlineLevel="1">
      <c r="A35" s="40" t="s">
        <v>983</v>
      </c>
      <c r="B35" s="41" t="s">
        <v>15</v>
      </c>
      <c r="C35" s="40">
        <v>5.74</v>
      </c>
      <c r="D35" s="114"/>
    </row>
    <row r="36" spans="1:4" ht="15.5" outlineLevel="1">
      <c r="A36" s="40" t="s">
        <v>983</v>
      </c>
      <c r="B36" s="41" t="s">
        <v>16</v>
      </c>
      <c r="C36" s="40">
        <v>5.62</v>
      </c>
      <c r="D36" s="114"/>
    </row>
    <row r="37" spans="1:4" ht="15.5" outlineLevel="1">
      <c r="A37" s="40" t="s">
        <v>983</v>
      </c>
      <c r="B37" s="41" t="s">
        <v>17</v>
      </c>
      <c r="C37" s="40">
        <v>5.58</v>
      </c>
      <c r="D37" s="114"/>
    </row>
    <row r="38" spans="1:4" ht="15.5" outlineLevel="1">
      <c r="A38" s="40" t="s">
        <v>983</v>
      </c>
      <c r="B38" s="41" t="s">
        <v>18</v>
      </c>
      <c r="C38" s="40">
        <v>5.54</v>
      </c>
      <c r="D38" s="114"/>
    </row>
    <row r="39" spans="1:4" ht="15.5" outlineLevel="1">
      <c r="A39" s="40" t="s">
        <v>983</v>
      </c>
      <c r="B39" s="41" t="s">
        <v>19</v>
      </c>
      <c r="C39" s="40">
        <v>5.55</v>
      </c>
      <c r="D39" s="114"/>
    </row>
    <row r="40" spans="1:4" ht="15.5" outlineLevel="1">
      <c r="A40" s="40" t="s">
        <v>983</v>
      </c>
      <c r="B40" s="41" t="s">
        <v>20</v>
      </c>
      <c r="C40" s="40">
        <v>5.63</v>
      </c>
      <c r="D40" s="114"/>
    </row>
    <row r="41" spans="1:4" ht="15.5" outlineLevel="1">
      <c r="A41" s="40" t="s">
        <v>983</v>
      </c>
      <c r="B41" s="41" t="s">
        <v>21</v>
      </c>
      <c r="C41" s="40">
        <v>5.65</v>
      </c>
      <c r="D41" s="114"/>
    </row>
    <row r="42" spans="1:4" ht="15.5" outlineLevel="1">
      <c r="A42" s="40" t="s">
        <v>983</v>
      </c>
      <c r="B42" s="41" t="s">
        <v>22</v>
      </c>
      <c r="C42" s="40">
        <v>5.68</v>
      </c>
      <c r="D42" s="114"/>
    </row>
    <row r="43" spans="1:4" ht="15.5" outlineLevel="1">
      <c r="A43" s="40" t="s">
        <v>983</v>
      </c>
      <c r="B43" s="41" t="s">
        <v>23</v>
      </c>
      <c r="C43" s="40">
        <v>5.45</v>
      </c>
      <c r="D43" s="114"/>
    </row>
    <row r="44" spans="1:4" ht="15.5" outlineLevel="1">
      <c r="A44" s="40" t="s">
        <v>983</v>
      </c>
      <c r="B44" s="41" t="s">
        <v>24</v>
      </c>
      <c r="C44" s="40">
        <v>5.47</v>
      </c>
      <c r="D44" s="114"/>
    </row>
    <row r="45" spans="1:4" ht="15.5" outlineLevel="1">
      <c r="A45" s="40" t="s">
        <v>983</v>
      </c>
      <c r="B45" s="41" t="s">
        <v>25</v>
      </c>
      <c r="C45" s="40">
        <v>5.48</v>
      </c>
      <c r="D45" s="114"/>
    </row>
    <row r="46" spans="1:4" ht="15.5">
      <c r="A46" s="46" t="s">
        <v>983</v>
      </c>
      <c r="B46" s="41"/>
      <c r="C46" s="40"/>
      <c r="D46" s="114"/>
    </row>
    <row r="47" spans="1:4" ht="15.5" outlineLevel="1">
      <c r="A47" s="40" t="s">
        <v>988</v>
      </c>
      <c r="B47" s="41" t="s">
        <v>0</v>
      </c>
      <c r="C47" s="40">
        <v>5.0999999999999996</v>
      </c>
      <c r="D47" s="114"/>
    </row>
    <row r="48" spans="1:4" ht="15.5" outlineLevel="1">
      <c r="A48" s="40" t="s">
        <v>988</v>
      </c>
      <c r="B48" s="41" t="s">
        <v>1</v>
      </c>
      <c r="C48" s="40">
        <v>5.2</v>
      </c>
      <c r="D48" s="114"/>
    </row>
    <row r="49" spans="1:4" ht="15.5" outlineLevel="1">
      <c r="A49" s="40" t="s">
        <v>988</v>
      </c>
      <c r="B49" s="41" t="s">
        <v>2</v>
      </c>
      <c r="C49" s="40">
        <v>5.3</v>
      </c>
      <c r="D49" s="114"/>
    </row>
    <row r="50" spans="1:4" ht="15.5" outlineLevel="1">
      <c r="A50" s="40" t="s">
        <v>988</v>
      </c>
      <c r="B50" s="41" t="s">
        <v>169</v>
      </c>
      <c r="C50" s="40">
        <v>5.6</v>
      </c>
      <c r="D50" s="114"/>
    </row>
    <row r="51" spans="1:4" ht="15.5" outlineLevel="1">
      <c r="A51" s="40" t="s">
        <v>988</v>
      </c>
      <c r="B51" s="41" t="s">
        <v>1136</v>
      </c>
      <c r="C51" s="42">
        <v>5.0999999999999996</v>
      </c>
      <c r="D51" s="114"/>
    </row>
    <row r="52" spans="1:4" ht="15.5" outlineLevel="1">
      <c r="A52" s="40" t="s">
        <v>988</v>
      </c>
      <c r="B52" s="41" t="s">
        <v>1135</v>
      </c>
      <c r="C52" s="40">
        <v>5.14</v>
      </c>
      <c r="D52" s="114"/>
    </row>
    <row r="53" spans="1:4" ht="15.5" outlineLevel="1">
      <c r="A53" s="40" t="s">
        <v>988</v>
      </c>
      <c r="B53" s="41" t="s">
        <v>4</v>
      </c>
      <c r="C53" s="40">
        <v>5.19</v>
      </c>
      <c r="D53" s="114"/>
    </row>
    <row r="54" spans="1:4" ht="15.5" outlineLevel="1">
      <c r="A54" s="40" t="s">
        <v>988</v>
      </c>
      <c r="B54" s="41" t="s">
        <v>171</v>
      </c>
      <c r="C54" s="40">
        <v>5.24</v>
      </c>
      <c r="D54" s="114"/>
    </row>
    <row r="55" spans="1:4" ht="15.5" outlineLevel="1">
      <c r="A55" s="40" t="s">
        <v>988</v>
      </c>
      <c r="B55" s="41" t="s">
        <v>5</v>
      </c>
      <c r="C55" s="40">
        <v>5.26</v>
      </c>
      <c r="D55" s="114"/>
    </row>
    <row r="56" spans="1:4" ht="15.5" outlineLevel="1">
      <c r="A56" s="40" t="s">
        <v>988</v>
      </c>
      <c r="B56" s="41" t="s">
        <v>6</v>
      </c>
      <c r="C56" s="40">
        <v>5.27</v>
      </c>
      <c r="D56" s="114"/>
    </row>
    <row r="57" spans="1:4" ht="15.5" outlineLevel="1">
      <c r="A57" s="40" t="s">
        <v>988</v>
      </c>
      <c r="B57" s="41" t="s">
        <v>7</v>
      </c>
      <c r="C57" s="40">
        <v>5.28</v>
      </c>
      <c r="D57" s="114"/>
    </row>
    <row r="58" spans="1:4" ht="15.5" outlineLevel="1">
      <c r="A58" s="40" t="s">
        <v>988</v>
      </c>
      <c r="B58" s="41" t="s">
        <v>8</v>
      </c>
      <c r="C58" s="42">
        <v>5.3</v>
      </c>
      <c r="D58" s="114"/>
    </row>
    <row r="59" spans="1:4" ht="15.5" outlineLevel="1">
      <c r="A59" s="40" t="s">
        <v>988</v>
      </c>
      <c r="B59" s="41" t="s">
        <v>172</v>
      </c>
      <c r="C59" s="40">
        <v>5.31</v>
      </c>
      <c r="D59" s="114"/>
    </row>
    <row r="60" spans="1:4" ht="15.5" outlineLevel="1">
      <c r="A60" s="40" t="s">
        <v>988</v>
      </c>
      <c r="B60" s="41" t="s">
        <v>145</v>
      </c>
      <c r="C60" s="40">
        <v>5.36</v>
      </c>
      <c r="D60" s="114"/>
    </row>
    <row r="61" spans="1:4" ht="15.5" outlineLevel="1">
      <c r="A61" s="40" t="s">
        <v>988</v>
      </c>
      <c r="B61" s="41" t="s">
        <v>9</v>
      </c>
      <c r="C61" s="40">
        <v>5.49</v>
      </c>
      <c r="D61" s="114"/>
    </row>
    <row r="62" spans="1:4" ht="15.5" outlineLevel="1">
      <c r="A62" s="40" t="s">
        <v>988</v>
      </c>
      <c r="B62" s="41" t="s">
        <v>10</v>
      </c>
      <c r="C62" s="40">
        <v>5.51</v>
      </c>
      <c r="D62" s="114"/>
    </row>
    <row r="63" spans="1:4" ht="15.5" outlineLevel="1">
      <c r="A63" s="40" t="s">
        <v>988</v>
      </c>
      <c r="B63" s="41" t="s">
        <v>1137</v>
      </c>
      <c r="C63" s="40">
        <v>5.52</v>
      </c>
      <c r="D63" s="114"/>
    </row>
    <row r="64" spans="1:4" ht="15.5" outlineLevel="1">
      <c r="A64" s="40" t="s">
        <v>988</v>
      </c>
      <c r="B64" s="41" t="s">
        <v>11</v>
      </c>
      <c r="C64" s="40">
        <v>5.53</v>
      </c>
      <c r="D64" s="114"/>
    </row>
    <row r="65" spans="1:4" ht="15.5" outlineLevel="1">
      <c r="A65" s="40" t="s">
        <v>988</v>
      </c>
      <c r="B65" s="41" t="s">
        <v>12</v>
      </c>
      <c r="C65" s="40">
        <v>5.69</v>
      </c>
      <c r="D65" s="114"/>
    </row>
    <row r="66" spans="1:4" ht="15.5" outlineLevel="1">
      <c r="A66" s="40" t="s">
        <v>988</v>
      </c>
      <c r="B66" s="41" t="s">
        <v>932</v>
      </c>
      <c r="C66" s="42">
        <v>5.72</v>
      </c>
      <c r="D66" s="114"/>
    </row>
    <row r="67" spans="1:4" ht="15.5" outlineLevel="1">
      <c r="A67" s="40" t="s">
        <v>988</v>
      </c>
      <c r="B67" s="41" t="s">
        <v>13</v>
      </c>
      <c r="C67" s="40">
        <v>5.75</v>
      </c>
      <c r="D67" s="114"/>
    </row>
    <row r="68" spans="1:4" ht="15.5" outlineLevel="1">
      <c r="A68" s="40" t="s">
        <v>988</v>
      </c>
      <c r="B68" s="41" t="s">
        <v>14</v>
      </c>
      <c r="C68" s="42">
        <v>5.7</v>
      </c>
      <c r="D68" s="114"/>
    </row>
    <row r="69" spans="1:4" ht="15.5" outlineLevel="1">
      <c r="A69" s="40" t="s">
        <v>988</v>
      </c>
      <c r="B69" s="41" t="s">
        <v>15</v>
      </c>
      <c r="C69" s="40">
        <v>5.74</v>
      </c>
      <c r="D69" s="114"/>
    </row>
    <row r="70" spans="1:4" ht="15.5" outlineLevel="1">
      <c r="A70" s="40" t="s">
        <v>988</v>
      </c>
      <c r="B70" s="41" t="s">
        <v>432</v>
      </c>
      <c r="C70" s="40">
        <v>5.76</v>
      </c>
      <c r="D70" s="114"/>
    </row>
    <row r="71" spans="1:4" ht="15.5" outlineLevel="1">
      <c r="A71" s="40" t="s">
        <v>988</v>
      </c>
      <c r="B71" s="41" t="s">
        <v>853</v>
      </c>
      <c r="C71" s="40">
        <v>5.89</v>
      </c>
      <c r="D71" s="113" t="s">
        <v>1134</v>
      </c>
    </row>
    <row r="72" spans="1:4" ht="15.5" outlineLevel="1">
      <c r="A72" s="40" t="s">
        <v>988</v>
      </c>
      <c r="B72" s="41" t="s">
        <v>17</v>
      </c>
      <c r="C72" s="40">
        <v>5.58</v>
      </c>
      <c r="D72" s="114"/>
    </row>
    <row r="73" spans="1:4" ht="15.5" outlineLevel="1">
      <c r="A73" s="40" t="s">
        <v>988</v>
      </c>
      <c r="B73" s="41" t="s">
        <v>16</v>
      </c>
      <c r="C73" s="40">
        <v>5.62</v>
      </c>
      <c r="D73" s="114"/>
    </row>
    <row r="74" spans="1:4" ht="15.5" outlineLevel="1">
      <c r="A74" s="40" t="s">
        <v>988</v>
      </c>
      <c r="B74" s="41" t="s">
        <v>18</v>
      </c>
      <c r="C74" s="40">
        <v>5.54</v>
      </c>
      <c r="D74" s="114"/>
    </row>
    <row r="75" spans="1:4" ht="15.5" outlineLevel="1">
      <c r="A75" s="40" t="s">
        <v>988</v>
      </c>
      <c r="B75" s="41" t="s">
        <v>19</v>
      </c>
      <c r="C75" s="40">
        <v>5.55</v>
      </c>
      <c r="D75" s="114"/>
    </row>
    <row r="76" spans="1:4" ht="15.5" outlineLevel="1">
      <c r="A76" s="40" t="s">
        <v>988</v>
      </c>
      <c r="B76" s="41" t="s">
        <v>20</v>
      </c>
      <c r="C76" s="40">
        <v>5.63</v>
      </c>
      <c r="D76" s="114"/>
    </row>
    <row r="77" spans="1:4" ht="15.5" outlineLevel="1">
      <c r="A77" s="40" t="s">
        <v>988</v>
      </c>
      <c r="B77" s="41" t="s">
        <v>21</v>
      </c>
      <c r="C77" s="40">
        <v>5.65</v>
      </c>
      <c r="D77" s="114"/>
    </row>
    <row r="78" spans="1:4" ht="15.5" outlineLevel="1">
      <c r="A78" s="40" t="s">
        <v>988</v>
      </c>
      <c r="B78" s="41" t="s">
        <v>188</v>
      </c>
      <c r="C78" s="40">
        <v>5.66</v>
      </c>
      <c r="D78" s="114"/>
    </row>
    <row r="79" spans="1:4" ht="15.5" outlineLevel="1">
      <c r="A79" s="40" t="s">
        <v>988</v>
      </c>
      <c r="B79" s="41" t="s">
        <v>22</v>
      </c>
      <c r="C79" s="40">
        <v>5.68</v>
      </c>
      <c r="D79" s="114"/>
    </row>
    <row r="80" spans="1:4" ht="15.5" outlineLevel="1">
      <c r="A80" s="40" t="s">
        <v>988</v>
      </c>
      <c r="B80" s="41" t="s">
        <v>23</v>
      </c>
      <c r="C80" s="40">
        <v>5.45</v>
      </c>
      <c r="D80" s="114"/>
    </row>
    <row r="81" spans="1:4" ht="15.5" outlineLevel="1">
      <c r="A81" s="40" t="s">
        <v>988</v>
      </c>
      <c r="B81" s="41" t="s">
        <v>24</v>
      </c>
      <c r="C81" s="40">
        <v>5.47</v>
      </c>
      <c r="D81" s="114"/>
    </row>
    <row r="82" spans="1:4" ht="15.5" outlineLevel="1">
      <c r="A82" s="40" t="s">
        <v>988</v>
      </c>
      <c r="B82" s="41" t="s">
        <v>25</v>
      </c>
      <c r="C82" s="40">
        <v>5.48</v>
      </c>
      <c r="D82" s="114"/>
    </row>
    <row r="83" spans="1:4" ht="15.5">
      <c r="A83" s="46" t="s">
        <v>988</v>
      </c>
      <c r="B83" s="41"/>
      <c r="C83" s="40"/>
      <c r="D83" s="114"/>
    </row>
    <row r="84" spans="1:4" ht="15.5" outlineLevel="1">
      <c r="A84" s="40" t="s">
        <v>989</v>
      </c>
      <c r="B84" s="41" t="s">
        <v>0</v>
      </c>
      <c r="C84" s="40">
        <v>5.0999999999999996</v>
      </c>
      <c r="D84" s="114"/>
    </row>
    <row r="85" spans="1:4" ht="15.5" outlineLevel="1">
      <c r="A85" s="40" t="s">
        <v>989</v>
      </c>
      <c r="B85" s="41" t="s">
        <v>1</v>
      </c>
      <c r="C85" s="40">
        <v>5.2</v>
      </c>
      <c r="D85" s="114"/>
    </row>
    <row r="86" spans="1:4" ht="15.5" outlineLevel="1">
      <c r="A86" s="40" t="s">
        <v>989</v>
      </c>
      <c r="B86" s="41" t="s">
        <v>2</v>
      </c>
      <c r="C86" s="40">
        <v>5.3</v>
      </c>
      <c r="D86" s="114"/>
    </row>
    <row r="87" spans="1:4" ht="15.5" outlineLevel="1">
      <c r="A87" s="40" t="s">
        <v>989</v>
      </c>
      <c r="B87" s="41" t="s">
        <v>169</v>
      </c>
      <c r="C87" s="40">
        <v>5.6</v>
      </c>
      <c r="D87" s="114"/>
    </row>
    <row r="88" spans="1:4" ht="15.5" outlineLevel="1">
      <c r="A88" s="40" t="s">
        <v>989</v>
      </c>
      <c r="B88" s="41" t="s">
        <v>1136</v>
      </c>
      <c r="C88" s="42">
        <v>5.0999999999999996</v>
      </c>
      <c r="D88" s="114"/>
    </row>
    <row r="89" spans="1:4" ht="15.5" outlineLevel="1">
      <c r="A89" s="40" t="s">
        <v>989</v>
      </c>
      <c r="B89" s="41" t="s">
        <v>1135</v>
      </c>
      <c r="C89" s="40">
        <v>5.14</v>
      </c>
      <c r="D89" s="114"/>
    </row>
    <row r="90" spans="1:4" ht="15.5" outlineLevel="1">
      <c r="A90" s="40" t="s">
        <v>989</v>
      </c>
      <c r="B90" s="41" t="s">
        <v>4</v>
      </c>
      <c r="C90" s="40">
        <v>5.19</v>
      </c>
      <c r="D90" s="114"/>
    </row>
    <row r="91" spans="1:4" ht="15.5" outlineLevel="1">
      <c r="A91" s="40" t="s">
        <v>989</v>
      </c>
      <c r="B91" s="41" t="s">
        <v>171</v>
      </c>
      <c r="C91" s="40">
        <v>5.24</v>
      </c>
      <c r="D91" s="114"/>
    </row>
    <row r="92" spans="1:4" ht="15.5" outlineLevel="1">
      <c r="A92" s="40" t="s">
        <v>989</v>
      </c>
      <c r="B92" s="41" t="s">
        <v>5</v>
      </c>
      <c r="C92" s="40">
        <v>5.26</v>
      </c>
      <c r="D92" s="114"/>
    </row>
    <row r="93" spans="1:4" ht="15.5" outlineLevel="1">
      <c r="A93" s="40" t="s">
        <v>989</v>
      </c>
      <c r="B93" s="41" t="s">
        <v>6</v>
      </c>
      <c r="C93" s="40">
        <v>5.27</v>
      </c>
      <c r="D93" s="114"/>
    </row>
    <row r="94" spans="1:4" ht="15.5" outlineLevel="1">
      <c r="A94" s="40" t="s">
        <v>989</v>
      </c>
      <c r="B94" s="41" t="s">
        <v>7</v>
      </c>
      <c r="C94" s="40">
        <v>5.28</v>
      </c>
      <c r="D94" s="114"/>
    </row>
    <row r="95" spans="1:4" ht="15.5" outlineLevel="1">
      <c r="A95" s="40" t="s">
        <v>989</v>
      </c>
      <c r="B95" s="41" t="s">
        <v>348</v>
      </c>
      <c r="C95" s="40">
        <v>5.29</v>
      </c>
      <c r="D95" s="114"/>
    </row>
    <row r="96" spans="1:4" ht="15.5" outlineLevel="1">
      <c r="A96" s="40" t="s">
        <v>989</v>
      </c>
      <c r="B96" s="41" t="s">
        <v>8</v>
      </c>
      <c r="C96" s="42">
        <v>5.3</v>
      </c>
      <c r="D96" s="114"/>
    </row>
    <row r="97" spans="1:4" ht="15.5" outlineLevel="1">
      <c r="A97" s="40" t="s">
        <v>989</v>
      </c>
      <c r="B97" s="41" t="s">
        <v>172</v>
      </c>
      <c r="C97" s="40">
        <v>5.31</v>
      </c>
      <c r="D97" s="114"/>
    </row>
    <row r="98" spans="1:4" ht="15.5" outlineLevel="1">
      <c r="A98" s="40" t="s">
        <v>989</v>
      </c>
      <c r="B98" s="41" t="s">
        <v>145</v>
      </c>
      <c r="C98" s="40">
        <v>5.36</v>
      </c>
      <c r="D98" s="114"/>
    </row>
    <row r="99" spans="1:4" ht="15.5" outlineLevel="1">
      <c r="A99" s="40" t="s">
        <v>989</v>
      </c>
      <c r="B99" s="41" t="s">
        <v>9</v>
      </c>
      <c r="C99" s="40">
        <v>5.49</v>
      </c>
      <c r="D99" s="114"/>
    </row>
    <row r="100" spans="1:4" ht="15.5" outlineLevel="1">
      <c r="A100" s="40" t="s">
        <v>989</v>
      </c>
      <c r="B100" s="41" t="s">
        <v>10</v>
      </c>
      <c r="C100" s="40">
        <v>5.51</v>
      </c>
      <c r="D100" s="114"/>
    </row>
    <row r="101" spans="1:4" ht="15.5" outlineLevel="1">
      <c r="A101" s="40" t="s">
        <v>989</v>
      </c>
      <c r="B101" s="41" t="s">
        <v>1137</v>
      </c>
      <c r="C101" s="40">
        <v>5.52</v>
      </c>
      <c r="D101" s="114"/>
    </row>
    <row r="102" spans="1:4" ht="15.5" outlineLevel="1">
      <c r="A102" s="40" t="s">
        <v>989</v>
      </c>
      <c r="B102" s="41" t="s">
        <v>11</v>
      </c>
      <c r="C102" s="40">
        <v>5.53</v>
      </c>
      <c r="D102" s="114"/>
    </row>
    <row r="103" spans="1:4" ht="15.5" outlineLevel="1">
      <c r="A103" s="40" t="s">
        <v>989</v>
      </c>
      <c r="B103" s="41" t="s">
        <v>12</v>
      </c>
      <c r="C103" s="40">
        <v>5.69</v>
      </c>
      <c r="D103" s="114"/>
    </row>
    <row r="104" spans="1:4" ht="15.5" outlineLevel="1">
      <c r="A104" s="40" t="s">
        <v>989</v>
      </c>
      <c r="B104" s="41" t="s">
        <v>13</v>
      </c>
      <c r="C104" s="40">
        <v>5.75</v>
      </c>
      <c r="D104" s="114"/>
    </row>
    <row r="105" spans="1:4" ht="15.5" outlineLevel="1">
      <c r="A105" s="40" t="s">
        <v>989</v>
      </c>
      <c r="B105" s="41" t="s">
        <v>14</v>
      </c>
      <c r="C105" s="42">
        <v>5.7</v>
      </c>
      <c r="D105" s="114"/>
    </row>
    <row r="106" spans="1:4" ht="15.5" outlineLevel="1">
      <c r="A106" s="40" t="s">
        <v>989</v>
      </c>
      <c r="B106" s="41" t="s">
        <v>15</v>
      </c>
      <c r="C106" s="40">
        <v>5.74</v>
      </c>
      <c r="D106" s="114"/>
    </row>
    <row r="107" spans="1:4" ht="15.5" outlineLevel="1">
      <c r="A107" s="40" t="s">
        <v>989</v>
      </c>
      <c r="B107" s="41" t="s">
        <v>432</v>
      </c>
      <c r="C107" s="40">
        <v>5.76</v>
      </c>
      <c r="D107" s="114"/>
    </row>
    <row r="108" spans="1:4" ht="15.5" outlineLevel="1">
      <c r="A108" s="40" t="s">
        <v>989</v>
      </c>
      <c r="B108" s="41" t="s">
        <v>853</v>
      </c>
      <c r="C108" s="40">
        <v>5.89</v>
      </c>
      <c r="D108" s="113" t="s">
        <v>1134</v>
      </c>
    </row>
    <row r="109" spans="1:4" ht="15.5" outlineLevel="1">
      <c r="A109" s="40" t="s">
        <v>989</v>
      </c>
      <c r="B109" s="41" t="s">
        <v>17</v>
      </c>
      <c r="C109" s="40">
        <v>5.58</v>
      </c>
      <c r="D109" s="114"/>
    </row>
    <row r="110" spans="1:4" ht="15.5" outlineLevel="1">
      <c r="A110" s="40" t="s">
        <v>989</v>
      </c>
      <c r="B110" s="41" t="s">
        <v>16</v>
      </c>
      <c r="C110" s="40">
        <v>5.62</v>
      </c>
      <c r="D110" s="114"/>
    </row>
    <row r="111" spans="1:4" ht="15.5" outlineLevel="1">
      <c r="A111" s="40" t="s">
        <v>989</v>
      </c>
      <c r="B111" s="41" t="s">
        <v>18</v>
      </c>
      <c r="C111" s="40">
        <v>5.54</v>
      </c>
      <c r="D111" s="114"/>
    </row>
    <row r="112" spans="1:4" ht="15.5" outlineLevel="1">
      <c r="A112" s="40" t="s">
        <v>989</v>
      </c>
      <c r="B112" s="41" t="s">
        <v>19</v>
      </c>
      <c r="C112" s="40">
        <v>5.55</v>
      </c>
      <c r="D112" s="114"/>
    </row>
    <row r="113" spans="1:4" ht="15.5" outlineLevel="1">
      <c r="A113" s="40" t="s">
        <v>989</v>
      </c>
      <c r="B113" s="41" t="s">
        <v>21</v>
      </c>
      <c r="C113" s="40">
        <v>5.65</v>
      </c>
      <c r="D113" s="114"/>
    </row>
    <row r="114" spans="1:4" ht="15.5" outlineLevel="1">
      <c r="A114" s="40" t="s">
        <v>989</v>
      </c>
      <c r="B114" s="41" t="s">
        <v>188</v>
      </c>
      <c r="C114" s="40">
        <v>5.66</v>
      </c>
      <c r="D114" s="114"/>
    </row>
    <row r="115" spans="1:4" ht="15.5" outlineLevel="1">
      <c r="A115" s="40" t="s">
        <v>989</v>
      </c>
      <c r="B115" s="41" t="s">
        <v>22</v>
      </c>
      <c r="C115" s="40">
        <v>5.68</v>
      </c>
      <c r="D115" s="114"/>
    </row>
    <row r="116" spans="1:4" ht="15.5" outlineLevel="1">
      <c r="A116" s="40" t="s">
        <v>989</v>
      </c>
      <c r="B116" s="41" t="s">
        <v>23</v>
      </c>
      <c r="C116" s="40">
        <v>5.45</v>
      </c>
      <c r="D116" s="114"/>
    </row>
    <row r="117" spans="1:4" ht="15.5" outlineLevel="1">
      <c r="A117" s="40" t="s">
        <v>989</v>
      </c>
      <c r="B117" s="41" t="s">
        <v>24</v>
      </c>
      <c r="C117" s="40">
        <v>5.47</v>
      </c>
      <c r="D117" s="114"/>
    </row>
    <row r="118" spans="1:4" ht="15.5" outlineLevel="1">
      <c r="A118" s="40" t="s">
        <v>989</v>
      </c>
      <c r="B118" s="41" t="s">
        <v>25</v>
      </c>
      <c r="C118" s="40">
        <v>5.48</v>
      </c>
      <c r="D118" s="114"/>
    </row>
    <row r="119" spans="1:4" ht="15.5">
      <c r="A119" s="46" t="s">
        <v>989</v>
      </c>
      <c r="B119" s="41"/>
      <c r="C119" s="40"/>
      <c r="D119" s="114"/>
    </row>
    <row r="120" spans="1:4" ht="15.5" outlineLevel="1">
      <c r="A120" s="40" t="s">
        <v>1138</v>
      </c>
      <c r="B120" s="41" t="s">
        <v>0</v>
      </c>
      <c r="C120" s="40">
        <v>5.0999999999999996</v>
      </c>
      <c r="D120" s="114"/>
    </row>
    <row r="121" spans="1:4" ht="15.5" outlineLevel="1">
      <c r="A121" s="40" t="s">
        <v>1138</v>
      </c>
      <c r="B121" s="41" t="s">
        <v>1</v>
      </c>
      <c r="C121" s="40">
        <v>5.2</v>
      </c>
      <c r="D121" s="114"/>
    </row>
    <row r="122" spans="1:4" ht="15.5" outlineLevel="1">
      <c r="A122" s="40" t="s">
        <v>1138</v>
      </c>
      <c r="B122" s="41" t="s">
        <v>2</v>
      </c>
      <c r="C122" s="40">
        <v>5.3</v>
      </c>
      <c r="D122" s="114"/>
    </row>
    <row r="123" spans="1:4" ht="15.5" outlineLevel="1">
      <c r="A123" s="40" t="s">
        <v>1138</v>
      </c>
      <c r="B123" s="41" t="s">
        <v>169</v>
      </c>
      <c r="C123" s="40">
        <v>5.6</v>
      </c>
      <c r="D123" s="114"/>
    </row>
    <row r="124" spans="1:4" ht="15.5" outlineLevel="1">
      <c r="A124" s="40" t="s">
        <v>1138</v>
      </c>
      <c r="B124" s="41" t="s">
        <v>1136</v>
      </c>
      <c r="C124" s="42">
        <v>5.0999999999999996</v>
      </c>
      <c r="D124" s="114"/>
    </row>
    <row r="125" spans="1:4" ht="15.5" outlineLevel="1">
      <c r="A125" s="40" t="s">
        <v>1138</v>
      </c>
      <c r="B125" s="41" t="s">
        <v>1135</v>
      </c>
      <c r="C125" s="40">
        <v>5.14</v>
      </c>
      <c r="D125" s="114"/>
    </row>
    <row r="126" spans="1:4" ht="15.5" outlineLevel="1">
      <c r="A126" s="40" t="s">
        <v>1138</v>
      </c>
      <c r="B126" s="41" t="s">
        <v>4</v>
      </c>
      <c r="C126" s="40">
        <v>5.19</v>
      </c>
      <c r="D126" s="114"/>
    </row>
    <row r="127" spans="1:4" ht="15.5" outlineLevel="1">
      <c r="A127" s="40" t="s">
        <v>1138</v>
      </c>
      <c r="B127" s="41" t="s">
        <v>171</v>
      </c>
      <c r="C127" s="40">
        <v>5.24</v>
      </c>
      <c r="D127" s="114"/>
    </row>
    <row r="128" spans="1:4" ht="15.5" outlineLevel="1">
      <c r="A128" s="40" t="s">
        <v>1138</v>
      </c>
      <c r="B128" s="41" t="s">
        <v>5</v>
      </c>
      <c r="C128" s="40">
        <v>5.26</v>
      </c>
      <c r="D128" s="114"/>
    </row>
    <row r="129" spans="1:4" ht="15.5" outlineLevel="1">
      <c r="A129" s="40" t="s">
        <v>1138</v>
      </c>
      <c r="B129" s="41" t="s">
        <v>6</v>
      </c>
      <c r="C129" s="40">
        <v>5.27</v>
      </c>
      <c r="D129" s="114"/>
    </row>
    <row r="130" spans="1:4" ht="15.5" outlineLevel="1">
      <c r="A130" s="40" t="s">
        <v>1138</v>
      </c>
      <c r="B130" s="41" t="s">
        <v>7</v>
      </c>
      <c r="C130" s="40">
        <v>5.28</v>
      </c>
      <c r="D130" s="114"/>
    </row>
    <row r="131" spans="1:4" ht="15.5" outlineLevel="1">
      <c r="A131" s="40" t="s">
        <v>1138</v>
      </c>
      <c r="B131" s="41" t="s">
        <v>348</v>
      </c>
      <c r="C131" s="40">
        <v>5.29</v>
      </c>
      <c r="D131" s="114"/>
    </row>
    <row r="132" spans="1:4" ht="15.5" outlineLevel="1">
      <c r="A132" s="40" t="s">
        <v>1138</v>
      </c>
      <c r="B132" s="41" t="s">
        <v>8</v>
      </c>
      <c r="C132" s="42">
        <v>5.3</v>
      </c>
      <c r="D132" s="114"/>
    </row>
    <row r="133" spans="1:4" ht="15.5" outlineLevel="1">
      <c r="A133" s="40" t="s">
        <v>1138</v>
      </c>
      <c r="B133" s="41" t="s">
        <v>172</v>
      </c>
      <c r="C133" s="40">
        <v>5.31</v>
      </c>
      <c r="D133" s="114"/>
    </row>
    <row r="134" spans="1:4" ht="15.5" outlineLevel="1">
      <c r="A134" s="40" t="s">
        <v>1138</v>
      </c>
      <c r="B134" s="41" t="s">
        <v>145</v>
      </c>
      <c r="C134" s="40">
        <v>5.36</v>
      </c>
      <c r="D134" s="114"/>
    </row>
    <row r="135" spans="1:4" ht="15.5" outlineLevel="1">
      <c r="A135" s="40" t="s">
        <v>1138</v>
      </c>
      <c r="B135" s="41" t="s">
        <v>11</v>
      </c>
      <c r="C135" s="40">
        <v>5.53</v>
      </c>
      <c r="D135" s="114"/>
    </row>
    <row r="136" spans="1:4" ht="15.5" outlineLevel="1">
      <c r="A136" s="40" t="s">
        <v>1138</v>
      </c>
      <c r="B136" s="41" t="s">
        <v>17</v>
      </c>
      <c r="C136" s="40">
        <v>5.58</v>
      </c>
      <c r="D136" s="114"/>
    </row>
    <row r="137" spans="1:4" ht="15.5" outlineLevel="1">
      <c r="A137" s="40" t="s">
        <v>1138</v>
      </c>
      <c r="B137" s="41" t="s">
        <v>16</v>
      </c>
      <c r="C137" s="40">
        <v>5.62</v>
      </c>
      <c r="D137" s="114"/>
    </row>
    <row r="138" spans="1:4" ht="15.5" outlineLevel="1">
      <c r="A138" s="40" t="s">
        <v>1138</v>
      </c>
      <c r="B138" s="41" t="s">
        <v>18</v>
      </c>
      <c r="C138" s="40">
        <v>5.54</v>
      </c>
      <c r="D138" s="114"/>
    </row>
    <row r="139" spans="1:4" ht="15.5" outlineLevel="1">
      <c r="A139" s="40" t="s">
        <v>1138</v>
      </c>
      <c r="B139" s="41" t="s">
        <v>19</v>
      </c>
      <c r="C139" s="40">
        <v>5.55</v>
      </c>
      <c r="D139" s="114"/>
    </row>
    <row r="140" spans="1:4" ht="15.5" outlineLevel="1">
      <c r="A140" s="40" t="s">
        <v>1138</v>
      </c>
      <c r="B140" s="41" t="s">
        <v>20</v>
      </c>
      <c r="C140" s="40">
        <v>5.63</v>
      </c>
      <c r="D140" s="114"/>
    </row>
    <row r="141" spans="1:4" ht="15.5" outlineLevel="1">
      <c r="A141" s="40" t="s">
        <v>1138</v>
      </c>
      <c r="B141" s="41" t="s">
        <v>23</v>
      </c>
      <c r="C141" s="40">
        <v>5.45</v>
      </c>
      <c r="D141" s="114"/>
    </row>
    <row r="142" spans="1:4" ht="15.5" outlineLevel="1">
      <c r="A142" s="40" t="s">
        <v>1138</v>
      </c>
      <c r="B142" s="41" t="s">
        <v>24</v>
      </c>
      <c r="C142" s="40">
        <v>5.47</v>
      </c>
      <c r="D142" s="114"/>
    </row>
    <row r="143" spans="1:4" ht="15.5" outlineLevel="1">
      <c r="A143" s="40" t="s">
        <v>1138</v>
      </c>
      <c r="B143" s="41" t="s">
        <v>25</v>
      </c>
      <c r="C143" s="40">
        <v>5.48</v>
      </c>
      <c r="D143" s="114"/>
    </row>
    <row r="144" spans="1:4" ht="15.5">
      <c r="A144" s="46" t="s">
        <v>1138</v>
      </c>
      <c r="B144" s="41"/>
      <c r="C144" s="40"/>
      <c r="D144" s="114"/>
    </row>
    <row r="145" spans="1:4" ht="15.5" outlineLevel="1">
      <c r="A145" s="40" t="s">
        <v>493</v>
      </c>
      <c r="B145" s="41" t="s">
        <v>0</v>
      </c>
      <c r="C145" s="40">
        <v>5.0999999999999996</v>
      </c>
      <c r="D145" s="114"/>
    </row>
    <row r="146" spans="1:4" ht="15.5" outlineLevel="1">
      <c r="A146" s="40" t="s">
        <v>493</v>
      </c>
      <c r="B146" s="41" t="s">
        <v>1</v>
      </c>
      <c r="C146" s="40">
        <v>5.2</v>
      </c>
      <c r="D146" s="114"/>
    </row>
    <row r="147" spans="1:4" ht="15.5" outlineLevel="1">
      <c r="A147" s="40" t="s">
        <v>493</v>
      </c>
      <c r="B147" s="41" t="s">
        <v>2</v>
      </c>
      <c r="C147" s="40">
        <v>5.3</v>
      </c>
      <c r="D147" s="114"/>
    </row>
    <row r="148" spans="1:4" ht="15.5" outlineLevel="1">
      <c r="A148" s="40" t="s">
        <v>493</v>
      </c>
      <c r="B148" s="41" t="s">
        <v>169</v>
      </c>
      <c r="C148" s="40">
        <v>5.6</v>
      </c>
      <c r="D148" s="114"/>
    </row>
    <row r="149" spans="1:4" ht="15.5" outlineLevel="1">
      <c r="A149" s="40" t="s">
        <v>493</v>
      </c>
      <c r="B149" s="41" t="s">
        <v>1136</v>
      </c>
      <c r="C149" s="42">
        <v>5.0999999999999996</v>
      </c>
      <c r="D149" s="114"/>
    </row>
    <row r="150" spans="1:4" ht="15.5" outlineLevel="1">
      <c r="A150" s="40" t="s">
        <v>493</v>
      </c>
      <c r="B150" s="41" t="s">
        <v>1135</v>
      </c>
      <c r="C150" s="40">
        <v>5.14</v>
      </c>
      <c r="D150" s="114"/>
    </row>
    <row r="151" spans="1:4" ht="15.5" outlineLevel="1">
      <c r="A151" s="40" t="s">
        <v>493</v>
      </c>
      <c r="B151" s="41" t="s">
        <v>4</v>
      </c>
      <c r="C151" s="40">
        <v>5.19</v>
      </c>
      <c r="D151" s="114"/>
    </row>
    <row r="152" spans="1:4" ht="15.5" outlineLevel="1">
      <c r="A152" s="40" t="s">
        <v>493</v>
      </c>
      <c r="B152" s="41" t="s">
        <v>171</v>
      </c>
      <c r="C152" s="40">
        <v>5.24</v>
      </c>
      <c r="D152" s="114"/>
    </row>
    <row r="153" spans="1:4" ht="15.5" outlineLevel="1">
      <c r="A153" s="40" t="s">
        <v>493</v>
      </c>
      <c r="B153" s="41" t="s">
        <v>5</v>
      </c>
      <c r="C153" s="40">
        <v>5.26</v>
      </c>
      <c r="D153" s="114"/>
    </row>
    <row r="154" spans="1:4" ht="15.5" outlineLevel="1">
      <c r="A154" s="40" t="s">
        <v>493</v>
      </c>
      <c r="B154" s="41" t="s">
        <v>6</v>
      </c>
      <c r="C154" s="40">
        <v>5.27</v>
      </c>
      <c r="D154" s="114"/>
    </row>
    <row r="155" spans="1:4" ht="15.5" outlineLevel="1">
      <c r="A155" s="40" t="s">
        <v>493</v>
      </c>
      <c r="B155" s="41" t="s">
        <v>7</v>
      </c>
      <c r="C155" s="40">
        <v>5.28</v>
      </c>
      <c r="D155" s="114"/>
    </row>
    <row r="156" spans="1:4" ht="15.5" outlineLevel="1">
      <c r="A156" s="40" t="s">
        <v>493</v>
      </c>
      <c r="B156" s="41" t="s">
        <v>8</v>
      </c>
      <c r="C156" s="42">
        <v>5.3</v>
      </c>
      <c r="D156" s="114"/>
    </row>
    <row r="157" spans="1:4" ht="15.5" outlineLevel="1">
      <c r="A157" s="40" t="s">
        <v>493</v>
      </c>
      <c r="B157" s="41" t="s">
        <v>591</v>
      </c>
      <c r="C157" s="40">
        <v>5.32</v>
      </c>
      <c r="D157" s="114"/>
    </row>
    <row r="158" spans="1:4" ht="15.5" outlineLevel="1">
      <c r="A158" s="40" t="s">
        <v>493</v>
      </c>
      <c r="B158" s="41" t="s">
        <v>145</v>
      </c>
      <c r="C158" s="40">
        <v>5.36</v>
      </c>
      <c r="D158" s="114"/>
    </row>
    <row r="159" spans="1:4" ht="15.5" outlineLevel="1">
      <c r="A159" s="40" t="s">
        <v>493</v>
      </c>
      <c r="B159" s="41" t="s">
        <v>11</v>
      </c>
      <c r="C159" s="40">
        <v>5.53</v>
      </c>
      <c r="D159" s="114"/>
    </row>
    <row r="160" spans="1:4" ht="15.5" outlineLevel="1">
      <c r="A160" s="40" t="s">
        <v>493</v>
      </c>
      <c r="B160" s="41" t="s">
        <v>17</v>
      </c>
      <c r="C160" s="40">
        <v>5.58</v>
      </c>
      <c r="D160" s="114"/>
    </row>
    <row r="161" spans="1:5" ht="15.5" outlineLevel="1">
      <c r="A161" s="40" t="s">
        <v>493</v>
      </c>
      <c r="B161" s="41" t="s">
        <v>18</v>
      </c>
      <c r="C161" s="40">
        <v>5.54</v>
      </c>
      <c r="D161" s="114"/>
    </row>
    <row r="162" spans="1:5" ht="15.5" outlineLevel="1">
      <c r="A162" s="40" t="s">
        <v>493</v>
      </c>
      <c r="B162" s="41" t="s">
        <v>19</v>
      </c>
      <c r="C162" s="40">
        <v>5.55</v>
      </c>
      <c r="D162" s="114"/>
    </row>
    <row r="163" spans="1:5" ht="15.5" outlineLevel="1">
      <c r="A163" s="40" t="s">
        <v>493</v>
      </c>
      <c r="B163" s="41" t="s">
        <v>16</v>
      </c>
      <c r="C163" s="40">
        <v>5.62</v>
      </c>
      <c r="D163" s="114"/>
      <c r="E163" t="s">
        <v>1139</v>
      </c>
    </row>
    <row r="164" spans="1:5" ht="15.5" outlineLevel="1">
      <c r="A164" s="40" t="s">
        <v>493</v>
      </c>
      <c r="B164" s="41" t="s">
        <v>20</v>
      </c>
      <c r="C164" s="40">
        <v>5.63</v>
      </c>
      <c r="D164" s="114"/>
    </row>
    <row r="165" spans="1:5" ht="15.5" outlineLevel="1">
      <c r="A165" s="40" t="s">
        <v>493</v>
      </c>
      <c r="B165" s="41" t="s">
        <v>23</v>
      </c>
      <c r="C165" s="40">
        <v>5.45</v>
      </c>
      <c r="D165" s="114"/>
    </row>
    <row r="166" spans="1:5" ht="15.5" outlineLevel="1">
      <c r="A166" s="40" t="s">
        <v>493</v>
      </c>
      <c r="B166" s="41" t="s">
        <v>24</v>
      </c>
      <c r="C166" s="40">
        <v>5.47</v>
      </c>
      <c r="D166" s="114"/>
    </row>
    <row r="167" spans="1:5" ht="15.5" outlineLevel="1">
      <c r="A167" s="40" t="s">
        <v>493</v>
      </c>
      <c r="B167" s="41" t="s">
        <v>25</v>
      </c>
      <c r="C167" s="40">
        <v>5.48</v>
      </c>
      <c r="D167" s="114"/>
    </row>
    <row r="168" spans="1:5" ht="15.5">
      <c r="A168" s="46" t="s">
        <v>493</v>
      </c>
      <c r="B168" s="41"/>
      <c r="C168" s="40"/>
      <c r="D168" s="114"/>
    </row>
    <row r="169" spans="1:5" ht="15.5" outlineLevel="1">
      <c r="A169" s="40" t="s">
        <v>1009</v>
      </c>
      <c r="B169" s="41" t="s">
        <v>0</v>
      </c>
      <c r="C169" s="40">
        <v>5.0999999999999996</v>
      </c>
      <c r="D169" s="114"/>
    </row>
    <row r="170" spans="1:5" ht="15.5" outlineLevel="1">
      <c r="A170" s="40" t="s">
        <v>1009</v>
      </c>
      <c r="B170" s="41" t="s">
        <v>1</v>
      </c>
      <c r="C170" s="40">
        <v>5.2</v>
      </c>
      <c r="D170" s="114"/>
    </row>
    <row r="171" spans="1:5" ht="15.5" outlineLevel="1">
      <c r="A171" s="40" t="s">
        <v>1009</v>
      </c>
      <c r="B171" s="41" t="s">
        <v>2</v>
      </c>
      <c r="C171" s="40">
        <v>5.3</v>
      </c>
      <c r="D171" s="114"/>
    </row>
    <row r="172" spans="1:5" ht="15.5" outlineLevel="1">
      <c r="A172" s="40" t="s">
        <v>1009</v>
      </c>
      <c r="B172" s="41" t="s">
        <v>169</v>
      </c>
      <c r="C172" s="40">
        <v>5.6</v>
      </c>
      <c r="D172" s="114"/>
    </row>
    <row r="173" spans="1:5" ht="15.5" outlineLevel="1">
      <c r="A173" s="40" t="s">
        <v>1009</v>
      </c>
      <c r="B173" s="41" t="s">
        <v>1136</v>
      </c>
      <c r="C173" s="42">
        <v>5.0999999999999996</v>
      </c>
      <c r="D173" s="114"/>
    </row>
    <row r="174" spans="1:5" ht="15.5" outlineLevel="1">
      <c r="A174" s="40" t="s">
        <v>1009</v>
      </c>
      <c r="B174" s="41" t="s">
        <v>1135</v>
      </c>
      <c r="C174" s="40">
        <v>5.14</v>
      </c>
      <c r="D174" s="114"/>
    </row>
    <row r="175" spans="1:5" ht="15.5" outlineLevel="1">
      <c r="A175" s="40" t="s">
        <v>1009</v>
      </c>
      <c r="B175" s="41" t="s">
        <v>4</v>
      </c>
      <c r="C175" s="40">
        <v>5.19</v>
      </c>
      <c r="D175" s="114"/>
    </row>
    <row r="176" spans="1:5" ht="15.5" outlineLevel="1">
      <c r="A176" s="40" t="s">
        <v>1009</v>
      </c>
      <c r="B176" s="41" t="s">
        <v>171</v>
      </c>
      <c r="C176" s="40">
        <v>5.24</v>
      </c>
      <c r="D176" s="114"/>
    </row>
    <row r="177" spans="1:4" ht="15.5" outlineLevel="1">
      <c r="A177" s="40" t="s">
        <v>1009</v>
      </c>
      <c r="B177" s="41" t="s">
        <v>5</v>
      </c>
      <c r="C177" s="40">
        <v>5.26</v>
      </c>
      <c r="D177" s="114"/>
    </row>
    <row r="178" spans="1:4" ht="15.5" outlineLevel="1">
      <c r="A178" s="40" t="s">
        <v>1009</v>
      </c>
      <c r="B178" s="41" t="s">
        <v>6</v>
      </c>
      <c r="C178" s="40">
        <v>5.27</v>
      </c>
      <c r="D178" s="114"/>
    </row>
    <row r="179" spans="1:4" ht="15.5" outlineLevel="1">
      <c r="A179" s="40" t="s">
        <v>1009</v>
      </c>
      <c r="B179" s="41" t="s">
        <v>7</v>
      </c>
      <c r="C179" s="40">
        <v>5.28</v>
      </c>
      <c r="D179" s="114"/>
    </row>
    <row r="180" spans="1:4" ht="15.5" outlineLevel="1">
      <c r="A180" s="40" t="s">
        <v>1009</v>
      </c>
      <c r="B180" s="41" t="s">
        <v>348</v>
      </c>
      <c r="C180" s="40">
        <v>5.29</v>
      </c>
      <c r="D180" s="114"/>
    </row>
    <row r="181" spans="1:4" ht="15.5" outlineLevel="1">
      <c r="A181" s="40" t="s">
        <v>1009</v>
      </c>
      <c r="B181" s="41" t="s">
        <v>8</v>
      </c>
      <c r="C181" s="42">
        <v>5.3</v>
      </c>
      <c r="D181" s="114"/>
    </row>
    <row r="182" spans="1:4" ht="15.5" outlineLevel="1">
      <c r="A182" s="40" t="s">
        <v>1009</v>
      </c>
      <c r="B182" s="41" t="s">
        <v>591</v>
      </c>
      <c r="C182" s="40">
        <v>5.32</v>
      </c>
      <c r="D182" s="114"/>
    </row>
    <row r="183" spans="1:4" ht="15.5" outlineLevel="1">
      <c r="A183" s="40" t="s">
        <v>1009</v>
      </c>
      <c r="B183" s="41" t="s">
        <v>145</v>
      </c>
      <c r="C183" s="40">
        <v>5.36</v>
      </c>
      <c r="D183" s="114"/>
    </row>
    <row r="184" spans="1:4" ht="15.5" outlineLevel="1">
      <c r="A184" s="40" t="s">
        <v>1009</v>
      </c>
      <c r="B184" s="41" t="s">
        <v>11</v>
      </c>
      <c r="C184" s="40">
        <v>5.53</v>
      </c>
      <c r="D184" s="114"/>
    </row>
    <row r="185" spans="1:4" ht="15.5" outlineLevel="1">
      <c r="A185" s="40" t="s">
        <v>1009</v>
      </c>
      <c r="B185" s="41" t="s">
        <v>17</v>
      </c>
      <c r="C185" s="40">
        <v>5.58</v>
      </c>
      <c r="D185" s="114"/>
    </row>
    <row r="186" spans="1:4" ht="15.5" outlineLevel="1">
      <c r="A186" s="40" t="s">
        <v>1009</v>
      </c>
      <c r="B186" s="41" t="s">
        <v>18</v>
      </c>
      <c r="C186" s="40">
        <v>5.54</v>
      </c>
      <c r="D186" s="114"/>
    </row>
    <row r="187" spans="1:4" ht="15.5" outlineLevel="1">
      <c r="A187" s="40" t="s">
        <v>1009</v>
      </c>
      <c r="B187" s="41" t="s">
        <v>19</v>
      </c>
      <c r="C187" s="40">
        <v>5.55</v>
      </c>
      <c r="D187" s="114"/>
    </row>
    <row r="188" spans="1:4" ht="15.5" outlineLevel="1">
      <c r="A188" s="40" t="s">
        <v>1009</v>
      </c>
      <c r="B188" s="41" t="s">
        <v>20</v>
      </c>
      <c r="C188" s="40">
        <v>5.63</v>
      </c>
      <c r="D188" s="114"/>
    </row>
    <row r="189" spans="1:4" ht="15.5" outlineLevel="1">
      <c r="A189" s="40" t="s">
        <v>1009</v>
      </c>
      <c r="B189" s="41" t="s">
        <v>23</v>
      </c>
      <c r="C189" s="40">
        <v>5.45</v>
      </c>
      <c r="D189" s="114"/>
    </row>
    <row r="190" spans="1:4" ht="15.5" outlineLevel="1">
      <c r="A190" s="40" t="s">
        <v>1009</v>
      </c>
      <c r="B190" s="41" t="s">
        <v>24</v>
      </c>
      <c r="C190" s="40">
        <v>5.47</v>
      </c>
      <c r="D190" s="114"/>
    </row>
    <row r="191" spans="1:4" ht="15.5" outlineLevel="1">
      <c r="A191" s="40" t="s">
        <v>1009</v>
      </c>
      <c r="B191" s="41" t="s">
        <v>25</v>
      </c>
      <c r="C191" s="40">
        <v>5.48</v>
      </c>
      <c r="D191" s="114"/>
    </row>
    <row r="192" spans="1:4" ht="15.5">
      <c r="A192" s="46" t="s">
        <v>1009</v>
      </c>
      <c r="B192" s="41"/>
      <c r="C192" s="40"/>
      <c r="D192" s="114"/>
    </row>
    <row r="193" spans="1:4" ht="15.5" outlineLevel="1">
      <c r="A193" s="40" t="s">
        <v>1140</v>
      </c>
      <c r="B193" s="41" t="s">
        <v>0</v>
      </c>
      <c r="C193" s="40">
        <v>5.0999999999999996</v>
      </c>
      <c r="D193" s="114"/>
    </row>
    <row r="194" spans="1:4" ht="15.5" outlineLevel="1">
      <c r="A194" s="40" t="s">
        <v>1140</v>
      </c>
      <c r="B194" s="41" t="s">
        <v>1</v>
      </c>
      <c r="C194" s="40">
        <v>5.2</v>
      </c>
      <c r="D194" s="114"/>
    </row>
    <row r="195" spans="1:4" ht="15.5" outlineLevel="1">
      <c r="A195" s="40" t="s">
        <v>1140</v>
      </c>
      <c r="B195" s="41" t="s">
        <v>2</v>
      </c>
      <c r="C195" s="40">
        <v>5.3</v>
      </c>
      <c r="D195" s="114"/>
    </row>
    <row r="196" spans="1:4" ht="15.5" outlineLevel="1">
      <c r="A196" s="40" t="s">
        <v>1140</v>
      </c>
      <c r="B196" s="41" t="s">
        <v>169</v>
      </c>
      <c r="C196" s="40">
        <v>5.6</v>
      </c>
      <c r="D196" s="114"/>
    </row>
    <row r="197" spans="1:4" ht="15.5" outlineLevel="1">
      <c r="A197" s="40" t="s">
        <v>1140</v>
      </c>
      <c r="B197" s="41" t="s">
        <v>1136</v>
      </c>
      <c r="C197" s="42">
        <v>5.0999999999999996</v>
      </c>
      <c r="D197" s="114"/>
    </row>
    <row r="198" spans="1:4" ht="15.5" outlineLevel="1">
      <c r="A198" s="40" t="s">
        <v>1140</v>
      </c>
      <c r="B198" s="41" t="s">
        <v>1135</v>
      </c>
      <c r="C198" s="40">
        <v>5.14</v>
      </c>
      <c r="D198" s="114"/>
    </row>
    <row r="199" spans="1:4" ht="15.5" outlineLevel="1">
      <c r="A199" s="40" t="s">
        <v>1140</v>
      </c>
      <c r="B199" s="41" t="s">
        <v>4</v>
      </c>
      <c r="C199" s="40">
        <v>5.19</v>
      </c>
      <c r="D199" s="114"/>
    </row>
    <row r="200" spans="1:4" ht="15.5" outlineLevel="1">
      <c r="A200" s="40" t="s">
        <v>1140</v>
      </c>
      <c r="B200" s="41" t="s">
        <v>171</v>
      </c>
      <c r="C200" s="40">
        <v>5.24</v>
      </c>
      <c r="D200" s="114"/>
    </row>
    <row r="201" spans="1:4" ht="15.5" outlineLevel="1">
      <c r="A201" s="40" t="s">
        <v>1140</v>
      </c>
      <c r="B201" s="41" t="s">
        <v>6</v>
      </c>
      <c r="C201" s="40">
        <v>5.27</v>
      </c>
      <c r="D201" s="114"/>
    </row>
    <row r="202" spans="1:4" ht="15.5" outlineLevel="1">
      <c r="A202" s="40" t="s">
        <v>1140</v>
      </c>
      <c r="B202" s="41" t="s">
        <v>7</v>
      </c>
      <c r="C202" s="40">
        <v>5.28</v>
      </c>
      <c r="D202" s="114"/>
    </row>
    <row r="203" spans="1:4" ht="15.5" outlineLevel="1">
      <c r="A203" s="40" t="s">
        <v>1140</v>
      </c>
      <c r="B203" s="41" t="s">
        <v>348</v>
      </c>
      <c r="C203" s="40">
        <v>5.29</v>
      </c>
      <c r="D203" s="114"/>
    </row>
    <row r="204" spans="1:4" ht="15.5" outlineLevel="1">
      <c r="A204" s="40" t="s">
        <v>1140</v>
      </c>
      <c r="B204" s="41" t="s">
        <v>8</v>
      </c>
      <c r="C204" s="42">
        <v>5.3</v>
      </c>
      <c r="D204" s="114"/>
    </row>
    <row r="205" spans="1:4" ht="15.5" outlineLevel="1">
      <c r="A205" s="40" t="s">
        <v>1140</v>
      </c>
      <c r="B205" s="41" t="s">
        <v>1141</v>
      </c>
      <c r="C205" s="40">
        <v>5.34</v>
      </c>
      <c r="D205" s="114"/>
    </row>
    <row r="206" spans="1:4" ht="15.5" outlineLevel="1">
      <c r="A206" s="40" t="s">
        <v>1140</v>
      </c>
      <c r="B206" s="41" t="s">
        <v>172</v>
      </c>
      <c r="C206" s="40">
        <v>5.31</v>
      </c>
      <c r="D206" s="114"/>
    </row>
    <row r="207" spans="1:4" ht="15.5" outlineLevel="1">
      <c r="A207" s="40" t="s">
        <v>1140</v>
      </c>
      <c r="B207" s="41" t="s">
        <v>1142</v>
      </c>
      <c r="C207" s="40">
        <v>5.101</v>
      </c>
      <c r="D207" s="114"/>
    </row>
    <row r="208" spans="1:4" ht="15.5" outlineLevel="1">
      <c r="A208" s="40" t="s">
        <v>1140</v>
      </c>
      <c r="B208" s="41" t="s">
        <v>145</v>
      </c>
      <c r="C208" s="40">
        <v>5.36</v>
      </c>
      <c r="D208" s="114"/>
    </row>
    <row r="209" spans="1:4" ht="15.5" outlineLevel="1">
      <c r="A209" s="40" t="s">
        <v>1140</v>
      </c>
      <c r="B209" s="41" t="s">
        <v>11</v>
      </c>
      <c r="C209" s="40">
        <v>5.53</v>
      </c>
      <c r="D209" s="114"/>
    </row>
    <row r="210" spans="1:4" ht="15.5" outlineLevel="1">
      <c r="A210" s="40" t="s">
        <v>1140</v>
      </c>
      <c r="B210" s="41" t="s">
        <v>1143</v>
      </c>
      <c r="C210" s="40">
        <v>5.1020000000000003</v>
      </c>
      <c r="D210" s="114"/>
    </row>
    <row r="211" spans="1:4" ht="15.5" outlineLevel="1">
      <c r="A211" s="40" t="s">
        <v>1140</v>
      </c>
      <c r="B211" s="41" t="s">
        <v>1144</v>
      </c>
      <c r="C211" s="43">
        <v>5.0999999999999996</v>
      </c>
      <c r="D211" s="114"/>
    </row>
    <row r="212" spans="1:4" ht="15.5" outlineLevel="1">
      <c r="A212" s="40" t="s">
        <v>1140</v>
      </c>
      <c r="B212" s="41" t="s">
        <v>17</v>
      </c>
      <c r="C212" s="40">
        <v>5.58</v>
      </c>
      <c r="D212" s="114"/>
    </row>
    <row r="213" spans="1:4" ht="15.5" outlineLevel="1">
      <c r="A213" s="40" t="s">
        <v>1140</v>
      </c>
      <c r="B213" s="41" t="s">
        <v>18</v>
      </c>
      <c r="C213" s="40">
        <v>5.54</v>
      </c>
      <c r="D213" s="114"/>
    </row>
    <row r="214" spans="1:4" ht="15.5" outlineLevel="1">
      <c r="A214" s="40" t="s">
        <v>1140</v>
      </c>
      <c r="B214" s="41" t="s">
        <v>19</v>
      </c>
      <c r="C214" s="40">
        <v>5.55</v>
      </c>
      <c r="D214" s="114"/>
    </row>
    <row r="215" spans="1:4" ht="15.5" outlineLevel="1">
      <c r="A215" s="40" t="s">
        <v>1140</v>
      </c>
      <c r="B215" s="41" t="s">
        <v>20</v>
      </c>
      <c r="C215" s="40">
        <v>5.63</v>
      </c>
      <c r="D215" s="114"/>
    </row>
    <row r="216" spans="1:4" ht="15.5" outlineLevel="1">
      <c r="A216" s="40" t="s">
        <v>1140</v>
      </c>
      <c r="B216" s="41" t="s">
        <v>24</v>
      </c>
      <c r="C216" s="40">
        <v>5.47</v>
      </c>
      <c r="D216" s="114"/>
    </row>
    <row r="217" spans="1:4" ht="15.5" outlineLevel="1">
      <c r="A217" s="40" t="s">
        <v>1140</v>
      </c>
      <c r="B217" s="41" t="s">
        <v>25</v>
      </c>
      <c r="C217" s="40">
        <v>5.48</v>
      </c>
      <c r="D217" s="114"/>
    </row>
    <row r="218" spans="1:4" ht="15.5">
      <c r="A218" s="46" t="s">
        <v>1140</v>
      </c>
      <c r="B218" s="41"/>
      <c r="C218" s="40"/>
      <c r="D218" s="114"/>
    </row>
    <row r="219" spans="1:4" ht="15.5" outlineLevel="1">
      <c r="A219" s="40" t="s">
        <v>1012</v>
      </c>
      <c r="B219" s="41" t="s">
        <v>0</v>
      </c>
      <c r="C219" s="40">
        <v>5.0999999999999996</v>
      </c>
      <c r="D219" s="114"/>
    </row>
    <row r="220" spans="1:4" ht="15.5" outlineLevel="1">
      <c r="A220" s="40" t="s">
        <v>1012</v>
      </c>
      <c r="B220" s="41" t="s">
        <v>1</v>
      </c>
      <c r="C220" s="40">
        <v>5.2</v>
      </c>
      <c r="D220" s="114"/>
    </row>
    <row r="221" spans="1:4" ht="15.5" outlineLevel="1">
      <c r="A221" s="40" t="s">
        <v>1012</v>
      </c>
      <c r="B221" s="41" t="s">
        <v>2</v>
      </c>
      <c r="C221" s="40">
        <v>5.3</v>
      </c>
      <c r="D221" s="114"/>
    </row>
    <row r="222" spans="1:4" ht="15.5" outlineLevel="1">
      <c r="A222" s="40" t="s">
        <v>1012</v>
      </c>
      <c r="B222" s="41" t="s">
        <v>169</v>
      </c>
      <c r="C222" s="40">
        <v>5.6</v>
      </c>
      <c r="D222" s="114"/>
    </row>
    <row r="223" spans="1:4" ht="15.5" outlineLevel="1">
      <c r="A223" s="40" t="s">
        <v>1012</v>
      </c>
      <c r="B223" s="41" t="s">
        <v>1136</v>
      </c>
      <c r="C223" s="42">
        <v>5.0999999999999996</v>
      </c>
      <c r="D223" s="114"/>
    </row>
    <row r="224" spans="1:4" ht="15.5" outlineLevel="1">
      <c r="A224" s="40" t="s">
        <v>1012</v>
      </c>
      <c r="B224" s="41" t="s">
        <v>1135</v>
      </c>
      <c r="C224" s="40">
        <v>5.14</v>
      </c>
      <c r="D224" s="114"/>
    </row>
    <row r="225" spans="1:4" ht="15.5" outlineLevel="1">
      <c r="A225" s="40" t="s">
        <v>1012</v>
      </c>
      <c r="B225" s="41" t="s">
        <v>4</v>
      </c>
      <c r="C225" s="40">
        <v>5.19</v>
      </c>
      <c r="D225" s="114"/>
    </row>
    <row r="226" spans="1:4" ht="15.5" outlineLevel="1">
      <c r="A226" s="40" t="s">
        <v>1012</v>
      </c>
      <c r="B226" s="41" t="s">
        <v>171</v>
      </c>
      <c r="C226" s="40">
        <v>5.24</v>
      </c>
      <c r="D226" s="114"/>
    </row>
    <row r="227" spans="1:4" ht="15.5" outlineLevel="1">
      <c r="A227" s="40" t="s">
        <v>1012</v>
      </c>
      <c r="B227" s="41" t="s">
        <v>5</v>
      </c>
      <c r="C227" s="40">
        <v>5.26</v>
      </c>
      <c r="D227" s="114"/>
    </row>
    <row r="228" spans="1:4" ht="15.5" outlineLevel="1">
      <c r="A228" s="40" t="s">
        <v>1012</v>
      </c>
      <c r="B228" s="41" t="s">
        <v>6</v>
      </c>
      <c r="C228" s="40">
        <v>5.27</v>
      </c>
      <c r="D228" s="114"/>
    </row>
    <row r="229" spans="1:4" ht="15.5" outlineLevel="1">
      <c r="A229" s="40" t="s">
        <v>1012</v>
      </c>
      <c r="B229" s="41" t="s">
        <v>7</v>
      </c>
      <c r="C229" s="40">
        <v>5.28</v>
      </c>
      <c r="D229" s="114"/>
    </row>
    <row r="230" spans="1:4" ht="15.5" outlineLevel="1">
      <c r="A230" s="40" t="s">
        <v>1012</v>
      </c>
      <c r="B230" s="41" t="s">
        <v>348</v>
      </c>
      <c r="C230" s="40">
        <v>5.29</v>
      </c>
      <c r="D230" s="114"/>
    </row>
    <row r="231" spans="1:4" ht="15.5" outlineLevel="1">
      <c r="A231" s="40" t="s">
        <v>1012</v>
      </c>
      <c r="B231" s="41" t="s">
        <v>8</v>
      </c>
      <c r="C231" s="42">
        <v>5.3</v>
      </c>
      <c r="D231" s="114"/>
    </row>
    <row r="232" spans="1:4" ht="15.5" outlineLevel="1">
      <c r="A232" s="40" t="s">
        <v>1012</v>
      </c>
      <c r="B232" s="41" t="s">
        <v>172</v>
      </c>
      <c r="C232" s="40">
        <v>5.31</v>
      </c>
      <c r="D232" s="114"/>
    </row>
    <row r="233" spans="1:4" ht="15.5" outlineLevel="1">
      <c r="A233" s="40" t="s">
        <v>1012</v>
      </c>
      <c r="B233" s="41" t="s">
        <v>195</v>
      </c>
      <c r="C233" s="40">
        <v>5.33</v>
      </c>
      <c r="D233" s="114"/>
    </row>
    <row r="234" spans="1:4" ht="15.5" outlineLevel="1">
      <c r="A234" s="40" t="s">
        <v>1012</v>
      </c>
      <c r="B234" s="41" t="s">
        <v>1142</v>
      </c>
      <c r="C234" s="40">
        <v>5.101</v>
      </c>
      <c r="D234" s="114"/>
    </row>
    <row r="235" spans="1:4" ht="15.5" outlineLevel="1">
      <c r="A235" s="40" t="s">
        <v>1012</v>
      </c>
      <c r="B235" s="41" t="s">
        <v>145</v>
      </c>
      <c r="C235" s="40">
        <v>5.36</v>
      </c>
      <c r="D235" s="114"/>
    </row>
    <row r="236" spans="1:4" ht="15.5" outlineLevel="1">
      <c r="A236" s="40" t="s">
        <v>1012</v>
      </c>
      <c r="B236" s="41" t="s">
        <v>11</v>
      </c>
      <c r="C236" s="40">
        <v>5.53</v>
      </c>
      <c r="D236" s="114"/>
    </row>
    <row r="237" spans="1:4" ht="15.5" outlineLevel="1">
      <c r="A237" s="40" t="s">
        <v>1012</v>
      </c>
      <c r="B237" s="41" t="s">
        <v>1143</v>
      </c>
      <c r="C237" s="40">
        <v>5.1020000000000003</v>
      </c>
      <c r="D237" s="114"/>
    </row>
    <row r="238" spans="1:4" ht="15.5" outlineLevel="1">
      <c r="A238" s="40" t="s">
        <v>1012</v>
      </c>
      <c r="B238" s="41" t="s">
        <v>17</v>
      </c>
      <c r="C238" s="40">
        <v>5.58</v>
      </c>
      <c r="D238" s="114"/>
    </row>
    <row r="239" spans="1:4" ht="15.5" outlineLevel="1">
      <c r="A239" s="40" t="s">
        <v>1012</v>
      </c>
      <c r="B239" s="41" t="s">
        <v>18</v>
      </c>
      <c r="C239" s="40">
        <v>5.54</v>
      </c>
      <c r="D239" s="114"/>
    </row>
    <row r="240" spans="1:4" ht="15.5" outlineLevel="1">
      <c r="A240" s="40" t="s">
        <v>1012</v>
      </c>
      <c r="B240" s="41" t="s">
        <v>19</v>
      </c>
      <c r="C240" s="40">
        <v>5.55</v>
      </c>
      <c r="D240" s="114"/>
    </row>
    <row r="241" spans="1:4" ht="15.5" outlineLevel="1">
      <c r="A241" s="40" t="s">
        <v>1012</v>
      </c>
      <c r="B241" s="41" t="s">
        <v>20</v>
      </c>
      <c r="C241" s="40">
        <v>5.63</v>
      </c>
      <c r="D241" s="114"/>
    </row>
    <row r="242" spans="1:4" ht="15.5" outlineLevel="1">
      <c r="A242" s="40" t="s">
        <v>1012</v>
      </c>
      <c r="B242" s="41" t="s">
        <v>24</v>
      </c>
      <c r="C242" s="40">
        <v>5.47</v>
      </c>
      <c r="D242" s="114"/>
    </row>
    <row r="243" spans="1:4" ht="15.5" outlineLevel="1">
      <c r="A243" s="40" t="s">
        <v>1012</v>
      </c>
      <c r="B243" s="41" t="s">
        <v>25</v>
      </c>
      <c r="C243" s="40">
        <v>5.48</v>
      </c>
      <c r="D243" s="114"/>
    </row>
    <row r="244" spans="1:4" ht="15.5">
      <c r="A244" s="46" t="s">
        <v>1012</v>
      </c>
      <c r="B244" s="41"/>
      <c r="C244" s="40"/>
      <c r="D244" s="114"/>
    </row>
    <row r="245" spans="1:4" ht="15.5" outlineLevel="1">
      <c r="A245" s="40" t="s">
        <v>1145</v>
      </c>
      <c r="B245" s="41" t="s">
        <v>0</v>
      </c>
      <c r="C245" s="40">
        <v>5.0999999999999996</v>
      </c>
      <c r="D245" s="114"/>
    </row>
    <row r="246" spans="1:4" ht="15.5" outlineLevel="1">
      <c r="A246" s="40" t="s">
        <v>1145</v>
      </c>
      <c r="B246" s="41" t="s">
        <v>1</v>
      </c>
      <c r="C246" s="40">
        <v>5.2</v>
      </c>
      <c r="D246" s="114"/>
    </row>
    <row r="247" spans="1:4" ht="15.5" outlineLevel="1">
      <c r="A247" s="40" t="s">
        <v>1145</v>
      </c>
      <c r="B247" s="41" t="s">
        <v>2</v>
      </c>
      <c r="C247" s="40">
        <v>5.3</v>
      </c>
      <c r="D247" s="114"/>
    </row>
    <row r="248" spans="1:4" ht="15.5" outlineLevel="1">
      <c r="A248" s="40" t="s">
        <v>1145</v>
      </c>
      <c r="B248" s="41" t="s">
        <v>169</v>
      </c>
      <c r="C248" s="40">
        <v>5.6</v>
      </c>
      <c r="D248" s="114"/>
    </row>
    <row r="249" spans="1:4" ht="15.5" outlineLevel="1">
      <c r="A249" s="40" t="s">
        <v>1145</v>
      </c>
      <c r="B249" s="41" t="s">
        <v>1136</v>
      </c>
      <c r="C249" s="42">
        <v>5.0999999999999996</v>
      </c>
      <c r="D249" s="114"/>
    </row>
    <row r="250" spans="1:4" ht="15.5" outlineLevel="1">
      <c r="A250" s="40" t="s">
        <v>1145</v>
      </c>
      <c r="B250" s="41" t="s">
        <v>1135</v>
      </c>
      <c r="C250" s="40">
        <v>5.14</v>
      </c>
      <c r="D250" s="114"/>
    </row>
    <row r="251" spans="1:4" ht="15.5" outlineLevel="1">
      <c r="A251" s="40" t="s">
        <v>1145</v>
      </c>
      <c r="B251" s="41" t="s">
        <v>4</v>
      </c>
      <c r="C251" s="40">
        <v>5.19</v>
      </c>
      <c r="D251" s="114"/>
    </row>
    <row r="252" spans="1:4" ht="15.5" outlineLevel="1">
      <c r="A252" s="40" t="s">
        <v>1145</v>
      </c>
      <c r="B252" s="41" t="s">
        <v>171</v>
      </c>
      <c r="C252" s="40">
        <v>5.24</v>
      </c>
      <c r="D252" s="114"/>
    </row>
    <row r="253" spans="1:4" ht="15.5" outlineLevel="1">
      <c r="A253" s="40" t="s">
        <v>1145</v>
      </c>
      <c r="B253" s="41" t="s">
        <v>6</v>
      </c>
      <c r="C253" s="40">
        <v>5.27</v>
      </c>
      <c r="D253" s="114"/>
    </row>
    <row r="254" spans="1:4" ht="15.5" outlineLevel="1">
      <c r="A254" s="40" t="s">
        <v>1145</v>
      </c>
      <c r="B254" s="41" t="s">
        <v>7</v>
      </c>
      <c r="C254" s="40">
        <v>5.28</v>
      </c>
      <c r="D254" s="114"/>
    </row>
    <row r="255" spans="1:4" ht="15.5" outlineLevel="1">
      <c r="A255" s="40" t="s">
        <v>1145</v>
      </c>
      <c r="B255" s="41" t="s">
        <v>8</v>
      </c>
      <c r="C255" s="42">
        <v>5.3</v>
      </c>
      <c r="D255" s="114"/>
    </row>
    <row r="256" spans="1:4" ht="15.5" outlineLevel="1">
      <c r="A256" s="40" t="s">
        <v>1145</v>
      </c>
      <c r="B256" s="41" t="s">
        <v>195</v>
      </c>
      <c r="C256" s="40">
        <v>5.33</v>
      </c>
      <c r="D256" s="114"/>
    </row>
    <row r="257" spans="1:4" ht="15.5" outlineLevel="1">
      <c r="A257" s="40" t="s">
        <v>1145</v>
      </c>
      <c r="B257" s="41" t="s">
        <v>145</v>
      </c>
      <c r="C257" s="40">
        <v>5.36</v>
      </c>
      <c r="D257" s="114"/>
    </row>
    <row r="258" spans="1:4" ht="15.5" outlineLevel="1">
      <c r="A258" s="40" t="s">
        <v>1145</v>
      </c>
      <c r="B258" s="41" t="s">
        <v>11</v>
      </c>
      <c r="C258" s="40">
        <v>5.53</v>
      </c>
      <c r="D258" s="114"/>
    </row>
    <row r="259" spans="1:4" ht="15.5" outlineLevel="1">
      <c r="A259" s="40" t="s">
        <v>1145</v>
      </c>
      <c r="B259" s="41" t="s">
        <v>17</v>
      </c>
      <c r="C259" s="40">
        <v>5.58</v>
      </c>
      <c r="D259" s="114"/>
    </row>
    <row r="260" spans="1:4" ht="15.5" outlineLevel="1">
      <c r="A260" s="40" t="s">
        <v>1145</v>
      </c>
      <c r="B260" s="41" t="s">
        <v>18</v>
      </c>
      <c r="C260" s="40">
        <v>5.54</v>
      </c>
      <c r="D260" s="114"/>
    </row>
    <row r="261" spans="1:4" ht="15.5" outlineLevel="1">
      <c r="A261" s="40" t="s">
        <v>1145</v>
      </c>
      <c r="B261" s="41" t="s">
        <v>19</v>
      </c>
      <c r="C261" s="40">
        <v>5.55</v>
      </c>
      <c r="D261" s="114"/>
    </row>
    <row r="262" spans="1:4" ht="15.5" outlineLevel="1">
      <c r="A262" s="40" t="s">
        <v>1145</v>
      </c>
      <c r="B262" s="41" t="s">
        <v>20</v>
      </c>
      <c r="C262" s="40">
        <v>5.63</v>
      </c>
      <c r="D262" s="114"/>
    </row>
    <row r="263" spans="1:4" ht="15.5" outlineLevel="1">
      <c r="A263" s="40" t="s">
        <v>1145</v>
      </c>
      <c r="B263" s="41" t="s">
        <v>24</v>
      </c>
      <c r="C263" s="40">
        <v>5.47</v>
      </c>
      <c r="D263" s="114"/>
    </row>
    <row r="264" spans="1:4" ht="15.5" outlineLevel="1">
      <c r="A264" s="40" t="s">
        <v>1145</v>
      </c>
      <c r="B264" s="41" t="s">
        <v>25</v>
      </c>
      <c r="C264" s="40">
        <v>5.48</v>
      </c>
      <c r="D264" s="114"/>
    </row>
    <row r="265" spans="1:4" ht="15.5">
      <c r="A265" s="46" t="s">
        <v>1145</v>
      </c>
      <c r="B265" s="41"/>
      <c r="C265" s="40"/>
      <c r="D265" s="114"/>
    </row>
    <row r="266" spans="1:4" ht="15.5" outlineLevel="1">
      <c r="A266" s="40" t="s">
        <v>1017</v>
      </c>
      <c r="B266" s="41" t="s">
        <v>0</v>
      </c>
      <c r="C266" s="40">
        <v>5.0999999999999996</v>
      </c>
      <c r="D266" s="114"/>
    </row>
    <row r="267" spans="1:4" ht="15.5" outlineLevel="1">
      <c r="A267" s="40" t="s">
        <v>1017</v>
      </c>
      <c r="B267" s="41" t="s">
        <v>1</v>
      </c>
      <c r="C267" s="40">
        <v>5.2</v>
      </c>
      <c r="D267" s="114"/>
    </row>
    <row r="268" spans="1:4" ht="15.5" outlineLevel="1">
      <c r="A268" s="40" t="s">
        <v>1017</v>
      </c>
      <c r="B268" s="41" t="s">
        <v>2</v>
      </c>
      <c r="C268" s="40">
        <v>5.3</v>
      </c>
      <c r="D268" s="114"/>
    </row>
    <row r="269" spans="1:4" ht="15.5" outlineLevel="1">
      <c r="A269" s="40" t="s">
        <v>1017</v>
      </c>
      <c r="B269" s="41" t="s">
        <v>169</v>
      </c>
      <c r="C269" s="40">
        <v>5.6</v>
      </c>
      <c r="D269" s="114"/>
    </row>
    <row r="270" spans="1:4" ht="15.5" outlineLevel="1">
      <c r="A270" s="40" t="s">
        <v>1017</v>
      </c>
      <c r="B270" s="41" t="s">
        <v>1136</v>
      </c>
      <c r="C270" s="42">
        <v>5.0999999999999996</v>
      </c>
      <c r="D270" s="114"/>
    </row>
    <row r="271" spans="1:4" ht="15.5" outlineLevel="1">
      <c r="A271" s="40" t="s">
        <v>1017</v>
      </c>
      <c r="B271" s="41" t="s">
        <v>1135</v>
      </c>
      <c r="C271" s="40">
        <v>5.14</v>
      </c>
      <c r="D271" s="114"/>
    </row>
    <row r="272" spans="1:4" ht="15.5" outlineLevel="1">
      <c r="A272" s="40" t="s">
        <v>1017</v>
      </c>
      <c r="B272" s="41" t="s">
        <v>4</v>
      </c>
      <c r="C272" s="40">
        <v>5.19</v>
      </c>
      <c r="D272" s="114"/>
    </row>
    <row r="273" spans="1:4" ht="15.5" outlineLevel="1">
      <c r="A273" s="40" t="s">
        <v>1017</v>
      </c>
      <c r="B273" s="41" t="s">
        <v>171</v>
      </c>
      <c r="C273" s="40">
        <v>5.24</v>
      </c>
      <c r="D273" s="114"/>
    </row>
    <row r="274" spans="1:4" ht="15.5" outlineLevel="1">
      <c r="A274" s="40" t="s">
        <v>1017</v>
      </c>
      <c r="B274" s="41" t="s">
        <v>5</v>
      </c>
      <c r="C274" s="40">
        <v>5.26</v>
      </c>
      <c r="D274" s="114"/>
    </row>
    <row r="275" spans="1:4" ht="15.5" outlineLevel="1">
      <c r="A275" s="40" t="s">
        <v>1017</v>
      </c>
      <c r="B275" s="41" t="s">
        <v>6</v>
      </c>
      <c r="C275" s="40">
        <v>5.27</v>
      </c>
      <c r="D275" s="114"/>
    </row>
    <row r="276" spans="1:4" ht="15.5" outlineLevel="1">
      <c r="A276" s="40" t="s">
        <v>1017</v>
      </c>
      <c r="B276" s="41" t="s">
        <v>7</v>
      </c>
      <c r="C276" s="40">
        <v>5.28</v>
      </c>
      <c r="D276" s="114"/>
    </row>
    <row r="277" spans="1:4" ht="15.5" outlineLevel="1">
      <c r="A277" s="40" t="s">
        <v>1017</v>
      </c>
      <c r="B277" s="41" t="s">
        <v>348</v>
      </c>
      <c r="C277" s="40">
        <v>5.29</v>
      </c>
      <c r="D277" s="114"/>
    </row>
    <row r="278" spans="1:4" ht="15.5" outlineLevel="1">
      <c r="A278" s="40" t="s">
        <v>1017</v>
      </c>
      <c r="B278" s="41" t="s">
        <v>8</v>
      </c>
      <c r="C278" s="42">
        <v>5.3</v>
      </c>
      <c r="D278" s="114"/>
    </row>
    <row r="279" spans="1:4" ht="15.5" outlineLevel="1">
      <c r="A279" s="40" t="s">
        <v>1017</v>
      </c>
      <c r="B279" s="41" t="s">
        <v>195</v>
      </c>
      <c r="C279" s="40">
        <v>5.33</v>
      </c>
      <c r="D279" s="114"/>
    </row>
    <row r="280" spans="1:4" ht="15.5" outlineLevel="1">
      <c r="A280" s="40" t="s">
        <v>1017</v>
      </c>
      <c r="B280" s="41" t="s">
        <v>145</v>
      </c>
      <c r="C280" s="40">
        <v>5.36</v>
      </c>
      <c r="D280" s="114"/>
    </row>
    <row r="281" spans="1:4" ht="15.5" outlineLevel="1">
      <c r="A281" s="40" t="s">
        <v>1017</v>
      </c>
      <c r="B281" s="41" t="s">
        <v>12</v>
      </c>
      <c r="C281" s="40">
        <v>5.69</v>
      </c>
      <c r="D281" s="114"/>
    </row>
    <row r="282" spans="1:4" ht="15.5" outlineLevel="1">
      <c r="A282" s="40" t="s">
        <v>1017</v>
      </c>
      <c r="B282" s="41" t="s">
        <v>14</v>
      </c>
      <c r="C282" s="42">
        <v>5.7</v>
      </c>
      <c r="D282" s="114"/>
    </row>
    <row r="283" spans="1:4" ht="15.5" outlineLevel="1">
      <c r="A283" s="40" t="s">
        <v>1017</v>
      </c>
      <c r="B283" s="41" t="s">
        <v>15</v>
      </c>
      <c r="C283" s="40">
        <v>5.74</v>
      </c>
      <c r="D283" s="114"/>
    </row>
    <row r="284" spans="1:4" ht="15.5" outlineLevel="1">
      <c r="A284" s="40" t="s">
        <v>1017</v>
      </c>
      <c r="B284" s="41" t="s">
        <v>9</v>
      </c>
      <c r="C284" s="40">
        <v>5.49</v>
      </c>
      <c r="D284" s="114"/>
    </row>
    <row r="285" spans="1:4" ht="15.5" outlineLevel="1">
      <c r="A285" s="40" t="s">
        <v>1017</v>
      </c>
      <c r="B285" s="41" t="s">
        <v>10</v>
      </c>
      <c r="C285" s="40">
        <v>5.51</v>
      </c>
      <c r="D285" s="114"/>
    </row>
    <row r="286" spans="1:4" ht="15.5" outlineLevel="1">
      <c r="A286" s="40" t="s">
        <v>1017</v>
      </c>
      <c r="B286" s="41" t="s">
        <v>1137</v>
      </c>
      <c r="C286" s="40">
        <v>5.52</v>
      </c>
      <c r="D286" s="114"/>
    </row>
    <row r="287" spans="1:4" ht="15.5" outlineLevel="1">
      <c r="A287" s="40" t="s">
        <v>1017</v>
      </c>
      <c r="B287" s="41" t="s">
        <v>11</v>
      </c>
      <c r="C287" s="40">
        <v>5.53</v>
      </c>
      <c r="D287" s="114"/>
    </row>
    <row r="288" spans="1:4" ht="15.5" outlineLevel="1">
      <c r="A288" s="40" t="s">
        <v>1017</v>
      </c>
      <c r="B288" s="41" t="s">
        <v>17</v>
      </c>
      <c r="C288" s="40">
        <v>5.58</v>
      </c>
      <c r="D288" s="114"/>
    </row>
    <row r="289" spans="1:4" ht="15.5" outlineLevel="1">
      <c r="A289" s="40" t="s">
        <v>1017</v>
      </c>
      <c r="B289" s="41" t="s">
        <v>18</v>
      </c>
      <c r="C289" s="40">
        <v>5.54</v>
      </c>
      <c r="D289" s="114"/>
    </row>
    <row r="290" spans="1:4" ht="15.5" outlineLevel="1">
      <c r="A290" s="40" t="s">
        <v>1017</v>
      </c>
      <c r="B290" s="41" t="s">
        <v>19</v>
      </c>
      <c r="C290" s="40">
        <v>5.55</v>
      </c>
      <c r="D290" s="114"/>
    </row>
    <row r="291" spans="1:4" ht="15.5" outlineLevel="1">
      <c r="A291" s="40" t="s">
        <v>1017</v>
      </c>
      <c r="B291" s="41" t="s">
        <v>20</v>
      </c>
      <c r="C291" s="40">
        <v>5.63</v>
      </c>
      <c r="D291" s="114"/>
    </row>
    <row r="292" spans="1:4" ht="15.5" outlineLevel="1">
      <c r="A292" s="40" t="s">
        <v>1017</v>
      </c>
      <c r="B292" s="41" t="s">
        <v>24</v>
      </c>
      <c r="C292" s="40">
        <v>5.47</v>
      </c>
      <c r="D292" s="114"/>
    </row>
    <row r="293" spans="1:4" ht="15.5" outlineLevel="1">
      <c r="A293" s="40" t="s">
        <v>1017</v>
      </c>
      <c r="B293" s="41" t="s">
        <v>25</v>
      </c>
      <c r="C293" s="40">
        <v>5.48</v>
      </c>
      <c r="D293" s="114"/>
    </row>
    <row r="294" spans="1:4" ht="15.5">
      <c r="A294" s="46" t="s">
        <v>1017</v>
      </c>
      <c r="B294" s="41"/>
      <c r="C294" s="40"/>
      <c r="D294" s="114"/>
    </row>
    <row r="295" spans="1:4" ht="31" outlineLevel="1">
      <c r="A295" s="40" t="s">
        <v>1024</v>
      </c>
      <c r="B295" s="41" t="s">
        <v>0</v>
      </c>
      <c r="C295" s="40">
        <v>5.0999999999999996</v>
      </c>
      <c r="D295" s="114"/>
    </row>
    <row r="296" spans="1:4" ht="31" outlineLevel="1">
      <c r="A296" s="40" t="s">
        <v>1024</v>
      </c>
      <c r="B296" s="41" t="s">
        <v>1</v>
      </c>
      <c r="C296" s="40">
        <v>5.2</v>
      </c>
      <c r="D296" s="114"/>
    </row>
    <row r="297" spans="1:4" ht="31" outlineLevel="1">
      <c r="A297" s="40" t="s">
        <v>1024</v>
      </c>
      <c r="B297" s="41" t="s">
        <v>2</v>
      </c>
      <c r="C297" s="40">
        <v>5.3</v>
      </c>
      <c r="D297" s="114"/>
    </row>
    <row r="298" spans="1:4" ht="31" outlineLevel="1">
      <c r="A298" s="40" t="s">
        <v>1024</v>
      </c>
      <c r="B298" s="41" t="s">
        <v>1135</v>
      </c>
      <c r="C298" s="40">
        <v>5.14</v>
      </c>
      <c r="D298" s="114"/>
    </row>
    <row r="299" spans="1:4" ht="31" outlineLevel="1">
      <c r="A299" s="40" t="s">
        <v>1024</v>
      </c>
      <c r="B299" s="41" t="s">
        <v>4</v>
      </c>
      <c r="C299" s="40">
        <v>5.19</v>
      </c>
      <c r="D299" s="114"/>
    </row>
    <row r="300" spans="1:4" ht="31" outlineLevel="1">
      <c r="A300" s="40" t="s">
        <v>1024</v>
      </c>
      <c r="B300" s="41" t="s">
        <v>171</v>
      </c>
      <c r="C300" s="40">
        <v>5.24</v>
      </c>
      <c r="D300" s="114"/>
    </row>
    <row r="301" spans="1:4" ht="31" outlineLevel="1">
      <c r="A301" s="40" t="s">
        <v>1024</v>
      </c>
      <c r="B301" s="41" t="s">
        <v>5</v>
      </c>
      <c r="C301" s="40">
        <v>5.26</v>
      </c>
      <c r="D301" s="114"/>
    </row>
    <row r="302" spans="1:4" ht="31" outlineLevel="1">
      <c r="A302" s="40" t="s">
        <v>1024</v>
      </c>
      <c r="B302" s="41" t="s">
        <v>6</v>
      </c>
      <c r="C302" s="40">
        <v>5.27</v>
      </c>
      <c r="D302" s="114"/>
    </row>
    <row r="303" spans="1:4" ht="31" outlineLevel="1">
      <c r="A303" s="40" t="s">
        <v>1024</v>
      </c>
      <c r="B303" s="41" t="s">
        <v>7</v>
      </c>
      <c r="C303" s="40">
        <v>5.28</v>
      </c>
      <c r="D303" s="114"/>
    </row>
    <row r="304" spans="1:4" ht="31" outlineLevel="1">
      <c r="A304" s="40" t="s">
        <v>1024</v>
      </c>
      <c r="B304" s="41" t="s">
        <v>180</v>
      </c>
      <c r="C304" s="40">
        <v>5.37</v>
      </c>
      <c r="D304" s="114"/>
    </row>
    <row r="305" spans="1:4" ht="31" outlineLevel="1">
      <c r="A305" s="40" t="s">
        <v>1024</v>
      </c>
      <c r="B305" s="41" t="s">
        <v>9</v>
      </c>
      <c r="C305" s="40">
        <v>5.49</v>
      </c>
      <c r="D305" s="114"/>
    </row>
    <row r="306" spans="1:4" ht="31" outlineLevel="1">
      <c r="A306" s="40" t="s">
        <v>1024</v>
      </c>
      <c r="B306" s="41" t="s">
        <v>10</v>
      </c>
      <c r="C306" s="40">
        <v>5.51</v>
      </c>
      <c r="D306" s="114"/>
    </row>
    <row r="307" spans="1:4" ht="31" outlineLevel="1">
      <c r="A307" s="40" t="s">
        <v>1024</v>
      </c>
      <c r="B307" s="41" t="s">
        <v>11</v>
      </c>
      <c r="C307" s="40">
        <v>5.53</v>
      </c>
      <c r="D307" s="114"/>
    </row>
    <row r="308" spans="1:4" ht="31" outlineLevel="1">
      <c r="A308" s="40" t="s">
        <v>1024</v>
      </c>
      <c r="B308" s="41" t="s">
        <v>12</v>
      </c>
      <c r="C308" s="40">
        <v>5.69</v>
      </c>
      <c r="D308" s="114"/>
    </row>
    <row r="309" spans="1:4" ht="31" outlineLevel="1">
      <c r="A309" s="40" t="s">
        <v>1024</v>
      </c>
      <c r="B309" s="41" t="s">
        <v>13</v>
      </c>
      <c r="C309" s="40">
        <v>5.75</v>
      </c>
      <c r="D309" s="114"/>
    </row>
    <row r="310" spans="1:4" ht="31" outlineLevel="1">
      <c r="A310" s="40" t="s">
        <v>1024</v>
      </c>
      <c r="B310" s="41" t="s">
        <v>14</v>
      </c>
      <c r="C310" s="42">
        <v>5.7</v>
      </c>
      <c r="D310" s="114"/>
    </row>
    <row r="311" spans="1:4" ht="31" outlineLevel="1">
      <c r="A311" s="40" t="s">
        <v>1024</v>
      </c>
      <c r="B311" s="41" t="s">
        <v>15</v>
      </c>
      <c r="C311" s="40">
        <v>5.74</v>
      </c>
      <c r="D311" s="114"/>
    </row>
    <row r="312" spans="1:4" ht="31" outlineLevel="1">
      <c r="A312" s="40" t="s">
        <v>1024</v>
      </c>
      <c r="B312" s="41" t="s">
        <v>17</v>
      </c>
      <c r="C312" s="40">
        <v>5.58</v>
      </c>
      <c r="D312" s="114"/>
    </row>
    <row r="313" spans="1:4" ht="31" outlineLevel="1">
      <c r="A313" s="40" t="s">
        <v>1024</v>
      </c>
      <c r="B313" s="41" t="s">
        <v>18</v>
      </c>
      <c r="C313" s="40">
        <v>5.54</v>
      </c>
      <c r="D313" s="114"/>
    </row>
    <row r="314" spans="1:4" ht="31" outlineLevel="1">
      <c r="A314" s="40" t="s">
        <v>1024</v>
      </c>
      <c r="B314" s="41" t="s">
        <v>19</v>
      </c>
      <c r="C314" s="40">
        <v>5.55</v>
      </c>
      <c r="D314" s="114"/>
    </row>
    <row r="315" spans="1:4" ht="31" outlineLevel="1">
      <c r="A315" s="40" t="s">
        <v>1024</v>
      </c>
      <c r="B315" s="41" t="s">
        <v>20</v>
      </c>
      <c r="C315" s="40">
        <v>5.63</v>
      </c>
      <c r="D315" s="114"/>
    </row>
    <row r="316" spans="1:4" ht="31" outlineLevel="1">
      <c r="A316" s="40" t="s">
        <v>1024</v>
      </c>
      <c r="B316" s="41" t="s">
        <v>21</v>
      </c>
      <c r="C316" s="40">
        <v>5.65</v>
      </c>
      <c r="D316" s="114"/>
    </row>
    <row r="317" spans="1:4" ht="31" outlineLevel="1">
      <c r="A317" s="40" t="s">
        <v>1024</v>
      </c>
      <c r="B317" s="41" t="s">
        <v>22</v>
      </c>
      <c r="C317" s="40">
        <v>5.68</v>
      </c>
      <c r="D317" s="114"/>
    </row>
    <row r="318" spans="1:4" ht="31" outlineLevel="1">
      <c r="A318" s="40" t="s">
        <v>1024</v>
      </c>
      <c r="B318" s="41" t="s">
        <v>24</v>
      </c>
      <c r="C318" s="40">
        <v>5.47</v>
      </c>
      <c r="D318" s="114"/>
    </row>
    <row r="319" spans="1:4" ht="31" outlineLevel="1">
      <c r="A319" s="40" t="s">
        <v>1024</v>
      </c>
      <c r="B319" s="41" t="s">
        <v>25</v>
      </c>
      <c r="C319" s="40">
        <v>5.48</v>
      </c>
      <c r="D319" s="114"/>
    </row>
    <row r="320" spans="1:4" ht="15.5">
      <c r="A320" s="46" t="s">
        <v>1024</v>
      </c>
      <c r="B320" s="41"/>
      <c r="C320" s="40"/>
      <c r="D320" s="114"/>
    </row>
    <row r="321" spans="1:4" ht="31" outlineLevel="1">
      <c r="A321" s="40" t="s">
        <v>1025</v>
      </c>
      <c r="B321" s="41" t="s">
        <v>0</v>
      </c>
      <c r="C321" s="40">
        <v>5.0999999999999996</v>
      </c>
      <c r="D321" s="114"/>
    </row>
    <row r="322" spans="1:4" ht="31" outlineLevel="1">
      <c r="A322" s="40" t="s">
        <v>1025</v>
      </c>
      <c r="B322" s="41" t="s">
        <v>1</v>
      </c>
      <c r="C322" s="40">
        <v>5.2</v>
      </c>
      <c r="D322" s="114"/>
    </row>
    <row r="323" spans="1:4" ht="31" outlineLevel="1">
      <c r="A323" s="40" t="s">
        <v>1025</v>
      </c>
      <c r="B323" s="41" t="s">
        <v>5</v>
      </c>
      <c r="C323" s="40">
        <v>5.26</v>
      </c>
      <c r="D323" s="114"/>
    </row>
    <row r="324" spans="1:4" ht="31" outlineLevel="1">
      <c r="A324" s="40" t="s">
        <v>1025</v>
      </c>
      <c r="B324" s="41" t="s">
        <v>1135</v>
      </c>
      <c r="C324" s="40">
        <v>5.14</v>
      </c>
      <c r="D324" s="114"/>
    </row>
    <row r="325" spans="1:4" ht="31" outlineLevel="1">
      <c r="A325" s="40" t="s">
        <v>1025</v>
      </c>
      <c r="B325" s="41" t="s">
        <v>4</v>
      </c>
      <c r="C325" s="40">
        <v>5.19</v>
      </c>
      <c r="D325" s="114"/>
    </row>
    <row r="326" spans="1:4" ht="31" outlineLevel="1">
      <c r="A326" s="40" t="s">
        <v>1025</v>
      </c>
      <c r="B326" s="41" t="s">
        <v>180</v>
      </c>
      <c r="C326" s="40">
        <v>5.37</v>
      </c>
      <c r="D326" s="114"/>
    </row>
    <row r="327" spans="1:4" ht="31" outlineLevel="1">
      <c r="A327" s="40" t="s">
        <v>1025</v>
      </c>
      <c r="B327" s="41" t="s">
        <v>12</v>
      </c>
      <c r="C327" s="40">
        <v>5.69</v>
      </c>
      <c r="D327" s="114"/>
    </row>
    <row r="328" spans="1:4" ht="31" outlineLevel="1">
      <c r="A328" s="40" t="s">
        <v>1025</v>
      </c>
      <c r="B328" s="41" t="s">
        <v>775</v>
      </c>
      <c r="C328" s="42">
        <v>5.8</v>
      </c>
      <c r="D328" s="114"/>
    </row>
    <row r="329" spans="1:4" ht="31" outlineLevel="1">
      <c r="A329" s="40" t="s">
        <v>1025</v>
      </c>
      <c r="B329" s="41" t="s">
        <v>13</v>
      </c>
      <c r="C329" s="40">
        <v>5.75</v>
      </c>
      <c r="D329" s="114"/>
    </row>
    <row r="330" spans="1:4" ht="31" outlineLevel="1">
      <c r="A330" s="40" t="s">
        <v>1025</v>
      </c>
      <c r="B330" s="41" t="s">
        <v>14</v>
      </c>
      <c r="C330" s="42">
        <v>5.7</v>
      </c>
      <c r="D330" s="114"/>
    </row>
    <row r="331" spans="1:4" ht="31" outlineLevel="1">
      <c r="A331" s="40" t="s">
        <v>1025</v>
      </c>
      <c r="B331" s="41" t="s">
        <v>15</v>
      </c>
      <c r="C331" s="40">
        <v>5.74</v>
      </c>
      <c r="D331" s="114"/>
    </row>
    <row r="332" spans="1:4" ht="31" outlineLevel="1">
      <c r="A332" s="40" t="s">
        <v>1025</v>
      </c>
      <c r="B332" s="41" t="s">
        <v>17</v>
      </c>
      <c r="C332" s="40">
        <v>5.58</v>
      </c>
      <c r="D332" s="114"/>
    </row>
    <row r="333" spans="1:4" ht="31" outlineLevel="1">
      <c r="A333" s="40" t="s">
        <v>1025</v>
      </c>
      <c r="B333" s="41" t="s">
        <v>19</v>
      </c>
      <c r="C333" s="40">
        <v>5.55</v>
      </c>
      <c r="D333" s="114"/>
    </row>
    <row r="334" spans="1:4" ht="31" outlineLevel="1">
      <c r="A334" s="40" t="s">
        <v>1025</v>
      </c>
      <c r="B334" s="41" t="s">
        <v>20</v>
      </c>
      <c r="C334" s="40">
        <v>5.63</v>
      </c>
      <c r="D334" s="114"/>
    </row>
    <row r="335" spans="1:4" ht="31" outlineLevel="1">
      <c r="A335" s="40" t="s">
        <v>1025</v>
      </c>
      <c r="B335" s="41" t="s">
        <v>21</v>
      </c>
      <c r="C335" s="40">
        <v>5.65</v>
      </c>
      <c r="D335" s="114"/>
    </row>
    <row r="336" spans="1:4" ht="31" outlineLevel="1">
      <c r="A336" s="40" t="s">
        <v>1025</v>
      </c>
      <c r="B336" s="41" t="s">
        <v>22</v>
      </c>
      <c r="C336" s="40">
        <v>5.68</v>
      </c>
      <c r="D336" s="114"/>
    </row>
    <row r="337" spans="1:4" ht="31" outlineLevel="1">
      <c r="A337" s="40" t="s">
        <v>1025</v>
      </c>
      <c r="B337" s="41" t="s">
        <v>24</v>
      </c>
      <c r="C337" s="40">
        <v>5.47</v>
      </c>
      <c r="D337" s="114"/>
    </row>
    <row r="338" spans="1:4" ht="31" outlineLevel="1">
      <c r="A338" s="40" t="s">
        <v>1025</v>
      </c>
      <c r="B338" s="41" t="s">
        <v>25</v>
      </c>
      <c r="C338" s="40">
        <v>5.48</v>
      </c>
      <c r="D338" s="114"/>
    </row>
    <row r="339" spans="1:4" ht="15.5">
      <c r="A339" s="46" t="s">
        <v>1025</v>
      </c>
      <c r="B339" s="41"/>
      <c r="C339" s="40"/>
      <c r="D339" s="114"/>
    </row>
    <row r="340" spans="1:4" ht="31" outlineLevel="1">
      <c r="A340" s="40" t="s">
        <v>1031</v>
      </c>
      <c r="B340" s="41" t="s">
        <v>1146</v>
      </c>
      <c r="C340" s="40">
        <v>5.0999999999999996</v>
      </c>
      <c r="D340" s="114"/>
    </row>
    <row r="341" spans="1:4" ht="31" outlineLevel="1">
      <c r="A341" s="40" t="s">
        <v>1031</v>
      </c>
      <c r="B341" s="41" t="s">
        <v>1</v>
      </c>
      <c r="C341" s="40">
        <v>5.2</v>
      </c>
      <c r="D341" s="114"/>
    </row>
    <row r="342" spans="1:4" ht="31" outlineLevel="1">
      <c r="A342" s="40" t="s">
        <v>1031</v>
      </c>
      <c r="B342" s="41" t="s">
        <v>5</v>
      </c>
      <c r="C342" s="40">
        <v>5.26</v>
      </c>
      <c r="D342" s="114"/>
    </row>
    <row r="343" spans="1:4" ht="31" outlineLevel="1">
      <c r="A343" s="40" t="s">
        <v>1031</v>
      </c>
      <c r="B343" s="41" t="s">
        <v>1147</v>
      </c>
      <c r="C343" s="40">
        <v>5.38</v>
      </c>
      <c r="D343" s="114"/>
    </row>
    <row r="344" spans="1:4" ht="31" outlineLevel="1">
      <c r="A344" s="40" t="s">
        <v>1031</v>
      </c>
      <c r="B344" s="41" t="s">
        <v>1148</v>
      </c>
      <c r="C344" s="40">
        <v>5.39</v>
      </c>
      <c r="D344" s="114"/>
    </row>
    <row r="345" spans="1:4" ht="31" outlineLevel="1">
      <c r="A345" s="40" t="s">
        <v>1031</v>
      </c>
      <c r="B345" s="41" t="s">
        <v>1149</v>
      </c>
      <c r="C345" s="42">
        <v>5.6</v>
      </c>
      <c r="D345" s="114"/>
    </row>
    <row r="346" spans="1:4" ht="31" outlineLevel="1">
      <c r="A346" s="40" t="s">
        <v>1031</v>
      </c>
      <c r="B346" s="41" t="s">
        <v>25</v>
      </c>
      <c r="C346" s="40">
        <v>5.48</v>
      </c>
      <c r="D346" s="114"/>
    </row>
    <row r="347" spans="1:4" ht="15.5">
      <c r="A347" s="46" t="s">
        <v>1031</v>
      </c>
      <c r="B347" s="41"/>
      <c r="C347" s="40"/>
      <c r="D347" s="114"/>
    </row>
    <row r="348" spans="1:4" ht="31" outlineLevel="1">
      <c r="A348" s="40" t="s">
        <v>1035</v>
      </c>
      <c r="B348" s="41" t="s">
        <v>0</v>
      </c>
      <c r="C348" s="40">
        <v>5.0999999999999996</v>
      </c>
      <c r="D348" s="114"/>
    </row>
    <row r="349" spans="1:4" ht="31" outlineLevel="1">
      <c r="A349" s="40" t="s">
        <v>1035</v>
      </c>
      <c r="B349" s="41" t="s">
        <v>1</v>
      </c>
      <c r="C349" s="40">
        <v>5.2</v>
      </c>
      <c r="D349" s="114"/>
    </row>
    <row r="350" spans="1:4" ht="31" outlineLevel="1">
      <c r="A350" s="40" t="s">
        <v>1035</v>
      </c>
      <c r="B350" s="41" t="s">
        <v>2</v>
      </c>
      <c r="C350" s="40">
        <v>5.3</v>
      </c>
      <c r="D350" s="114"/>
    </row>
    <row r="351" spans="1:4" ht="31" outlineLevel="1">
      <c r="A351" s="40" t="s">
        <v>1035</v>
      </c>
      <c r="B351" s="41" t="s">
        <v>169</v>
      </c>
      <c r="C351" s="40">
        <v>5.6</v>
      </c>
      <c r="D351" s="114"/>
    </row>
    <row r="352" spans="1:4" ht="31" outlineLevel="1">
      <c r="A352" s="40" t="s">
        <v>1035</v>
      </c>
      <c r="B352" s="41" t="s">
        <v>1136</v>
      </c>
      <c r="C352" s="42">
        <v>5.0999999999999996</v>
      </c>
      <c r="D352" s="114"/>
    </row>
    <row r="353" spans="1:4" ht="31" outlineLevel="1">
      <c r="A353" s="40" t="s">
        <v>1035</v>
      </c>
      <c r="B353" s="41" t="s">
        <v>1135</v>
      </c>
      <c r="C353" s="40">
        <v>5.14</v>
      </c>
      <c r="D353" s="114"/>
    </row>
    <row r="354" spans="1:4" ht="31" outlineLevel="1">
      <c r="A354" s="40" t="s">
        <v>1035</v>
      </c>
      <c r="B354" s="41" t="s">
        <v>4</v>
      </c>
      <c r="C354" s="40">
        <v>5.19</v>
      </c>
      <c r="D354" s="114"/>
    </row>
    <row r="355" spans="1:4" ht="31" outlineLevel="1">
      <c r="A355" s="40" t="s">
        <v>1035</v>
      </c>
      <c r="B355" s="41" t="s">
        <v>171</v>
      </c>
      <c r="C355" s="40">
        <v>5.24</v>
      </c>
      <c r="D355" s="114"/>
    </row>
    <row r="356" spans="1:4" ht="31" outlineLevel="1">
      <c r="A356" s="40" t="s">
        <v>1035</v>
      </c>
      <c r="B356" s="41" t="s">
        <v>5</v>
      </c>
      <c r="C356" s="40">
        <v>5.26</v>
      </c>
      <c r="D356" s="114"/>
    </row>
    <row r="357" spans="1:4" ht="31" outlineLevel="1">
      <c r="A357" s="40" t="s">
        <v>1035</v>
      </c>
      <c r="B357" s="41" t="s">
        <v>6</v>
      </c>
      <c r="C357" s="40">
        <v>5.27</v>
      </c>
      <c r="D357" s="114"/>
    </row>
    <row r="358" spans="1:4" ht="31" outlineLevel="1">
      <c r="A358" s="40" t="s">
        <v>1035</v>
      </c>
      <c r="B358" s="41" t="s">
        <v>7</v>
      </c>
      <c r="C358" s="40">
        <v>5.28</v>
      </c>
      <c r="D358" s="114"/>
    </row>
    <row r="359" spans="1:4" ht="31" outlineLevel="1">
      <c r="A359" s="40" t="s">
        <v>1035</v>
      </c>
      <c r="B359" s="41" t="s">
        <v>172</v>
      </c>
      <c r="C359" s="40">
        <v>5.31</v>
      </c>
      <c r="D359" s="114"/>
    </row>
    <row r="360" spans="1:4" ht="31" outlineLevel="1">
      <c r="A360" s="40" t="s">
        <v>1035</v>
      </c>
      <c r="B360" s="41" t="s">
        <v>145</v>
      </c>
      <c r="C360" s="40">
        <v>5.36</v>
      </c>
      <c r="D360" s="114"/>
    </row>
    <row r="361" spans="1:4" ht="31" outlineLevel="1">
      <c r="A361" s="40" t="s">
        <v>1035</v>
      </c>
      <c r="B361" s="41" t="s">
        <v>180</v>
      </c>
      <c r="C361" s="40">
        <v>5.37</v>
      </c>
      <c r="D361" s="114"/>
    </row>
    <row r="362" spans="1:4" ht="31" outlineLevel="1">
      <c r="A362" s="40" t="s">
        <v>1035</v>
      </c>
      <c r="B362" s="41" t="s">
        <v>9</v>
      </c>
      <c r="C362" s="40">
        <v>5.49</v>
      </c>
      <c r="D362" s="114"/>
    </row>
    <row r="363" spans="1:4" ht="31" outlineLevel="1">
      <c r="A363" s="40" t="s">
        <v>1035</v>
      </c>
      <c r="B363" s="41" t="s">
        <v>10</v>
      </c>
      <c r="C363" s="40">
        <v>5.51</v>
      </c>
      <c r="D363" s="114"/>
    </row>
    <row r="364" spans="1:4" ht="31" outlineLevel="1">
      <c r="A364" s="40" t="s">
        <v>1035</v>
      </c>
      <c r="B364" s="41" t="s">
        <v>1137</v>
      </c>
      <c r="C364" s="40">
        <v>5.52</v>
      </c>
      <c r="D364" s="114"/>
    </row>
    <row r="365" spans="1:4" ht="31" outlineLevel="1">
      <c r="A365" s="40" t="s">
        <v>1035</v>
      </c>
      <c r="B365" s="41" t="s">
        <v>11</v>
      </c>
      <c r="C365" s="40">
        <v>5.53</v>
      </c>
      <c r="D365" s="114"/>
    </row>
    <row r="366" spans="1:4" ht="31" outlineLevel="1">
      <c r="A366" s="40" t="s">
        <v>1035</v>
      </c>
      <c r="B366" s="41" t="s">
        <v>12</v>
      </c>
      <c r="C366" s="40">
        <v>5.69</v>
      </c>
      <c r="D366" s="114"/>
    </row>
    <row r="367" spans="1:4" ht="31" outlineLevel="1">
      <c r="A367" s="40" t="s">
        <v>1035</v>
      </c>
      <c r="B367" s="41" t="s">
        <v>775</v>
      </c>
      <c r="C367" s="42">
        <v>5.8</v>
      </c>
      <c r="D367" s="114"/>
    </row>
    <row r="368" spans="1:4" ht="31" outlineLevel="1">
      <c r="A368" s="40" t="s">
        <v>1035</v>
      </c>
      <c r="B368" s="41" t="s">
        <v>932</v>
      </c>
      <c r="C368" s="42">
        <v>5.72</v>
      </c>
      <c r="D368" s="114"/>
    </row>
    <row r="369" spans="1:4" ht="31" outlineLevel="1">
      <c r="A369" s="40" t="s">
        <v>1035</v>
      </c>
      <c r="B369" s="41" t="s">
        <v>13</v>
      </c>
      <c r="C369" s="40">
        <v>5.75</v>
      </c>
      <c r="D369" s="114"/>
    </row>
    <row r="370" spans="1:4" ht="31" outlineLevel="1">
      <c r="A370" s="40" t="s">
        <v>1035</v>
      </c>
      <c r="B370" s="41" t="s">
        <v>14</v>
      </c>
      <c r="C370" s="42">
        <v>5.7</v>
      </c>
      <c r="D370" s="114"/>
    </row>
    <row r="371" spans="1:4" ht="31" outlineLevel="1">
      <c r="A371" s="40" t="s">
        <v>1035</v>
      </c>
      <c r="B371" s="41" t="s">
        <v>15</v>
      </c>
      <c r="C371" s="40">
        <v>5.74</v>
      </c>
      <c r="D371" s="114"/>
    </row>
    <row r="372" spans="1:4" ht="31" outlineLevel="1">
      <c r="A372" s="40" t="s">
        <v>1035</v>
      </c>
      <c r="B372" s="41" t="s">
        <v>432</v>
      </c>
      <c r="C372" s="40">
        <v>5.76</v>
      </c>
      <c r="D372" s="114"/>
    </row>
    <row r="373" spans="1:4" ht="31" outlineLevel="1">
      <c r="A373" s="40" t="s">
        <v>1035</v>
      </c>
      <c r="B373" s="41" t="s">
        <v>853</v>
      </c>
      <c r="C373" s="40">
        <v>5.89</v>
      </c>
      <c r="D373" s="113" t="s">
        <v>1134</v>
      </c>
    </row>
    <row r="374" spans="1:4" ht="31" outlineLevel="1">
      <c r="A374" s="40" t="s">
        <v>1035</v>
      </c>
      <c r="B374" s="41" t="s">
        <v>173</v>
      </c>
      <c r="C374" s="40">
        <v>5.109</v>
      </c>
      <c r="D374" s="113"/>
    </row>
    <row r="375" spans="1:4" ht="31" outlineLevel="1">
      <c r="A375" s="40" t="s">
        <v>1035</v>
      </c>
      <c r="B375" s="41" t="s">
        <v>174</v>
      </c>
      <c r="C375" s="40">
        <v>5.1109999999999998</v>
      </c>
      <c r="D375" s="114"/>
    </row>
    <row r="376" spans="1:4" ht="31" outlineLevel="1">
      <c r="A376" s="40" t="s">
        <v>1035</v>
      </c>
      <c r="B376" s="41" t="s">
        <v>154</v>
      </c>
      <c r="C376" s="40">
        <v>5.1120000000000001</v>
      </c>
      <c r="D376" s="114"/>
    </row>
    <row r="377" spans="1:4" ht="31" outlineLevel="1">
      <c r="A377" s="40" t="s">
        <v>1035</v>
      </c>
      <c r="B377" s="41" t="s">
        <v>1150</v>
      </c>
      <c r="C377" s="40">
        <v>5.1130000000000004</v>
      </c>
      <c r="D377" s="114"/>
    </row>
    <row r="378" spans="1:4" ht="31" outlineLevel="1">
      <c r="A378" s="40" t="s">
        <v>1035</v>
      </c>
      <c r="B378" s="41" t="s">
        <v>17</v>
      </c>
      <c r="C378" s="40">
        <v>5.58</v>
      </c>
      <c r="D378" s="114"/>
    </row>
    <row r="379" spans="1:4" ht="31" outlineLevel="1">
      <c r="A379" s="40" t="s">
        <v>1035</v>
      </c>
      <c r="B379" s="41" t="s">
        <v>18</v>
      </c>
      <c r="C379" s="40">
        <v>5.54</v>
      </c>
      <c r="D379" s="114"/>
    </row>
    <row r="380" spans="1:4" ht="31" outlineLevel="1">
      <c r="A380" s="40" t="s">
        <v>1035</v>
      </c>
      <c r="B380" s="41" t="s">
        <v>19</v>
      </c>
      <c r="C380" s="40">
        <v>5.55</v>
      </c>
      <c r="D380" s="114"/>
    </row>
    <row r="381" spans="1:4" ht="31" outlineLevel="1">
      <c r="A381" s="40" t="s">
        <v>1035</v>
      </c>
      <c r="B381" s="41" t="s">
        <v>20</v>
      </c>
      <c r="C381" s="40">
        <v>5.63</v>
      </c>
      <c r="D381" s="114"/>
    </row>
    <row r="382" spans="1:4" ht="31" outlineLevel="1">
      <c r="A382" s="40" t="s">
        <v>1035</v>
      </c>
      <c r="B382" s="41" t="s">
        <v>21</v>
      </c>
      <c r="C382" s="40">
        <v>5.65</v>
      </c>
      <c r="D382" s="114"/>
    </row>
    <row r="383" spans="1:4" ht="31" outlineLevel="1">
      <c r="A383" s="40" t="s">
        <v>1035</v>
      </c>
      <c r="B383" s="41" t="s">
        <v>188</v>
      </c>
      <c r="C383" s="40">
        <v>5.66</v>
      </c>
      <c r="D383" s="114"/>
    </row>
    <row r="384" spans="1:4" ht="31" outlineLevel="1">
      <c r="A384" s="40" t="s">
        <v>1035</v>
      </c>
      <c r="B384" s="41" t="s">
        <v>22</v>
      </c>
      <c r="C384" s="40">
        <v>5.68</v>
      </c>
      <c r="D384" s="114"/>
    </row>
    <row r="385" spans="1:4" ht="31" outlineLevel="1">
      <c r="A385" s="40" t="s">
        <v>1035</v>
      </c>
      <c r="B385" s="41" t="s">
        <v>24</v>
      </c>
      <c r="C385" s="40">
        <v>5.47</v>
      </c>
      <c r="D385" s="114"/>
    </row>
    <row r="386" spans="1:4" ht="31" outlineLevel="1">
      <c r="A386" s="40" t="s">
        <v>1035</v>
      </c>
      <c r="B386" s="41" t="s">
        <v>25</v>
      </c>
      <c r="C386" s="40">
        <v>5.48</v>
      </c>
      <c r="D386" s="114"/>
    </row>
    <row r="387" spans="1:4" ht="15.5">
      <c r="A387" s="46" t="s">
        <v>1035</v>
      </c>
      <c r="B387" s="41"/>
      <c r="C387" s="40"/>
      <c r="D387" s="114"/>
    </row>
    <row r="388" spans="1:4" ht="15.5" outlineLevel="1">
      <c r="A388" s="40" t="s">
        <v>1037</v>
      </c>
      <c r="B388" s="41" t="s">
        <v>0</v>
      </c>
      <c r="C388" s="40">
        <v>5.0999999999999996</v>
      </c>
      <c r="D388" s="114"/>
    </row>
    <row r="389" spans="1:4" ht="15.5" outlineLevel="1">
      <c r="A389" s="40" t="s">
        <v>1037</v>
      </c>
      <c r="B389" s="41" t="s">
        <v>1</v>
      </c>
      <c r="C389" s="40">
        <v>5.2</v>
      </c>
      <c r="D389" s="114"/>
    </row>
    <row r="390" spans="1:4" ht="15.5" outlineLevel="1">
      <c r="A390" s="40" t="s">
        <v>1037</v>
      </c>
      <c r="B390" s="41" t="s">
        <v>2</v>
      </c>
      <c r="C390" s="40">
        <v>5.3</v>
      </c>
      <c r="D390" s="114"/>
    </row>
    <row r="391" spans="1:4" ht="15.5" outlineLevel="1">
      <c r="A391" s="40" t="s">
        <v>1037</v>
      </c>
      <c r="B391" s="41" t="s">
        <v>169</v>
      </c>
      <c r="C391" s="40">
        <v>5.6</v>
      </c>
      <c r="D391" s="114"/>
    </row>
    <row r="392" spans="1:4" ht="15.5" outlineLevel="1">
      <c r="A392" s="40" t="s">
        <v>1037</v>
      </c>
      <c r="B392" s="41" t="s">
        <v>1136</v>
      </c>
      <c r="C392" s="42">
        <v>5.0999999999999996</v>
      </c>
      <c r="D392" s="114"/>
    </row>
    <row r="393" spans="1:4" ht="15.5" outlineLevel="1">
      <c r="A393" s="40" t="s">
        <v>1037</v>
      </c>
      <c r="B393" s="41" t="s">
        <v>1135</v>
      </c>
      <c r="C393" s="40">
        <v>5.14</v>
      </c>
      <c r="D393" s="114"/>
    </row>
    <row r="394" spans="1:4" ht="15.5" outlineLevel="1">
      <c r="A394" s="40" t="s">
        <v>1037</v>
      </c>
      <c r="B394" s="41" t="s">
        <v>4</v>
      </c>
      <c r="C394" s="40">
        <v>5.19</v>
      </c>
      <c r="D394" s="114"/>
    </row>
    <row r="395" spans="1:4" ht="15.5" outlineLevel="1">
      <c r="A395" s="40" t="s">
        <v>1037</v>
      </c>
      <c r="B395" s="41" t="s">
        <v>171</v>
      </c>
      <c r="C395" s="40">
        <v>5.24</v>
      </c>
      <c r="D395" s="114"/>
    </row>
    <row r="396" spans="1:4" ht="15.5" outlineLevel="1">
      <c r="A396" s="40" t="s">
        <v>1037</v>
      </c>
      <c r="B396" s="41" t="s">
        <v>5</v>
      </c>
      <c r="C396" s="40">
        <v>5.26</v>
      </c>
      <c r="D396" s="114"/>
    </row>
    <row r="397" spans="1:4" ht="15.5" outlineLevel="1">
      <c r="A397" s="40" t="s">
        <v>1037</v>
      </c>
      <c r="B397" s="41" t="s">
        <v>6</v>
      </c>
      <c r="C397" s="40">
        <v>5.27</v>
      </c>
      <c r="D397" s="114"/>
    </row>
    <row r="398" spans="1:4" ht="15.5" outlineLevel="1">
      <c r="A398" s="40" t="s">
        <v>1037</v>
      </c>
      <c r="B398" s="41" t="s">
        <v>7</v>
      </c>
      <c r="C398" s="40">
        <v>5.28</v>
      </c>
      <c r="D398" s="114"/>
    </row>
    <row r="399" spans="1:4" ht="15.5" outlineLevel="1">
      <c r="A399" s="40" t="s">
        <v>1037</v>
      </c>
      <c r="B399" s="41" t="s">
        <v>348</v>
      </c>
      <c r="C399" s="40">
        <v>5.29</v>
      </c>
      <c r="D399" s="114"/>
    </row>
    <row r="400" spans="1:4" ht="15.5" outlineLevel="1">
      <c r="A400" s="40" t="s">
        <v>1037</v>
      </c>
      <c r="B400" s="41" t="s">
        <v>172</v>
      </c>
      <c r="C400" s="40">
        <v>5.31</v>
      </c>
      <c r="D400" s="114"/>
    </row>
    <row r="401" spans="1:4" ht="15.5" outlineLevel="1">
      <c r="A401" s="40" t="s">
        <v>1037</v>
      </c>
      <c r="B401" s="41" t="s">
        <v>145</v>
      </c>
      <c r="C401" s="40">
        <v>5.36</v>
      </c>
      <c r="D401" s="114"/>
    </row>
    <row r="402" spans="1:4" ht="15.5" outlineLevel="1">
      <c r="A402" s="40" t="s">
        <v>1037</v>
      </c>
      <c r="B402" s="41" t="s">
        <v>180</v>
      </c>
      <c r="C402" s="40">
        <v>5.37</v>
      </c>
      <c r="D402" s="114"/>
    </row>
    <row r="403" spans="1:4" ht="15.5" outlineLevel="1">
      <c r="A403" s="40" t="s">
        <v>1037</v>
      </c>
      <c r="B403" s="41" t="s">
        <v>9</v>
      </c>
      <c r="C403" s="40">
        <v>5.49</v>
      </c>
      <c r="D403" s="114"/>
    </row>
    <row r="404" spans="1:4" ht="15.5" outlineLevel="1">
      <c r="A404" s="40" t="s">
        <v>1037</v>
      </c>
      <c r="B404" s="41" t="s">
        <v>10</v>
      </c>
      <c r="C404" s="40">
        <v>5.51</v>
      </c>
      <c r="D404" s="114"/>
    </row>
    <row r="405" spans="1:4" ht="15.5" outlineLevel="1">
      <c r="A405" s="40" t="s">
        <v>1037</v>
      </c>
      <c r="B405" s="41" t="s">
        <v>1137</v>
      </c>
      <c r="C405" s="40">
        <v>5.52</v>
      </c>
      <c r="D405" s="114"/>
    </row>
    <row r="406" spans="1:4" ht="15.5" outlineLevel="1">
      <c r="A406" s="40" t="s">
        <v>1037</v>
      </c>
      <c r="B406" s="41" t="s">
        <v>11</v>
      </c>
      <c r="C406" s="40">
        <v>5.53</v>
      </c>
      <c r="D406" s="114"/>
    </row>
    <row r="407" spans="1:4" ht="15.5" outlineLevel="1">
      <c r="A407" s="40" t="s">
        <v>1037</v>
      </c>
      <c r="B407" s="41" t="s">
        <v>12</v>
      </c>
      <c r="C407" s="40">
        <v>5.69</v>
      </c>
      <c r="D407" s="114"/>
    </row>
    <row r="408" spans="1:4" ht="15.5" outlineLevel="1">
      <c r="A408" s="40" t="s">
        <v>1037</v>
      </c>
      <c r="B408" s="41" t="s">
        <v>13</v>
      </c>
      <c r="C408" s="40">
        <v>5.75</v>
      </c>
      <c r="D408" s="114"/>
    </row>
    <row r="409" spans="1:4" ht="15.5" outlineLevel="1">
      <c r="A409" s="40" t="s">
        <v>1037</v>
      </c>
      <c r="B409" s="41" t="s">
        <v>15</v>
      </c>
      <c r="C409" s="40">
        <v>5.74</v>
      </c>
      <c r="D409" s="114"/>
    </row>
    <row r="410" spans="1:4" ht="15.5" outlineLevel="1">
      <c r="A410" s="40" t="s">
        <v>1037</v>
      </c>
      <c r="B410" s="41" t="s">
        <v>14</v>
      </c>
      <c r="C410" s="42">
        <v>5.7</v>
      </c>
      <c r="D410" s="114"/>
    </row>
    <row r="411" spans="1:4" ht="15.5" outlineLevel="1">
      <c r="A411" s="40" t="s">
        <v>1037</v>
      </c>
      <c r="B411" s="41" t="s">
        <v>432</v>
      </c>
      <c r="C411" s="40">
        <v>5.76</v>
      </c>
      <c r="D411" s="114"/>
    </row>
    <row r="412" spans="1:4" ht="15.5" outlineLevel="1">
      <c r="A412" s="40" t="s">
        <v>1037</v>
      </c>
      <c r="B412" s="41" t="s">
        <v>853</v>
      </c>
      <c r="C412" s="40">
        <v>5.89</v>
      </c>
      <c r="D412" s="113" t="s">
        <v>1134</v>
      </c>
    </row>
    <row r="413" spans="1:4" ht="15.5" outlineLevel="1">
      <c r="A413" s="40" t="s">
        <v>1037</v>
      </c>
      <c r="B413" s="41" t="s">
        <v>173</v>
      </c>
      <c r="C413" s="40">
        <v>5.109</v>
      </c>
      <c r="D413" s="114"/>
    </row>
    <row r="414" spans="1:4" ht="15.5" outlineLevel="1">
      <c r="A414" s="40" t="s">
        <v>1037</v>
      </c>
      <c r="B414" s="41" t="s">
        <v>174</v>
      </c>
      <c r="C414" s="40">
        <v>5.1109999999999998</v>
      </c>
      <c r="D414" s="114"/>
    </row>
    <row r="415" spans="1:4" ht="15.5" outlineLevel="1">
      <c r="A415" s="40" t="s">
        <v>1037</v>
      </c>
      <c r="B415" s="41" t="s">
        <v>154</v>
      </c>
      <c r="C415" s="40">
        <v>5.1120000000000001</v>
      </c>
      <c r="D415" s="114"/>
    </row>
    <row r="416" spans="1:4" ht="15.5" outlineLevel="1">
      <c r="A416" s="40" t="s">
        <v>1037</v>
      </c>
      <c r="B416" s="41" t="s">
        <v>1150</v>
      </c>
      <c r="C416" s="40">
        <v>5.1130000000000004</v>
      </c>
      <c r="D416" s="114"/>
    </row>
    <row r="417" spans="1:4" ht="15.5" outlineLevel="1">
      <c r="A417" s="40" t="s">
        <v>1037</v>
      </c>
      <c r="B417" s="41" t="s">
        <v>17</v>
      </c>
      <c r="C417" s="40">
        <v>5.58</v>
      </c>
      <c r="D417" s="114"/>
    </row>
    <row r="418" spans="1:4" ht="15.5" outlineLevel="1">
      <c r="A418" s="40" t="s">
        <v>1037</v>
      </c>
      <c r="B418" s="41" t="s">
        <v>18</v>
      </c>
      <c r="C418" s="40">
        <v>5.54</v>
      </c>
      <c r="D418" s="114"/>
    </row>
    <row r="419" spans="1:4" ht="15.5" outlineLevel="1">
      <c r="A419" s="40" t="s">
        <v>1037</v>
      </c>
      <c r="B419" s="41" t="s">
        <v>19</v>
      </c>
      <c r="C419" s="40">
        <v>5.55</v>
      </c>
      <c r="D419" s="114"/>
    </row>
    <row r="420" spans="1:4" ht="15.5" outlineLevel="1">
      <c r="A420" s="40" t="s">
        <v>1037</v>
      </c>
      <c r="B420" s="41" t="s">
        <v>20</v>
      </c>
      <c r="C420" s="40">
        <v>5.63</v>
      </c>
      <c r="D420" s="114"/>
    </row>
    <row r="421" spans="1:4" ht="15.5" outlineLevel="1">
      <c r="A421" s="40" t="s">
        <v>1037</v>
      </c>
      <c r="B421" s="41" t="s">
        <v>21</v>
      </c>
      <c r="C421" s="40">
        <v>5.65</v>
      </c>
      <c r="D421" s="114"/>
    </row>
    <row r="422" spans="1:4" ht="15.5" outlineLevel="1">
      <c r="A422" s="40" t="s">
        <v>1037</v>
      </c>
      <c r="B422" s="41" t="s">
        <v>188</v>
      </c>
      <c r="C422" s="40">
        <v>5.66</v>
      </c>
      <c r="D422" s="114"/>
    </row>
    <row r="423" spans="1:4" ht="15.5" outlineLevel="1">
      <c r="A423" s="40" t="s">
        <v>1037</v>
      </c>
      <c r="B423" s="41" t="s">
        <v>22</v>
      </c>
      <c r="C423" s="40">
        <v>5.68</v>
      </c>
      <c r="D423" s="114"/>
    </row>
    <row r="424" spans="1:4" ht="15.5" outlineLevel="1">
      <c r="A424" s="40" t="s">
        <v>1037</v>
      </c>
      <c r="B424" s="41" t="s">
        <v>24</v>
      </c>
      <c r="C424" s="40">
        <v>5.47</v>
      </c>
      <c r="D424" s="114"/>
    </row>
    <row r="425" spans="1:4" ht="15.5" outlineLevel="1">
      <c r="A425" s="40" t="s">
        <v>1037</v>
      </c>
      <c r="B425" s="41" t="s">
        <v>25</v>
      </c>
      <c r="C425" s="40">
        <v>5.48</v>
      </c>
      <c r="D425" s="114"/>
    </row>
    <row r="426" spans="1:4" ht="15.5">
      <c r="A426" s="46" t="s">
        <v>1037</v>
      </c>
      <c r="B426" s="41"/>
      <c r="C426" s="40"/>
      <c r="D426" s="114"/>
    </row>
    <row r="427" spans="1:4" ht="31" outlineLevel="1">
      <c r="A427" s="40" t="s">
        <v>1151</v>
      </c>
      <c r="B427" s="41" t="s">
        <v>0</v>
      </c>
      <c r="C427" s="40">
        <v>5.0999999999999996</v>
      </c>
      <c r="D427" s="114"/>
    </row>
    <row r="428" spans="1:4" ht="31" outlineLevel="1">
      <c r="A428" s="40" t="s">
        <v>1151</v>
      </c>
      <c r="B428" s="41" t="s">
        <v>1</v>
      </c>
      <c r="C428" s="40">
        <v>5.2</v>
      </c>
      <c r="D428" s="114"/>
    </row>
    <row r="429" spans="1:4" ht="31" outlineLevel="1">
      <c r="A429" s="40" t="s">
        <v>1151</v>
      </c>
      <c r="B429" s="41" t="s">
        <v>2</v>
      </c>
      <c r="C429" s="40">
        <v>5.3</v>
      </c>
      <c r="D429" s="114"/>
    </row>
    <row r="430" spans="1:4" ht="31" outlineLevel="1">
      <c r="A430" s="40" t="s">
        <v>1151</v>
      </c>
      <c r="B430" s="41" t="s">
        <v>169</v>
      </c>
      <c r="C430" s="40">
        <v>5.6</v>
      </c>
      <c r="D430" s="114"/>
    </row>
    <row r="431" spans="1:4" ht="31" outlineLevel="1">
      <c r="A431" s="40" t="s">
        <v>1151</v>
      </c>
      <c r="B431" s="41" t="s">
        <v>1136</v>
      </c>
      <c r="C431" s="42">
        <v>5.0999999999999996</v>
      </c>
      <c r="D431" s="114"/>
    </row>
    <row r="432" spans="1:4" ht="31" outlineLevel="1">
      <c r="A432" s="40" t="s">
        <v>1151</v>
      </c>
      <c r="B432" s="41" t="s">
        <v>1135</v>
      </c>
      <c r="C432" s="40">
        <v>5.14</v>
      </c>
      <c r="D432" s="114"/>
    </row>
    <row r="433" spans="1:4" ht="31" outlineLevel="1">
      <c r="A433" s="40" t="s">
        <v>1151</v>
      </c>
      <c r="B433" s="41" t="s">
        <v>4</v>
      </c>
      <c r="C433" s="40">
        <v>5.19</v>
      </c>
      <c r="D433" s="114"/>
    </row>
    <row r="434" spans="1:4" ht="31" outlineLevel="1">
      <c r="A434" s="40" t="s">
        <v>1151</v>
      </c>
      <c r="B434" s="41" t="s">
        <v>171</v>
      </c>
      <c r="C434" s="40">
        <v>5.24</v>
      </c>
      <c r="D434" s="114"/>
    </row>
    <row r="435" spans="1:4" ht="31" outlineLevel="1">
      <c r="A435" s="40" t="s">
        <v>1151</v>
      </c>
      <c r="B435" s="41" t="s">
        <v>5</v>
      </c>
      <c r="C435" s="40">
        <v>5.26</v>
      </c>
      <c r="D435" s="114"/>
    </row>
    <row r="436" spans="1:4" ht="31" outlineLevel="1">
      <c r="A436" s="40" t="s">
        <v>1151</v>
      </c>
      <c r="B436" s="41" t="s">
        <v>6</v>
      </c>
      <c r="C436" s="40">
        <v>5.27</v>
      </c>
      <c r="D436" s="114"/>
    </row>
    <row r="437" spans="1:4" ht="31" outlineLevel="1">
      <c r="A437" s="40" t="s">
        <v>1151</v>
      </c>
      <c r="B437" s="41" t="s">
        <v>7</v>
      </c>
      <c r="C437" s="40">
        <v>5.28</v>
      </c>
      <c r="D437" s="114"/>
    </row>
    <row r="438" spans="1:4" ht="31" outlineLevel="1">
      <c r="A438" s="40" t="s">
        <v>1151</v>
      </c>
      <c r="B438" s="41" t="s">
        <v>348</v>
      </c>
      <c r="C438" s="40">
        <v>5.29</v>
      </c>
      <c r="D438" s="114"/>
    </row>
    <row r="439" spans="1:4" ht="31" outlineLevel="1">
      <c r="A439" s="40" t="s">
        <v>1151</v>
      </c>
      <c r="B439" s="41" t="s">
        <v>172</v>
      </c>
      <c r="C439" s="40">
        <v>5.31</v>
      </c>
      <c r="D439" s="114"/>
    </row>
    <row r="440" spans="1:4" ht="31" outlineLevel="1">
      <c r="A440" s="40" t="s">
        <v>1151</v>
      </c>
      <c r="B440" s="41" t="s">
        <v>145</v>
      </c>
      <c r="C440" s="40">
        <v>5.36</v>
      </c>
      <c r="D440" s="114"/>
    </row>
    <row r="441" spans="1:4" ht="31" outlineLevel="1">
      <c r="A441" s="40" t="s">
        <v>1151</v>
      </c>
      <c r="B441" s="41" t="s">
        <v>180</v>
      </c>
      <c r="C441" s="40">
        <v>5.37</v>
      </c>
      <c r="D441" s="114"/>
    </row>
    <row r="442" spans="1:4" ht="31" outlineLevel="1">
      <c r="A442" s="40" t="s">
        <v>1151</v>
      </c>
      <c r="B442" s="41" t="s">
        <v>11</v>
      </c>
      <c r="C442" s="40">
        <v>5.53</v>
      </c>
      <c r="D442" s="114"/>
    </row>
    <row r="443" spans="1:4" ht="31" outlineLevel="1">
      <c r="A443" s="40" t="s">
        <v>1151</v>
      </c>
      <c r="B443" s="41" t="s">
        <v>173</v>
      </c>
      <c r="C443" s="40">
        <v>5.109</v>
      </c>
      <c r="D443" s="114"/>
    </row>
    <row r="444" spans="1:4" ht="31" outlineLevel="1">
      <c r="A444" s="40" t="s">
        <v>1151</v>
      </c>
      <c r="B444" s="41" t="s">
        <v>174</v>
      </c>
      <c r="C444" s="40">
        <v>5.1109999999999998</v>
      </c>
      <c r="D444" s="114"/>
    </row>
    <row r="445" spans="1:4" ht="31" outlineLevel="1">
      <c r="A445" s="40" t="s">
        <v>1151</v>
      </c>
      <c r="B445" s="41" t="s">
        <v>154</v>
      </c>
      <c r="C445" s="40">
        <v>5.1120000000000001</v>
      </c>
      <c r="D445" s="114"/>
    </row>
    <row r="446" spans="1:4" ht="31" outlineLevel="1">
      <c r="A446" s="40" t="s">
        <v>1151</v>
      </c>
      <c r="B446" s="41" t="s">
        <v>1150</v>
      </c>
      <c r="C446" s="40">
        <v>5.1130000000000004</v>
      </c>
      <c r="D446" s="114"/>
    </row>
    <row r="447" spans="1:4" ht="31" outlineLevel="1">
      <c r="A447" s="40" t="s">
        <v>1151</v>
      </c>
      <c r="B447" s="41" t="s">
        <v>17</v>
      </c>
      <c r="C447" s="40">
        <v>5.58</v>
      </c>
      <c r="D447" s="114"/>
    </row>
    <row r="448" spans="1:4" ht="31" outlineLevel="1">
      <c r="A448" s="40" t="s">
        <v>1151</v>
      </c>
      <c r="B448" s="41" t="s">
        <v>18</v>
      </c>
      <c r="C448" s="40">
        <v>5.54</v>
      </c>
      <c r="D448" s="114"/>
    </row>
    <row r="449" spans="1:4" ht="31" outlineLevel="1">
      <c r="A449" s="40" t="s">
        <v>1151</v>
      </c>
      <c r="B449" s="41" t="s">
        <v>19</v>
      </c>
      <c r="C449" s="40">
        <v>5.55</v>
      </c>
      <c r="D449" s="114"/>
    </row>
    <row r="450" spans="1:4" ht="31" outlineLevel="1">
      <c r="A450" s="40" t="s">
        <v>1151</v>
      </c>
      <c r="B450" s="41" t="s">
        <v>20</v>
      </c>
      <c r="C450" s="40">
        <v>5.63</v>
      </c>
      <c r="D450" s="114"/>
    </row>
    <row r="451" spans="1:4" ht="31" outlineLevel="1">
      <c r="A451" s="40" t="s">
        <v>1151</v>
      </c>
      <c r="B451" s="41" t="s">
        <v>24</v>
      </c>
      <c r="C451" s="40">
        <v>5.47</v>
      </c>
      <c r="D451" s="114"/>
    </row>
    <row r="452" spans="1:4" ht="31" outlineLevel="1">
      <c r="A452" s="40" t="s">
        <v>1151</v>
      </c>
      <c r="B452" s="41" t="s">
        <v>25</v>
      </c>
      <c r="C452" s="40">
        <v>5.48</v>
      </c>
      <c r="D452" s="114"/>
    </row>
    <row r="453" spans="1:4" ht="15.5">
      <c r="A453" s="46" t="s">
        <v>1151</v>
      </c>
      <c r="B453" s="41"/>
      <c r="C453" s="40"/>
      <c r="D453" s="114"/>
    </row>
    <row r="454" spans="1:4" ht="15.5" outlineLevel="1">
      <c r="A454" s="40" t="s">
        <v>797</v>
      </c>
      <c r="B454" s="41" t="s">
        <v>0</v>
      </c>
      <c r="C454" s="40">
        <v>5.0999999999999996</v>
      </c>
      <c r="D454" s="114"/>
    </row>
    <row r="455" spans="1:4" ht="15.5" outlineLevel="1">
      <c r="A455" s="40" t="s">
        <v>797</v>
      </c>
      <c r="B455" s="41" t="s">
        <v>1</v>
      </c>
      <c r="C455" s="40">
        <v>5.2</v>
      </c>
      <c r="D455" s="114"/>
    </row>
    <row r="456" spans="1:4" ht="15.5" outlineLevel="1">
      <c r="A456" s="40" t="s">
        <v>797</v>
      </c>
      <c r="B456" s="41" t="s">
        <v>212</v>
      </c>
      <c r="C456" s="40">
        <v>5.5</v>
      </c>
      <c r="D456" s="114"/>
    </row>
    <row r="457" spans="1:4" ht="15.5" outlineLevel="1">
      <c r="A457" s="40" t="s">
        <v>797</v>
      </c>
      <c r="B457" s="41" t="s">
        <v>213</v>
      </c>
      <c r="C457" s="40">
        <v>5.8</v>
      </c>
      <c r="D457" s="113" t="s">
        <v>1134</v>
      </c>
    </row>
    <row r="458" spans="1:4" ht="15.5" outlineLevel="1">
      <c r="A458" s="40" t="s">
        <v>797</v>
      </c>
      <c r="B458" s="41" t="s">
        <v>214</v>
      </c>
      <c r="C458" s="40">
        <v>5.12</v>
      </c>
      <c r="D458" s="113" t="s">
        <v>1134</v>
      </c>
    </row>
    <row r="459" spans="1:4" ht="15.5" outlineLevel="1">
      <c r="A459" s="40" t="s">
        <v>797</v>
      </c>
      <c r="B459" s="41" t="s">
        <v>215</v>
      </c>
      <c r="C459" s="40">
        <v>5.15</v>
      </c>
      <c r="D459" s="114"/>
    </row>
    <row r="460" spans="1:4" ht="15.5" outlineLevel="1">
      <c r="A460" s="40" t="s">
        <v>797</v>
      </c>
      <c r="B460" s="41" t="s">
        <v>216</v>
      </c>
      <c r="C460" s="42">
        <v>5.2</v>
      </c>
      <c r="D460" s="113"/>
    </row>
    <row r="461" spans="1:4" ht="15.5" outlineLevel="1">
      <c r="A461" s="40" t="s">
        <v>797</v>
      </c>
      <c r="B461" s="41" t="s">
        <v>217</v>
      </c>
      <c r="C461" s="40">
        <v>5.25</v>
      </c>
      <c r="D461" s="114"/>
    </row>
    <row r="462" spans="1:4" ht="15.5" outlineLevel="1">
      <c r="A462" s="40" t="s">
        <v>797</v>
      </c>
      <c r="B462" s="41" t="s">
        <v>5</v>
      </c>
      <c r="C462" s="40">
        <v>5.26</v>
      </c>
      <c r="D462" s="114"/>
    </row>
    <row r="463" spans="1:4" ht="15.5" outlineLevel="1">
      <c r="A463" s="40" t="s">
        <v>797</v>
      </c>
      <c r="B463" s="41" t="s">
        <v>854</v>
      </c>
      <c r="C463" s="40">
        <v>5.1139999999999999</v>
      </c>
      <c r="D463" s="113" t="s">
        <v>1134</v>
      </c>
    </row>
    <row r="464" spans="1:4" ht="15.5" outlineLevel="1">
      <c r="A464" s="40" t="s">
        <v>797</v>
      </c>
      <c r="B464" s="41" t="s">
        <v>6</v>
      </c>
      <c r="C464" s="40">
        <v>5.27</v>
      </c>
      <c r="D464" s="114"/>
    </row>
    <row r="465" spans="1:4" ht="15.5" outlineLevel="1">
      <c r="A465" s="40" t="s">
        <v>797</v>
      </c>
      <c r="B465" s="41" t="s">
        <v>1152</v>
      </c>
      <c r="C465" s="40">
        <v>5.1150000000000002</v>
      </c>
      <c r="D465" s="113" t="s">
        <v>1134</v>
      </c>
    </row>
    <row r="466" spans="1:4" ht="15.5" outlineLevel="1">
      <c r="A466" s="40" t="s">
        <v>797</v>
      </c>
      <c r="B466" s="41" t="s">
        <v>1153</v>
      </c>
      <c r="C466" s="40">
        <v>5.1159999999999997</v>
      </c>
      <c r="D466" s="113" t="s">
        <v>1134</v>
      </c>
    </row>
    <row r="467" spans="1:4" ht="15.5" outlineLevel="1">
      <c r="A467" s="40" t="s">
        <v>797</v>
      </c>
      <c r="B467" s="41" t="s">
        <v>7</v>
      </c>
      <c r="C467" s="40">
        <v>5.28</v>
      </c>
      <c r="D467" s="114"/>
    </row>
    <row r="468" spans="1:4" ht="15.5" outlineLevel="1">
      <c r="A468" s="40" t="s">
        <v>797</v>
      </c>
      <c r="B468" s="41" t="s">
        <v>145</v>
      </c>
      <c r="C468" s="40">
        <v>5.36</v>
      </c>
      <c r="D468" s="114"/>
    </row>
    <row r="469" spans="1:4" ht="15.5" outlineLevel="1">
      <c r="A469" s="40" t="s">
        <v>797</v>
      </c>
      <c r="B469" s="41" t="s">
        <v>180</v>
      </c>
      <c r="C469" s="40">
        <v>5.37</v>
      </c>
      <c r="D469" s="114"/>
    </row>
    <row r="470" spans="1:4" ht="15.5" outlineLevel="1">
      <c r="A470" s="40" t="s">
        <v>797</v>
      </c>
      <c r="B470" s="41" t="s">
        <v>11</v>
      </c>
      <c r="C470" s="40">
        <v>5.53</v>
      </c>
      <c r="D470" s="114"/>
    </row>
    <row r="471" spans="1:4" ht="15.5" outlineLevel="1">
      <c r="A471" s="40" t="s">
        <v>797</v>
      </c>
      <c r="B471" s="41" t="s">
        <v>173</v>
      </c>
      <c r="C471" s="40">
        <v>5.109</v>
      </c>
      <c r="D471" s="114"/>
    </row>
    <row r="472" spans="1:4" ht="15.5" outlineLevel="1">
      <c r="A472" s="40" t="s">
        <v>797</v>
      </c>
      <c r="B472" s="41" t="s">
        <v>174</v>
      </c>
      <c r="C472" s="40">
        <v>5.1109999999999998</v>
      </c>
      <c r="D472" s="114"/>
    </row>
    <row r="473" spans="1:4" ht="15.5" outlineLevel="1">
      <c r="A473" s="40" t="s">
        <v>797</v>
      </c>
      <c r="B473" s="41" t="s">
        <v>154</v>
      </c>
      <c r="C473" s="40">
        <v>5.1120000000000001</v>
      </c>
      <c r="D473" s="114"/>
    </row>
    <row r="474" spans="1:4" ht="15.5" outlineLevel="1">
      <c r="A474" s="40" t="s">
        <v>797</v>
      </c>
      <c r="B474" s="41" t="s">
        <v>18</v>
      </c>
      <c r="C474" s="40">
        <v>5.54</v>
      </c>
      <c r="D474" s="114"/>
    </row>
    <row r="475" spans="1:4" ht="15.5" outlineLevel="1">
      <c r="A475" s="40" t="s">
        <v>797</v>
      </c>
      <c r="B475" s="41" t="s">
        <v>1154</v>
      </c>
      <c r="C475" s="40">
        <v>5.61</v>
      </c>
      <c r="D475" s="114"/>
    </row>
    <row r="476" spans="1:4" ht="15.5" outlineLevel="1">
      <c r="A476" s="40" t="s">
        <v>797</v>
      </c>
      <c r="B476" s="41" t="s">
        <v>20</v>
      </c>
      <c r="C476" s="40">
        <v>5.63</v>
      </c>
      <c r="D476" s="114"/>
    </row>
    <row r="477" spans="1:4" ht="15.5" outlineLevel="1">
      <c r="A477" s="40" t="s">
        <v>797</v>
      </c>
      <c r="B477" s="41" t="s">
        <v>1155</v>
      </c>
      <c r="C477" s="40">
        <v>5.46</v>
      </c>
      <c r="D477" s="114"/>
    </row>
    <row r="478" spans="1:4" ht="15.5" outlineLevel="1">
      <c r="A478" s="40" t="s">
        <v>797</v>
      </c>
      <c r="B478" s="41" t="s">
        <v>24</v>
      </c>
      <c r="C478" s="40">
        <v>5.47</v>
      </c>
      <c r="D478" s="114"/>
    </row>
    <row r="479" spans="1:4" ht="15.5" outlineLevel="1">
      <c r="A479" s="40" t="s">
        <v>797</v>
      </c>
      <c r="B479" s="41" t="s">
        <v>25</v>
      </c>
      <c r="C479" s="40">
        <v>5.48</v>
      </c>
      <c r="D479" s="114"/>
    </row>
    <row r="480" spans="1:4" ht="15.5">
      <c r="A480" s="46" t="s">
        <v>797</v>
      </c>
      <c r="B480" s="41"/>
      <c r="C480" s="40"/>
      <c r="D480" s="114"/>
    </row>
    <row r="481" spans="1:4" ht="15.5" outlineLevel="1">
      <c r="A481" s="40" t="s">
        <v>1156</v>
      </c>
      <c r="B481" s="41" t="s">
        <v>0</v>
      </c>
      <c r="C481" s="40">
        <v>5.0999999999999996</v>
      </c>
      <c r="D481" s="114"/>
    </row>
    <row r="482" spans="1:4" ht="15.5" outlineLevel="1">
      <c r="A482" s="40" t="s">
        <v>1156</v>
      </c>
      <c r="B482" s="41" t="s">
        <v>1</v>
      </c>
      <c r="C482" s="40">
        <v>5.2</v>
      </c>
      <c r="D482" s="114"/>
    </row>
    <row r="483" spans="1:4" ht="15.5" outlineLevel="1">
      <c r="A483" s="40" t="s">
        <v>1156</v>
      </c>
      <c r="B483" s="41" t="s">
        <v>2</v>
      </c>
      <c r="C483" s="40">
        <v>5.3</v>
      </c>
      <c r="D483" s="114"/>
    </row>
    <row r="484" spans="1:4" ht="15.5" outlineLevel="1">
      <c r="A484" s="40" t="s">
        <v>1156</v>
      </c>
      <c r="B484" s="41" t="s">
        <v>169</v>
      </c>
      <c r="C484" s="40">
        <v>5.6</v>
      </c>
      <c r="D484" s="114"/>
    </row>
    <row r="485" spans="1:4" ht="15.5" outlineLevel="1">
      <c r="A485" s="40" t="s">
        <v>1156</v>
      </c>
      <c r="B485" s="41" t="s">
        <v>1136</v>
      </c>
      <c r="C485" s="42">
        <v>5.0999999999999996</v>
      </c>
      <c r="D485" s="114"/>
    </row>
    <row r="486" spans="1:4" ht="15.5" outlineLevel="1">
      <c r="A486" s="40" t="s">
        <v>1156</v>
      </c>
      <c r="B486" s="41" t="s">
        <v>1135</v>
      </c>
      <c r="C486" s="40">
        <v>5.14</v>
      </c>
      <c r="D486" s="114"/>
    </row>
    <row r="487" spans="1:4" ht="15.5" outlineLevel="1">
      <c r="A487" s="40" t="s">
        <v>1156</v>
      </c>
      <c r="B487" s="41" t="s">
        <v>4</v>
      </c>
      <c r="C487" s="40">
        <v>5.19</v>
      </c>
      <c r="D487" s="114"/>
    </row>
    <row r="488" spans="1:4" ht="15.5" outlineLevel="1">
      <c r="A488" s="40" t="s">
        <v>1156</v>
      </c>
      <c r="B488" s="41" t="s">
        <v>171</v>
      </c>
      <c r="C488" s="40">
        <v>5.24</v>
      </c>
      <c r="D488" s="114"/>
    </row>
    <row r="489" spans="1:4" ht="15.5" outlineLevel="1">
      <c r="A489" s="40" t="s">
        <v>1156</v>
      </c>
      <c r="B489" s="41" t="s">
        <v>6</v>
      </c>
      <c r="C489" s="40">
        <v>5.27</v>
      </c>
      <c r="D489" s="114"/>
    </row>
    <row r="490" spans="1:4" ht="15.5" outlineLevel="1">
      <c r="A490" s="40" t="s">
        <v>1156</v>
      </c>
      <c r="B490" s="41" t="s">
        <v>7</v>
      </c>
      <c r="C490" s="40">
        <v>5.28</v>
      </c>
      <c r="D490" s="114"/>
    </row>
    <row r="491" spans="1:4" ht="15.5" outlineLevel="1">
      <c r="A491" s="40" t="s">
        <v>1156</v>
      </c>
      <c r="B491" s="41" t="s">
        <v>348</v>
      </c>
      <c r="C491" s="40">
        <v>5.29</v>
      </c>
      <c r="D491" s="114"/>
    </row>
    <row r="492" spans="1:4" ht="15.5" outlineLevel="1">
      <c r="A492" s="40" t="s">
        <v>1156</v>
      </c>
      <c r="B492" s="41" t="s">
        <v>1141</v>
      </c>
      <c r="C492" s="40">
        <v>5.34</v>
      </c>
      <c r="D492" s="114"/>
    </row>
    <row r="493" spans="1:4" ht="15.5" outlineLevel="1">
      <c r="A493" s="40" t="s">
        <v>1156</v>
      </c>
      <c r="B493" s="41" t="s">
        <v>172</v>
      </c>
      <c r="C493" s="40">
        <v>5.31</v>
      </c>
      <c r="D493" s="114"/>
    </row>
    <row r="494" spans="1:4" ht="15.5" outlineLevel="1">
      <c r="A494" s="40" t="s">
        <v>1156</v>
      </c>
      <c r="B494" s="41" t="s">
        <v>1142</v>
      </c>
      <c r="C494" s="40">
        <v>5.101</v>
      </c>
      <c r="D494" s="114"/>
    </row>
    <row r="495" spans="1:4" ht="15.5" outlineLevel="1">
      <c r="A495" s="40" t="s">
        <v>1156</v>
      </c>
      <c r="B495" s="41" t="s">
        <v>145</v>
      </c>
      <c r="C495" s="40">
        <v>5.36</v>
      </c>
      <c r="D495" s="114"/>
    </row>
    <row r="496" spans="1:4" ht="15.5" outlineLevel="1">
      <c r="A496" s="40" t="s">
        <v>1156</v>
      </c>
      <c r="B496" s="41" t="s">
        <v>180</v>
      </c>
      <c r="C496" s="40">
        <v>5.37</v>
      </c>
      <c r="D496" s="114"/>
    </row>
    <row r="497" spans="1:4" ht="15.5" outlineLevel="1">
      <c r="A497" s="40" t="s">
        <v>1156</v>
      </c>
      <c r="B497" s="41" t="s">
        <v>11</v>
      </c>
      <c r="C497" s="40">
        <v>5.53</v>
      </c>
      <c r="D497" s="114"/>
    </row>
    <row r="498" spans="1:4" ht="15.5" outlineLevel="1">
      <c r="A498" s="40" t="s">
        <v>1156</v>
      </c>
      <c r="B498" s="41" t="s">
        <v>173</v>
      </c>
      <c r="C498" s="40">
        <v>5.109</v>
      </c>
      <c r="D498" s="114"/>
    </row>
    <row r="499" spans="1:4" ht="15.5" outlineLevel="1">
      <c r="A499" s="40" t="s">
        <v>1156</v>
      </c>
      <c r="B499" s="41" t="s">
        <v>174</v>
      </c>
      <c r="C499" s="40">
        <v>5.1109999999999998</v>
      </c>
      <c r="D499" s="114"/>
    </row>
    <row r="500" spans="1:4" ht="15.5" outlineLevel="1">
      <c r="A500" s="40" t="s">
        <v>1156</v>
      </c>
      <c r="B500" s="41" t="s">
        <v>154</v>
      </c>
      <c r="C500" s="40">
        <v>5.1120000000000001</v>
      </c>
      <c r="D500" s="114"/>
    </row>
    <row r="501" spans="1:4" ht="15.5" outlineLevel="1">
      <c r="A501" s="40" t="s">
        <v>1156</v>
      </c>
      <c r="B501" s="41" t="s">
        <v>1143</v>
      </c>
      <c r="C501" s="40">
        <v>5.1020000000000003</v>
      </c>
      <c r="D501" s="114"/>
    </row>
    <row r="502" spans="1:4" ht="15.5" outlineLevel="1">
      <c r="A502" s="40" t="s">
        <v>1156</v>
      </c>
      <c r="B502" s="41" t="s">
        <v>1144</v>
      </c>
      <c r="C502" s="43">
        <v>5.0999999999999996</v>
      </c>
      <c r="D502" s="114"/>
    </row>
    <row r="503" spans="1:4" ht="15.5" outlineLevel="1">
      <c r="A503" s="40" t="s">
        <v>1156</v>
      </c>
      <c r="B503" s="41" t="s">
        <v>17</v>
      </c>
      <c r="C503" s="40">
        <v>5.58</v>
      </c>
      <c r="D503" s="114"/>
    </row>
    <row r="504" spans="1:4" ht="15.5" outlineLevel="1">
      <c r="A504" s="40" t="s">
        <v>1156</v>
      </c>
      <c r="B504" s="41" t="s">
        <v>19</v>
      </c>
      <c r="C504" s="40">
        <v>5.55</v>
      </c>
      <c r="D504" s="114"/>
    </row>
    <row r="505" spans="1:4" ht="15.5" outlineLevel="1">
      <c r="A505" s="40" t="s">
        <v>1156</v>
      </c>
      <c r="B505" s="41" t="s">
        <v>18</v>
      </c>
      <c r="C505" s="40">
        <v>5.54</v>
      </c>
      <c r="D505" s="114"/>
    </row>
    <row r="506" spans="1:4" ht="15.5" outlineLevel="1">
      <c r="A506" s="40" t="s">
        <v>1156</v>
      </c>
      <c r="B506" s="41" t="s">
        <v>20</v>
      </c>
      <c r="C506" s="40">
        <v>5.63</v>
      </c>
      <c r="D506" s="114"/>
    </row>
    <row r="507" spans="1:4" ht="15.5" outlineLevel="1">
      <c r="A507" s="40" t="s">
        <v>1156</v>
      </c>
      <c r="B507" s="41" t="s">
        <v>24</v>
      </c>
      <c r="C507" s="40">
        <v>5.47</v>
      </c>
      <c r="D507" s="114"/>
    </row>
    <row r="508" spans="1:4" ht="15.5" outlineLevel="1">
      <c r="A508" s="40" t="s">
        <v>1156</v>
      </c>
      <c r="B508" s="41" t="s">
        <v>25</v>
      </c>
      <c r="C508" s="40">
        <v>5.48</v>
      </c>
      <c r="D508" s="114"/>
    </row>
    <row r="509" spans="1:4" ht="15.5">
      <c r="A509" s="46" t="s">
        <v>1156</v>
      </c>
      <c r="B509" s="41"/>
      <c r="C509" s="40"/>
      <c r="D509" s="114"/>
    </row>
    <row r="510" spans="1:4" ht="15.5" outlineLevel="1">
      <c r="A510" s="40" t="s">
        <v>1055</v>
      </c>
      <c r="B510" s="41" t="s">
        <v>0</v>
      </c>
      <c r="C510" s="40">
        <v>5.0999999999999996</v>
      </c>
      <c r="D510" s="114"/>
    </row>
    <row r="511" spans="1:4" ht="15.5" outlineLevel="1">
      <c r="A511" s="40" t="s">
        <v>1055</v>
      </c>
      <c r="B511" s="41" t="s">
        <v>1</v>
      </c>
      <c r="C511" s="40">
        <v>5.2</v>
      </c>
      <c r="D511" s="114"/>
    </row>
    <row r="512" spans="1:4" ht="15.5" outlineLevel="1">
      <c r="A512" s="40" t="s">
        <v>1055</v>
      </c>
      <c r="B512" s="41" t="s">
        <v>2</v>
      </c>
      <c r="C512" s="40">
        <v>5.3</v>
      </c>
      <c r="D512" s="114"/>
    </row>
    <row r="513" spans="1:4" ht="15.5" outlineLevel="1">
      <c r="A513" s="40" t="s">
        <v>1055</v>
      </c>
      <c r="B513" s="41" t="s">
        <v>169</v>
      </c>
      <c r="C513" s="40">
        <v>5.6</v>
      </c>
      <c r="D513" s="114"/>
    </row>
    <row r="514" spans="1:4" ht="15.5" outlineLevel="1">
      <c r="A514" s="40" t="s">
        <v>1055</v>
      </c>
      <c r="B514" s="41" t="s">
        <v>1136</v>
      </c>
      <c r="C514" s="42">
        <v>5.0999999999999996</v>
      </c>
      <c r="D514" s="114"/>
    </row>
    <row r="515" spans="1:4" ht="15.5" outlineLevel="1">
      <c r="A515" s="40" t="s">
        <v>1055</v>
      </c>
      <c r="B515" s="41" t="s">
        <v>1135</v>
      </c>
      <c r="C515" s="40">
        <v>5.14</v>
      </c>
      <c r="D515" s="114"/>
    </row>
    <row r="516" spans="1:4" ht="15.5" outlineLevel="1">
      <c r="A516" s="40" t="s">
        <v>1055</v>
      </c>
      <c r="B516" s="41" t="s">
        <v>4</v>
      </c>
      <c r="C516" s="40">
        <v>5.19</v>
      </c>
      <c r="D516" s="114"/>
    </row>
    <row r="517" spans="1:4" ht="15.5" outlineLevel="1">
      <c r="A517" s="40" t="s">
        <v>1055</v>
      </c>
      <c r="B517" s="41" t="s">
        <v>171</v>
      </c>
      <c r="C517" s="40">
        <v>5.24</v>
      </c>
      <c r="D517" s="114"/>
    </row>
    <row r="518" spans="1:4" ht="15.5" outlineLevel="1">
      <c r="A518" s="40" t="s">
        <v>1055</v>
      </c>
      <c r="B518" s="41" t="s">
        <v>5</v>
      </c>
      <c r="C518" s="40">
        <v>5.26</v>
      </c>
      <c r="D518" s="114"/>
    </row>
    <row r="519" spans="1:4" ht="15.5" outlineLevel="1">
      <c r="A519" s="40" t="s">
        <v>1055</v>
      </c>
      <c r="B519" s="41" t="s">
        <v>6</v>
      </c>
      <c r="C519" s="40">
        <v>5.27</v>
      </c>
      <c r="D519" s="114"/>
    </row>
    <row r="520" spans="1:4" ht="15.5" outlineLevel="1">
      <c r="A520" s="40" t="s">
        <v>1055</v>
      </c>
      <c r="B520" s="41" t="s">
        <v>7</v>
      </c>
      <c r="C520" s="40">
        <v>5.28</v>
      </c>
      <c r="D520" s="114"/>
    </row>
    <row r="521" spans="1:4" ht="15.5" outlineLevel="1">
      <c r="A521" s="40" t="s">
        <v>1055</v>
      </c>
      <c r="B521" s="41" t="s">
        <v>172</v>
      </c>
      <c r="C521" s="40">
        <v>5.31</v>
      </c>
      <c r="D521" s="114"/>
    </row>
    <row r="522" spans="1:4" ht="15.5" outlineLevel="1">
      <c r="A522" s="40" t="s">
        <v>1055</v>
      </c>
      <c r="B522" s="41" t="s">
        <v>195</v>
      </c>
      <c r="C522" s="40">
        <v>5.33</v>
      </c>
      <c r="D522" s="114"/>
    </row>
    <row r="523" spans="1:4" ht="15.5" outlineLevel="1">
      <c r="A523" s="40" t="s">
        <v>1055</v>
      </c>
      <c r="B523" s="41" t="s">
        <v>1142</v>
      </c>
      <c r="C523" s="40">
        <v>5.101</v>
      </c>
      <c r="D523" s="114"/>
    </row>
    <row r="524" spans="1:4" ht="15.5" outlineLevel="1">
      <c r="A524" s="40" t="s">
        <v>1055</v>
      </c>
      <c r="B524" s="41" t="s">
        <v>145</v>
      </c>
      <c r="C524" s="40">
        <v>5.36</v>
      </c>
      <c r="D524" s="114"/>
    </row>
    <row r="525" spans="1:4" ht="15.5" outlineLevel="1">
      <c r="A525" s="40" t="s">
        <v>1055</v>
      </c>
      <c r="B525" s="41" t="s">
        <v>180</v>
      </c>
      <c r="C525" s="40">
        <v>5.37</v>
      </c>
      <c r="D525" s="114"/>
    </row>
    <row r="526" spans="1:4" ht="15.5" outlineLevel="1">
      <c r="A526" s="40" t="s">
        <v>1055</v>
      </c>
      <c r="B526" s="41" t="s">
        <v>11</v>
      </c>
      <c r="C526" s="40">
        <v>5.53</v>
      </c>
      <c r="D526" s="114"/>
    </row>
    <row r="527" spans="1:4" ht="15.5" outlineLevel="1">
      <c r="A527" s="40" t="s">
        <v>1055</v>
      </c>
      <c r="B527" s="41" t="s">
        <v>173</v>
      </c>
      <c r="C527" s="40">
        <v>5.109</v>
      </c>
      <c r="D527" s="114"/>
    </row>
    <row r="528" spans="1:4" ht="15.5" outlineLevel="1">
      <c r="A528" s="40" t="s">
        <v>1055</v>
      </c>
      <c r="B528" s="41" t="s">
        <v>174</v>
      </c>
      <c r="C528" s="40">
        <v>5.1109999999999998</v>
      </c>
      <c r="D528" s="114"/>
    </row>
    <row r="529" spans="1:4" ht="15.5" outlineLevel="1">
      <c r="A529" s="40" t="s">
        <v>1055</v>
      </c>
      <c r="B529" s="41" t="s">
        <v>154</v>
      </c>
      <c r="C529" s="40">
        <v>5.1120000000000001</v>
      </c>
      <c r="D529" s="114"/>
    </row>
    <row r="530" spans="1:4" ht="15.5" outlineLevel="1">
      <c r="A530" s="40" t="s">
        <v>1055</v>
      </c>
      <c r="B530" s="41" t="s">
        <v>1143</v>
      </c>
      <c r="C530" s="40">
        <v>5.1020000000000003</v>
      </c>
      <c r="D530" s="114"/>
    </row>
    <row r="531" spans="1:4" ht="15.5" outlineLevel="1">
      <c r="A531" s="40" t="s">
        <v>1055</v>
      </c>
      <c r="B531" s="41" t="s">
        <v>1144</v>
      </c>
      <c r="C531" s="43">
        <v>5.0999999999999996</v>
      </c>
      <c r="D531" s="114"/>
    </row>
    <row r="532" spans="1:4" ht="15.5" outlineLevel="1">
      <c r="A532" s="40" t="s">
        <v>1055</v>
      </c>
      <c r="B532" s="41" t="s">
        <v>17</v>
      </c>
      <c r="C532" s="40">
        <v>5.58</v>
      </c>
      <c r="D532" s="114"/>
    </row>
    <row r="533" spans="1:4" ht="15.5" outlineLevel="1">
      <c r="A533" s="40" t="s">
        <v>1055</v>
      </c>
      <c r="B533" s="41" t="s">
        <v>19</v>
      </c>
      <c r="C533" s="40">
        <v>5.55</v>
      </c>
      <c r="D533" s="114"/>
    </row>
    <row r="534" spans="1:4" ht="15.5" outlineLevel="1">
      <c r="A534" s="40" t="s">
        <v>1055</v>
      </c>
      <c r="B534" s="41" t="s">
        <v>18</v>
      </c>
      <c r="C534" s="40">
        <v>5.54</v>
      </c>
      <c r="D534" s="114"/>
    </row>
    <row r="535" spans="1:4" ht="15.5" outlineLevel="1">
      <c r="A535" s="40" t="s">
        <v>1055</v>
      </c>
      <c r="B535" s="41" t="s">
        <v>20</v>
      </c>
      <c r="C535" s="40">
        <v>5.63</v>
      </c>
      <c r="D535" s="114"/>
    </row>
    <row r="536" spans="1:4" ht="15.5" outlineLevel="1">
      <c r="A536" s="40" t="s">
        <v>1055</v>
      </c>
      <c r="B536" s="41" t="s">
        <v>24</v>
      </c>
      <c r="C536" s="40">
        <v>5.47</v>
      </c>
      <c r="D536" s="114"/>
    </row>
    <row r="537" spans="1:4" ht="15.5" outlineLevel="1">
      <c r="A537" s="40" t="s">
        <v>1055</v>
      </c>
      <c r="B537" s="41" t="s">
        <v>25</v>
      </c>
      <c r="C537" s="40">
        <v>5.48</v>
      </c>
      <c r="D537" s="114"/>
    </row>
    <row r="538" spans="1:4" ht="15.5">
      <c r="A538" s="46" t="s">
        <v>1055</v>
      </c>
      <c r="B538" s="41"/>
      <c r="C538" s="40"/>
      <c r="D538" s="114"/>
    </row>
    <row r="539" spans="1:4" ht="15.5" outlineLevel="1">
      <c r="A539" s="40" t="s">
        <v>1064</v>
      </c>
      <c r="B539" s="41" t="s">
        <v>0</v>
      </c>
      <c r="C539" s="40">
        <v>5.0999999999999996</v>
      </c>
      <c r="D539" s="114"/>
    </row>
    <row r="540" spans="1:4" ht="15.5" outlineLevel="1">
      <c r="A540" s="40" t="s">
        <v>1064</v>
      </c>
      <c r="B540" s="41" t="s">
        <v>1</v>
      </c>
      <c r="C540" s="40">
        <v>5.2</v>
      </c>
      <c r="D540" s="114"/>
    </row>
    <row r="541" spans="1:4" ht="15.5" outlineLevel="1">
      <c r="A541" s="40" t="s">
        <v>1064</v>
      </c>
      <c r="B541" s="41" t="s">
        <v>5</v>
      </c>
      <c r="C541" s="40">
        <v>5.26</v>
      </c>
      <c r="D541" s="114"/>
    </row>
    <row r="542" spans="1:4" ht="15.5" outlineLevel="1">
      <c r="A542" s="40" t="s">
        <v>1064</v>
      </c>
      <c r="B542" s="41" t="s">
        <v>1157</v>
      </c>
      <c r="C542" s="40">
        <v>5.21</v>
      </c>
      <c r="D542" s="114"/>
    </row>
    <row r="543" spans="1:4" ht="15.5" outlineLevel="1">
      <c r="A543" s="40" t="s">
        <v>1064</v>
      </c>
      <c r="B543" s="41" t="s">
        <v>1158</v>
      </c>
      <c r="C543" s="40">
        <v>5.53</v>
      </c>
      <c r="D543" s="114"/>
    </row>
    <row r="544" spans="1:4" ht="15.5" outlineLevel="1">
      <c r="A544" s="40" t="s">
        <v>1064</v>
      </c>
      <c r="B544" s="41" t="s">
        <v>18</v>
      </c>
      <c r="C544" s="40">
        <v>5.54</v>
      </c>
      <c r="D544" s="114"/>
    </row>
    <row r="545" spans="1:4" ht="15.5" outlineLevel="1">
      <c r="A545" s="40" t="s">
        <v>1064</v>
      </c>
      <c r="B545" s="41" t="s">
        <v>1159</v>
      </c>
      <c r="C545" s="40">
        <v>5.58</v>
      </c>
      <c r="D545" s="114"/>
    </row>
    <row r="546" spans="1:4" ht="15.5" outlineLevel="1">
      <c r="A546" s="40" t="s">
        <v>1064</v>
      </c>
      <c r="B546" s="41" t="s">
        <v>1160</v>
      </c>
      <c r="C546" s="40">
        <v>5.1180000000000003</v>
      </c>
      <c r="D546" s="114"/>
    </row>
    <row r="547" spans="1:4" ht="15.5" outlineLevel="1">
      <c r="A547" s="40" t="s">
        <v>1064</v>
      </c>
      <c r="B547" s="41" t="s">
        <v>1161</v>
      </c>
      <c r="C547" s="40">
        <v>5.47</v>
      </c>
      <c r="D547" s="114"/>
    </row>
    <row r="548" spans="1:4" ht="15.5" outlineLevel="1">
      <c r="A548" s="40" t="s">
        <v>1064</v>
      </c>
      <c r="B548" s="41" t="s">
        <v>1162</v>
      </c>
      <c r="C548" s="40">
        <v>5.48</v>
      </c>
      <c r="D548" s="114"/>
    </row>
    <row r="549" spans="1:4" ht="15.5" outlineLevel="1">
      <c r="A549" s="40" t="s">
        <v>1064</v>
      </c>
      <c r="B549" s="41" t="s">
        <v>1163</v>
      </c>
      <c r="C549" s="40">
        <v>5.21</v>
      </c>
      <c r="D549" s="114"/>
    </row>
    <row r="550" spans="1:4" ht="15.5" outlineLevel="1">
      <c r="A550" s="40" t="s">
        <v>1064</v>
      </c>
      <c r="B550" s="41" t="s">
        <v>1164</v>
      </c>
      <c r="C550" s="40">
        <v>5.53</v>
      </c>
      <c r="D550" s="114"/>
    </row>
    <row r="551" spans="1:4" ht="15.5" outlineLevel="1">
      <c r="A551" s="40" t="s">
        <v>1064</v>
      </c>
      <c r="B551" s="41" t="s">
        <v>18</v>
      </c>
      <c r="C551" s="40">
        <v>5.54</v>
      </c>
      <c r="D551" s="114"/>
    </row>
    <row r="552" spans="1:4" ht="15.5" outlineLevel="1">
      <c r="A552" s="40" t="s">
        <v>1064</v>
      </c>
      <c r="B552" s="41" t="s">
        <v>1165</v>
      </c>
      <c r="C552" s="40">
        <v>5.58</v>
      </c>
      <c r="D552" s="114"/>
    </row>
    <row r="553" spans="1:4" ht="15.5" outlineLevel="1">
      <c r="A553" s="40" t="s">
        <v>1064</v>
      </c>
      <c r="B553" s="41" t="s">
        <v>1166</v>
      </c>
      <c r="C553" s="40">
        <v>5.1180000000000003</v>
      </c>
      <c r="D553" s="114"/>
    </row>
    <row r="554" spans="1:4" ht="15.5" outlineLevel="1">
      <c r="A554" s="40" t="s">
        <v>1064</v>
      </c>
      <c r="B554" s="41" t="s">
        <v>1167</v>
      </c>
      <c r="C554" s="40">
        <v>5.47</v>
      </c>
      <c r="D554" s="114"/>
    </row>
    <row r="555" spans="1:4" ht="15.5" outlineLevel="1">
      <c r="A555" s="40" t="s">
        <v>1064</v>
      </c>
      <c r="B555" s="41" t="s">
        <v>1168</v>
      </c>
      <c r="C555" s="40">
        <v>5.48</v>
      </c>
      <c r="D555" s="114"/>
    </row>
    <row r="556" spans="1:4" ht="15.5" outlineLevel="1">
      <c r="A556" s="40" t="s">
        <v>1064</v>
      </c>
      <c r="B556" s="41" t="s">
        <v>1169</v>
      </c>
      <c r="C556" s="40">
        <v>5.63</v>
      </c>
      <c r="D556" s="114"/>
    </row>
    <row r="557" spans="1:4" ht="15.5" outlineLevel="1">
      <c r="A557" s="40" t="s">
        <v>1064</v>
      </c>
      <c r="B557" s="41" t="s">
        <v>6</v>
      </c>
      <c r="C557" s="40">
        <v>5.27</v>
      </c>
      <c r="D557" s="114"/>
    </row>
    <row r="558" spans="1:4" ht="15.5" outlineLevel="1">
      <c r="A558" s="40" t="s">
        <v>1064</v>
      </c>
      <c r="B558" s="41" t="s">
        <v>7</v>
      </c>
      <c r="C558" s="40">
        <v>5.28</v>
      </c>
      <c r="D558" s="114"/>
    </row>
    <row r="559" spans="1:4" ht="15.5" outlineLevel="1">
      <c r="A559" s="40" t="s">
        <v>1064</v>
      </c>
      <c r="B559" s="41" t="s">
        <v>1170</v>
      </c>
      <c r="C559" s="40">
        <v>5.35</v>
      </c>
      <c r="D559" s="114"/>
    </row>
    <row r="560" spans="1:4" ht="15.5" outlineLevel="1">
      <c r="A560" s="40" t="s">
        <v>1064</v>
      </c>
      <c r="B560" s="41" t="s">
        <v>950</v>
      </c>
      <c r="C560" s="40">
        <v>5.1189999999999998</v>
      </c>
      <c r="D560" s="114"/>
    </row>
    <row r="561" spans="1:4" ht="15.5" outlineLevel="1">
      <c r="A561" s="40" t="s">
        <v>1064</v>
      </c>
      <c r="B561" s="41" t="s">
        <v>957</v>
      </c>
      <c r="C561" s="43">
        <v>5.12</v>
      </c>
      <c r="D561" s="114"/>
    </row>
    <row r="562" spans="1:4" ht="15.5" outlineLevel="1">
      <c r="A562" s="40" t="s">
        <v>1064</v>
      </c>
      <c r="B562" s="41" t="s">
        <v>346</v>
      </c>
      <c r="C562" s="40">
        <v>5.1210000000000004</v>
      </c>
      <c r="D562" s="114"/>
    </row>
    <row r="563" spans="1:4" ht="15.5" outlineLevel="1">
      <c r="A563" s="40" t="s">
        <v>1064</v>
      </c>
      <c r="B563" s="41" t="s">
        <v>145</v>
      </c>
      <c r="C563" s="40">
        <v>5.36</v>
      </c>
      <c r="D563" s="114"/>
    </row>
    <row r="564" spans="1:4" ht="15.5" outlineLevel="1">
      <c r="A564" s="40" t="s">
        <v>1064</v>
      </c>
      <c r="B564" s="41" t="s">
        <v>1171</v>
      </c>
      <c r="C564" s="40">
        <v>5.1219999999999999</v>
      </c>
      <c r="D564" s="114"/>
    </row>
    <row r="565" spans="1:4" ht="15.5" outlineLevel="1">
      <c r="A565" s="40" t="s">
        <v>1064</v>
      </c>
      <c r="B565" s="41" t="s">
        <v>1172</v>
      </c>
      <c r="C565" s="40">
        <v>5.1230000000000002</v>
      </c>
      <c r="D565" s="114"/>
    </row>
    <row r="566" spans="1:4" ht="15.5" outlineLevel="1">
      <c r="A566" s="40" t="s">
        <v>1064</v>
      </c>
      <c r="B566" s="41" t="s">
        <v>921</v>
      </c>
      <c r="C566" s="40">
        <v>5.1239999999999997</v>
      </c>
      <c r="D566" s="114"/>
    </row>
    <row r="567" spans="1:4" ht="15.5" outlineLevel="1">
      <c r="A567" s="40" t="s">
        <v>1064</v>
      </c>
      <c r="B567" s="41" t="s">
        <v>929</v>
      </c>
      <c r="C567" s="40">
        <v>5.125</v>
      </c>
      <c r="D567" s="114"/>
    </row>
    <row r="568" spans="1:4" ht="15.5" outlineLevel="1">
      <c r="A568" s="40" t="s">
        <v>1064</v>
      </c>
      <c r="B568" s="41" t="s">
        <v>1173</v>
      </c>
      <c r="C568" s="40">
        <v>5.1260000000000003</v>
      </c>
      <c r="D568" s="114"/>
    </row>
    <row r="569" spans="1:4" ht="15.5" outlineLevel="1">
      <c r="A569" s="40" t="s">
        <v>1064</v>
      </c>
      <c r="B569" s="41" t="s">
        <v>947</v>
      </c>
      <c r="C569" s="40">
        <v>5.1269999999999998</v>
      </c>
      <c r="D569" s="114"/>
    </row>
    <row r="570" spans="1:4" ht="15.5" outlineLevel="1">
      <c r="A570" s="40" t="s">
        <v>1064</v>
      </c>
      <c r="B570" s="41" t="s">
        <v>932</v>
      </c>
      <c r="C570" s="42">
        <v>5.72</v>
      </c>
      <c r="D570" s="114"/>
    </row>
    <row r="571" spans="1:4" ht="15.5" outlineLevel="1">
      <c r="A571" s="40" t="s">
        <v>1064</v>
      </c>
      <c r="B571" s="41" t="s">
        <v>943</v>
      </c>
      <c r="C571" s="40">
        <v>5.1280000000000001</v>
      </c>
      <c r="D571" s="114"/>
    </row>
    <row r="572" spans="1:4" ht="15.5" outlineLevel="1">
      <c r="A572" s="40" t="s">
        <v>1064</v>
      </c>
      <c r="B572" s="41" t="s">
        <v>1174</v>
      </c>
      <c r="C572" s="40">
        <v>5.1289999999999996</v>
      </c>
      <c r="D572" s="113" t="s">
        <v>1134</v>
      </c>
    </row>
    <row r="573" spans="1:4" ht="15.5" outlineLevel="1">
      <c r="A573" s="40" t="s">
        <v>1064</v>
      </c>
      <c r="B573" s="41" t="s">
        <v>1175</v>
      </c>
      <c r="C573" s="40">
        <v>5.1310000000000002</v>
      </c>
      <c r="D573" s="114"/>
    </row>
    <row r="574" spans="1:4" ht="15.5" outlineLevel="1">
      <c r="A574" s="40" t="s">
        <v>1064</v>
      </c>
      <c r="B574" s="41" t="s">
        <v>1176</v>
      </c>
      <c r="C574" s="40">
        <v>5.1319999999999997</v>
      </c>
      <c r="D574" s="113" t="s">
        <v>1134</v>
      </c>
    </row>
    <row r="575" spans="1:4" ht="15.5" outlineLevel="1">
      <c r="A575" s="40" t="s">
        <v>1064</v>
      </c>
      <c r="B575" s="41" t="s">
        <v>972</v>
      </c>
      <c r="C575" s="40">
        <v>5.133</v>
      </c>
      <c r="D575" s="113" t="s">
        <v>1134</v>
      </c>
    </row>
    <row r="576" spans="1:4" ht="15.5" outlineLevel="1">
      <c r="A576" s="40" t="s">
        <v>1064</v>
      </c>
      <c r="B576" s="41" t="s">
        <v>1177</v>
      </c>
      <c r="C576" s="40">
        <v>5.1340000000000003</v>
      </c>
      <c r="D576" s="113" t="s">
        <v>1134</v>
      </c>
    </row>
    <row r="577" spans="1:4" ht="15.5" outlineLevel="1">
      <c r="A577" s="40" t="s">
        <v>1064</v>
      </c>
      <c r="B577" s="41" t="s">
        <v>1178</v>
      </c>
      <c r="C577" s="43">
        <v>5.13</v>
      </c>
      <c r="D577" s="114"/>
    </row>
    <row r="578" spans="1:4" ht="15.5" outlineLevel="1">
      <c r="A578" s="40" t="s">
        <v>1064</v>
      </c>
      <c r="B578" s="41" t="s">
        <v>24</v>
      </c>
      <c r="C578" s="40">
        <v>5.47</v>
      </c>
      <c r="D578" s="114"/>
    </row>
    <row r="579" spans="1:4" ht="15.5" outlineLevel="1">
      <c r="A579" s="40" t="s">
        <v>1064</v>
      </c>
      <c r="B579" s="41" t="s">
        <v>25</v>
      </c>
      <c r="C579" s="40">
        <v>5.48</v>
      </c>
      <c r="D579" s="114"/>
    </row>
    <row r="580" spans="1:4" ht="15.5">
      <c r="A580" s="46" t="s">
        <v>1064</v>
      </c>
      <c r="B580" s="41"/>
      <c r="C580" s="40"/>
      <c r="D580" s="114"/>
    </row>
    <row r="581" spans="1:4" ht="15.5" outlineLevel="1">
      <c r="A581" s="40" t="s">
        <v>1057</v>
      </c>
      <c r="B581" s="41" t="s">
        <v>0</v>
      </c>
      <c r="C581" s="40">
        <v>5.0999999999999996</v>
      </c>
      <c r="D581" s="114"/>
    </row>
    <row r="582" spans="1:4" ht="15.5" outlineLevel="1">
      <c r="A582" s="40" t="s">
        <v>1057</v>
      </c>
      <c r="B582" s="41" t="s">
        <v>1</v>
      </c>
      <c r="C582" s="40">
        <v>5.2</v>
      </c>
      <c r="D582" s="114"/>
    </row>
    <row r="583" spans="1:4" ht="15.5" outlineLevel="1">
      <c r="A583" s="40" t="s">
        <v>1057</v>
      </c>
      <c r="B583" s="41" t="s">
        <v>140</v>
      </c>
      <c r="C583" s="40">
        <v>5.9</v>
      </c>
      <c r="D583" s="113" t="s">
        <v>1134</v>
      </c>
    </row>
    <row r="584" spans="1:4" ht="15.5" outlineLevel="1">
      <c r="A584" s="40" t="s">
        <v>1057</v>
      </c>
      <c r="B584" s="41" t="s">
        <v>141</v>
      </c>
      <c r="C584" s="40">
        <v>5.13</v>
      </c>
      <c r="D584" s="113" t="s">
        <v>1134</v>
      </c>
    </row>
    <row r="585" spans="1:4" ht="15.5" outlineLevel="1">
      <c r="A585" s="40" t="s">
        <v>1057</v>
      </c>
      <c r="B585" s="41" t="s">
        <v>142</v>
      </c>
      <c r="C585" s="40">
        <v>5.16</v>
      </c>
      <c r="D585" s="113" t="s">
        <v>1134</v>
      </c>
    </row>
    <row r="586" spans="1:4" ht="15.5" outlineLevel="1">
      <c r="A586" s="40" t="s">
        <v>1057</v>
      </c>
      <c r="B586" s="41" t="s">
        <v>143</v>
      </c>
      <c r="C586" s="40">
        <v>5.22</v>
      </c>
      <c r="D586" s="113"/>
    </row>
    <row r="587" spans="1:4" ht="15.5" outlineLevel="1">
      <c r="A587" s="40" t="s">
        <v>1057</v>
      </c>
      <c r="B587" s="41" t="s">
        <v>5</v>
      </c>
      <c r="C587" s="40">
        <v>5.26</v>
      </c>
      <c r="D587" s="114"/>
    </row>
    <row r="588" spans="1:4" ht="15.5" outlineLevel="1">
      <c r="A588" s="40" t="s">
        <v>1057</v>
      </c>
      <c r="B588" s="41" t="s">
        <v>1179</v>
      </c>
      <c r="C588" s="40">
        <v>5.77</v>
      </c>
      <c r="D588" s="114"/>
    </row>
    <row r="589" spans="1:4" ht="15.5" outlineLevel="1">
      <c r="A589" s="40" t="s">
        <v>1057</v>
      </c>
      <c r="B589" s="41" t="s">
        <v>6</v>
      </c>
      <c r="C589" s="40">
        <v>5.27</v>
      </c>
      <c r="D589" s="114"/>
    </row>
    <row r="590" spans="1:4" ht="15.5" outlineLevel="1">
      <c r="A590" s="40" t="s">
        <v>1057</v>
      </c>
      <c r="B590" s="41" t="s">
        <v>7</v>
      </c>
      <c r="C590" s="40">
        <v>5.28</v>
      </c>
      <c r="D590" s="113" t="s">
        <v>1134</v>
      </c>
    </row>
    <row r="591" spans="1:4" ht="15.5" outlineLevel="1">
      <c r="A591" s="40" t="s">
        <v>1057</v>
      </c>
      <c r="B591" s="41" t="s">
        <v>172</v>
      </c>
      <c r="C591" s="40">
        <v>5.31</v>
      </c>
      <c r="D591" s="114"/>
    </row>
    <row r="592" spans="1:4" ht="15.5" outlineLevel="1">
      <c r="A592" s="40" t="s">
        <v>1057</v>
      </c>
      <c r="B592" s="41" t="s">
        <v>145</v>
      </c>
      <c r="C592" s="40">
        <v>5.36</v>
      </c>
      <c r="D592" s="114"/>
    </row>
    <row r="593" spans="1:4" ht="15.5" outlineLevel="1">
      <c r="A593" s="40" t="s">
        <v>1057</v>
      </c>
      <c r="B593" s="41" t="s">
        <v>1180</v>
      </c>
      <c r="C593" s="40">
        <v>5.78</v>
      </c>
      <c r="D593" s="114"/>
    </row>
    <row r="594" spans="1:4" ht="15.5" outlineLevel="1">
      <c r="A594" s="40" t="s">
        <v>1057</v>
      </c>
      <c r="B594" s="41" t="s">
        <v>1181</v>
      </c>
      <c r="C594" s="40">
        <v>5.79</v>
      </c>
      <c r="D594" s="113" t="s">
        <v>1134</v>
      </c>
    </row>
    <row r="595" spans="1:4" ht="15.5" outlineLevel="1">
      <c r="A595" s="40" t="s">
        <v>1057</v>
      </c>
      <c r="B595" s="41" t="s">
        <v>1182</v>
      </c>
      <c r="C595" s="40">
        <v>5.41</v>
      </c>
      <c r="D595" s="114"/>
    </row>
    <row r="596" spans="1:4" ht="15.5" outlineLevel="1">
      <c r="A596" s="40" t="s">
        <v>1057</v>
      </c>
      <c r="B596" s="41" t="s">
        <v>9</v>
      </c>
      <c r="C596" s="40">
        <v>5.49</v>
      </c>
      <c r="D596" s="114"/>
    </row>
    <row r="597" spans="1:4" ht="15.5" outlineLevel="1">
      <c r="A597" s="40" t="s">
        <v>1057</v>
      </c>
      <c r="B597" s="41" t="s">
        <v>10</v>
      </c>
      <c r="C597" s="40">
        <v>5.51</v>
      </c>
      <c r="D597" s="114"/>
    </row>
    <row r="598" spans="1:4" ht="15.5" outlineLevel="1">
      <c r="A598" s="40" t="s">
        <v>1057</v>
      </c>
      <c r="B598" s="41" t="s">
        <v>1183</v>
      </c>
      <c r="C598" s="40">
        <v>5.52</v>
      </c>
      <c r="D598" s="114"/>
    </row>
    <row r="599" spans="1:4" ht="15.5" outlineLevel="1">
      <c r="A599" s="40" t="s">
        <v>1057</v>
      </c>
      <c r="B599" s="41" t="s">
        <v>11</v>
      </c>
      <c r="C599" s="40">
        <v>5.53</v>
      </c>
      <c r="D599" s="114"/>
    </row>
    <row r="600" spans="1:4" ht="15.5" outlineLevel="1">
      <c r="A600" s="40" t="s">
        <v>1057</v>
      </c>
      <c r="B600" s="41" t="s">
        <v>12</v>
      </c>
      <c r="C600" s="40">
        <v>5.69</v>
      </c>
      <c r="D600" s="114"/>
    </row>
    <row r="601" spans="1:4" ht="15.5" outlineLevel="1">
      <c r="A601" s="40" t="s">
        <v>1057</v>
      </c>
      <c r="B601" s="41" t="s">
        <v>147</v>
      </c>
      <c r="C601" s="40">
        <v>5.71</v>
      </c>
      <c r="D601" s="114"/>
    </row>
    <row r="602" spans="1:4" ht="15.5" outlineLevel="1">
      <c r="A602" s="40" t="s">
        <v>1057</v>
      </c>
      <c r="B602" s="41" t="s">
        <v>14</v>
      </c>
      <c r="C602" s="42">
        <v>5.7</v>
      </c>
      <c r="D602" s="114"/>
    </row>
    <row r="603" spans="1:4" ht="15.5" outlineLevel="1">
      <c r="A603" s="40" t="s">
        <v>1057</v>
      </c>
      <c r="B603" s="41" t="s">
        <v>775</v>
      </c>
      <c r="C603" s="42">
        <v>5.8</v>
      </c>
      <c r="D603" s="113" t="s">
        <v>1134</v>
      </c>
    </row>
    <row r="604" spans="1:4" ht="15.5" outlineLevel="1">
      <c r="A604" s="40" t="s">
        <v>1057</v>
      </c>
      <c r="B604" s="41" t="s">
        <v>932</v>
      </c>
      <c r="C604" s="42">
        <v>5.72</v>
      </c>
      <c r="D604" s="113" t="s">
        <v>1134</v>
      </c>
    </row>
    <row r="605" spans="1:4" ht="15.5" outlineLevel="1">
      <c r="A605" s="40" t="s">
        <v>1057</v>
      </c>
      <c r="B605" s="41" t="s">
        <v>1184</v>
      </c>
      <c r="C605" s="40">
        <v>5.73</v>
      </c>
      <c r="D605" s="113" t="s">
        <v>1134</v>
      </c>
    </row>
    <row r="606" spans="1:4" ht="15.5" outlineLevel="1">
      <c r="A606" s="40" t="s">
        <v>1057</v>
      </c>
      <c r="B606" s="41" t="s">
        <v>15</v>
      </c>
      <c r="C606" s="40">
        <v>5.74</v>
      </c>
      <c r="D606" s="114"/>
    </row>
    <row r="607" spans="1:4" ht="15.5" outlineLevel="1">
      <c r="A607" s="40" t="s">
        <v>1057</v>
      </c>
      <c r="B607" s="41" t="s">
        <v>13</v>
      </c>
      <c r="C607" s="40">
        <v>5.75</v>
      </c>
      <c r="D607" s="114"/>
    </row>
    <row r="608" spans="1:4" ht="15.5" outlineLevel="1">
      <c r="A608" s="40" t="s">
        <v>1057</v>
      </c>
      <c r="B608" s="41" t="s">
        <v>432</v>
      </c>
      <c r="C608" s="40">
        <v>5.76</v>
      </c>
      <c r="D608" s="114"/>
    </row>
    <row r="609" spans="1:4" ht="15.5" outlineLevel="1">
      <c r="A609" s="40" t="s">
        <v>1057</v>
      </c>
      <c r="B609" s="41" t="s">
        <v>780</v>
      </c>
      <c r="C609" s="40">
        <v>5.81</v>
      </c>
      <c r="D609" s="113" t="s">
        <v>1134</v>
      </c>
    </row>
    <row r="610" spans="1:4" ht="15.5" outlineLevel="1">
      <c r="A610" s="40" t="s">
        <v>1057</v>
      </c>
      <c r="B610" s="41" t="s">
        <v>1185</v>
      </c>
      <c r="C610" s="40">
        <v>5.82</v>
      </c>
      <c r="D610" s="113" t="s">
        <v>1134</v>
      </c>
    </row>
    <row r="611" spans="1:4" ht="15.5" outlineLevel="1">
      <c r="A611" s="40" t="s">
        <v>1057</v>
      </c>
      <c r="B611" s="41" t="s">
        <v>1186</v>
      </c>
      <c r="C611" s="40">
        <v>5.83</v>
      </c>
      <c r="D611" s="113" t="s">
        <v>1134</v>
      </c>
    </row>
    <row r="612" spans="1:4" ht="15.5" outlineLevel="1">
      <c r="A612" s="40" t="s">
        <v>1057</v>
      </c>
      <c r="B612" s="41" t="s">
        <v>1187</v>
      </c>
      <c r="C612" s="40">
        <v>5.84</v>
      </c>
      <c r="D612" s="114"/>
    </row>
    <row r="613" spans="1:4" ht="15.5" outlineLevel="1">
      <c r="A613" s="40" t="s">
        <v>1057</v>
      </c>
      <c r="B613" s="41" t="s">
        <v>803</v>
      </c>
      <c r="C613" s="40">
        <v>5.85</v>
      </c>
      <c r="D613" s="113" t="s">
        <v>1134</v>
      </c>
    </row>
    <row r="614" spans="1:4" ht="15.5" outlineLevel="1">
      <c r="A614" s="40" t="s">
        <v>1057</v>
      </c>
      <c r="B614" s="41" t="s">
        <v>804</v>
      </c>
      <c r="C614" s="40">
        <v>5.86</v>
      </c>
      <c r="D614" s="113" t="s">
        <v>1134</v>
      </c>
    </row>
    <row r="615" spans="1:4" ht="15.5" outlineLevel="1">
      <c r="A615" s="40" t="s">
        <v>1057</v>
      </c>
      <c r="B615" s="41" t="s">
        <v>1188</v>
      </c>
      <c r="C615" s="40">
        <v>5.88</v>
      </c>
      <c r="D615" s="113" t="s">
        <v>1134</v>
      </c>
    </row>
    <row r="616" spans="1:4" ht="15.5" outlineLevel="1">
      <c r="A616" s="40" t="s">
        <v>1057</v>
      </c>
      <c r="B616" s="41" t="s">
        <v>810</v>
      </c>
      <c r="C616" s="40">
        <v>5.87</v>
      </c>
      <c r="D616" s="114"/>
    </row>
    <row r="617" spans="1:4" ht="15.5" outlineLevel="1">
      <c r="A617" s="40" t="s">
        <v>1057</v>
      </c>
      <c r="B617" s="41" t="s">
        <v>173</v>
      </c>
      <c r="C617" s="40">
        <v>5.109</v>
      </c>
      <c r="D617" s="114"/>
    </row>
    <row r="618" spans="1:4" ht="15.5" outlineLevel="1">
      <c r="A618" s="40" t="s">
        <v>1057</v>
      </c>
      <c r="B618" s="41" t="s">
        <v>186</v>
      </c>
      <c r="C618" s="43">
        <v>5.1100000000000003</v>
      </c>
      <c r="D618" s="113" t="s">
        <v>1134</v>
      </c>
    </row>
    <row r="619" spans="1:4" ht="15.5" outlineLevel="1">
      <c r="A619" s="40" t="s">
        <v>1057</v>
      </c>
      <c r="B619" s="41" t="s">
        <v>174</v>
      </c>
      <c r="C619" s="40">
        <v>5.1109999999999998</v>
      </c>
      <c r="D619" s="114"/>
    </row>
    <row r="620" spans="1:4" ht="15.5" outlineLevel="1">
      <c r="A620" s="40" t="s">
        <v>1057</v>
      </c>
      <c r="B620" s="41" t="s">
        <v>154</v>
      </c>
      <c r="C620" s="40">
        <v>5.1120000000000001</v>
      </c>
      <c r="D620" s="114"/>
    </row>
    <row r="621" spans="1:4" ht="15.5" outlineLevel="1">
      <c r="A621" s="40" t="s">
        <v>1057</v>
      </c>
      <c r="B621" s="41" t="s">
        <v>1150</v>
      </c>
      <c r="C621" s="40">
        <v>5.1130000000000004</v>
      </c>
      <c r="D621" s="114"/>
    </row>
    <row r="622" spans="1:4" ht="15.5" outlineLevel="1">
      <c r="A622" s="40" t="s">
        <v>1057</v>
      </c>
      <c r="B622" s="41" t="s">
        <v>1189</v>
      </c>
      <c r="C622" s="40">
        <v>5.99</v>
      </c>
      <c r="D622" s="113" t="s">
        <v>1134</v>
      </c>
    </row>
    <row r="623" spans="1:4" ht="15.5" outlineLevel="1">
      <c r="A623" s="40" t="s">
        <v>1057</v>
      </c>
      <c r="B623" s="41" t="s">
        <v>1190</v>
      </c>
      <c r="C623" s="40">
        <v>5.58</v>
      </c>
      <c r="D623" s="113"/>
    </row>
    <row r="624" spans="1:4" ht="15.5" outlineLevel="1">
      <c r="A624" s="40" t="s">
        <v>1057</v>
      </c>
      <c r="B624" s="41" t="s">
        <v>18</v>
      </c>
      <c r="C624" s="40">
        <v>5.54</v>
      </c>
      <c r="D624" s="114"/>
    </row>
    <row r="625" spans="1:4" ht="15.5" outlineLevel="1">
      <c r="A625" s="40" t="s">
        <v>1057</v>
      </c>
      <c r="B625" s="41" t="s">
        <v>1191</v>
      </c>
      <c r="C625" s="40">
        <v>5.56</v>
      </c>
      <c r="D625" s="114"/>
    </row>
    <row r="626" spans="1:4" ht="15.5" outlineLevel="1">
      <c r="A626" s="40" t="s">
        <v>1057</v>
      </c>
      <c r="B626" s="41" t="s">
        <v>20</v>
      </c>
      <c r="C626" s="40">
        <v>5.63</v>
      </c>
      <c r="D626" s="114"/>
    </row>
    <row r="627" spans="1:4" ht="15.5" outlineLevel="1">
      <c r="A627" s="40" t="s">
        <v>1057</v>
      </c>
      <c r="B627" s="41" t="s">
        <v>187</v>
      </c>
      <c r="C627" s="40">
        <v>5.64</v>
      </c>
      <c r="D627" s="114"/>
    </row>
    <row r="628" spans="1:4" ht="15.5" outlineLevel="1">
      <c r="A628" s="40" t="s">
        <v>1057</v>
      </c>
      <c r="B628" s="41" t="s">
        <v>21</v>
      </c>
      <c r="C628" s="40">
        <v>5.65</v>
      </c>
      <c r="D628" s="114"/>
    </row>
    <row r="629" spans="1:4" ht="15.5" outlineLevel="1">
      <c r="A629" s="40" t="s">
        <v>1057</v>
      </c>
      <c r="B629" s="41" t="s">
        <v>188</v>
      </c>
      <c r="C629" s="40">
        <v>5.66</v>
      </c>
      <c r="D629" s="114"/>
    </row>
    <row r="630" spans="1:4" ht="15.5" outlineLevel="1">
      <c r="A630" s="40" t="s">
        <v>1057</v>
      </c>
      <c r="B630" s="41" t="s">
        <v>853</v>
      </c>
      <c r="C630" s="40">
        <v>5.89</v>
      </c>
      <c r="D630" s="113" t="s">
        <v>1134</v>
      </c>
    </row>
    <row r="631" spans="1:4" ht="15.5" outlineLevel="1">
      <c r="A631" s="40" t="s">
        <v>1057</v>
      </c>
      <c r="B631" s="41" t="s">
        <v>22</v>
      </c>
      <c r="C631" s="40">
        <v>5.68</v>
      </c>
      <c r="D631" s="114"/>
    </row>
    <row r="632" spans="1:4" ht="15.5" outlineLevel="1">
      <c r="A632" s="40" t="s">
        <v>1057</v>
      </c>
      <c r="B632" s="41" t="s">
        <v>24</v>
      </c>
      <c r="C632" s="40">
        <v>5.47</v>
      </c>
      <c r="D632" s="114"/>
    </row>
    <row r="633" spans="1:4" ht="15.5" outlineLevel="1">
      <c r="A633" s="40" t="s">
        <v>1057</v>
      </c>
      <c r="B633" s="41" t="s">
        <v>25</v>
      </c>
      <c r="C633" s="40">
        <v>5.48</v>
      </c>
      <c r="D633" s="114"/>
    </row>
    <row r="634" spans="1:4" ht="15.5">
      <c r="A634" s="46" t="s">
        <v>1057</v>
      </c>
      <c r="B634" s="41"/>
      <c r="C634" s="40"/>
      <c r="D634" s="114"/>
    </row>
    <row r="635" spans="1:4" ht="15.5" outlineLevel="1">
      <c r="A635" s="40" t="s">
        <v>1076</v>
      </c>
      <c r="B635" s="41" t="s">
        <v>0</v>
      </c>
      <c r="C635" s="40">
        <v>5.0999999999999996</v>
      </c>
      <c r="D635" s="114"/>
    </row>
    <row r="636" spans="1:4" ht="15.5" outlineLevel="1">
      <c r="A636" s="40" t="s">
        <v>1076</v>
      </c>
      <c r="B636" s="41" t="s">
        <v>1</v>
      </c>
      <c r="C636" s="40">
        <v>5.2</v>
      </c>
      <c r="D636" s="114"/>
    </row>
    <row r="637" spans="1:4" ht="15.5" outlineLevel="1">
      <c r="A637" s="40" t="s">
        <v>1076</v>
      </c>
      <c r="B637" s="41" t="s">
        <v>2</v>
      </c>
      <c r="C637" s="40">
        <v>5.3</v>
      </c>
      <c r="D637" s="114"/>
    </row>
    <row r="638" spans="1:4" ht="15.5" outlineLevel="1">
      <c r="A638" s="40" t="s">
        <v>1076</v>
      </c>
      <c r="B638" s="41" t="s">
        <v>169</v>
      </c>
      <c r="C638" s="40">
        <v>5.6</v>
      </c>
      <c r="D638" s="114"/>
    </row>
    <row r="639" spans="1:4" ht="15.5" outlineLevel="1">
      <c r="A639" s="40" t="s">
        <v>1076</v>
      </c>
      <c r="B639" s="41" t="s">
        <v>1136</v>
      </c>
      <c r="C639" s="42">
        <v>5.0999999999999996</v>
      </c>
      <c r="D639" s="114"/>
    </row>
    <row r="640" spans="1:4" ht="15.5" outlineLevel="1">
      <c r="A640" s="40" t="s">
        <v>1076</v>
      </c>
      <c r="B640" s="41" t="s">
        <v>1135</v>
      </c>
      <c r="C640" s="40">
        <v>5.14</v>
      </c>
      <c r="D640" s="114"/>
    </row>
    <row r="641" spans="1:4" ht="15.5" outlineLevel="1">
      <c r="A641" s="40" t="s">
        <v>1076</v>
      </c>
      <c r="B641" s="41" t="s">
        <v>4</v>
      </c>
      <c r="C641" s="40">
        <v>5.19</v>
      </c>
      <c r="D641" s="114"/>
    </row>
    <row r="642" spans="1:4" ht="15.5" outlineLevel="1">
      <c r="A642" s="40" t="s">
        <v>1076</v>
      </c>
      <c r="B642" s="41" t="s">
        <v>171</v>
      </c>
      <c r="C642" s="40">
        <v>5.24</v>
      </c>
      <c r="D642" s="114"/>
    </row>
    <row r="643" spans="1:4" ht="15.5" outlineLevel="1">
      <c r="A643" s="40" t="s">
        <v>1076</v>
      </c>
      <c r="B643" s="41" t="s">
        <v>5</v>
      </c>
      <c r="C643" s="40">
        <v>5.26</v>
      </c>
      <c r="D643" s="114"/>
    </row>
    <row r="644" spans="1:4" ht="15.5" outlineLevel="1">
      <c r="A644" s="40" t="s">
        <v>1076</v>
      </c>
      <c r="B644" s="41" t="s">
        <v>6</v>
      </c>
      <c r="C644" s="40">
        <v>5.27</v>
      </c>
      <c r="D644" s="114"/>
    </row>
    <row r="645" spans="1:4" ht="15.5" outlineLevel="1">
      <c r="A645" s="40" t="s">
        <v>1076</v>
      </c>
      <c r="B645" s="41" t="s">
        <v>7</v>
      </c>
      <c r="C645" s="40">
        <v>5.28</v>
      </c>
      <c r="D645" s="114"/>
    </row>
    <row r="646" spans="1:4" ht="15.5" outlineLevel="1">
      <c r="A646" s="40" t="s">
        <v>1076</v>
      </c>
      <c r="B646" s="41" t="s">
        <v>145</v>
      </c>
      <c r="C646" s="40">
        <v>5.36</v>
      </c>
      <c r="D646" s="114"/>
    </row>
    <row r="647" spans="1:4" ht="15.5" outlineLevel="1">
      <c r="A647" s="40" t="s">
        <v>1076</v>
      </c>
      <c r="B647" s="41" t="s">
        <v>195</v>
      </c>
      <c r="C647" s="40">
        <v>5.33</v>
      </c>
      <c r="D647" s="114"/>
    </row>
    <row r="648" spans="1:4" ht="15.5" outlineLevel="1">
      <c r="A648" s="40" t="s">
        <v>1076</v>
      </c>
      <c r="B648" s="41" t="s">
        <v>180</v>
      </c>
      <c r="C648" s="40">
        <v>5.37</v>
      </c>
      <c r="D648" s="114"/>
    </row>
    <row r="649" spans="1:4" ht="15.5" outlineLevel="1">
      <c r="A649" s="40" t="s">
        <v>1076</v>
      </c>
      <c r="B649" s="41" t="s">
        <v>9</v>
      </c>
      <c r="C649" s="40">
        <v>5.49</v>
      </c>
      <c r="D649" s="114"/>
    </row>
    <row r="650" spans="1:4" ht="15.5" outlineLevel="1">
      <c r="A650" s="40" t="s">
        <v>1076</v>
      </c>
      <c r="B650" s="41" t="s">
        <v>10</v>
      </c>
      <c r="C650" s="40">
        <v>5.51</v>
      </c>
      <c r="D650" s="114"/>
    </row>
    <row r="651" spans="1:4" ht="15.5" outlineLevel="1">
      <c r="A651" s="40" t="s">
        <v>1076</v>
      </c>
      <c r="B651" s="41" t="s">
        <v>1137</v>
      </c>
      <c r="C651" s="40">
        <v>5.52</v>
      </c>
      <c r="D651" s="114"/>
    </row>
    <row r="652" spans="1:4" ht="15.5" outlineLevel="1">
      <c r="A652" s="40" t="s">
        <v>1076</v>
      </c>
      <c r="B652" s="41" t="s">
        <v>11</v>
      </c>
      <c r="C652" s="40">
        <v>5.53</v>
      </c>
      <c r="D652" s="114"/>
    </row>
    <row r="653" spans="1:4" ht="15.5" outlineLevel="1">
      <c r="A653" s="40" t="s">
        <v>1076</v>
      </c>
      <c r="B653" s="41" t="s">
        <v>12</v>
      </c>
      <c r="C653" s="40">
        <v>5.69</v>
      </c>
      <c r="D653" s="114"/>
    </row>
    <row r="654" spans="1:4" ht="15.5" outlineLevel="1">
      <c r="A654" s="40" t="s">
        <v>1076</v>
      </c>
      <c r="B654" s="41" t="s">
        <v>14</v>
      </c>
      <c r="C654" s="42">
        <v>5.7</v>
      </c>
      <c r="D654" s="114"/>
    </row>
    <row r="655" spans="1:4" ht="15.5" outlineLevel="1">
      <c r="A655" s="40" t="s">
        <v>1076</v>
      </c>
      <c r="B655" s="41" t="s">
        <v>15</v>
      </c>
      <c r="C655" s="40">
        <v>5.74</v>
      </c>
      <c r="D655" s="114"/>
    </row>
    <row r="656" spans="1:4" ht="15.5" outlineLevel="1">
      <c r="A656" s="40" t="s">
        <v>1076</v>
      </c>
      <c r="B656" s="41" t="s">
        <v>173</v>
      </c>
      <c r="C656" s="40">
        <v>5.109</v>
      </c>
      <c r="D656" s="114"/>
    </row>
    <row r="657" spans="1:4" ht="15.5" outlineLevel="1">
      <c r="A657" s="40" t="s">
        <v>1076</v>
      </c>
      <c r="B657" s="41" t="s">
        <v>174</v>
      </c>
      <c r="C657" s="40">
        <v>5.1109999999999998</v>
      </c>
      <c r="D657" s="114"/>
    </row>
    <row r="658" spans="1:4" ht="15.5" outlineLevel="1">
      <c r="A658" s="40" t="s">
        <v>1076</v>
      </c>
      <c r="B658" s="41" t="s">
        <v>154</v>
      </c>
      <c r="C658" s="40">
        <v>5.1120000000000001</v>
      </c>
      <c r="D658" s="114"/>
    </row>
    <row r="659" spans="1:4" ht="15.5" outlineLevel="1">
      <c r="A659" s="40" t="s">
        <v>1076</v>
      </c>
      <c r="B659" s="41" t="s">
        <v>17</v>
      </c>
      <c r="C659" s="40">
        <v>5.58</v>
      </c>
      <c r="D659" s="114"/>
    </row>
    <row r="660" spans="1:4" ht="15.5" outlineLevel="1">
      <c r="A660" s="40" t="s">
        <v>1076</v>
      </c>
      <c r="B660" s="41" t="s">
        <v>18</v>
      </c>
      <c r="C660" s="40">
        <v>5.54</v>
      </c>
      <c r="D660" s="114"/>
    </row>
    <row r="661" spans="1:4" ht="15.5" outlineLevel="1">
      <c r="A661" s="40" t="s">
        <v>1076</v>
      </c>
      <c r="B661" s="41" t="s">
        <v>19</v>
      </c>
      <c r="C661" s="40">
        <v>5.55</v>
      </c>
      <c r="D661" s="114"/>
    </row>
    <row r="662" spans="1:4" ht="15.5" outlineLevel="1">
      <c r="A662" s="40" t="s">
        <v>1076</v>
      </c>
      <c r="B662" s="41" t="s">
        <v>20</v>
      </c>
      <c r="C662" s="40">
        <v>5.63</v>
      </c>
      <c r="D662" s="114"/>
    </row>
    <row r="663" spans="1:4" ht="15.5" outlineLevel="1">
      <c r="A663" s="40" t="s">
        <v>1076</v>
      </c>
      <c r="B663" s="41" t="s">
        <v>24</v>
      </c>
      <c r="C663" s="40">
        <v>5.47</v>
      </c>
      <c r="D663" s="114"/>
    </row>
    <row r="664" spans="1:4" ht="15.5" outlineLevel="1">
      <c r="A664" s="40" t="s">
        <v>1076</v>
      </c>
      <c r="B664" s="41" t="s">
        <v>25</v>
      </c>
      <c r="C664" s="40">
        <v>5.48</v>
      </c>
      <c r="D664" s="114"/>
    </row>
    <row r="665" spans="1:4" ht="15.5">
      <c r="A665" s="46" t="s">
        <v>1076</v>
      </c>
      <c r="B665" s="41"/>
      <c r="C665" s="40"/>
      <c r="D665" s="114"/>
    </row>
    <row r="666" spans="1:4" ht="15.5" outlineLevel="1">
      <c r="A666" s="40" t="s">
        <v>1081</v>
      </c>
      <c r="B666" s="41" t="s">
        <v>0</v>
      </c>
      <c r="C666" s="40">
        <v>5.0999999999999996</v>
      </c>
      <c r="D666" s="114"/>
    </row>
    <row r="667" spans="1:4" ht="15.5" outlineLevel="1">
      <c r="A667" s="40" t="s">
        <v>1081</v>
      </c>
      <c r="B667" s="41" t="s">
        <v>1</v>
      </c>
      <c r="C667" s="40">
        <v>5.2</v>
      </c>
      <c r="D667" s="114"/>
    </row>
    <row r="668" spans="1:4" ht="15.5" outlineLevel="1">
      <c r="A668" s="40" t="s">
        <v>1081</v>
      </c>
      <c r="B668" s="41" t="s">
        <v>189</v>
      </c>
      <c r="C668" s="40">
        <v>5.4</v>
      </c>
      <c r="D668" s="114"/>
    </row>
    <row r="669" spans="1:4" ht="15.5" outlineLevel="1">
      <c r="A669" s="40" t="s">
        <v>1081</v>
      </c>
      <c r="B669" s="41" t="s">
        <v>190</v>
      </c>
      <c r="C669" s="40">
        <v>5.7</v>
      </c>
      <c r="D669" s="114"/>
    </row>
    <row r="670" spans="1:4" ht="15.5" outlineLevel="1">
      <c r="A670" s="40" t="s">
        <v>1081</v>
      </c>
      <c r="B670" s="41" t="s">
        <v>191</v>
      </c>
      <c r="C670" s="40">
        <v>5.1100000000000003</v>
      </c>
      <c r="D670" s="114"/>
    </row>
    <row r="671" spans="1:4" ht="15.5" outlineLevel="1">
      <c r="A671" s="40" t="s">
        <v>1081</v>
      </c>
      <c r="B671" s="41" t="s">
        <v>5</v>
      </c>
      <c r="C671" s="40">
        <v>5.26</v>
      </c>
      <c r="D671" s="114"/>
    </row>
    <row r="672" spans="1:4" ht="15.5" outlineLevel="1">
      <c r="A672" s="40" t="s">
        <v>1081</v>
      </c>
      <c r="B672" s="41" t="s">
        <v>192</v>
      </c>
      <c r="C672" s="40">
        <v>5.43</v>
      </c>
      <c r="D672" s="114"/>
    </row>
    <row r="673" spans="1:4" ht="15.5" outlineLevel="1">
      <c r="A673" s="40" t="s">
        <v>1081</v>
      </c>
      <c r="B673" s="41" t="s">
        <v>6</v>
      </c>
      <c r="C673" s="40">
        <v>5.27</v>
      </c>
      <c r="D673" s="114"/>
    </row>
    <row r="674" spans="1:4" ht="15.5" outlineLevel="1">
      <c r="A674" s="40" t="s">
        <v>1081</v>
      </c>
      <c r="B674" s="41" t="s">
        <v>7</v>
      </c>
      <c r="C674" s="40">
        <v>5.28</v>
      </c>
      <c r="D674" s="114"/>
    </row>
    <row r="675" spans="1:4" ht="15.5" outlineLevel="1">
      <c r="A675" s="40" t="s">
        <v>1081</v>
      </c>
      <c r="B675" s="41" t="s">
        <v>145</v>
      </c>
      <c r="C675" s="40">
        <v>5.36</v>
      </c>
      <c r="D675" s="114"/>
    </row>
    <row r="676" spans="1:4" ht="15.5" outlineLevel="1">
      <c r="A676" s="40" t="s">
        <v>1081</v>
      </c>
      <c r="B676" s="41" t="s">
        <v>193</v>
      </c>
      <c r="C676" s="42">
        <v>5.5</v>
      </c>
      <c r="D676" s="114"/>
    </row>
    <row r="677" spans="1:4" ht="15.5" outlineLevel="1">
      <c r="A677" s="40" t="s">
        <v>1081</v>
      </c>
      <c r="B677" s="41" t="s">
        <v>10</v>
      </c>
      <c r="C677" s="40">
        <v>5.51</v>
      </c>
      <c r="D677" s="114"/>
    </row>
    <row r="678" spans="1:4" ht="15.5" outlineLevel="1">
      <c r="A678" s="40" t="s">
        <v>1081</v>
      </c>
      <c r="B678" s="41" t="s">
        <v>11</v>
      </c>
      <c r="C678" s="40">
        <v>5.53</v>
      </c>
      <c r="D678" s="114"/>
    </row>
    <row r="679" spans="1:4" ht="15.5" outlineLevel="1">
      <c r="A679" s="40" t="s">
        <v>1081</v>
      </c>
      <c r="B679" s="41" t="s">
        <v>12</v>
      </c>
      <c r="C679" s="40">
        <v>5.69</v>
      </c>
      <c r="D679" s="114"/>
    </row>
    <row r="680" spans="1:4" ht="15.5" outlineLevel="1">
      <c r="A680" s="40" t="s">
        <v>1081</v>
      </c>
      <c r="B680" s="41" t="s">
        <v>14</v>
      </c>
      <c r="C680" s="42">
        <v>5.7</v>
      </c>
      <c r="D680" s="113" t="s">
        <v>1134</v>
      </c>
    </row>
    <row r="681" spans="1:4" ht="15.5" outlineLevel="1">
      <c r="A681" s="40" t="s">
        <v>1081</v>
      </c>
      <c r="B681" s="41" t="s">
        <v>15</v>
      </c>
      <c r="C681" s="40">
        <v>5.74</v>
      </c>
      <c r="D681" s="114"/>
    </row>
    <row r="682" spans="1:4" ht="15.5" outlineLevel="1">
      <c r="A682" s="40" t="s">
        <v>1081</v>
      </c>
      <c r="B682" s="41" t="s">
        <v>155</v>
      </c>
      <c r="C682" s="40">
        <v>5.59</v>
      </c>
      <c r="D682" s="114"/>
    </row>
    <row r="683" spans="1:4" ht="15.5" outlineLevel="1">
      <c r="A683" s="40" t="s">
        <v>1081</v>
      </c>
      <c r="B683" s="41" t="s">
        <v>18</v>
      </c>
      <c r="C683" s="40">
        <v>5.54</v>
      </c>
      <c r="D683" s="114"/>
    </row>
    <row r="684" spans="1:4" ht="15.5" outlineLevel="1">
      <c r="A684" s="40" t="s">
        <v>1081</v>
      </c>
      <c r="B684" s="41" t="s">
        <v>194</v>
      </c>
      <c r="C684" s="40">
        <v>5.57</v>
      </c>
      <c r="D684" s="114"/>
    </row>
    <row r="685" spans="1:4" ht="15.5" outlineLevel="1">
      <c r="A685" s="40" t="s">
        <v>1081</v>
      </c>
      <c r="B685" s="41" t="s">
        <v>20</v>
      </c>
      <c r="C685" s="40">
        <v>5.63</v>
      </c>
      <c r="D685" s="114"/>
    </row>
    <row r="686" spans="1:4" ht="15.5" outlineLevel="1">
      <c r="A686" s="40" t="s">
        <v>1081</v>
      </c>
      <c r="B686" s="41" t="s">
        <v>24</v>
      </c>
      <c r="C686" s="40">
        <v>5.47</v>
      </c>
      <c r="D686" s="114"/>
    </row>
    <row r="687" spans="1:4" ht="15.5" outlineLevel="1">
      <c r="A687" s="40" t="s">
        <v>1081</v>
      </c>
      <c r="B687" s="41" t="s">
        <v>25</v>
      </c>
      <c r="C687" s="40">
        <v>5.48</v>
      </c>
      <c r="D687" s="114"/>
    </row>
    <row r="688" spans="1:4" ht="15.5">
      <c r="A688" s="46" t="s">
        <v>1081</v>
      </c>
      <c r="B688" s="41"/>
      <c r="C688" s="40"/>
      <c r="D688" s="114"/>
    </row>
    <row r="689" spans="1:4" ht="15.5" outlineLevel="1">
      <c r="A689" s="40" t="s">
        <v>1084</v>
      </c>
      <c r="B689" s="41" t="s">
        <v>0</v>
      </c>
      <c r="C689" s="40">
        <v>5.0999999999999996</v>
      </c>
      <c r="D689" s="114"/>
    </row>
    <row r="690" spans="1:4" ht="15.5" outlineLevel="1">
      <c r="A690" s="40" t="s">
        <v>1084</v>
      </c>
      <c r="B690" s="41" t="s">
        <v>1</v>
      </c>
      <c r="C690" s="40">
        <v>5.2</v>
      </c>
      <c r="D690" s="114"/>
    </row>
    <row r="691" spans="1:4" ht="15.5" outlineLevel="1">
      <c r="A691" s="40" t="s">
        <v>1084</v>
      </c>
      <c r="B691" s="41" t="s">
        <v>178</v>
      </c>
      <c r="C691" s="40">
        <v>5.17</v>
      </c>
      <c r="D691" s="114"/>
    </row>
    <row r="692" spans="1:4" ht="15.5" outlineLevel="1">
      <c r="A692" s="40" t="s">
        <v>1084</v>
      </c>
      <c r="B692" s="41" t="s">
        <v>5</v>
      </c>
      <c r="C692" s="40">
        <v>5.26</v>
      </c>
      <c r="D692" s="114"/>
    </row>
    <row r="693" spans="1:4" ht="15.5" outlineLevel="1">
      <c r="A693" s="40" t="s">
        <v>1084</v>
      </c>
      <c r="B693" s="41" t="s">
        <v>179</v>
      </c>
      <c r="C693" s="40">
        <v>5.1029999999999998</v>
      </c>
      <c r="D693" s="114"/>
    </row>
    <row r="694" spans="1:4" ht="15.5" outlineLevel="1">
      <c r="A694" s="40" t="s">
        <v>1084</v>
      </c>
      <c r="B694" s="41" t="s">
        <v>145</v>
      </c>
      <c r="C694" s="40">
        <v>5.36</v>
      </c>
      <c r="D694" s="114"/>
    </row>
    <row r="695" spans="1:4" ht="15.5" outlineLevel="1">
      <c r="A695" s="40" t="s">
        <v>1084</v>
      </c>
      <c r="B695" s="41" t="s">
        <v>180</v>
      </c>
      <c r="C695" s="40">
        <v>5.37</v>
      </c>
      <c r="D695" s="114"/>
    </row>
    <row r="696" spans="1:4" ht="15.5" outlineLevel="1">
      <c r="A696" s="40" t="s">
        <v>1084</v>
      </c>
      <c r="B696" s="41" t="s">
        <v>181</v>
      </c>
      <c r="C696" s="40">
        <v>5.1040000000000001</v>
      </c>
      <c r="D696" s="114"/>
    </row>
    <row r="697" spans="1:4" ht="15.5" outlineLevel="1">
      <c r="A697" s="40" t="s">
        <v>1084</v>
      </c>
      <c r="B697" s="41" t="s">
        <v>182</v>
      </c>
      <c r="C697" s="40">
        <v>5.1050000000000004</v>
      </c>
      <c r="D697" s="114"/>
    </row>
    <row r="698" spans="1:4" ht="15.5" outlineLevel="1">
      <c r="A698" s="40" t="s">
        <v>1084</v>
      </c>
      <c r="B698" s="41" t="s">
        <v>183</v>
      </c>
      <c r="C698" s="40">
        <v>5.1059999999999999</v>
      </c>
      <c r="D698" s="114"/>
    </row>
    <row r="699" spans="1:4" ht="15.5" outlineLevel="1">
      <c r="A699" s="40" t="s">
        <v>1084</v>
      </c>
      <c r="B699" s="41" t="s">
        <v>184</v>
      </c>
      <c r="C699" s="40">
        <v>5.1070000000000002</v>
      </c>
      <c r="D699" s="114"/>
    </row>
    <row r="700" spans="1:4" ht="15.5" outlineLevel="1">
      <c r="A700" s="40" t="s">
        <v>1084</v>
      </c>
      <c r="B700" s="41" t="s">
        <v>904</v>
      </c>
      <c r="C700" s="40">
        <v>5.1079999999999997</v>
      </c>
      <c r="D700" s="113" t="s">
        <v>1134</v>
      </c>
    </row>
    <row r="701" spans="1:4" ht="15.5" outlineLevel="1">
      <c r="A701" s="40" t="s">
        <v>1084</v>
      </c>
      <c r="B701" s="41" t="s">
        <v>173</v>
      </c>
      <c r="C701" s="40">
        <v>5.109</v>
      </c>
      <c r="D701" s="114"/>
    </row>
    <row r="702" spans="1:4" ht="15.5" outlineLevel="1">
      <c r="A702" s="40" t="s">
        <v>1084</v>
      </c>
      <c r="B702" s="41" t="s">
        <v>186</v>
      </c>
      <c r="C702" s="43">
        <v>5.1100000000000003</v>
      </c>
      <c r="D702" s="113" t="s">
        <v>1134</v>
      </c>
    </row>
    <row r="703" spans="1:4" ht="15.5" outlineLevel="1">
      <c r="A703" s="40" t="s">
        <v>1084</v>
      </c>
      <c r="B703" s="41" t="s">
        <v>174</v>
      </c>
      <c r="C703" s="40">
        <v>5.1109999999999998</v>
      </c>
      <c r="D703" s="114"/>
    </row>
    <row r="704" spans="1:4" ht="15.5" outlineLevel="1">
      <c r="A704" s="40" t="s">
        <v>1084</v>
      </c>
      <c r="B704" s="41" t="s">
        <v>154</v>
      </c>
      <c r="C704" s="40">
        <v>5.1120000000000001</v>
      </c>
      <c r="D704" s="114"/>
    </row>
    <row r="705" spans="1:4" ht="15.5" outlineLevel="1">
      <c r="A705" s="40" t="s">
        <v>1084</v>
      </c>
      <c r="B705" s="41" t="s">
        <v>11</v>
      </c>
      <c r="C705" s="40">
        <v>5.53</v>
      </c>
      <c r="D705" s="114"/>
    </row>
    <row r="706" spans="1:4" ht="15.5" outlineLevel="1">
      <c r="A706" s="40" t="s">
        <v>1084</v>
      </c>
      <c r="B706" s="41" t="s">
        <v>187</v>
      </c>
      <c r="C706" s="40">
        <v>5.64</v>
      </c>
      <c r="D706" s="114"/>
    </row>
    <row r="707" spans="1:4" ht="15.5" outlineLevel="1">
      <c r="A707" s="40" t="s">
        <v>1084</v>
      </c>
      <c r="B707" s="41" t="s">
        <v>20</v>
      </c>
      <c r="C707" s="40">
        <v>5.63</v>
      </c>
      <c r="D707" s="114"/>
    </row>
    <row r="708" spans="1:4" ht="15.5" outlineLevel="1">
      <c r="A708" s="40" t="s">
        <v>1084</v>
      </c>
      <c r="B708" s="41" t="s">
        <v>21</v>
      </c>
      <c r="C708" s="40">
        <v>5.65</v>
      </c>
      <c r="D708" s="114"/>
    </row>
    <row r="709" spans="1:4" ht="15.5" outlineLevel="1">
      <c r="A709" s="40" t="s">
        <v>1084</v>
      </c>
      <c r="B709" s="41" t="s">
        <v>188</v>
      </c>
      <c r="C709" s="40">
        <v>5.66</v>
      </c>
      <c r="D709" s="114"/>
    </row>
    <row r="710" spans="1:4" ht="15.5" outlineLevel="1">
      <c r="A710" s="40" t="s">
        <v>1084</v>
      </c>
      <c r="B710" s="41" t="s">
        <v>22</v>
      </c>
      <c r="C710" s="40">
        <v>5.68</v>
      </c>
      <c r="D710" s="114"/>
    </row>
    <row r="711" spans="1:4" ht="15.5" outlineLevel="1">
      <c r="A711" s="40" t="s">
        <v>1084</v>
      </c>
      <c r="B711" s="41" t="s">
        <v>24</v>
      </c>
      <c r="C711" s="40">
        <v>5.47</v>
      </c>
      <c r="D711" s="114"/>
    </row>
    <row r="712" spans="1:4" ht="15.5" outlineLevel="1">
      <c r="A712" s="40" t="s">
        <v>1084</v>
      </c>
      <c r="B712" s="41" t="s">
        <v>25</v>
      </c>
      <c r="C712" s="40">
        <v>5.48</v>
      </c>
      <c r="D712" s="114"/>
    </row>
    <row r="713" spans="1:4" ht="15.5">
      <c r="A713" s="46" t="s">
        <v>1084</v>
      </c>
      <c r="B713" s="41"/>
      <c r="C713" s="40"/>
      <c r="D713" s="114"/>
    </row>
    <row r="714" spans="1:4" ht="15.5" outlineLevel="1">
      <c r="A714" s="40" t="s">
        <v>1192</v>
      </c>
      <c r="B714" s="41" t="s">
        <v>0</v>
      </c>
      <c r="C714" s="40">
        <v>5.0999999999999996</v>
      </c>
      <c r="D714" s="114"/>
    </row>
    <row r="715" spans="1:4" ht="15.5" outlineLevel="1">
      <c r="A715" s="40" t="s">
        <v>1192</v>
      </c>
      <c r="B715" s="41" t="s">
        <v>1</v>
      </c>
      <c r="C715" s="40">
        <v>5.2</v>
      </c>
      <c r="D715" s="114"/>
    </row>
    <row r="716" spans="1:4" ht="15.5" outlineLevel="1">
      <c r="A716" s="40" t="s">
        <v>1192</v>
      </c>
      <c r="B716" s="41" t="s">
        <v>2</v>
      </c>
      <c r="C716" s="40">
        <v>5.3</v>
      </c>
      <c r="D716" s="114"/>
    </row>
    <row r="717" spans="1:4" ht="15.5" outlineLevel="1">
      <c r="A717" s="40" t="s">
        <v>1192</v>
      </c>
      <c r="B717" s="41" t="s">
        <v>169</v>
      </c>
      <c r="C717" s="40">
        <v>5.6</v>
      </c>
      <c r="D717" s="114"/>
    </row>
    <row r="718" spans="1:4" ht="15.5" outlineLevel="1">
      <c r="A718" s="40" t="s">
        <v>1192</v>
      </c>
      <c r="B718" s="41" t="s">
        <v>1136</v>
      </c>
      <c r="C718" s="42">
        <v>5.0999999999999996</v>
      </c>
      <c r="D718" s="114"/>
    </row>
    <row r="719" spans="1:4" ht="15.5" outlineLevel="1">
      <c r="A719" s="40" t="s">
        <v>1192</v>
      </c>
      <c r="B719" s="41" t="s">
        <v>1135</v>
      </c>
      <c r="C719" s="40">
        <v>5.14</v>
      </c>
      <c r="D719" s="114"/>
    </row>
    <row r="720" spans="1:4" ht="15.5" outlineLevel="1">
      <c r="A720" s="40" t="s">
        <v>1192</v>
      </c>
      <c r="B720" s="41" t="s">
        <v>4</v>
      </c>
      <c r="C720" s="40">
        <v>5.19</v>
      </c>
      <c r="D720" s="114"/>
    </row>
    <row r="721" spans="1:4" ht="15.5" outlineLevel="1">
      <c r="A721" s="40" t="s">
        <v>1192</v>
      </c>
      <c r="B721" s="41" t="s">
        <v>171</v>
      </c>
      <c r="C721" s="40">
        <v>5.24</v>
      </c>
      <c r="D721" s="114"/>
    </row>
    <row r="722" spans="1:4" ht="15.5" outlineLevel="1">
      <c r="A722" s="40" t="s">
        <v>1192</v>
      </c>
      <c r="B722" s="41" t="s">
        <v>5</v>
      </c>
      <c r="C722" s="40">
        <v>5.26</v>
      </c>
      <c r="D722" s="114"/>
    </row>
    <row r="723" spans="1:4" ht="15.5" outlineLevel="1">
      <c r="A723" s="40" t="s">
        <v>1192</v>
      </c>
      <c r="B723" s="41" t="s">
        <v>6</v>
      </c>
      <c r="C723" s="40">
        <v>5.27</v>
      </c>
      <c r="D723" s="114"/>
    </row>
    <row r="724" spans="1:4" ht="15.5" outlineLevel="1">
      <c r="A724" s="40" t="s">
        <v>1192</v>
      </c>
      <c r="B724" s="41" t="s">
        <v>7</v>
      </c>
      <c r="C724" s="40">
        <v>5.28</v>
      </c>
      <c r="D724" s="114"/>
    </row>
    <row r="725" spans="1:4" ht="15.5" outlineLevel="1">
      <c r="A725" s="40" t="s">
        <v>1192</v>
      </c>
      <c r="B725" s="41" t="s">
        <v>172</v>
      </c>
      <c r="C725" s="40">
        <v>5.31</v>
      </c>
      <c r="D725" s="114"/>
    </row>
    <row r="726" spans="1:4" ht="15.5" outlineLevel="1">
      <c r="A726" s="40" t="s">
        <v>1192</v>
      </c>
      <c r="B726" s="41" t="s">
        <v>145</v>
      </c>
      <c r="C726" s="40">
        <v>5.36</v>
      </c>
      <c r="D726" s="114"/>
    </row>
    <row r="727" spans="1:4" ht="15.5" outlineLevel="1">
      <c r="A727" s="40" t="s">
        <v>1192</v>
      </c>
      <c r="B727" s="41" t="s">
        <v>11</v>
      </c>
      <c r="C727" s="40">
        <v>5.53</v>
      </c>
      <c r="D727" s="114"/>
    </row>
    <row r="728" spans="1:4" ht="15.5" outlineLevel="1">
      <c r="A728" s="40" t="s">
        <v>1192</v>
      </c>
      <c r="B728" s="41" t="s">
        <v>173</v>
      </c>
      <c r="C728" s="40">
        <v>5.109</v>
      </c>
      <c r="D728" s="114"/>
    </row>
    <row r="729" spans="1:4" ht="15.5" outlineLevel="1">
      <c r="A729" s="40" t="s">
        <v>1192</v>
      </c>
      <c r="B729" s="41" t="s">
        <v>174</v>
      </c>
      <c r="C729" s="40">
        <v>5.1109999999999998</v>
      </c>
      <c r="D729" s="114"/>
    </row>
    <row r="730" spans="1:4" ht="15.5" outlineLevel="1">
      <c r="A730" s="40" t="s">
        <v>1192</v>
      </c>
      <c r="B730" s="41" t="s">
        <v>154</v>
      </c>
      <c r="C730" s="40">
        <v>5.1120000000000001</v>
      </c>
      <c r="D730" s="114"/>
    </row>
    <row r="731" spans="1:4" ht="15.5" outlineLevel="1">
      <c r="A731" s="40" t="s">
        <v>1192</v>
      </c>
      <c r="B731" s="41" t="s">
        <v>1150</v>
      </c>
      <c r="C731" s="40">
        <v>5.1130000000000004</v>
      </c>
      <c r="D731" s="114"/>
    </row>
    <row r="732" spans="1:4" ht="15.5" outlineLevel="1">
      <c r="A732" s="40" t="s">
        <v>1192</v>
      </c>
      <c r="B732" s="41" t="s">
        <v>176</v>
      </c>
      <c r="C732" s="40">
        <v>5.117</v>
      </c>
      <c r="D732" s="114"/>
    </row>
    <row r="733" spans="1:4" ht="15.5" outlineLevel="1">
      <c r="A733" s="40" t="s">
        <v>1192</v>
      </c>
      <c r="B733" s="41" t="s">
        <v>177</v>
      </c>
      <c r="C733" s="40">
        <v>5.67</v>
      </c>
      <c r="D733" s="114"/>
    </row>
    <row r="734" spans="1:4" ht="15.5" outlineLevel="1">
      <c r="A734" s="40" t="s">
        <v>1192</v>
      </c>
      <c r="B734" s="41" t="s">
        <v>20</v>
      </c>
      <c r="C734" s="40">
        <v>5.63</v>
      </c>
      <c r="D734" s="114"/>
    </row>
    <row r="735" spans="1:4" ht="15.5" outlineLevel="1">
      <c r="A735" s="40" t="s">
        <v>1192</v>
      </c>
      <c r="B735" s="41" t="s">
        <v>24</v>
      </c>
      <c r="C735" s="40">
        <v>5.47</v>
      </c>
      <c r="D735" s="114"/>
    </row>
    <row r="736" spans="1:4" ht="15.5" outlineLevel="1">
      <c r="A736" s="40" t="s">
        <v>1192</v>
      </c>
      <c r="B736" s="41" t="s">
        <v>25</v>
      </c>
      <c r="C736" s="40">
        <v>5.48</v>
      </c>
      <c r="D736" s="114"/>
    </row>
    <row r="737" spans="1:4" ht="15.5">
      <c r="A737" s="46" t="s">
        <v>1193</v>
      </c>
      <c r="B737" s="41"/>
      <c r="C737" s="40"/>
      <c r="D737" s="114"/>
    </row>
    <row r="738" spans="1:4" ht="15.5" outlineLevel="1">
      <c r="A738" s="40" t="s">
        <v>1087</v>
      </c>
      <c r="B738" s="41" t="s">
        <v>0</v>
      </c>
      <c r="C738" s="40">
        <v>5.0999999999999996</v>
      </c>
      <c r="D738" s="114"/>
    </row>
    <row r="739" spans="1:4" ht="15.5" outlineLevel="1">
      <c r="A739" s="40" t="s">
        <v>1087</v>
      </c>
      <c r="B739" s="41" t="s">
        <v>1</v>
      </c>
      <c r="C739" s="40">
        <v>5.2</v>
      </c>
      <c r="D739" s="114"/>
    </row>
    <row r="740" spans="1:4" ht="15.5" outlineLevel="1">
      <c r="A740" s="40" t="s">
        <v>1087</v>
      </c>
      <c r="B740" s="41" t="s">
        <v>151</v>
      </c>
      <c r="C740" s="40">
        <v>5.18</v>
      </c>
      <c r="D740" s="114"/>
    </row>
    <row r="741" spans="1:4" ht="15.5" outlineLevel="1">
      <c r="A741" s="40" t="s">
        <v>1087</v>
      </c>
      <c r="B741" s="41" t="s">
        <v>152</v>
      </c>
      <c r="C741" s="40">
        <v>5.23</v>
      </c>
      <c r="D741" s="114"/>
    </row>
    <row r="742" spans="1:4" ht="15.5" outlineLevel="1">
      <c r="A742" s="40" t="s">
        <v>1087</v>
      </c>
      <c r="B742" s="41" t="s">
        <v>5</v>
      </c>
      <c r="C742" s="40">
        <v>5.26</v>
      </c>
      <c r="D742" s="114"/>
    </row>
    <row r="743" spans="1:4" ht="15.5" outlineLevel="1">
      <c r="A743" s="40" t="s">
        <v>1087</v>
      </c>
      <c r="B743" s="41" t="s">
        <v>6</v>
      </c>
      <c r="C743" s="40">
        <v>5.27</v>
      </c>
      <c r="D743" s="114"/>
    </row>
    <row r="744" spans="1:4" ht="15.5" outlineLevel="1">
      <c r="A744" s="40" t="s">
        <v>1087</v>
      </c>
      <c r="B744" s="41" t="s">
        <v>7</v>
      </c>
      <c r="C744" s="40">
        <v>5.28</v>
      </c>
      <c r="D744" s="114"/>
    </row>
    <row r="745" spans="1:4" ht="15.5" outlineLevel="1">
      <c r="A745" s="40" t="s">
        <v>1087</v>
      </c>
      <c r="B745" s="41" t="s">
        <v>145</v>
      </c>
      <c r="C745" s="40">
        <v>5.36</v>
      </c>
      <c r="D745" s="114"/>
    </row>
    <row r="746" spans="1:4" ht="15.5" outlineLevel="1">
      <c r="A746" s="40" t="s">
        <v>1087</v>
      </c>
      <c r="B746" s="41" t="s">
        <v>153</v>
      </c>
      <c r="C746" s="40">
        <v>5.44</v>
      </c>
      <c r="D746" s="114"/>
    </row>
    <row r="747" spans="1:4" ht="15.5" outlineLevel="1">
      <c r="A747" s="40" t="s">
        <v>1087</v>
      </c>
      <c r="B747" s="41" t="s">
        <v>11</v>
      </c>
      <c r="C747" s="40">
        <v>5.53</v>
      </c>
      <c r="D747" s="114"/>
    </row>
    <row r="748" spans="1:4" ht="15.5" outlineLevel="1">
      <c r="A748" s="40" t="s">
        <v>1087</v>
      </c>
      <c r="B748" s="41" t="s">
        <v>154</v>
      </c>
      <c r="C748" s="40">
        <v>5.1120000000000001</v>
      </c>
      <c r="D748" s="114"/>
    </row>
    <row r="749" spans="1:4" ht="15.5" outlineLevel="1">
      <c r="A749" s="40" t="s">
        <v>1087</v>
      </c>
      <c r="B749" s="41" t="s">
        <v>155</v>
      </c>
      <c r="C749" s="40">
        <v>5.59</v>
      </c>
      <c r="D749" s="114"/>
    </row>
    <row r="750" spans="1:4" ht="15.5" outlineLevel="1">
      <c r="A750" s="40" t="s">
        <v>1087</v>
      </c>
      <c r="B750" s="41" t="s">
        <v>18</v>
      </c>
      <c r="C750" s="40">
        <v>5.54</v>
      </c>
      <c r="D750" s="114"/>
    </row>
    <row r="751" spans="1:4" ht="15.5" outlineLevel="1">
      <c r="A751" s="40" t="s">
        <v>1087</v>
      </c>
      <c r="B751" s="41" t="s">
        <v>20</v>
      </c>
      <c r="C751" s="40">
        <v>5.63</v>
      </c>
      <c r="D751" s="114"/>
    </row>
    <row r="752" spans="1:4" ht="15.5" outlineLevel="1">
      <c r="A752" s="40" t="s">
        <v>1087</v>
      </c>
      <c r="B752" s="41" t="s">
        <v>21</v>
      </c>
      <c r="C752" s="40">
        <v>5.65</v>
      </c>
      <c r="D752" s="114"/>
    </row>
    <row r="753" spans="1:4" ht="15.5" outlineLevel="1">
      <c r="A753" s="40" t="s">
        <v>1087</v>
      </c>
      <c r="B753" s="41" t="s">
        <v>22</v>
      </c>
      <c r="C753" s="40">
        <v>5.68</v>
      </c>
      <c r="D753" s="114"/>
    </row>
    <row r="754" spans="1:4" ht="15.5" outlineLevel="1">
      <c r="A754" s="40" t="s">
        <v>1087</v>
      </c>
      <c r="B754" s="41" t="s">
        <v>24</v>
      </c>
      <c r="C754" s="40">
        <v>5.47</v>
      </c>
      <c r="D754" s="114"/>
    </row>
    <row r="755" spans="1:4" ht="15.5" outlineLevel="1">
      <c r="A755" s="40" t="s">
        <v>1087</v>
      </c>
      <c r="B755" s="41" t="s">
        <v>25</v>
      </c>
      <c r="C755" s="40">
        <v>5.48</v>
      </c>
      <c r="D755" s="114"/>
    </row>
    <row r="756" spans="1:4" ht="15.5">
      <c r="A756" s="46" t="s">
        <v>1087</v>
      </c>
      <c r="B756" s="41"/>
      <c r="C756" s="40"/>
      <c r="D756" s="114"/>
    </row>
    <row r="757" spans="1:4" ht="15.5" outlineLevel="1">
      <c r="A757" s="40" t="s">
        <v>1194</v>
      </c>
      <c r="B757" s="41" t="s">
        <v>0</v>
      </c>
      <c r="C757" s="40">
        <v>5.0999999999999996</v>
      </c>
      <c r="D757" s="114"/>
    </row>
    <row r="758" spans="1:4" ht="15.5" outlineLevel="1">
      <c r="A758" s="40" t="s">
        <v>1194</v>
      </c>
      <c r="B758" s="41" t="s">
        <v>1</v>
      </c>
      <c r="C758" s="40">
        <v>5.2</v>
      </c>
      <c r="D758" s="114"/>
    </row>
    <row r="759" spans="1:4" ht="15.5" outlineLevel="1">
      <c r="A759" s="40" t="s">
        <v>1194</v>
      </c>
      <c r="B759" s="41" t="s">
        <v>140</v>
      </c>
      <c r="C759" s="40">
        <v>5.9</v>
      </c>
      <c r="D759" s="113" t="s">
        <v>1134</v>
      </c>
    </row>
    <row r="760" spans="1:4" ht="15.5" outlineLevel="1">
      <c r="A760" s="40" t="s">
        <v>1194</v>
      </c>
      <c r="B760" s="41" t="s">
        <v>141</v>
      </c>
      <c r="C760" s="40">
        <v>5.13</v>
      </c>
      <c r="D760" s="114"/>
    </row>
    <row r="761" spans="1:4" ht="15.5" outlineLevel="1">
      <c r="A761" s="40" t="s">
        <v>1194</v>
      </c>
      <c r="B761" s="41" t="s">
        <v>142</v>
      </c>
      <c r="C761" s="40">
        <v>5.16</v>
      </c>
      <c r="D761" s="113" t="s">
        <v>1134</v>
      </c>
    </row>
    <row r="762" spans="1:4" ht="15.5" outlineLevel="1">
      <c r="A762" s="40" t="s">
        <v>1194</v>
      </c>
      <c r="B762" s="41" t="s">
        <v>143</v>
      </c>
      <c r="C762" s="40">
        <v>5.22</v>
      </c>
      <c r="D762" s="113"/>
    </row>
    <row r="763" spans="1:4" ht="15.5" outlineLevel="1">
      <c r="A763" s="40" t="s">
        <v>1194</v>
      </c>
      <c r="B763" s="41" t="s">
        <v>144</v>
      </c>
      <c r="C763" s="40">
        <v>5.42</v>
      </c>
      <c r="D763" s="114"/>
    </row>
    <row r="764" spans="1:4" ht="15.5" outlineLevel="1">
      <c r="A764" s="40" t="s">
        <v>1194</v>
      </c>
      <c r="B764" s="41" t="s">
        <v>6</v>
      </c>
      <c r="C764" s="40">
        <v>5.27</v>
      </c>
      <c r="D764" s="114"/>
    </row>
    <row r="765" spans="1:4" ht="15.5" outlineLevel="1">
      <c r="A765" s="40" t="s">
        <v>1194</v>
      </c>
      <c r="B765" s="41" t="s">
        <v>7</v>
      </c>
      <c r="C765" s="40">
        <v>5.28</v>
      </c>
      <c r="D765" s="113" t="s">
        <v>1134</v>
      </c>
    </row>
    <row r="766" spans="1:4" ht="15.5" outlineLevel="1">
      <c r="A766" s="40" t="s">
        <v>1194</v>
      </c>
      <c r="B766" s="41" t="s">
        <v>145</v>
      </c>
      <c r="C766" s="40">
        <v>5.36</v>
      </c>
      <c r="D766" s="114"/>
    </row>
    <row r="767" spans="1:4" ht="15.5" outlineLevel="1">
      <c r="A767" s="40" t="s">
        <v>1194</v>
      </c>
      <c r="B767" s="41" t="s">
        <v>9</v>
      </c>
      <c r="C767" s="40">
        <v>5.49</v>
      </c>
      <c r="D767" s="114"/>
    </row>
    <row r="768" spans="1:4" ht="15.5" outlineLevel="1">
      <c r="A768" s="40" t="s">
        <v>1194</v>
      </c>
      <c r="B768" s="41" t="s">
        <v>10</v>
      </c>
      <c r="C768" s="40">
        <v>5.51</v>
      </c>
      <c r="D768" s="114"/>
    </row>
    <row r="769" spans="1:4" ht="15.5" outlineLevel="1">
      <c r="A769" s="40" t="s">
        <v>1194</v>
      </c>
      <c r="B769" s="41" t="s">
        <v>1183</v>
      </c>
      <c r="C769" s="40">
        <v>5.52</v>
      </c>
      <c r="D769" s="114"/>
    </row>
    <row r="770" spans="1:4" ht="15.5" outlineLevel="1">
      <c r="A770" s="40" t="s">
        <v>1194</v>
      </c>
      <c r="B770" s="41" t="s">
        <v>11</v>
      </c>
      <c r="C770" s="40">
        <v>5.53</v>
      </c>
      <c r="D770" s="114"/>
    </row>
    <row r="771" spans="1:4" ht="15.5" outlineLevel="1">
      <c r="A771" s="40" t="s">
        <v>1194</v>
      </c>
      <c r="B771" s="41" t="s">
        <v>18</v>
      </c>
      <c r="C771" s="40">
        <v>5.54</v>
      </c>
      <c r="D771" s="114"/>
    </row>
    <row r="772" spans="1:4" ht="15.5" outlineLevel="1">
      <c r="A772" s="40" t="s">
        <v>1194</v>
      </c>
      <c r="B772" s="41" t="s">
        <v>14</v>
      </c>
      <c r="C772" s="42">
        <v>5.7</v>
      </c>
      <c r="D772" s="114"/>
    </row>
    <row r="773" spans="1:4" ht="15.5" outlineLevel="1">
      <c r="A773" s="40" t="s">
        <v>1194</v>
      </c>
      <c r="B773" s="41" t="s">
        <v>147</v>
      </c>
      <c r="C773" s="40">
        <v>5.71</v>
      </c>
      <c r="D773" s="114"/>
    </row>
    <row r="774" spans="1:4" ht="15.5" outlineLevel="1">
      <c r="A774" s="40" t="s">
        <v>1194</v>
      </c>
      <c r="B774" s="41" t="s">
        <v>148</v>
      </c>
      <c r="C774" s="42">
        <v>5.9</v>
      </c>
      <c r="D774" s="114"/>
    </row>
    <row r="775" spans="1:4" ht="15.5" outlineLevel="1">
      <c r="A775" s="40" t="s">
        <v>1194</v>
      </c>
      <c r="B775" s="41" t="s">
        <v>149</v>
      </c>
      <c r="C775" s="40">
        <v>5.91</v>
      </c>
      <c r="D775" s="114"/>
    </row>
    <row r="776" spans="1:4" ht="15.5" outlineLevel="1">
      <c r="A776" s="40" t="s">
        <v>1194</v>
      </c>
      <c r="B776" s="41" t="s">
        <v>150</v>
      </c>
      <c r="C776" s="40">
        <v>5.97</v>
      </c>
      <c r="D776" s="114"/>
    </row>
    <row r="777" spans="1:4" ht="15.5">
      <c r="A777" s="46" t="s">
        <v>1194</v>
      </c>
      <c r="B777" s="41"/>
      <c r="C777" s="40"/>
      <c r="D777" s="114"/>
    </row>
    <row r="778" spans="1:4" ht="15.5" outlineLevel="1">
      <c r="A778" s="40" t="s">
        <v>1121</v>
      </c>
      <c r="B778" s="41" t="s">
        <v>0</v>
      </c>
      <c r="C778" s="40">
        <v>5.0999999999999996</v>
      </c>
      <c r="D778" s="114"/>
    </row>
    <row r="779" spans="1:4" ht="15.5" outlineLevel="1">
      <c r="A779" s="40" t="s">
        <v>1121</v>
      </c>
      <c r="B779" s="41" t="s">
        <v>1</v>
      </c>
      <c r="C779" s="40">
        <v>5.2</v>
      </c>
      <c r="D779" s="114"/>
    </row>
    <row r="780" spans="1:4" ht="15.5" outlineLevel="1">
      <c r="A780" s="40" t="s">
        <v>1121</v>
      </c>
      <c r="B780" s="41" t="s">
        <v>5</v>
      </c>
      <c r="C780" s="40">
        <v>5.26</v>
      </c>
      <c r="D780" s="114"/>
    </row>
    <row r="781" spans="1:4" ht="15.5" outlineLevel="1">
      <c r="A781" s="40" t="s">
        <v>1121</v>
      </c>
      <c r="B781" s="41" t="s">
        <v>212</v>
      </c>
      <c r="C781" s="40">
        <v>5.5</v>
      </c>
      <c r="D781" s="114"/>
    </row>
    <row r="782" spans="1:4" ht="15.5" outlineLevel="1">
      <c r="A782" s="40" t="s">
        <v>1121</v>
      </c>
      <c r="B782" s="41" t="s">
        <v>213</v>
      </c>
      <c r="C782" s="40">
        <v>5.8</v>
      </c>
      <c r="D782" s="113" t="s">
        <v>1134</v>
      </c>
    </row>
    <row r="783" spans="1:4" ht="15.5" outlineLevel="1">
      <c r="A783" s="40" t="s">
        <v>1121</v>
      </c>
      <c r="B783" s="41" t="s">
        <v>214</v>
      </c>
      <c r="C783" s="40">
        <v>5.12</v>
      </c>
      <c r="D783" s="40"/>
    </row>
    <row r="784" spans="1:4" ht="15.5" outlineLevel="1">
      <c r="A784" s="40" t="s">
        <v>1121</v>
      </c>
      <c r="B784" s="41" t="s">
        <v>215</v>
      </c>
      <c r="C784" s="40">
        <v>5.15</v>
      </c>
      <c r="D784" s="40"/>
    </row>
    <row r="785" spans="1:4" ht="15.5" outlineLevel="1">
      <c r="A785" s="40" t="s">
        <v>1121</v>
      </c>
      <c r="B785" s="41" t="s">
        <v>216</v>
      </c>
      <c r="C785" s="42">
        <v>5.2</v>
      </c>
      <c r="D785" s="113"/>
    </row>
    <row r="786" spans="1:4" ht="15.5" outlineLevel="1">
      <c r="A786" s="40" t="s">
        <v>1121</v>
      </c>
      <c r="B786" s="41" t="s">
        <v>217</v>
      </c>
      <c r="C786" s="40">
        <v>5.25</v>
      </c>
      <c r="D786" s="40"/>
    </row>
    <row r="787" spans="1:4" ht="15.5" outlineLevel="1">
      <c r="A787" s="40" t="s">
        <v>1121</v>
      </c>
      <c r="B787" s="41" t="s">
        <v>11</v>
      </c>
      <c r="C787" s="40">
        <v>5.53</v>
      </c>
      <c r="D787" s="40"/>
    </row>
    <row r="788" spans="1:4" ht="15.5" outlineLevel="1">
      <c r="A788" s="40" t="s">
        <v>1121</v>
      </c>
      <c r="B788" s="41" t="s">
        <v>218</v>
      </c>
      <c r="C788" s="42">
        <v>5.4</v>
      </c>
      <c r="D788" s="40"/>
    </row>
    <row r="789" spans="1:4" ht="31" outlineLevel="1">
      <c r="A789" s="40" t="s">
        <v>1121</v>
      </c>
      <c r="B789" s="41" t="s">
        <v>219</v>
      </c>
      <c r="C789" s="40">
        <v>5.92</v>
      </c>
      <c r="D789" s="40"/>
    </row>
    <row r="790" spans="1:4" ht="15.5" outlineLevel="1">
      <c r="A790" s="40" t="s">
        <v>1121</v>
      </c>
      <c r="B790" s="41" t="s">
        <v>220</v>
      </c>
      <c r="C790" s="40">
        <v>5.93</v>
      </c>
      <c r="D790" s="40"/>
    </row>
    <row r="791" spans="1:4" ht="31" outlineLevel="1">
      <c r="A791" s="40" t="s">
        <v>1121</v>
      </c>
      <c r="B791" s="41" t="s">
        <v>221</v>
      </c>
      <c r="C791" s="40">
        <v>5.94</v>
      </c>
      <c r="D791" s="40"/>
    </row>
    <row r="792" spans="1:4" ht="15.5" outlineLevel="1">
      <c r="A792" s="40" t="s">
        <v>1121</v>
      </c>
      <c r="B792" s="41" t="s">
        <v>222</v>
      </c>
      <c r="C792" s="40">
        <v>5.95</v>
      </c>
      <c r="D792" s="40"/>
    </row>
    <row r="793" spans="1:4" ht="15.5" outlineLevel="1">
      <c r="A793" s="40" t="s">
        <v>1121</v>
      </c>
      <c r="B793" s="41" t="s">
        <v>223</v>
      </c>
      <c r="C793" s="40">
        <v>5.98</v>
      </c>
      <c r="D793" s="40"/>
    </row>
    <row r="794" spans="1:4" ht="15.5" outlineLevel="1">
      <c r="A794" s="40" t="s">
        <v>1121</v>
      </c>
      <c r="B794" s="41" t="s">
        <v>224</v>
      </c>
      <c r="C794" s="40">
        <v>5.96</v>
      </c>
      <c r="D794" s="40"/>
    </row>
    <row r="795" spans="1:4" ht="15.5">
      <c r="A795" s="46" t="s">
        <v>1121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"/>
  <cols>
    <col min="1" max="1" width="63.25" bestFit="1" customWidth="1"/>
    <col min="2" max="2" width="13.75" customWidth="1"/>
  </cols>
  <sheetData>
    <row r="2" spans="1:2">
      <c r="A2" s="26" t="s">
        <v>1210</v>
      </c>
    </row>
    <row r="3" spans="1:2">
      <c r="A3" t="s">
        <v>1211</v>
      </c>
      <c r="B3" t="s">
        <v>1212</v>
      </c>
    </row>
    <row r="4" spans="1:2">
      <c r="A4" t="s">
        <v>199</v>
      </c>
      <c r="B4" t="s">
        <v>1213</v>
      </c>
    </row>
    <row r="5" spans="1:2">
      <c r="A5" t="s">
        <v>1214</v>
      </c>
      <c r="B5" t="s">
        <v>1215</v>
      </c>
    </row>
    <row r="6" spans="1:2">
      <c r="A6" t="s">
        <v>1216</v>
      </c>
      <c r="B6" t="s">
        <v>1217</v>
      </c>
    </row>
    <row r="7" spans="1:2">
      <c r="A7" t="s">
        <v>1218</v>
      </c>
      <c r="B7" t="s">
        <v>1219</v>
      </c>
    </row>
    <row r="8" spans="1:2">
      <c r="A8" t="s">
        <v>1220</v>
      </c>
      <c r="B8" t="s">
        <v>1221</v>
      </c>
    </row>
    <row r="10" spans="1:2">
      <c r="A10" s="26" t="s">
        <v>1222</v>
      </c>
    </row>
    <row r="11" spans="1:2">
      <c r="A11" t="s">
        <v>1223</v>
      </c>
    </row>
    <row r="12" spans="1:2">
      <c r="A12" t="s">
        <v>1224</v>
      </c>
      <c r="B12" t="s">
        <v>1225</v>
      </c>
    </row>
    <row r="14" spans="1:2" ht="14.5">
      <c r="A14" s="39"/>
    </row>
    <row r="15" spans="1:2">
      <c r="A15" s="26" t="s">
        <v>1226</v>
      </c>
    </row>
    <row r="16" spans="1:2">
      <c r="A16" s="37" t="s">
        <v>1227</v>
      </c>
    </row>
    <row r="17" spans="1:2">
      <c r="A17" s="37" t="s">
        <v>1228</v>
      </c>
    </row>
    <row r="18" spans="1:2">
      <c r="A18" s="37" t="s">
        <v>1229</v>
      </c>
    </row>
    <row r="19" spans="1:2">
      <c r="A19" s="37" t="s">
        <v>1230</v>
      </c>
    </row>
    <row r="21" spans="1:2">
      <c r="A21" s="38" t="s">
        <v>1231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26" t="s">
        <v>1232</v>
      </c>
      <c r="B34" s="26" t="s">
        <v>332</v>
      </c>
    </row>
    <row r="35" spans="1:2">
      <c r="A35" s="18" t="s">
        <v>1233</v>
      </c>
      <c r="B35" s="45">
        <v>512310509</v>
      </c>
    </row>
    <row r="36" spans="1:2">
      <c r="A36" t="s">
        <v>1234</v>
      </c>
      <c r="B36" s="45">
        <v>513910703</v>
      </c>
    </row>
    <row r="37" spans="1:2">
      <c r="A37" t="s">
        <v>1235</v>
      </c>
      <c r="B37" s="45">
        <v>512304882</v>
      </c>
    </row>
    <row r="38" spans="1:2">
      <c r="A38" t="s">
        <v>1236</v>
      </c>
      <c r="B38" s="45">
        <v>520030677</v>
      </c>
    </row>
    <row r="39" spans="1:2">
      <c r="A39" t="s">
        <v>1237</v>
      </c>
      <c r="B39" s="45">
        <v>513621110</v>
      </c>
    </row>
    <row r="40" spans="1:2">
      <c r="A40" t="s">
        <v>1238</v>
      </c>
      <c r="B40" s="18">
        <v>513173393</v>
      </c>
    </row>
    <row r="41" spans="1:2">
      <c r="A41" t="s">
        <v>1239</v>
      </c>
      <c r="B41" s="18">
        <v>511880460</v>
      </c>
    </row>
    <row r="42" spans="1:2">
      <c r="A42" t="s">
        <v>1240</v>
      </c>
      <c r="B42" s="18">
        <v>510773922</v>
      </c>
    </row>
    <row r="43" spans="1:2">
      <c r="A43" t="s">
        <v>1241</v>
      </c>
      <c r="B43">
        <v>520021916</v>
      </c>
    </row>
    <row r="44" spans="1:2">
      <c r="A44" t="s">
        <v>1242</v>
      </c>
      <c r="B44">
        <v>520044025</v>
      </c>
    </row>
    <row r="45" spans="1:2">
      <c r="A45" t="s">
        <v>1243</v>
      </c>
      <c r="B45">
        <v>570003152</v>
      </c>
    </row>
    <row r="46" spans="1:2">
      <c r="A46" t="s">
        <v>1244</v>
      </c>
      <c r="B46" s="18">
        <v>520023094</v>
      </c>
    </row>
    <row r="47" spans="1:2">
      <c r="A47" t="s">
        <v>1245</v>
      </c>
      <c r="B47" s="18">
        <v>512711409</v>
      </c>
    </row>
    <row r="48" spans="1:2">
      <c r="A48" t="s">
        <v>1246</v>
      </c>
      <c r="B48">
        <v>515859379</v>
      </c>
    </row>
    <row r="49" spans="1:2">
      <c r="A49" t="s">
        <v>1247</v>
      </c>
      <c r="B49" s="18">
        <v>520030990</v>
      </c>
    </row>
    <row r="50" spans="1:2">
      <c r="A50" t="s">
        <v>1248</v>
      </c>
      <c r="B50" s="18">
        <v>520028812</v>
      </c>
    </row>
    <row r="51" spans="1:2">
      <c r="A51" t="s">
        <v>1249</v>
      </c>
      <c r="B51" s="18">
        <v>520034968</v>
      </c>
    </row>
    <row r="52" spans="1:2">
      <c r="A52" t="s">
        <v>1250</v>
      </c>
      <c r="B52" s="18">
        <v>520031824</v>
      </c>
    </row>
    <row r="53" spans="1:2">
      <c r="A53" t="s">
        <v>1251</v>
      </c>
      <c r="B53" s="18">
        <v>520005497</v>
      </c>
    </row>
    <row r="54" spans="1:2">
      <c r="A54" t="s">
        <v>1252</v>
      </c>
      <c r="B54" s="18">
        <v>520022518</v>
      </c>
    </row>
    <row r="55" spans="1:2">
      <c r="A55" t="s">
        <v>1253</v>
      </c>
      <c r="B55" s="18">
        <v>520028556</v>
      </c>
    </row>
    <row r="56" spans="1:2">
      <c r="A56" t="s">
        <v>1254</v>
      </c>
      <c r="B56" s="18">
        <v>520032269</v>
      </c>
    </row>
    <row r="57" spans="1:2">
      <c r="A57" t="s">
        <v>1255</v>
      </c>
      <c r="B57" s="18">
        <v>520027954</v>
      </c>
    </row>
    <row r="58" spans="1:2">
      <c r="A58" t="s">
        <v>1256</v>
      </c>
      <c r="B58">
        <v>520029620</v>
      </c>
    </row>
    <row r="59" spans="1:2">
      <c r="A59" t="s">
        <v>1257</v>
      </c>
      <c r="B59" s="18">
        <v>520028861</v>
      </c>
    </row>
    <row r="60" spans="1:2">
      <c r="A60" t="s">
        <v>1258</v>
      </c>
      <c r="B60" s="18">
        <v>520030743</v>
      </c>
    </row>
    <row r="61" spans="1:2">
      <c r="A61" t="s">
        <v>1259</v>
      </c>
      <c r="B61">
        <v>520042177</v>
      </c>
    </row>
    <row r="62" spans="1:2">
      <c r="A62" t="s">
        <v>1260</v>
      </c>
      <c r="B62" s="18">
        <v>515447035</v>
      </c>
    </row>
    <row r="63" spans="1:2">
      <c r="A63" t="s">
        <v>1261</v>
      </c>
      <c r="B63" s="18">
        <v>520042607</v>
      </c>
    </row>
    <row r="64" spans="1:2">
      <c r="A64" t="s">
        <v>1262</v>
      </c>
      <c r="B64" s="18">
        <v>513026484</v>
      </c>
    </row>
    <row r="65" spans="1:2">
      <c r="A65" t="s">
        <v>1263</v>
      </c>
      <c r="B65">
        <v>520023185</v>
      </c>
    </row>
    <row r="66" spans="1:2">
      <c r="A66" t="s">
        <v>1264</v>
      </c>
      <c r="B66">
        <v>520004078</v>
      </c>
    </row>
    <row r="67" spans="1:2">
      <c r="A67" t="s">
        <v>1265</v>
      </c>
      <c r="B67" s="18">
        <v>512267592</v>
      </c>
    </row>
    <row r="68" spans="1:2">
      <c r="A68" t="s">
        <v>1266</v>
      </c>
      <c r="B68">
        <v>515764868</v>
      </c>
    </row>
    <row r="69" spans="1:2">
      <c r="A69" t="s">
        <v>1267</v>
      </c>
      <c r="B69" s="18">
        <v>513452003</v>
      </c>
    </row>
    <row r="70" spans="1:2">
      <c r="A70" t="s">
        <v>1268</v>
      </c>
      <c r="B70" s="18">
        <v>510142789</v>
      </c>
    </row>
    <row r="71" spans="1:2">
      <c r="A71" t="s">
        <v>1269</v>
      </c>
      <c r="B71" s="18">
        <v>510960586</v>
      </c>
    </row>
    <row r="72" spans="1:2">
      <c r="A72" t="s">
        <v>1270</v>
      </c>
      <c r="B72" s="18">
        <v>510930670</v>
      </c>
    </row>
    <row r="73" spans="1:2">
      <c r="A73" t="s">
        <v>1271</v>
      </c>
      <c r="B73" s="18">
        <v>510927536</v>
      </c>
    </row>
    <row r="74" spans="1:2">
      <c r="A74" t="s">
        <v>1272</v>
      </c>
      <c r="B74" s="18">
        <v>510930654</v>
      </c>
    </row>
    <row r="75" spans="1:2">
      <c r="A75" t="s">
        <v>1273</v>
      </c>
      <c r="B75" s="18">
        <v>520032566</v>
      </c>
    </row>
    <row r="76" spans="1:2">
      <c r="A76" t="s">
        <v>1274</v>
      </c>
      <c r="B76" s="18">
        <v>513611509</v>
      </c>
    </row>
    <row r="77" spans="1:2">
      <c r="A77" t="s">
        <v>1275</v>
      </c>
      <c r="B77">
        <v>510888985</v>
      </c>
    </row>
    <row r="78" spans="1:2">
      <c r="A78" t="s">
        <v>1276</v>
      </c>
      <c r="B78">
        <v>520024647</v>
      </c>
    </row>
    <row r="79" spans="1:2">
      <c r="A79" t="s">
        <v>1277</v>
      </c>
      <c r="B79" s="18">
        <v>512244146</v>
      </c>
    </row>
    <row r="80" spans="1:2">
      <c r="A80" t="s">
        <v>1278</v>
      </c>
      <c r="B80" s="18">
        <v>510694821</v>
      </c>
    </row>
    <row r="81" spans="1:2">
      <c r="A81" t="s">
        <v>1279</v>
      </c>
      <c r="B81">
        <v>515761625</v>
      </c>
    </row>
    <row r="82" spans="1:2">
      <c r="A82" t="s">
        <v>1280</v>
      </c>
      <c r="B82" s="18">
        <v>511423048</v>
      </c>
    </row>
    <row r="83" spans="1:2">
      <c r="A83" t="s">
        <v>1281</v>
      </c>
      <c r="B83" s="18">
        <v>520019688</v>
      </c>
    </row>
    <row r="84" spans="1:2">
      <c r="A84" t="s">
        <v>1282</v>
      </c>
      <c r="B84">
        <v>520004896</v>
      </c>
    </row>
    <row r="85" spans="1:2">
      <c r="A85" t="s">
        <v>1283</v>
      </c>
      <c r="B85" s="18">
        <v>512237744</v>
      </c>
    </row>
    <row r="86" spans="1:2">
      <c r="A86" t="s">
        <v>1284</v>
      </c>
      <c r="B86" s="18">
        <v>514956465</v>
      </c>
    </row>
    <row r="87" spans="1:2">
      <c r="A87" t="s">
        <v>1285</v>
      </c>
      <c r="B87" s="18">
        <v>512362914</v>
      </c>
    </row>
    <row r="88" spans="1:2">
      <c r="A88" t="s">
        <v>1286</v>
      </c>
      <c r="B88" s="18">
        <v>520042615</v>
      </c>
    </row>
    <row r="89" spans="1:2">
      <c r="A89" t="s">
        <v>1287</v>
      </c>
      <c r="B89" s="18">
        <v>512065202</v>
      </c>
    </row>
    <row r="90" spans="1:2">
      <c r="A90" t="s">
        <v>1288</v>
      </c>
      <c r="B90">
        <v>520042540</v>
      </c>
    </row>
    <row r="91" spans="1:2">
      <c r="A91" t="s">
        <v>1289</v>
      </c>
      <c r="B91" s="18">
        <v>520027715</v>
      </c>
    </row>
    <row r="92" spans="1:2">
      <c r="A92" t="s">
        <v>1290</v>
      </c>
      <c r="B92" s="18">
        <v>512245812</v>
      </c>
    </row>
    <row r="93" spans="1:2">
      <c r="A93" t="s">
        <v>1291</v>
      </c>
      <c r="B93" s="18">
        <v>520022351</v>
      </c>
    </row>
    <row r="94" spans="1:2">
      <c r="A94" t="s">
        <v>1292</v>
      </c>
      <c r="B94" s="18">
        <v>514767490</v>
      </c>
    </row>
    <row r="95" spans="1:2">
      <c r="A95" t="s">
        <v>1293</v>
      </c>
      <c r="B95" s="18">
        <v>520024985</v>
      </c>
    </row>
    <row r="96" spans="1:2">
      <c r="A96" t="s">
        <v>1294</v>
      </c>
      <c r="B96" s="18">
        <v>520042573</v>
      </c>
    </row>
    <row r="97" spans="1:2">
      <c r="A97" t="s">
        <v>1295</v>
      </c>
      <c r="B97" s="18">
        <v>570009449</v>
      </c>
    </row>
    <row r="98" spans="1:2">
      <c r="A98" t="s">
        <v>1296</v>
      </c>
      <c r="B98" s="18">
        <v>520031659</v>
      </c>
    </row>
    <row r="99" spans="1:2">
      <c r="A99" t="s">
        <v>1297</v>
      </c>
      <c r="B99" s="18">
        <v>520042581</v>
      </c>
    </row>
    <row r="100" spans="1:2">
      <c r="A100" t="s">
        <v>1298</v>
      </c>
      <c r="B100">
        <v>520031030</v>
      </c>
    </row>
    <row r="101" spans="1:2">
      <c r="A101" t="s">
        <v>1299</v>
      </c>
      <c r="B101" s="18">
        <v>520030941</v>
      </c>
    </row>
    <row r="102" spans="1:2">
      <c r="A102" t="s">
        <v>1300</v>
      </c>
      <c r="B102" s="18">
        <v>512008335</v>
      </c>
    </row>
    <row r="103" spans="1:2">
      <c r="A103" t="s">
        <v>1301</v>
      </c>
      <c r="B103" s="18">
        <v>520022963</v>
      </c>
    </row>
    <row r="104" spans="1:2">
      <c r="A104" t="s">
        <v>1302</v>
      </c>
      <c r="B104" s="18">
        <v>570011767</v>
      </c>
    </row>
    <row r="105" spans="1:2">
      <c r="A105" t="s">
        <v>1303</v>
      </c>
      <c r="B105" s="18">
        <v>570014928</v>
      </c>
    </row>
    <row r="106" spans="1:2">
      <c r="A106" t="s">
        <v>1304</v>
      </c>
      <c r="B106" s="18">
        <v>570005959</v>
      </c>
    </row>
    <row r="107" spans="1:2">
      <c r="A107" t="s">
        <v>1305</v>
      </c>
      <c r="B107" s="18">
        <v>510800402</v>
      </c>
    </row>
    <row r="108" spans="1:2">
      <c r="A108" t="s">
        <v>1306</v>
      </c>
      <c r="B108" s="18">
        <v>570007476</v>
      </c>
    </row>
    <row r="109" spans="1:2">
      <c r="A109" t="s">
        <v>1307</v>
      </c>
      <c r="B109" s="18">
        <v>570005850</v>
      </c>
    </row>
    <row r="110" spans="1:2">
      <c r="A110" t="s">
        <v>1308</v>
      </c>
      <c r="B110" s="18">
        <v>520020504</v>
      </c>
    </row>
    <row r="111" spans="1:2">
      <c r="A111" t="s">
        <v>1309</v>
      </c>
      <c r="B111" s="18">
        <v>520020447</v>
      </c>
    </row>
    <row r="112" spans="1:2">
      <c r="A112" t="s">
        <v>1310</v>
      </c>
      <c r="B112" s="18">
        <v>511033060</v>
      </c>
    </row>
    <row r="113" spans="1:2">
      <c r="A113" t="s">
        <v>1311</v>
      </c>
      <c r="B113">
        <v>520027848</v>
      </c>
    </row>
    <row r="114" spans="1:2">
      <c r="A114" t="s">
        <v>1312</v>
      </c>
      <c r="B114" s="18">
        <v>570009852</v>
      </c>
    </row>
    <row r="115" spans="1:2">
      <c r="A115" t="s">
        <v>1313</v>
      </c>
      <c r="B115" s="18">
        <v>520027251</v>
      </c>
    </row>
    <row r="116" spans="1:2">
      <c r="A116" t="s">
        <v>1314</v>
      </c>
      <c r="B116" s="18">
        <v>520028390</v>
      </c>
    </row>
    <row r="117" spans="1:2">
      <c r="A117" t="s">
        <v>1315</v>
      </c>
      <c r="B117" s="18">
        <v>510806870</v>
      </c>
    </row>
    <row r="118" spans="1:2">
      <c r="A118" t="s">
        <v>1316</v>
      </c>
      <c r="B118">
        <v>513879189</v>
      </c>
    </row>
    <row r="119" spans="1:2">
      <c r="A119" t="s">
        <v>1317</v>
      </c>
      <c r="B119">
        <v>510015951</v>
      </c>
    </row>
    <row r="120" spans="1:2">
      <c r="A120" t="s">
        <v>1318</v>
      </c>
      <c r="B120" s="18">
        <v>520030693</v>
      </c>
    </row>
    <row r="121" spans="1:2">
      <c r="A121" t="s">
        <v>1319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גיליון1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Olga Kimchi</cp:lastModifiedBy>
  <cp:lastPrinted>2022-08-08T09:16:18Z</cp:lastPrinted>
  <dcterms:created xsi:type="dcterms:W3CDTF">2021-05-03T04:41:48Z</dcterms:created>
  <dcterms:modified xsi:type="dcterms:W3CDTF">2024-06-05T10:48:03Z</dcterms:modified>
</cp:coreProperties>
</file>